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4d596379f34c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数值调参" sheetId="1" r:id="R167c6116b5ae47d8"/>
    <x:sheet xmlns:r="http://schemas.openxmlformats.org/officeDocument/2006/relationships" name="09b_工序负载" sheetId="2" r:id="Rbc16dc80adb742a3"/>
    <x:sheet xmlns:r="http://schemas.openxmlformats.org/officeDocument/2006/relationships" name="02_优化排程" sheetId="3" r:id="R0481952792834c3a"/>
    <x:sheet xmlns:r="http://schemas.openxmlformats.org/officeDocument/2006/relationships" name="03_全链计算" sheetId="4" r:id="Re8f3388c38434e71"/>
    <x:sheet xmlns:r="http://schemas.openxmlformats.org/officeDocument/2006/relationships" name="00_等级规划" sheetId="5" r:id="R5522b9c1d35048f8"/>
    <x:sheet xmlns:r="http://schemas.openxmlformats.org/officeDocument/2006/relationships" name="04_渠道耗时" sheetId="6" r:id="Rc66364c2743945ce"/>
    <x:sheet xmlns:r="http://schemas.openxmlformats.org/officeDocument/2006/relationships" name="05_周转容量" sheetId="7" r:id="R20a5eade33d346a0"/>
    <x:sheet xmlns:r="http://schemas.openxmlformats.org/officeDocument/2006/relationships" name="06_价格配置" sheetId="8" r:id="Refa0175e475f410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"/>
    <x:numFmt numFmtId="202" formatCode="0;-0;;@"/>
    <x:numFmt numFmtId="203" formatCode="0.00;-0.00;;@"/>
    <x:numFmt numFmtId="204" formatCode="0.00&quot; min&quot;"/>
    <x:numFmt numFmtId="205" formatCode="0&quot; 件&quot;"/>
    <x:numFmt numFmtId="206" formatCode="0&quot; 金币&quot;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263B4B"/>
      <x:name val="Arial"/>
    </x:font>
    <x:font>
      <x:b/>
      <x:sz val="10"/>
      <x:color rgb="FF263B4B"/>
      <x:name val="Arial"/>
    </x:font>
    <x:font>
      <x:b/>
      <x:sz val="14"/>
      <x:color rgb="FF263B4B"/>
      <x:name val="Arial"/>
    </x:font>
    <x:font>
      <x:sz val="10"/>
      <x:color rgb="FF6D7F8C"/>
      <x:name val="Arial"/>
    </x:font>
    <x:font>
      <x:sz val="11"/>
      <x:color rgb="FF6D7F8C"/>
      <x:name val="Carlito"/>
    </x:font>
    <x:font>
      <x:sz val="10"/>
      <x:color rgb="FF245D8C"/>
      <x:name val="Arial"/>
    </x:font>
    <x:font>
      <x:b/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344054"/>
      </x:patternFill>
    </x:fill>
    <x:fill>
      <x:patternFill patternType="solid">
        <x:fgColor rgb="FFFFF4D6"/>
      </x:patternFill>
    </x:fill>
    <x:fill>
      <x:patternFill patternType="solid">
        <x:fgColor rgb="FFF2F5F7"/>
      </x:patternFill>
    </x:fill>
    <x:fill>
      <x:patternFill patternType="solid">
        <x:fgColor rgb="FFF0F6F3"/>
      </x:patternFill>
    </x:fill>
    <x:fill>
      <x:patternFill patternType="solid">
        <x:fgColor rgb="FFDDEAF4"/>
      </x:patternFill>
    </x:fill>
    <x:fill>
      <x:patternFill patternType="solid">
        <x:fgColor rgb="FFF1F3F5"/>
      </x:patternFill>
    </x:fill>
    <x:fill>
      <x:patternFill patternType="solid">
        <x:fgColor rgb="FFFFF9E8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2DCDB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6">
    <x:border>
      <x:left/>
      <x:right/>
      <x:top/>
      <x:bottom/>
      <x:diagonal/>
    </x:border>
    <x:border>
      <x:left style="thin">
        <x:color rgb="FFE5E9ED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>
      <x:left style="thin">
        <x:color rgb="FFE5E9ED"/>
      </x:left>
      <x:right style="thin">
        <x:color rgb="FFE5E9ED"/>
      </x:right>
      <x:top style="medium">
        <x:color rgb="FF8093A0"/>
      </x:top>
      <x:bottom style="thin">
        <x:color rgb="FFE5E9ED"/>
      </x:bottom>
      <x:diagonal/>
    </x:border>
    <x:border>
      <x:left style="medium">
        <x:color rgb="FF8093A0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>
      <x:left style="medium">
        <x:color rgb="FF8093A0"/>
      </x:left>
      <x:right style="thin">
        <x:color rgb="FFE5E9ED"/>
      </x:right>
      <x:top style="medium">
        <x:color rgb="FF8093A0"/>
      </x:top>
      <x:bottom style="thin">
        <x:color rgb="FFE5E9ED"/>
      </x:bottom>
      <x:diagonal/>
    </x:border>
    <x:border>
      <x:left/>
      <x:right/>
      <x:top style="medium">
        <x:color rgb="FF8093A0"/>
      </x:top>
      <x:bottom/>
      <x:diagonal/>
    </x:border>
    <x:border>
      <x:left/>
      <x:right style="thin">
        <x:color rgb="FFE5ECE3"/>
      </x:right>
      <x:top/>
      <x:bottom style="thin">
        <x:color rgb="FFE8EFE8"/>
      </x:bottom>
      <x:diagonal/>
    </x:border>
    <x:border>
      <x:left style="thin">
        <x:color rgb="FFE5ECE3"/>
      </x:left>
      <x:right style="thin">
        <x:color rgb="FFE5ECE3"/>
      </x:right>
      <x:top/>
      <x:bottom style="thin">
        <x:color rgb="FFE8EFE8"/>
      </x:bottom>
      <x:diagonal/>
    </x:border>
    <x:border>
      <x:left style="thin">
        <x:color rgb="FFE5ECE3"/>
      </x:left>
      <x:right/>
      <x:top/>
      <x:bottom style="thin">
        <x:color rgb="FFE8EFE8"/>
      </x:bottom>
      <x:diagonal/>
    </x:border>
    <x:border>
      <x:left/>
      <x:right style="thin">
        <x:color rgb="FFE5ECE3"/>
      </x:right>
      <x:top style="thin">
        <x:color rgb="FFE8EFE8"/>
      </x:top>
      <x:bottom style="thin">
        <x:color rgb="FFE8EFE8"/>
      </x:bottom>
      <x:diagonal/>
    </x:border>
    <x:border>
      <x:left style="thin">
        <x:color rgb="FFE5ECE3"/>
      </x:left>
      <x:right style="thin">
        <x:color rgb="FFE5ECE3"/>
      </x:right>
      <x:top style="thin">
        <x:color rgb="FFE8EFE8"/>
      </x:top>
      <x:bottom style="thin">
        <x:color rgb="FFE8EFE8"/>
      </x:bottom>
      <x:diagonal/>
    </x:border>
    <x:border>
      <x:left style="thin">
        <x:color rgb="FFE5ECE3"/>
      </x:left>
      <x:right/>
      <x:top style="thin">
        <x:color rgb="FFE8EFE8"/>
      </x:top>
      <x:bottom style="thin">
        <x:color rgb="FFE8EFE8"/>
      </x:bottom>
      <x:diagonal/>
    </x:border>
    <x:border>
      <x:left/>
      <x:right style="thin">
        <x:color rgb="FFE5ECE3"/>
      </x:right>
      <x:top style="thin">
        <x:color rgb="FFE8EFE8"/>
      </x:top>
      <x:bottom/>
      <x:diagonal/>
    </x:border>
    <x:border>
      <x:left style="thin">
        <x:color rgb="FFE5ECE3"/>
      </x:left>
      <x:right style="thin">
        <x:color rgb="FFE5ECE3"/>
      </x:right>
      <x:top style="thin">
        <x:color rgb="FFE8EFE8"/>
      </x:top>
      <x:bottom/>
      <x:diagonal/>
    </x:border>
    <x:border>
      <x:left style="thin">
        <x:color rgb="FFE5ECE3"/>
      </x:left>
      <x:right/>
      <x:top style="thin">
        <x:color rgb="FFE8EFE8"/>
      </x:top>
      <x:bottom/>
      <x:diagonal/>
    </x:border>
    <x:border>
      <x:left style="medium">
        <x:color rgb="FF8093A0"/>
      </x:left>
      <x:right/>
      <x:top/>
      <x:bottom/>
      <x:diagonal/>
    </x:border>
    <x:border>
      <x:left style="medium">
        <x:color rgb="FF8093A0"/>
      </x:left>
      <x:right style="thin">
        <x:color rgb="FFE5ECE3"/>
      </x:right>
      <x:top/>
      <x:bottom style="thin">
        <x:color rgb="FFE8EFE8"/>
      </x:bottom>
      <x:diagonal/>
    </x:border>
    <x:border>
      <x:left style="medium">
        <x:color rgb="FF8093A0"/>
      </x:left>
      <x:right style="thin">
        <x:color rgb="FFE5ECE3"/>
      </x:right>
      <x:top style="thin">
        <x:color rgb="FFE8EFE8"/>
      </x:top>
      <x:bottom style="thin">
        <x:color rgb="FFE8EFE8"/>
      </x:bottom>
      <x:diagonal/>
    </x:border>
    <x:border>
      <x:left style="medium">
        <x:color rgb="FF8093A0"/>
      </x:left>
      <x:right style="thin">
        <x:color rgb="FFE5ECE3"/>
      </x:right>
      <x:top style="thin">
        <x:color rgb="FFE8EFE8"/>
      </x:top>
      <x:bottom/>
      <x:diagonal/>
    </x:border>
    <x:border>
      <x:left/>
      <x:right style="thin">
        <x:color rgb="FFE5ECE3"/>
      </x:right>
      <x:top style="medium">
        <x:color rgb="FF8093A0"/>
      </x:top>
      <x:bottom style="thin">
        <x:color rgb="FFE8EFE8"/>
      </x:bottom>
      <x:diagonal/>
    </x:border>
    <x:border>
      <x:left style="thin">
        <x:color rgb="FFE5ECE3"/>
      </x:left>
      <x:right style="thin">
        <x:color rgb="FFE5ECE3"/>
      </x:right>
      <x:top style="medium">
        <x:color rgb="FF8093A0"/>
      </x:top>
      <x:bottom style="thin">
        <x:color rgb="FFE8EFE8"/>
      </x:bottom>
      <x:diagonal/>
    </x:border>
    <x:border>
      <x:left style="medium">
        <x:color rgb="FF8093A0"/>
      </x:left>
      <x:right style="thin">
        <x:color rgb="FFE5ECE3"/>
      </x:right>
      <x:top style="medium">
        <x:color rgb="FF8093A0"/>
      </x:top>
      <x:bottom style="thin">
        <x:color rgb="FFE8EFE8"/>
      </x:bottom>
      <x:diagonal/>
    </x:border>
    <x:border>
      <x:left style="thin">
        <x:color rgb="FFE5ECE3"/>
      </x:left>
      <x:right/>
      <x:top style="medium">
        <x:color rgb="FF8093A0"/>
      </x:top>
      <x:bottom style="thin">
        <x:color rgb="FFE8EFE8"/>
      </x:bottom>
      <x:diagonal/>
    </x:border>
    <x:border>
      <x:left/>
      <x:right/>
      <x:top/>
      <x:bottom style="thin">
        <x:color rgb="FFE5E9ED"/>
      </x:bottom>
      <x:diagonal/>
    </x:border>
    <x:border>
      <x:left/>
      <x:right/>
      <x:top style="thin">
        <x:color rgb="FFE5E9ED"/>
      </x:top>
      <x:bottom style="thin">
        <x:color rgb="FFE5E9ED"/>
      </x:bottom>
      <x:diagonal/>
    </x:border>
    <x:border>
      <x:left/>
      <x:right/>
      <x:top style="thin">
        <x:color rgb="FFE5E9ED"/>
      </x:top>
      <x:bottom/>
      <x:diagonal/>
    </x:border>
  </x:borders>
  <x:cellStyleXfs count="1">
    <x:xf numFmtId="0" fontId="0" fillId="0" borderId="0"/>
  </x:cellStyleXfs>
  <x:cellXfs count="2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 vertical="center"/>
    </x:xf>
    <x:xf numFmtId="200" fontId="7" fillId="3" borderId="1" xfId="0" applyNumberFormat="1" applyFont="1" applyFill="1" applyBorder="1" applyAlignment="1">
      <x:alignment horizontal="center" vertical="center"/>
    </x:xf>
    <x:xf numFmtId="200" fontId="2" fillId="5" borderId="1" xfId="0" applyNumberFormat="1" applyFont="1" applyFill="1" applyBorder="1" applyAlignment="1">
      <x:alignment horizontal="center" vertical="center"/>
    </x:xf>
    <x:xf numFmtId="201" fontId="2" fillId="5" borderId="1" xfId="0" applyNumberFormat="1" applyFont="1" applyFill="1" applyBorder="1" applyAlignment="1">
      <x:alignment horizontal="center" vertical="center"/>
    </x:xf>
    <x:xf numFmtId="202" fontId="2" fillId="0" borderId="1" xfId="0" applyNumberFormat="1" applyFont="1" applyFill="1" applyBorder="1" applyAlignment="1">
      <x:alignment vertical="center"/>
    </x:xf>
    <x:xf numFmtId="202" fontId="2" fillId="6" borderId="1" xfId="0" applyNumberFormat="1" applyFont="1" applyFill="1" applyBorder="1" applyAlignment="1">
      <x:alignment vertical="center"/>
    </x:xf>
    <x:xf numFmtId="202" fontId="2" fillId="7" borderId="1" xfId="0" applyNumberFormat="1" applyFont="1" applyFill="1" applyBorder="1" applyAlignment="1">
      <x:alignment vertical="center"/>
    </x:xf>
    <x:xf numFmtId="202" fontId="2" fillId="8" borderId="1" xfId="0" applyNumberFormat="1" applyFont="1" applyFill="1" applyBorder="1" applyAlignment="1">
      <x:alignment vertical="center"/>
    </x:xf>
    <x:xf numFmtId="202" fontId="7" fillId="8" borderId="1" xfId="0" applyNumberFormat="1" applyFont="1" applyFill="1" applyBorder="1" applyAlignment="1">
      <x:alignment vertical="center"/>
    </x:xf>
    <x:xf numFmtId="0" fontId="2" fillId="9" borderId="1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2" fillId="9" borderId="1" xfId="0" applyNumberFormat="1" applyFont="1" applyFill="1" applyBorder="1" applyAlignment="1">
      <x:alignment vertical="center"/>
    </x:xf>
    <x:xf numFmtId="0" fontId="2" fillId="10" borderId="1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 applyAlignment="1">
      <x:alignment vertical="center"/>
    </x:xf>
    <x:xf numFmtId="0" fontId="2" fillId="10" borderId="2" xfId="0" applyNumberFormat="1" applyFont="1" applyFill="1" applyBorder="1" applyAlignment="1">
      <x:alignment vertical="center"/>
    </x:xf>
    <x:xf numFmtId="202" fontId="2" fillId="7" borderId="2" xfId="0" applyNumberFormat="1" applyFont="1" applyFill="1" applyBorder="1" applyAlignment="1">
      <x:alignment vertical="center"/>
    </x:xf>
    <x:xf numFmtId="202" fontId="2" fillId="6" borderId="2" xfId="0" applyNumberFormat="1" applyFont="1" applyFill="1" applyBorder="1" applyAlignment="1">
      <x:alignment vertical="center"/>
    </x:xf>
    <x:xf numFmtId="202" fontId="7" fillId="8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10" borderId="3" xfId="0" applyNumberFormat="1" applyFont="1" applyFill="1" applyBorder="1" applyAlignment="1">
      <x:alignment horizontal="center" vertical="center"/>
    </x:xf>
    <x:xf numFmtId="200" fontId="7" fillId="3" borderId="3" xfId="0" applyNumberFormat="1" applyFont="1" applyFill="1" applyBorder="1" applyAlignment="1">
      <x:alignment horizontal="center" vertical="center"/>
    </x:xf>
    <x:xf numFmtId="200" fontId="2" fillId="5" borderId="3" xfId="0" applyNumberFormat="1" applyFont="1" applyFill="1" applyBorder="1" applyAlignment="1">
      <x:alignment horizontal="center" vertical="center"/>
    </x:xf>
    <x:xf numFmtId="201" fontId="2" fillId="5" borderId="3" xfId="0" applyNumberFormat="1" applyFont="1" applyFill="1" applyBorder="1" applyAlignment="1">
      <x:alignment horizontal="center" vertical="center"/>
    </x:xf>
    <x:xf numFmtId="0" fontId="2" fillId="5" borderId="3" xfId="0" applyNumberFormat="1" applyFont="1" applyFill="1" applyBorder="1" applyAlignment="1">
      <x:alignment horizontal="center" vertical="center"/>
    </x:xf>
    <x:xf numFmtId="0" fontId="3" fillId="10" borderId="3" xfId="0" applyNumberFormat="1" applyFont="1" applyFill="1" applyBorder="1" applyAlignment="1">
      <x:alignment horizontal="center" vertical="center"/>
    </x:xf>
    <x:xf numFmtId="202" fontId="7" fillId="8" borderId="3" xfId="0" applyNumberFormat="1" applyFont="1" applyFill="1" applyBorder="1" applyAlignment="1">
      <x:alignment vertical="center"/>
    </x:xf>
    <x:xf numFmtId="202" fontId="2" fillId="7" borderId="3" xfId="0" applyNumberFormat="1" applyFont="1" applyFill="1" applyBorder="1" applyAlignment="1">
      <x:alignment vertical="center"/>
    </x:xf>
    <x:xf numFmtId="202" fontId="2" fillId="6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1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11" borderId="1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horizontal="center" vertical="center"/>
    </x:xf>
    <x:xf numFmtId="0" fontId="3" fillId="11" borderId="1" xfId="0" applyNumberFormat="1" applyFont="1" applyFill="1" applyBorder="1" applyAlignment="1">
      <x:alignment horizontal="center" vertical="center"/>
    </x:xf>
    <x:xf numFmtId="0" fontId="2" fillId="11" borderId="1" xfId="0" applyNumberFormat="1" applyFont="1" applyFill="1" applyBorder="1" applyAlignment="1">
      <x:alignment vertical="center"/>
    </x:xf>
    <x:xf numFmtId="0" fontId="2" fillId="11" borderId="2" xfId="0" applyNumberFormat="1" applyFont="1" applyFill="1" applyBorder="1" applyAlignment="1">
      <x:alignment vertical="center"/>
    </x:xf>
    <x:xf numFmtId="202" fontId="2" fillId="7" borderId="4" xfId="0" applyNumberFormat="1" applyFont="1" applyFill="1" applyBorder="1" applyAlignment="1">
      <x:alignment vertical="center"/>
    </x:xf>
    <x:xf numFmtId="0" fontId="2" fillId="11" borderId="3" xfId="0" applyNumberFormat="1" applyFont="1" applyFill="1" applyBorder="1" applyAlignment="1">
      <x:alignment horizontal="center" vertical="center"/>
    </x:xf>
    <x:xf numFmtId="0" fontId="3" fillId="11" borderId="3" xfId="0" applyNumberFormat="1" applyFont="1" applyFill="1" applyBorder="1" applyAlignment="1">
      <x:alignment horizontal="center" vertical="center"/>
    </x:xf>
    <x:xf numFmtId="202" fontId="7" fillId="8" borderId="4" xfId="0" applyNumberFormat="1" applyFont="1" applyFill="1" applyBorder="1" applyAlignment="1">
      <x:alignment vertical="center"/>
    </x:xf>
    <x:xf numFmtId="0" fontId="2" fillId="11" borderId="3" xfId="0" applyNumberFormat="1" applyFont="1" applyFill="1" applyBorder="1" applyAlignment="1">
      <x:alignment vertical="center"/>
    </x:xf>
    <x:xf numFmtId="0" fontId="2" fillId="12" borderId="1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 applyAlignment="1">
      <x:alignment horizontal="center" vertical="center"/>
    </x:xf>
    <x:xf numFmtId="0" fontId="3" fillId="12" borderId="1" xfId="0" applyNumberFormat="1" applyFont="1" applyFill="1" applyBorder="1" applyAlignment="1">
      <x:alignment horizontal="center" vertical="center"/>
    </x:xf>
    <x:xf numFmtId="0" fontId="2" fillId="12" borderId="1" xfId="0" applyNumberFormat="1" applyFont="1" applyFill="1" applyBorder="1" applyAlignment="1">
      <x:alignment vertical="center"/>
    </x:xf>
    <x:xf numFmtId="0" fontId="2" fillId="12" borderId="2" xfId="0" applyNumberFormat="1" applyFont="1" applyFill="1" applyBorder="1" applyAlignment="1">
      <x:alignment vertical="center"/>
    </x:xf>
    <x:xf numFmtId="0" fontId="2" fillId="12" borderId="3" xfId="0" applyNumberFormat="1" applyFont="1" applyFill="1" applyBorder="1" applyAlignment="1">
      <x:alignment horizontal="center" vertical="center"/>
    </x:xf>
    <x:xf numFmtId="0" fontId="3" fillId="12" borderId="3" xfId="0" applyNumberFormat="1" applyFont="1" applyFill="1" applyBorder="1" applyAlignment="1">
      <x:alignment horizontal="center" vertical="center"/>
    </x:xf>
    <x:xf numFmtId="0" fontId="2" fillId="12" borderId="3" xfId="0" applyNumberFormat="1" applyFont="1" applyFill="1" applyBorder="1" applyAlignment="1">
      <x:alignment vertical="center"/>
    </x:xf>
    <x:xf numFmtId="0" fontId="2" fillId="13" borderId="1" xfId="0" applyNumberFormat="1" applyFont="1" applyFill="1" applyBorder="1" applyAlignment="1">
      <x:alignment horizontal="center" vertical="center"/>
    </x:xf>
    <x:xf numFmtId="0" fontId="1" fillId="13" borderId="1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 applyAlignment="1">
      <x:alignment horizontal="center" vertical="center"/>
    </x:xf>
    <x:xf numFmtId="0" fontId="2" fillId="13" borderId="1" xfId="0" applyNumberFormat="1" applyFont="1" applyFill="1" applyBorder="1" applyAlignment="1">
      <x:alignment vertical="center"/>
    </x:xf>
    <x:xf numFmtId="0" fontId="2" fillId="13" borderId="2" xfId="0" applyNumberFormat="1" applyFont="1" applyFill="1" applyBorder="1" applyAlignment="1">
      <x:alignment vertical="center"/>
    </x:xf>
    <x:xf numFmtId="0" fontId="2" fillId="13" borderId="3" xfId="0" applyNumberFormat="1" applyFont="1" applyFill="1" applyBorder="1" applyAlignment="1">
      <x:alignment horizontal="center" vertical="center"/>
    </x:xf>
    <x:xf numFmtId="0" fontId="3" fillId="13" borderId="3" xfId="0" applyNumberFormat="1" applyFont="1" applyFill="1" applyBorder="1" applyAlignment="1">
      <x:alignment horizontal="center" vertical="center"/>
    </x:xf>
    <x:xf numFmtId="0" fontId="2" fillId="13" borderId="3" xfId="0" applyNumberFormat="1" applyFont="1" applyFill="1" applyBorder="1" applyAlignment="1">
      <x:alignment vertical="center"/>
    </x:xf>
    <x:xf numFmtId="0" fontId="2" fillId="14" borderId="1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 applyAlignment="1">
      <x:alignment horizontal="center" vertical="center"/>
    </x:xf>
    <x:xf numFmtId="0" fontId="3" fillId="14" borderId="1" xfId="0" applyNumberFormat="1" applyFont="1" applyFill="1" applyBorder="1" applyAlignment="1">
      <x:alignment horizontal="center" vertical="center"/>
    </x:xf>
    <x:xf numFmtId="0" fontId="2" fillId="14" borderId="1" xfId="0" applyNumberFormat="1" applyFont="1" applyFill="1" applyBorder="1" applyAlignment="1">
      <x:alignment vertical="center"/>
    </x:xf>
    <x:xf numFmtId="0" fontId="2" fillId="14" borderId="2" xfId="0" applyNumberFormat="1" applyFont="1" applyFill="1" applyBorder="1" applyAlignment="1">
      <x:alignment vertical="center"/>
    </x:xf>
    <x:xf numFmtId="0" fontId="2" fillId="14" borderId="3" xfId="0" applyNumberFormat="1" applyFont="1" applyFill="1" applyBorder="1" applyAlignment="1">
      <x:alignment horizontal="center" vertical="center"/>
    </x:xf>
    <x:xf numFmtId="0" fontId="3" fillId="14" borderId="3" xfId="0" applyNumberFormat="1" applyFont="1" applyFill="1" applyBorder="1" applyAlignment="1">
      <x:alignment horizontal="center" vertical="center"/>
    </x:xf>
    <x:xf numFmtId="0" fontId="2" fillId="14" borderId="3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vertical="center"/>
    </x:xf>
    <x:xf numFmtId="203" fontId="2" fillId="0" borderId="3" xfId="0" applyNumberFormat="1" applyFont="1" applyFill="1" applyBorder="1" applyAlignment="1">
      <x:alignment vertical="center"/>
    </x:xf>
    <x:xf numFmtId="203" fontId="2" fillId="0" borderId="2" xfId="0" applyNumberFormat="1" applyFont="1" applyFill="1" applyBorder="1" applyAlignment="1">
      <x:alignment vertical="center"/>
    </x:xf>
    <x:xf numFmtId="203" fontId="2" fillId="0" borderId="4" xfId="0" applyNumberFormat="1" applyFont="1" applyFill="1" applyBorder="1" applyAlignment="1">
      <x:alignment vertical="center"/>
    </x:xf>
    <x:xf numFmtId="203" fontId="2" fillId="0" borderId="1" xfId="0" applyNumberFormat="1" applyFont="1" applyFill="1" applyBorder="1" applyAlignment="1">
      <x:alignment horizontal="center" vertical="center"/>
    </x:xf>
    <x:xf numFmtId="203" fontId="2" fillId="0" borderId="3" xfId="0" applyNumberFormat="1" applyFont="1" applyFill="1" applyBorder="1" applyAlignment="1">
      <x:alignment horizontal="center" vertical="center"/>
    </x:xf>
    <x:xf numFmtId="203" fontId="2" fillId="0" borderId="2" xfId="0" applyNumberFormat="1" applyFont="1" applyFill="1" applyBorder="1" applyAlignment="1">
      <x:alignment horizontal="center" vertical="center"/>
    </x:xf>
    <x:xf numFmtId="203" fontId="2" fillId="0" borderId="4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0" fillId="9" borderId="5" xfId="0" applyNumberFormat="1" applyFont="1" applyFill="1" applyBorder="1"/>
    <x:xf numFmtId="0" fontId="0" fillId="0" borderId="5" xfId="0" applyNumberFormat="1" applyFont="1" applyFill="1" applyBorder="1"/>
    <x:xf numFmtId="0" fontId="0" fillId="10" borderId="5" xfId="0" applyNumberFormat="1" applyFont="1" applyFill="1" applyBorder="1"/>
    <x:xf numFmtId="0" fontId="0" fillId="11" borderId="5" xfId="0" applyNumberFormat="1" applyFont="1" applyFill="1" applyBorder="1"/>
    <x:xf numFmtId="0" fontId="0" fillId="12" borderId="5" xfId="0" applyNumberFormat="1" applyFont="1" applyFill="1" applyBorder="1"/>
    <x:xf numFmtId="0" fontId="0" fillId="13" borderId="5" xfId="0" applyNumberFormat="1" applyFont="1" applyFill="1" applyBorder="1"/>
    <x:xf numFmtId="0" fontId="0" fillId="14" borderId="5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/>
    <x:xf numFmtId="0" fontId="2" fillId="10" borderId="0" xfId="0" applyNumberFormat="1" applyFont="1" applyFill="1" applyBorder="1"/>
    <x:xf numFmtId="0" fontId="2" fillId="11" borderId="0" xfId="0" applyNumberFormat="1" applyFont="1" applyFill="1" applyBorder="1"/>
    <x:xf numFmtId="0" fontId="2" fillId="12" borderId="0" xfId="0" applyNumberFormat="1" applyFont="1" applyFill="1" applyBorder="1"/>
    <x:xf numFmtId="0" fontId="2" fillId="13" borderId="0" xfId="0" applyNumberFormat="1" applyFont="1" applyFill="1" applyBorder="1"/>
    <x:xf numFmtId="0" fontId="2" fillId="14" borderId="0" xfId="0" applyNumberFormat="1" applyFont="1" applyFill="1" applyBorder="1"/>
    <x:xf numFmtId="0" fontId="2" fillId="9" borderId="5" xfId="0" applyNumberFormat="1" applyFont="1" applyFill="1" applyBorder="1"/>
    <x:xf numFmtId="0" fontId="2" fillId="0" borderId="5" xfId="0" applyNumberFormat="1" applyFont="1" applyFill="1" applyBorder="1"/>
    <x:xf numFmtId="0" fontId="2" fillId="10" borderId="5" xfId="0" applyNumberFormat="1" applyFont="1" applyFill="1" applyBorder="1"/>
    <x:xf numFmtId="0" fontId="2" fillId="11" borderId="5" xfId="0" applyNumberFormat="1" applyFont="1" applyFill="1" applyBorder="1"/>
    <x:xf numFmtId="0" fontId="2" fillId="12" borderId="5" xfId="0" applyNumberFormat="1" applyFont="1" applyFill="1" applyBorder="1"/>
    <x:xf numFmtId="0" fontId="2" fillId="13" borderId="5" xfId="0" applyNumberFormat="1" applyFont="1" applyFill="1" applyBorder="1"/>
    <x:xf numFmtId="0" fontId="2" fillId="14" borderId="5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/>
    </x:xf>
    <x:xf numFmtId="0" fontId="2" fillId="12" borderId="0" xfId="0" applyNumberFormat="1" applyFont="1" applyFill="1" applyBorder="1" applyAlignment="1">
      <x:alignment vertical="center"/>
    </x:xf>
    <x:xf numFmtId="0" fontId="2" fillId="13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  <x:xf numFmtId="0" fontId="2" fillId="9" borderId="5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10" borderId="5" xfId="0" applyNumberFormat="1" applyFont="1" applyFill="1" applyBorder="1" applyAlignment="1">
      <x:alignment vertical="center"/>
    </x:xf>
    <x:xf numFmtId="0" fontId="2" fillId="11" borderId="5" xfId="0" applyNumberFormat="1" applyFont="1" applyFill="1" applyBorder="1" applyAlignment="1">
      <x:alignment vertical="center"/>
    </x:xf>
    <x:xf numFmtId="0" fontId="2" fillId="12" borderId="5" xfId="0" applyNumberFormat="1" applyFont="1" applyFill="1" applyBorder="1" applyAlignment="1">
      <x:alignment vertical="center"/>
    </x:xf>
    <x:xf numFmtId="0" fontId="2" fillId="13" borderId="5" xfId="0" applyNumberFormat="1" applyFont="1" applyFill="1" applyBorder="1" applyAlignment="1">
      <x:alignment vertical="center"/>
    </x:xf>
    <x:xf numFmtId="0" fontId="2" fillId="14" borderId="5" xfId="0" applyNumberFormat="1" applyFont="1" applyFill="1" applyBorder="1" applyAlignment="1">
      <x:alignment vertical="center"/>
    </x:xf>
    <x:xf numFmtId="0" fontId="2" fillId="9" borderId="2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204" fontId="2" fillId="0" borderId="2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  <x:xf numFmtId="204" fontId="2" fillId="0" borderId="2" xfId="0" applyNumberFormat="1" applyFont="1" applyFill="1" applyBorder="1" applyAlignment="1">
      <x:alignment horizontal="right" vertical="center"/>
    </x:xf>
    <x:xf numFmtId="204" fontId="2" fillId="0" borderId="1" xfId="0" applyNumberFormat="1" applyFont="1" applyFill="1" applyBorder="1" applyAlignment="1">
      <x:alignment horizontal="right" vertical="center"/>
    </x:xf>
    <x:xf numFmtId="204" fontId="2" fillId="5" borderId="1" xfId="0" applyNumberFormat="1" applyFont="1" applyFill="1" applyBorder="1" applyAlignment="1">
      <x:alignment horizontal="right" vertical="center"/>
    </x:xf>
    <x:xf numFmtId="0" fontId="3" fillId="5" borderId="1" xfId="0" applyNumberFormat="1" applyFont="1" applyFill="1" applyBorder="1" applyAlignment="1">
      <x:alignment vertical="center"/>
    </x:xf>
    <x:xf numFmtId="204" fontId="3" fillId="5" borderId="1" xfId="0" applyNumberFormat="1" applyFont="1" applyFill="1" applyBorder="1" applyAlignment="1">
      <x:alignment horizontal="right" vertical="center"/>
    </x:xf>
    <x:xf numFmtId="0" fontId="3" fillId="5" borderId="2" xfId="0" applyNumberFormat="1" applyFont="1" applyFill="1" applyBorder="1" applyAlignment="1">
      <x:alignment vertical="center"/>
    </x:xf>
    <x:xf numFmtId="204" fontId="3" fillId="5" borderId="2" xfId="0" applyNumberFormat="1" applyFont="1" applyFill="1" applyBorder="1" applyAlignment="1">
      <x:alignment horizontal="right" vertical="center"/>
    </x:xf>
    <x:xf numFmtId="0" fontId="2" fillId="0" borderId="3" xfId="0" applyNumberFormat="1" applyFont="1" applyFill="1" applyBorder="1" applyAlignment="1">
      <x:alignment horizontal="center" vertical="center"/>
    </x:xf>
    <x:xf numFmtId="204" fontId="2" fillId="0" borderId="4" xfId="0" applyNumberFormat="1" applyFont="1" applyFill="1" applyBorder="1" applyAlignment="1">
      <x:alignment horizontal="right" vertical="center"/>
    </x:xf>
    <x:xf numFmtId="204" fontId="3" fillId="5" borderId="4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3" fillId="5" borderId="0" xfId="0" applyNumberFormat="1" applyFont="1" applyFill="1" applyBorder="1" applyAlignment="1">
      <x:alignment vertical="center"/>
    </x:xf>
    <x:xf numFmtId="201" fontId="7" fillId="3" borderId="0" xfId="0" applyNumberFormat="1" applyFont="1" applyFill="1" applyBorder="1" applyAlignment="1">
      <x:alignment vertical="center"/>
    </x:xf>
    <x:xf numFmtId="205" fontId="3" fillId="5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vertical="center"/>
    </x:xf>
    <x:xf numFmtId="205" fontId="2" fillId="0" borderId="0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vertical="center"/>
    </x:xf>
    <x:xf numFmtId="205" fontId="3" fillId="5" borderId="7" xfId="0" applyNumberFormat="1" applyFont="1" applyFill="1" applyBorder="1" applyAlignment="1">
      <x:alignment vertical="center"/>
    </x:xf>
    <x:xf numFmtId="201" fontId="7" fillId="3" borderId="7" xfId="0" applyNumberFormat="1" applyFont="1" applyFill="1" applyBorder="1" applyAlignment="1">
      <x:alignment vertical="center"/>
    </x:xf>
    <x:xf numFmtId="205" fontId="2" fillId="0" borderId="7" xfId="0" applyNumberFormat="1" applyFont="1" applyFill="1" applyBorder="1" applyAlignment="1">
      <x:alignment horizontal="right" vertical="center"/>
    </x:xf>
    <x:xf numFmtId="205" fontId="2" fillId="0" borderId="8" xfId="0" applyNumberFormat="1" applyFont="1" applyFill="1" applyBorder="1" applyAlignment="1">
      <x:alignment horizontal="right" vertical="center"/>
    </x:xf>
    <x:xf numFmtId="201" fontId="2" fillId="0" borderId="9" xfId="0" applyNumberFormat="1" applyFont="1" applyFill="1" applyBorder="1" applyAlignment="1">
      <x:alignment vertical="center"/>
    </x:xf>
    <x:xf numFmtId="205" fontId="3" fillId="5" borderId="10" xfId="0" applyNumberFormat="1" applyFont="1" applyFill="1" applyBorder="1" applyAlignment="1">
      <x:alignment vertical="center"/>
    </x:xf>
    <x:xf numFmtId="201" fontId="7" fillId="3" borderId="10" xfId="0" applyNumberFormat="1" applyFont="1" applyFill="1" applyBorder="1" applyAlignment="1">
      <x:alignment vertical="center"/>
    </x:xf>
    <x:xf numFmtId="205" fontId="2" fillId="0" borderId="10" xfId="0" applyNumberFormat="1" applyFont="1" applyFill="1" applyBorder="1" applyAlignment="1">
      <x:alignment horizontal="right" vertical="center"/>
    </x:xf>
    <x:xf numFmtId="205" fontId="2" fillId="0" borderId="11" xfId="0" applyNumberFormat="1" applyFont="1" applyFill="1" applyBorder="1" applyAlignment="1">
      <x:alignment horizontal="right" vertical="center"/>
    </x:xf>
    <x:xf numFmtId="201" fontId="2" fillId="0" borderId="12" xfId="0" applyNumberFormat="1" applyFont="1" applyFill="1" applyBorder="1" applyAlignment="1">
      <x:alignment vertical="center"/>
    </x:xf>
    <x:xf numFmtId="205" fontId="3" fillId="5" borderId="13" xfId="0" applyNumberFormat="1" applyFont="1" applyFill="1" applyBorder="1" applyAlignment="1">
      <x:alignment vertical="center"/>
    </x:xf>
    <x:xf numFmtId="201" fontId="7" fillId="3" borderId="13" xfId="0" applyNumberFormat="1" applyFont="1" applyFill="1" applyBorder="1" applyAlignment="1">
      <x:alignment vertical="center"/>
    </x:xf>
    <x:xf numFmtId="205" fontId="2" fillId="0" borderId="13" xfId="0" applyNumberFormat="1" applyFont="1" applyFill="1" applyBorder="1" applyAlignment="1">
      <x:alignment horizontal="right" vertical="center"/>
    </x:xf>
    <x:xf numFmtId="205" fontId="2" fillId="0" borderId="14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5" xfId="0" applyNumberFormat="1" applyFont="1" applyFill="1" applyBorder="1" applyAlignment="1">
      <x:alignment horizontal="center" vertical="center" wrapText="1"/>
    </x:xf>
    <x:xf numFmtId="0" fontId="2" fillId="9" borderId="15" xfId="0" applyNumberFormat="1" applyFont="1" applyFill="1" applyBorder="1" applyAlignment="1">
      <x:alignment vertical="center"/>
    </x:xf>
    <x:xf numFmtId="205" fontId="2" fillId="0" borderId="16" xfId="0" applyNumberFormat="1" applyFont="1" applyFill="1" applyBorder="1" applyAlignment="1">
      <x:alignment horizontal="right" vertical="center"/>
    </x:xf>
    <x:xf numFmtId="205" fontId="2" fillId="0" borderId="17" xfId="0" applyNumberFormat="1" applyFont="1" applyFill="1" applyBorder="1" applyAlignment="1">
      <x:alignment horizontal="right" vertical="center"/>
    </x:xf>
    <x:xf numFmtId="205" fontId="2" fillId="0" borderId="18" xfId="0" applyNumberFormat="1" applyFont="1" applyFill="1" applyBorder="1" applyAlignment="1">
      <x:alignment horizontal="right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15" xfId="0" applyNumberFormat="1" applyFont="1" applyFill="1" applyBorder="1" applyAlignment="1">
      <x:alignment horizontal="center" vertical="center" wrapText="1"/>
    </x:xf>
    <x:xf numFmtId="0" fontId="2" fillId="10" borderId="15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3" fillId="11" borderId="15" xfId="0" applyNumberFormat="1" applyFont="1" applyFill="1" applyBorder="1" applyAlignment="1">
      <x:alignment horizontal="center" vertical="center" wrapText="1"/>
    </x:xf>
    <x:xf numFmtId="0" fontId="2" fillId="11" borderId="15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3" fillId="12" borderId="15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3" fillId="13" borderId="15" xfId="0" applyNumberFormat="1" applyFont="1" applyFill="1" applyBorder="1" applyAlignment="1">
      <x:alignment horizontal="center" vertical="center" wrapText="1"/>
    </x:xf>
    <x:xf numFmtId="0" fontId="2" fillId="13" borderId="15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14" borderId="15" xfId="0" applyNumberFormat="1" applyFont="1" applyFill="1" applyBorder="1" applyAlignment="1">
      <x:alignment horizontal="center" vertical="center" wrapText="1"/>
    </x:xf>
    <x:xf numFmtId="0" fontId="2" fillId="14" borderId="15" xfId="0" applyNumberFormat="1" applyFont="1" applyFill="1" applyBorder="1" applyAlignment="1">
      <x:alignment vertical="center"/>
    </x:xf>
    <x:xf numFmtId="201" fontId="2" fillId="0" borderId="19" xfId="0" applyNumberFormat="1" applyFont="1" applyFill="1" applyBorder="1" applyAlignment="1">
      <x:alignment vertical="center"/>
    </x:xf>
    <x:xf numFmtId="205" fontId="3" fillId="5" borderId="20" xfId="0" applyNumberFormat="1" applyFont="1" applyFill="1" applyBorder="1" applyAlignment="1">
      <x:alignment vertical="center"/>
    </x:xf>
    <x:xf numFmtId="201" fontId="7" fillId="3" borderId="20" xfId="0" applyNumberFormat="1" applyFont="1" applyFill="1" applyBorder="1" applyAlignment="1">
      <x:alignment vertical="center"/>
    </x:xf>
    <x:xf numFmtId="205" fontId="2" fillId="0" borderId="21" xfId="0" applyNumberFormat="1" applyFont="1" applyFill="1" applyBorder="1" applyAlignment="1">
      <x:alignment horizontal="right" vertical="center"/>
    </x:xf>
    <x:xf numFmtId="205" fontId="2" fillId="0" borderId="20" xfId="0" applyNumberFormat="1" applyFont="1" applyFill="1" applyBorder="1" applyAlignment="1">
      <x:alignment horizontal="right" vertical="center"/>
    </x:xf>
    <x:xf numFmtId="205" fontId="2" fillId="0" borderId="22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1" fontId="0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/>
    </x:xf>
    <x:xf numFmtId="201" fontId="8" fillId="5" borderId="0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/>
    <x:xf numFmtId="201" fontId="8" fillId="5" borderId="5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7" fillId="3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6" fontId="2" fillId="0" borderId="0" xfId="0" applyNumberFormat="1" applyFont="1" applyFill="1" applyBorder="1" applyAlignment="1">
      <x:alignment vertical="center"/>
    </x:xf>
    <x:xf numFmtId="206" fontId="2" fillId="5" borderId="0" xfId="0" applyNumberFormat="1" applyFont="1" applyFill="1" applyBorder="1" applyAlignment="1">
      <x:alignment vertical="center"/>
    </x:xf>
    <x:xf numFmtId="206" fontId="3" fillId="5" borderId="0" xfId="0" applyNumberFormat="1" applyFont="1" applyFill="1" applyBorder="1" applyAlignment="1">
      <x:alignment vertical="center"/>
    </x:xf>
    <x:xf numFmtId="0" fontId="2" fillId="0" borderId="23" xfId="0" applyNumberFormat="1" applyFont="1" applyFill="1" applyBorder="1" applyAlignment="1">
      <x:alignment vertical="center"/>
    </x:xf>
    <x:xf numFmtId="200" fontId="2" fillId="0" borderId="23" xfId="0" applyNumberFormat="1" applyFont="1" applyFill="1" applyBorder="1" applyAlignment="1">
      <x:alignment vertical="center"/>
    </x:xf>
    <x:xf numFmtId="206" fontId="3" fillId="5" borderId="23" xfId="0" applyNumberFormat="1" applyFont="1" applyFill="1" applyBorder="1" applyAlignment="1">
      <x:alignment vertical="center"/>
    </x:xf>
    <x:xf numFmtId="0" fontId="2" fillId="0" borderId="24" xfId="0" applyNumberFormat="1" applyFont="1" applyFill="1" applyBorder="1" applyAlignment="1">
      <x:alignment vertical="center"/>
    </x:xf>
    <x:xf numFmtId="200" fontId="2" fillId="0" borderId="24" xfId="0" applyNumberFormat="1" applyFont="1" applyFill="1" applyBorder="1" applyAlignment="1">
      <x:alignment vertical="center"/>
    </x:xf>
    <x:xf numFmtId="206" fontId="3" fillId="5" borderId="24" xfId="0" applyNumberFormat="1" applyFont="1" applyFill="1" applyBorder="1" applyAlignment="1">
      <x:alignment vertical="center"/>
    </x:xf>
    <x:xf numFmtId="0" fontId="2" fillId="0" borderId="25" xfId="0" applyNumberFormat="1" applyFont="1" applyFill="1" applyBorder="1" applyAlignment="1">
      <x:alignment vertical="center"/>
    </x:xf>
    <x:xf numFmtId="200" fontId="2" fillId="0" borderId="25" xfId="0" applyNumberFormat="1" applyFont="1" applyFill="1" applyBorder="1" applyAlignment="1">
      <x:alignment vertical="center"/>
    </x:xf>
    <x:xf numFmtId="206" fontId="3" fillId="5" borderId="25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color rgb="FFA34D38"/>
      </x:font>
      <x:fill>
        <x:patternFill patternType="solid">
          <x:bgColor rgb="FFFBE5DA"/>
        </x:patternFill>
      </x:fill>
    </x:dxf>
    <x:dxf>
      <x:font>
        <x:color rgb="FF9B6E23"/>
      </x:font>
      <x:fill>
        <x:patternFill patternType="solid">
          <x:bgColor rgb="FFFFF1D0"/>
        </x:patternFill>
      </x:fill>
    </x:dxf>
    <x:dxf>
      <x:font>
        <x:color rgb="FFA34D38"/>
      </x:font>
      <x:fill>
        <x:patternFill patternType="solid">
          <x:bgColor rgb="FFFBE5DA"/>
        </x:patternFill>
      </x:fill>
    </x:dxf>
    <x:dxf>
      <x:font>
        <x:b/>
        <x:color rgb="FF2F5D7D"/>
      </x:font>
      <x:fill>
        <x:patternFill patternType="solid">
          <x:bgColor rgb="FFDDEAF4"/>
        </x:patternFill>
      </x:fill>
    </x:dxf>
    <x:dxf>
      <x:font>
        <x:color rgb="FFA34D38"/>
      </x:font>
      <x:fill>
        <x:patternFill patternType="solid">
          <x:bgColor rgb="FFFBE5DA"/>
        </x:patternFill>
      </x:fill>
    </x:dxf>
    <x:dxf>
      <x:font>
        <x:color rgb="FF9B6E23"/>
      </x:font>
      <x:fill>
        <x:patternFill patternType="solid">
          <x:bgColor rgb="FFFFF1D0"/>
        </x:patternFill>
      </x:fill>
    </x:dxf>
    <x:dxf>
      <x:font>
        <x:color rgb="FF9B6E23"/>
      </x:font>
      <x:fill>
        <x:patternFill patternType="solid">
          <x:bgColor rgb="FFFFF1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e7f909f7d48f8" /><Relationship Type="http://schemas.openxmlformats.org/officeDocument/2006/relationships/theme" Target="/xl/theme/theme1.xml" Id="R672cb79d84e24dd4" /><Relationship Type="http://schemas.openxmlformats.org/officeDocument/2006/relationships/sheetMetadata" Target="/xl/metadata1.xml" Id="Re1b860939e4d43b0" /><Relationship Type="http://schemas.openxmlformats.org/officeDocument/2006/relationships/sharedStrings" Target="/xl/sharedStrings.xml" Id="R0dd8e235c1a24ebb" /><Relationship Type="http://schemas.openxmlformats.org/officeDocument/2006/relationships/worksheet" Target="/xl/worksheets/sheet1.xml" Id="R167c6116b5ae47d8" /><Relationship Type="http://schemas.openxmlformats.org/officeDocument/2006/relationships/worksheet" Target="/xl/worksheets/sheet2.xml" Id="Rbc16dc80adb742a3" /><Relationship Type="http://schemas.openxmlformats.org/officeDocument/2006/relationships/worksheet" Target="/xl/worksheets/sheet3.xml" Id="R0481952792834c3a" /><Relationship Type="http://schemas.openxmlformats.org/officeDocument/2006/relationships/worksheet" Target="/xl/worksheets/sheet4.xml" Id="Re8f3388c38434e71" /><Relationship Type="http://schemas.openxmlformats.org/officeDocument/2006/relationships/worksheet" Target="/xl/worksheets/sheet5.xml" Id="R5522b9c1d35048f8" /><Relationship Type="http://schemas.openxmlformats.org/officeDocument/2006/relationships/worksheet" Target="/xl/worksheets/sheet6.xml" Id="Rc66364c2743945ce" /><Relationship Type="http://schemas.openxmlformats.org/officeDocument/2006/relationships/worksheet" Target="/xl/worksheets/sheet7.xml" Id="R20a5eade33d346a0" /><Relationship Type="http://schemas.openxmlformats.org/officeDocument/2006/relationships/worksheet" Target="/xl/worksheets/sheet8.xml" Id="Refa0175e475f41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44054"/>
  </x:sheetPr>
  <x:sheetViews>
    <x:sheetView showGridLines="0" workbookViewId="0">
      <x:pane xSplit="4" ySplit="17" topLeftCell="E18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9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 ht="30" customHeight="1">
      <x:c r="A1" s="11" t="str">
        <x:v>加工链路数值调参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</x:row>
    <x:row r="2" ht="24" customHeight="1">
      <x:c r="A2" s="12" t="str">
        <x:v>黄色输入：单步时间、负数配方数量。固定：解锁等级、建筑、每次产1件。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</x:row>
    <x:row r="3" ht="22" customHeight="1">
      <x:c r="A3" s="9" t="str">
        <x:v>计算状态</x:v>
      </x:c>
      <x:c r="B3" s="9"/>
      <x:c r="C3" s="9"/>
      <x:c r="D3" s="9" t="str">
        <x:f>IF(NOT(AND('03_全链计算'!E88,'03_全链计算'!F88,'03_全链计算'!G88,'03_全链计算'!H88,'03_全链计算'!I88,'03_全链计算'!J88,'03_全链计算'!K88,'03_全链计算'!L88,'03_全链计算'!M88,'03_全链计算'!N88,'03_全链计算'!O88,'03_全链计算'!P88,'03_全链计算'!Q88,'03_全链计算'!R88,'03_全链计算'!S88,'03_全链计算'!T88,'03_全链计算'!U88,'03_全链计算'!V88,'03_全链计算'!W88,'03_全链计算'!X88,'03_全链计算'!Y88,'03_全链计算'!Z88,'03_全链计算'!AA88,'03_全链计算'!AB88,'03_全链计算'!AC88,'03_全链计算'!AD88,'03_全链计算'!AE88,'03_全链计算'!AF88,'03_全链计算'!AG88,'03_全链计算'!AH88,'03_全链计算'!AI88,'03_全链计算'!AJ88,'03_全链计算'!AK88,'03_全链计算'!AL88,'03_全链计算'!AM88)),"固定信息被修改",IF(NOT(AND('03_全链计算'!E87,'03_全链计算'!F87,'03_全链计算'!G87,'03_全链计算'!H87,'03_全链计算'!I87,'03_全链计算'!J87,'03_全链计算'!K87,'03_全链计算'!L87,'03_全链计算'!M87,'03_全链计算'!N87,'03_全链计算'!O87,'03_全链计算'!P87,'03_全链计算'!Q87,'03_全链计算'!R87,'03_全链计算'!S87,'03_全链计算'!T87,'03_全链计算'!U87,'03_全链计算'!V87,'03_全链计算'!W87,'03_全链计算'!X87,'03_全链计算'!Y87,'03_全链计算'!Z87,'03_全链计算'!AA87,'03_全链计算'!AB87,'03_全链计算'!AC87,'03_全链计算'!AD87,'03_全链计算'!AE87,'03_全链计算'!AF87,'03_全链计算'!AG87,'03_全链计算'!AH87,'03_全链计算'!AI87,'03_全链计算'!AJ87,'03_全链计算'!AK87,'03_全链计算'!AL87,'03_全链计算'!AM87)),"输入不合法",IF(AND('03_全链计算'!E80='03_全链计算'!E79,'03_全链计算'!F80='03_全链计算'!F79,'03_全链计算'!G80='03_全链计算'!G79,'03_全链计算'!H80='03_全链计算'!H79,'03_全链计算'!I80='03_全链计算'!I79,'03_全链计算'!J80='03_全链计算'!J79,'03_全链计算'!K80='03_全链计算'!K79,'03_全链计算'!L80='03_全链计算'!L79,'03_全链计算'!M80='03_全链计算'!M79,'03_全链计算'!N80='03_全链计算'!N79,'03_全链计算'!O80='03_全链计算'!O79,'03_全链计算'!P80='03_全链计算'!P79,'03_全链计算'!Q80='03_全链计算'!Q79,'03_全链计算'!R80='03_全链计算'!R79,'03_全链计算'!S80='03_全链计算'!S79,'03_全链计算'!T80='03_全链计算'!T79,'03_全链计算'!U80='03_全链计算'!U79,'03_全链计算'!V80='03_全链计算'!V79,'03_全链计算'!W80='03_全链计算'!W79,'03_全链计算'!X80='03_全链计算'!X79,'03_全链计算'!Y80='03_全链计算'!Y79,'03_全链计算'!Z80='03_全链计算'!Z79,'03_全链计算'!AA80='03_全链计算'!AA79,'03_全链计算'!AB80='03_全链计算'!AB79,'03_全链计算'!AC80='03_全链计算'!AC79,'03_全链计算'!AD80='03_全链计算'!AD79,'03_全链计算'!AE80='03_全链计算'!AE79,'03_全链计算'!AF80='03_全链计算'!AF79,'03_全链计算'!AG80='03_全链计算'!AG79,'03_全链计算'!AH80='03_全链计算'!AH79,'03_全链计算'!AI80='03_全链计算'!AI79,'03_全链计算'!AJ80='03_全链计算'!AJ79,'03_全链计算'!AK80='03_全链计算'!AK79,'03_全链计算'!AL80='03_全链计算'!AL79,'03_全链计算'!AM80='03_全链计算'!AM79),"配方有效","配方循环")))</x:f>
        <x:v>配方有效</x:v>
      </x:c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</x:row>
    <x:row r="4" ht="22" customHeight="1">
      <x:c r="A4" s="9" t="str">
        <x:v>网页导出已计算当前方案。若在Excel中修改输入，请回网页导入Excel并重算，再导出。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</x:row>
    <x:row r="5" ht="22" customHeight="1">
      <x:c r="A5" s="17" t="str">
        <x:v>固定</x:v>
      </x:c>
      <x:c r="B5" s="17" t="str">
        <x:v>商品ID</x:v>
      </x:c>
      <x:c r="C5" s="17" t="str"/>
      <x:c r="D5" s="17"/>
      <x:c r="E5" s="25" t="n">
        <x:v>1</x:v>
      </x:c>
      <x:c r="F5" s="25" t="n">
        <x:v>2</x:v>
      </x:c>
      <x:c r="G5" s="25" t="n">
        <x:v>5</x:v>
      </x:c>
      <x:c r="H5" s="25" t="n">
        <x:v>10</x:v>
      </x:c>
      <x:c r="I5" s="25" t="n">
        <x:v>15</x:v>
      </x:c>
      <x:c r="J5" s="25" t="n">
        <x:v>17</x:v>
      </x:c>
      <x:c r="K5" s="25" t="n">
        <x:v>24</x:v>
      </x:c>
      <x:c r="L5" s="25" t="n">
        <x:v>30</x:v>
      </x:c>
      <x:c r="M5" s="25" t="n">
        <x:v>35</x:v>
      </x:c>
      <x:c r="N5" s="48" t="n">
        <x:v>3</x:v>
      </x:c>
      <x:c r="O5" s="25" t="n">
        <x:v>4</x:v>
      </x:c>
      <x:c r="P5" s="25" t="n">
        <x:v>12</x:v>
      </x:c>
      <x:c r="Q5" s="25" t="n">
        <x:v>22</x:v>
      </x:c>
      <x:c r="R5" s="25" t="n">
        <x:v>33</x:v>
      </x:c>
      <x:c r="S5" s="48" t="n">
        <x:v>6</x:v>
      </x:c>
      <x:c r="T5" s="25" t="n">
        <x:v>7</x:v>
      </x:c>
      <x:c r="U5" s="25" t="n">
        <x:v>20</x:v>
      </x:c>
      <x:c r="V5" s="25" t="n">
        <x:v>28</x:v>
      </x:c>
      <x:c r="W5" s="25" t="n">
        <x:v>36</x:v>
      </x:c>
      <x:c r="X5" s="48" t="n">
        <x:v>14</x:v>
      </x:c>
      <x:c r="Y5" s="25" t="n">
        <x:v>16</x:v>
      </x:c>
      <x:c r="Z5" s="25" t="n">
        <x:v>21</x:v>
      </x:c>
      <x:c r="AA5" s="25" t="n">
        <x:v>27</x:v>
      </x:c>
      <x:c r="AB5" s="25" t="n">
        <x:v>32</x:v>
      </x:c>
      <x:c r="AC5" s="25" t="n">
        <x:v>37</x:v>
      </x:c>
      <x:c r="AD5" s="48" t="n">
        <x:v>13</x:v>
      </x:c>
      <x:c r="AE5" s="25" t="n">
        <x:v>18</x:v>
      </x:c>
      <x:c r="AF5" s="25" t="n">
        <x:v>25</x:v>
      </x:c>
      <x:c r="AG5" s="25" t="n">
        <x:v>31</x:v>
      </x:c>
      <x:c r="AH5" s="48" t="n">
        <x:v>19</x:v>
      </x:c>
      <x:c r="AI5" s="25" t="n">
        <x:v>23</x:v>
      </x:c>
      <x:c r="AJ5" s="25" t="n">
        <x:v>26</x:v>
      </x:c>
      <x:c r="AK5" s="25" t="n">
        <x:v>29</x:v>
      </x:c>
      <x:c r="AL5" s="25" t="n">
        <x:v>34</x:v>
      </x:c>
      <x:c r="AM5" s="25" t="n">
        <x:v>38</x:v>
      </x:c>
    </x:row>
    <x:row r="6" ht="22" customHeight="1">
      <x:c r="A6" s="17" t="str">
        <x:v>固定</x:v>
      </x:c>
      <x:c r="B6" s="17" t="str">
        <x:v>商品</x:v>
      </x:c>
      <x:c r="C6" s="17" t="str"/>
      <x:c r="D6" s="17"/>
      <x:c r="E6" s="36" t="str">
        <x:v>芦苇草</x:v>
      </x:c>
      <x:c r="F6" s="36" t="str">
        <x:v>棉花</x:v>
      </x:c>
      <x:c r="G6" s="36" t="str">
        <x:v>竹子</x:v>
      </x:c>
      <x:c r="H6" s="36" t="str">
        <x:v>香绒草</x:v>
      </x:c>
      <x:c r="I6" s="36" t="str">
        <x:v>薰衣草</x:v>
      </x:c>
      <x:c r="J6" s="36" t="str">
        <x:v>芍药花</x:v>
      </x:c>
      <x:c r="K6" s="36" t="str">
        <x:v>墨水花</x:v>
      </x:c>
      <x:c r="L6" s="36" t="str">
        <x:v>蜡烛花</x:v>
      </x:c>
      <x:c r="M6" s="36" t="str">
        <x:v>浆果珍珠</x:v>
      </x:c>
      <x:c r="N6" s="49" t="str">
        <x:v>芦苇丝</x:v>
      </x:c>
      <x:c r="O6" s="40" t="str">
        <x:v>棉绒团</x:v>
      </x:c>
      <x:c r="P6" s="40" t="str">
        <x:v>绒香粉</x:v>
      </x:c>
      <x:c r="Q6" s="40" t="str">
        <x:v>云朵香粉</x:v>
      </x:c>
      <x:c r="R6" s="40" t="str">
        <x:v>乌云绒团</x:v>
      </x:c>
      <x:c r="S6" s="69" t="str">
        <x:v>竹条</x:v>
      </x:c>
      <x:c r="T6" s="63" t="str">
        <x:v>薄竹片</x:v>
      </x:c>
      <x:c r="U6" s="63" t="str">
        <x:v>小竹框</x:v>
      </x:c>
      <x:c r="V6" s="63" t="str">
        <x:v>花瓣竹板</x:v>
      </x:c>
      <x:c r="W6" s="63" t="str">
        <x:v>珍珠衣帽架</x:v>
      </x:c>
      <x:c r="X6" s="78" t="str">
        <x:v>竹编小垫</x:v>
      </x:c>
      <x:c r="Y6" s="73" t="str">
        <x:v>软棉布</x:v>
      </x:c>
      <x:c r="Z6" s="73" t="str">
        <x:v>竹帘</x:v>
      </x:c>
      <x:c r="AA6" s="73" t="str">
        <x:v>绒绒灯罩</x:v>
      </x:c>
      <x:c r="AB6" s="73" t="str">
        <x:v>软边小席</x:v>
      </x:c>
      <x:c r="AC6" s="73" t="str">
        <x:v>雨滴篮子</x:v>
      </x:c>
      <x:c r="AD6" s="86" t="str">
        <x:v>薰衣草精油</x:v>
      </x:c>
      <x:c r="AE6" s="81" t="str">
        <x:v>花瓣香水</x:v>
      </x:c>
      <x:c r="AF6" s="81" t="str">
        <x:v>墨汁</x:v>
      </x:c>
      <x:c r="AG6" s="81" t="str">
        <x:v>花蜡</x:v>
      </x:c>
      <x:c r="AH6" s="94" t="str">
        <x:v>竹炭画笔</x:v>
      </x:c>
      <x:c r="AI6" s="89" t="str">
        <x:v>薰衣草香棒</x:v>
      </x:c>
      <x:c r="AJ6" s="89" t="str">
        <x:v>竹制盆景</x:v>
      </x:c>
      <x:c r="AK6" s="89" t="str">
        <x:v>圈圈蚊香</x:v>
      </x:c>
      <x:c r="AL6" s="89" t="str">
        <x:v>薰衣草软垫</x:v>
      </x:c>
      <x:c r="AM6" s="89" t="str">
        <x:v>花瓣小灯</x:v>
      </x:c>
    </x:row>
    <x:row r="7" ht="22" customHeight="1">
      <x:c r="A7" s="17" t="str">
        <x:v>固定</x:v>
      </x:c>
      <x:c r="B7" s="17" t="str">
        <x:v>解锁等级</x:v>
      </x:c>
      <x:c r="C7" s="17" t="str">
        <x:v>级</x:v>
      </x:c>
      <x:c r="D7" s="17"/>
      <x:c r="E7" s="25" t="n">
        <x:v>1</x:v>
      </x:c>
      <x:c r="F7" s="25" t="n">
        <x:v>2</x:v>
      </x:c>
      <x:c r="G7" s="25" t="n">
        <x:v>4</x:v>
      </x:c>
      <x:c r="H7" s="25" t="n">
        <x:v>7</x:v>
      </x:c>
      <x:c r="I7" s="25" t="n">
        <x:v>8</x:v>
      </x:c>
      <x:c r="J7" s="25" t="n">
        <x:v>10</x:v>
      </x:c>
      <x:c r="K7" s="25" t="n">
        <x:v>13</x:v>
      </x:c>
      <x:c r="L7" s="25" t="n">
        <x:v>16</x:v>
      </x:c>
      <x:c r="M7" s="25" t="n">
        <x:v>19</x:v>
      </x:c>
      <x:c r="N7" s="48" t="n">
        <x:v>2</x:v>
      </x:c>
      <x:c r="O7" s="25" t="n">
        <x:v>3</x:v>
      </x:c>
      <x:c r="P7" s="25" t="n">
        <x:v>7</x:v>
      </x:c>
      <x:c r="Q7" s="25" t="n">
        <x:v>13</x:v>
      </x:c>
      <x:c r="R7" s="25" t="n">
        <x:v>18</x:v>
      </x:c>
      <x:c r="S7" s="48" t="n">
        <x:v>4</x:v>
      </x:c>
      <x:c r="T7" s="25" t="n">
        <x:v>5</x:v>
      </x:c>
      <x:c r="U7" s="25" t="n">
        <x:v>11</x:v>
      </x:c>
      <x:c r="V7" s="25" t="n">
        <x:v>15</x:v>
      </x:c>
      <x:c r="W7" s="25" t="n">
        <x:v>19</x:v>
      </x:c>
      <x:c r="X7" s="48" t="n">
        <x:v>6</x:v>
      </x:c>
      <x:c r="Y7" s="25" t="n">
        <x:v>9</x:v>
      </x:c>
      <x:c r="Z7" s="25" t="n">
        <x:v>11</x:v>
      </x:c>
      <x:c r="AA7" s="25" t="n">
        <x:v>15</x:v>
      </x:c>
      <x:c r="AB7" s="25" t="n">
        <x:v>17</x:v>
      </x:c>
      <x:c r="AC7" s="25" t="n">
        <x:v>19</x:v>
      </x:c>
      <x:c r="AD7" s="48" t="n">
        <x:v>8</x:v>
      </x:c>
      <x:c r="AE7" s="25" t="n">
        <x:v>10</x:v>
      </x:c>
      <x:c r="AF7" s="25" t="n">
        <x:v>13</x:v>
      </x:c>
      <x:c r="AG7" s="25" t="n">
        <x:v>16</x:v>
      </x:c>
      <x:c r="AH7" s="48" t="n">
        <x:v>10</x:v>
      </x:c>
      <x:c r="AI7" s="25" t="n">
        <x:v>12</x:v>
      </x:c>
      <x:c r="AJ7" s="25" t="n">
        <x:v>14</x:v>
      </x:c>
      <x:c r="AK7" s="25" t="n">
        <x:v>16</x:v>
      </x:c>
      <x:c r="AL7" s="25" t="n">
        <x:v>18</x:v>
      </x:c>
      <x:c r="AM7" s="25" t="n">
        <x:v>20</x:v>
      </x:c>
    </x:row>
    <x:row r="8" ht="22" customHeight="1">
      <x:c r="A8" s="17" t="str">
        <x:v>固定</x:v>
      </x:c>
      <x:c r="B8" s="17" t="str">
        <x:v>生产建筑</x:v>
      </x:c>
      <x:c r="C8" s="17" t="str"/>
      <x:c r="D8" s="17"/>
      <x:c r="E8" s="25" t="str">
        <x:v>农田</x:v>
      </x:c>
      <x:c r="F8" s="25" t="str">
        <x:v>农田</x:v>
      </x:c>
      <x:c r="G8" s="25" t="str">
        <x:v>农田</x:v>
      </x:c>
      <x:c r="H8" s="25" t="str">
        <x:v>农田</x:v>
      </x:c>
      <x:c r="I8" s="25" t="str">
        <x:v>农田</x:v>
      </x:c>
      <x:c r="J8" s="25" t="str">
        <x:v>农田</x:v>
      </x:c>
      <x:c r="K8" s="25" t="str">
        <x:v>农田</x:v>
      </x:c>
      <x:c r="L8" s="25" t="str">
        <x:v>农田</x:v>
      </x:c>
      <x:c r="M8" s="25" t="str">
        <x:v>农田</x:v>
      </x:c>
      <x:c r="N8" s="48" t="str">
        <x:v>研磨机</x:v>
      </x:c>
      <x:c r="O8" s="25" t="str">
        <x:v>研磨机</x:v>
      </x:c>
      <x:c r="P8" s="25" t="str">
        <x:v>研磨机</x:v>
      </x:c>
      <x:c r="Q8" s="25" t="str">
        <x:v>研磨机</x:v>
      </x:c>
      <x:c r="R8" s="25" t="str">
        <x:v>研磨机</x:v>
      </x:c>
      <x:c r="S8" s="48" t="str">
        <x:v>切割机</x:v>
      </x:c>
      <x:c r="T8" s="25" t="str">
        <x:v>切割机</x:v>
      </x:c>
      <x:c r="U8" s="25" t="str">
        <x:v>切割机</x:v>
      </x:c>
      <x:c r="V8" s="25" t="str">
        <x:v>切割机</x:v>
      </x:c>
      <x:c r="W8" s="25" t="str">
        <x:v>切割机</x:v>
      </x:c>
      <x:c r="X8" s="48" t="str">
        <x:v>纺织机</x:v>
      </x:c>
      <x:c r="Y8" s="25" t="str">
        <x:v>纺织机</x:v>
      </x:c>
      <x:c r="Z8" s="25" t="str">
        <x:v>纺织机</x:v>
      </x:c>
      <x:c r="AA8" s="25" t="str">
        <x:v>纺织机</x:v>
      </x:c>
      <x:c r="AB8" s="25" t="str">
        <x:v>纺织机</x:v>
      </x:c>
      <x:c r="AC8" s="25" t="str">
        <x:v>纺织机</x:v>
      </x:c>
      <x:c r="AD8" s="48" t="str">
        <x:v>萃取机</x:v>
      </x:c>
      <x:c r="AE8" s="25" t="str">
        <x:v>萃取机</x:v>
      </x:c>
      <x:c r="AF8" s="25" t="str">
        <x:v>萃取机</x:v>
      </x:c>
      <x:c r="AG8" s="25" t="str">
        <x:v>萃取机</x:v>
      </x:c>
      <x:c r="AH8" s="48" t="str">
        <x:v>窑炉</x:v>
      </x:c>
      <x:c r="AI8" s="25" t="str">
        <x:v>窑炉</x:v>
      </x:c>
      <x:c r="AJ8" s="25" t="str">
        <x:v>窑炉</x:v>
      </x:c>
      <x:c r="AK8" s="25" t="str">
        <x:v>窑炉</x:v>
      </x:c>
      <x:c r="AL8" s="25" t="str">
        <x:v>窑炉</x:v>
      </x:c>
      <x:c r="AM8" s="25" t="str">
        <x:v>窑炉</x:v>
      </x:c>
    </x:row>
    <x:row r="9" ht="22" customHeight="1">
      <x:c r="A9" s="17" t="str">
        <x:v>输入</x:v>
      </x:c>
      <x:c r="B9" s="17" t="str">
        <x:v>单步时间</x:v>
      </x:c>
      <x:c r="C9" s="17" t="str">
        <x:v>min</x:v>
      </x:c>
      <x:c r="D9" s="17"/>
      <x:c r="E9" s="28" t="n">
        <x:v>2</x:v>
      </x:c>
      <x:c r="F9" s="28" t="n">
        <x:v>5</x:v>
      </x:c>
      <x:c r="G9" s="28" t="n">
        <x:v>10</x:v>
      </x:c>
      <x:c r="H9" s="28" t="n">
        <x:v>15</x:v>
      </x:c>
      <x:c r="I9" s="28" t="n">
        <x:v>20</x:v>
      </x:c>
      <x:c r="J9" s="28" t="n">
        <x:v>30</x:v>
      </x:c>
      <x:c r="K9" s="28" t="n">
        <x:v>60</x:v>
      </x:c>
      <x:c r="L9" s="28" t="n">
        <x:v>90</x:v>
      </x:c>
      <x:c r="M9" s="28" t="n">
        <x:v>120</x:v>
      </x:c>
      <x:c r="N9" s="50" t="n">
        <x:v>5</x:v>
      </x:c>
      <x:c r="O9" s="28" t="n">
        <x:v>10</x:v>
      </x:c>
      <x:c r="P9" s="28" t="n">
        <x:v>20</x:v>
      </x:c>
      <x:c r="Q9" s="28" t="n">
        <x:v>30</x:v>
      </x:c>
      <x:c r="R9" s="28" t="n">
        <x:v>60</x:v>
      </x:c>
      <x:c r="S9" s="50" t="n">
        <x:v>10</x:v>
      </x:c>
      <x:c r="T9" s="28" t="n">
        <x:v>20</x:v>
      </x:c>
      <x:c r="U9" s="28" t="n">
        <x:v>30</x:v>
      </x:c>
      <x:c r="V9" s="28" t="n">
        <x:v>45</x:v>
      </x:c>
      <x:c r="W9" s="28" t="n">
        <x:v>60</x:v>
      </x:c>
      <x:c r="X9" s="50" t="n">
        <x:v>30</x:v>
      </x:c>
      <x:c r="Y9" s="28" t="n">
        <x:v>45</x:v>
      </x:c>
      <x:c r="Z9" s="28" t="n">
        <x:v>60</x:v>
      </x:c>
      <x:c r="AA9" s="28" t="n">
        <x:v>120</x:v>
      </x:c>
      <x:c r="AB9" s="28" t="n">
        <x:v>150</x:v>
      </x:c>
      <x:c r="AC9" s="28" t="n">
        <x:v>180</x:v>
      </x:c>
      <x:c r="AD9" s="50" t="n">
        <x:v>20</x:v>
      </x:c>
      <x:c r="AE9" s="28" t="n">
        <x:v>45</x:v>
      </x:c>
      <x:c r="AF9" s="28" t="n">
        <x:v>60</x:v>
      </x:c>
      <x:c r="AG9" s="28" t="n">
        <x:v>90</x:v>
      </x:c>
      <x:c r="AH9" s="50" t="n">
        <x:v>45</x:v>
      </x:c>
      <x:c r="AI9" s="28" t="n">
        <x:v>60</x:v>
      </x:c>
      <x:c r="AJ9" s="28" t="n">
        <x:v>90</x:v>
      </x:c>
      <x:c r="AK9" s="28" t="n">
        <x:v>120</x:v>
      </x:c>
      <x:c r="AL9" s="28" t="n">
        <x:v>150</x:v>
      </x:c>
      <x:c r="AM9" s="28" t="n">
        <x:v>180</x:v>
      </x:c>
    </x:row>
    <x:row r="10" ht="22" customHeight="1">
      <x:c r="A10" s="17" t="str">
        <x:v>输出</x:v>
      </x:c>
      <x:c r="B10" s="17" t="str">
        <x:v>累计时间</x:v>
      </x:c>
      <x:c r="C10" s="17" t="str">
        <x:v>min</x:v>
      </x:c>
      <x:c r="D10" s="17" t="str">
        <x:v>含种植与自身</x:v>
      </x:c>
      <x:c r="E10" s="29" t="n">
        <x:f>IF($D$3="配方有效",SUMPRODUCT('03_全链计算'!E$7:E$41,'03_全链计算'!$D$7:$D$41),"待修正")</x:f>
        <x:v>2</x:v>
      </x:c>
      <x:c r="F10" s="29" t="n">
        <x:f>IF($D$3="配方有效",SUMPRODUCT('03_全链计算'!F$7:F$41,'03_全链计算'!$D$7:$D$41),"待修正")</x:f>
        <x:v>5</x:v>
      </x:c>
      <x:c r="G10" s="29" t="n">
        <x:f>IF($D$3="配方有效",SUMPRODUCT('03_全链计算'!G$7:G$41,'03_全链计算'!$D$7:$D$41),"待修正")</x:f>
        <x:v>10</x:v>
      </x:c>
      <x:c r="H10" s="29" t="n">
        <x:f>IF($D$3="配方有效",SUMPRODUCT('03_全链计算'!H$7:H$41,'03_全链计算'!$D$7:$D$41),"待修正")</x:f>
        <x:v>15</x:v>
      </x:c>
      <x:c r="I10" s="29" t="n">
        <x:f>IF($D$3="配方有效",SUMPRODUCT('03_全链计算'!I$7:I$41,'03_全链计算'!$D$7:$D$41),"待修正")</x:f>
        <x:v>20</x:v>
      </x:c>
      <x:c r="J10" s="29" t="n">
        <x:f>IF($D$3="配方有效",SUMPRODUCT('03_全链计算'!J$7:J$41,'03_全链计算'!$D$7:$D$41),"待修正")</x:f>
        <x:v>30</x:v>
      </x:c>
      <x:c r="K10" s="29" t="n">
        <x:f>IF($D$3="配方有效",SUMPRODUCT('03_全链计算'!K$7:K$41,'03_全链计算'!$D$7:$D$41),"待修正")</x:f>
        <x:v>60</x:v>
      </x:c>
      <x:c r="L10" s="29" t="n">
        <x:f>IF($D$3="配方有效",SUMPRODUCT('03_全链计算'!L$7:L$41,'03_全链计算'!$D$7:$D$41),"待修正")</x:f>
        <x:v>90</x:v>
      </x:c>
      <x:c r="M10" s="29" t="n">
        <x:f>IF($D$3="配方有效",SUMPRODUCT('03_全链计算'!M$7:M$41,'03_全链计算'!$D$7:$D$41),"待修正")</x:f>
        <x:v>120</x:v>
      </x:c>
      <x:c r="N10" s="51" t="n">
        <x:f>IF($D$3="配方有效",SUMPRODUCT('03_全链计算'!N$7:N$41,'03_全链计算'!$D$7:$D$41),"待修正")</x:f>
        <x:v>9</x:v>
      </x:c>
      <x:c r="O10" s="29" t="n">
        <x:f>IF($D$3="配方有效",SUMPRODUCT('03_全链计算'!O$7:O$41,'03_全链计算'!$D$7:$D$41),"待修正")</x:f>
        <x:v>17</x:v>
      </x:c>
      <x:c r="P10" s="29" t="n">
        <x:f>IF($D$3="配方有效",SUMPRODUCT('03_全链计算'!P$7:P$41,'03_全链计算'!$D$7:$D$41),"待修正")</x:f>
        <x:v>50</x:v>
      </x:c>
      <x:c r="Q10" s="29" t="n">
        <x:f>IF($D$3="配方有效",SUMPRODUCT('03_全链计算'!Q$7:Q$41,'03_全链计算'!$D$7:$D$41),"待修正")</x:f>
        <x:v>70</x:v>
      </x:c>
      <x:c r="R10" s="29" t="n">
        <x:f>IF($D$3="配方有效",SUMPRODUCT('03_全链计算'!R$7:R$41,'03_全链计算'!$D$7:$D$41),"待修正")</x:f>
        <x:v>184</x:v>
      </x:c>
      <x:c r="S10" s="51" t="n">
        <x:f>IF($D$3="配方有效",SUMPRODUCT('03_全链计算'!S$7:S$41,'03_全链计算'!$D$7:$D$41),"待修正")</x:f>
        <x:v>30</x:v>
      </x:c>
      <x:c r="T10" s="29" t="n">
        <x:f>IF($D$3="配方有效",SUMPRODUCT('03_全链计算'!T$7:T$41,'03_全链计算'!$D$7:$D$41),"待修正")</x:f>
        <x:v>50</x:v>
      </x:c>
      <x:c r="U10" s="29" t="n">
        <x:f>IF($D$3="配方有效",SUMPRODUCT('03_全链计算'!U$7:U$41,'03_全链计算'!$D$7:$D$41),"待修正")</x:f>
        <x:v>70</x:v>
      </x:c>
      <x:c r="V10" s="29" t="n">
        <x:f>IF($D$3="配方有效",SUMPRODUCT('03_全链计算'!V$7:V$41,'03_全链计算'!$D$7:$D$41),"待修正")</x:f>
        <x:v>125</x:v>
      </x:c>
      <x:c r="W10" s="29" t="n">
        <x:f>IF($D$3="配方有效",SUMPRODUCT('03_全链计算'!W$7:W$41,'03_全链计算'!$D$7:$D$41),"待修正")</x:f>
        <x:v>310</x:v>
      </x:c>
      <x:c r="X10" s="51" t="n">
        <x:f>IF($D$3="配方有效",SUMPRODUCT('03_全链计算'!X$7:X$41,'03_全链计算'!$D$7:$D$41),"待修正")</x:f>
        <x:v>69</x:v>
      </x:c>
      <x:c r="Y10" s="29" t="n">
        <x:f>IF($D$3="配方有效",SUMPRODUCT('03_全链计算'!Y$7:Y$41,'03_全链计算'!$D$7:$D$41),"待修正")</x:f>
        <x:v>66</x:v>
      </x:c>
      <x:c r="Z10" s="29" t="n">
        <x:f>IF($D$3="配方有效",SUMPRODUCT('03_全链计算'!Z$7:Z$41,'03_全链计算'!$D$7:$D$41),"待修正")</x:f>
        <x:v>120</x:v>
      </x:c>
      <x:c r="AA10" s="29" t="n">
        <x:f>IF($D$3="配方有效",SUMPRODUCT('03_全链计算'!AA$7:AA$41,'03_全链计算'!$D$7:$D$41),"待修正")</x:f>
        <x:v>207</x:v>
      </x:c>
      <x:c r="AB10" s="29" t="n">
        <x:f>IF($D$3="配方有效",SUMPRODUCT('03_全链计算'!AB$7:AB$41,'03_全链计算'!$D$7:$D$41),"待修正")</x:f>
        <x:v>219</x:v>
      </x:c>
      <x:c r="AC10" s="29" t="n">
        <x:f>IF($D$3="配方有效",SUMPRODUCT('03_全链计算'!AC$7:AC$41,'03_全链计算'!$D$7:$D$41),"待修正")</x:f>
        <x:v>551</x:v>
      </x:c>
      <x:c r="AD10" s="51" t="n">
        <x:f>IF($D$3="配方有效",SUMPRODUCT('03_全链计算'!AD$7:AD$41,'03_全链计算'!$D$7:$D$41),"待修正")</x:f>
        <x:v>60</x:v>
      </x:c>
      <x:c r="AE10" s="29" t="n">
        <x:f>IF($D$3="配方有效",SUMPRODUCT('03_全链计算'!AE$7:AE$41,'03_全链计算'!$D$7:$D$41),"待修正")</x:f>
        <x:v>135</x:v>
      </x:c>
      <x:c r="AF10" s="29" t="n">
        <x:f>IF($D$3="配方有效",SUMPRODUCT('03_全链计算'!AF$7:AF$41,'03_全链计算'!$D$7:$D$41),"待修正")</x:f>
        <x:v>240</x:v>
      </x:c>
      <x:c r="AG10" s="29" t="n">
        <x:f>IF($D$3="配方有效",SUMPRODUCT('03_全链计算'!AG$7:AG$41,'03_全链计算'!$D$7:$D$41),"待修正")</x:f>
        <x:v>360</x:v>
      </x:c>
      <x:c r="AH10" s="51" t="n">
        <x:f>IF($D$3="配方有效",SUMPRODUCT('03_全链计算'!AH$7:AH$41,'03_全链计算'!$D$7:$D$41),"待修正")</x:f>
        <x:v>125</x:v>
      </x:c>
      <x:c r="AI10" s="29" t="n">
        <x:f>IF($D$3="配方有效",SUMPRODUCT('03_全链计算'!AI$7:AI$41,'03_全链计算'!$D$7:$D$41),"待修正")</x:f>
        <x:v>170</x:v>
      </x:c>
      <x:c r="AJ10" s="29" t="n">
        <x:f>IF($D$3="配方有效",SUMPRODUCT('03_全链计算'!AJ$7:AJ$41,'03_全链计算'!$D$7:$D$41),"待修正")</x:f>
        <x:v>295</x:v>
      </x:c>
      <x:c r="AK10" s="29" t="n">
        <x:f>IF($D$3="配方有效",SUMPRODUCT('03_全链计算'!AK$7:AK$41,'03_全链计算'!$D$7:$D$41),"待修正")</x:f>
        <x:v>460</x:v>
      </x:c>
      <x:c r="AL10" s="29" t="n">
        <x:f>IF($D$3="配方有效",SUMPRODUCT('03_全链计算'!AL$7:AL$41,'03_全链计算'!$D$7:$D$41),"待修正")</x:f>
        <x:v>309</x:v>
      </x:c>
      <x:c r="AM10" s="29" t="n">
        <x:f>IF($D$3="配方有效",SUMPRODUCT('03_全链计算'!AM$7:AM$41,'03_全链计算'!$D$7:$D$41),"待修正")</x:f>
        <x:v>692</x:v>
      </x:c>
    </x:row>
    <x:row r="11" ht="22" customHeight="1">
      <x:c r="A11" s="17" t="str">
        <x:v>输出</x:v>
      </x:c>
      <x:c r="B11" s="17" t="str">
        <x:v>优化时间</x:v>
      </x:c>
      <x:c r="C11" s="17" t="str">
        <x:v>min</x:v>
      </x:c>
      <x:c r="D11" s="17"/>
      <x:c r="E11" s="29" t="n">
        <x:f>IF('02_优化排程'!G5="最新",'02_优化排程'!F5,'02_优化排程'!G5)</x:f>
        <x:v>2</x:v>
      </x:c>
      <x:c r="F11" s="29" t="n">
        <x:f>IF('02_优化排程'!G6="最新",'02_优化排程'!F6,'02_优化排程'!G6)</x:f>
        <x:v>5</x:v>
      </x:c>
      <x:c r="G11" s="29" t="n">
        <x:f>IF('02_优化排程'!G7="最新",'02_优化排程'!F7,'02_优化排程'!G7)</x:f>
        <x:v>10</x:v>
      </x:c>
      <x:c r="H11" s="29" t="n">
        <x:f>IF('02_优化排程'!G8="最新",'02_优化排程'!F8,'02_优化排程'!G8)</x:f>
        <x:v>15</x:v>
      </x:c>
      <x:c r="I11" s="29" t="n">
        <x:f>IF('02_优化排程'!G9="最新",'02_优化排程'!F9,'02_优化排程'!G9)</x:f>
        <x:v>20</x:v>
      </x:c>
      <x:c r="J11" s="29" t="n">
        <x:f>IF('02_优化排程'!G10="最新",'02_优化排程'!F10,'02_优化排程'!G10)</x:f>
        <x:v>30</x:v>
      </x:c>
      <x:c r="K11" s="29" t="n">
        <x:f>IF('02_优化排程'!G11="最新",'02_优化排程'!F11,'02_优化排程'!G11)</x:f>
        <x:v>60</x:v>
      </x:c>
      <x:c r="L11" s="29" t="n">
        <x:f>IF('02_优化排程'!G12="最新",'02_优化排程'!F12,'02_优化排程'!G12)</x:f>
        <x:v>90</x:v>
      </x:c>
      <x:c r="M11" s="29" t="n">
        <x:f>IF('02_优化排程'!G13="最新",'02_优化排程'!F13,'02_优化排程'!G13)</x:f>
        <x:v>120</x:v>
      </x:c>
      <x:c r="N11" s="51" t="n">
        <x:f>IF('02_优化排程'!G14="最新",'02_优化排程'!F14,'02_优化排程'!G14)</x:f>
        <x:v>7</x:v>
      </x:c>
      <x:c r="O11" s="29" t="n">
        <x:f>IF('02_优化排程'!G15="最新",'02_优化排程'!F15,'02_优化排程'!G15)</x:f>
        <x:v>15</x:v>
      </x:c>
      <x:c r="P11" s="29" t="n">
        <x:f>IF('02_优化排程'!G16="最新",'02_优化排程'!F16,'02_优化排程'!G16)</x:f>
        <x:v>35</x:v>
      </x:c>
      <x:c r="Q11" s="29" t="n">
        <x:f>IF('02_优化排程'!G17="最新",'02_优化排程'!F17,'02_优化排程'!G17)</x:f>
        <x:v>45</x:v>
      </x:c>
      <x:c r="R11" s="29" t="n">
        <x:f>IF('02_优化排程'!G18="最新",'02_优化排程'!F18,'02_优化排程'!G18)</x:f>
        <x:v>120</x:v>
      </x:c>
      <x:c r="S11" s="51" t="n">
        <x:f>IF('02_优化排程'!G19="最新",'02_优化排程'!F19,'02_优化排程'!G19)</x:f>
        <x:v>20</x:v>
      </x:c>
      <x:c r="T11" s="29" t="n">
        <x:f>IF('02_优化排程'!G20="最新",'02_优化排程'!F20,'02_优化排程'!G20)</x:f>
        <x:v>30</x:v>
      </x:c>
      <x:c r="U11" s="29" t="n">
        <x:f>IF('02_优化排程'!G21="最新",'02_优化排程'!F21,'02_优化排程'!G21)</x:f>
        <x:v>40</x:v>
      </x:c>
      <x:c r="V11" s="29" t="n">
        <x:f>IF('02_优化排程'!G22="最新",'02_优化排程'!F22,'02_优化排程'!G22)</x:f>
        <x:v>75</x:v>
      </x:c>
      <x:c r="W11" s="29" t="n">
        <x:f>IF('02_优化排程'!G23="最新",'02_优化排程'!F23,'02_优化排程'!G23)</x:f>
        <x:v>180</x:v>
      </x:c>
      <x:c r="X11" s="51" t="n">
        <x:f>IF('02_优化排程'!G24="最新",'02_优化排程'!F24,'02_优化排程'!G24)</x:f>
        <x:v>50</x:v>
      </x:c>
      <x:c r="Y11" s="29" t="n">
        <x:f>IF('02_优化排程'!G25="最新",'02_优化排程'!F25,'02_优化排程'!G25)</x:f>
        <x:v>60</x:v>
      </x:c>
      <x:c r="Z11" s="29" t="n">
        <x:f>IF('02_优化排程'!G26="最新",'02_优化排程'!F26,'02_优化排程'!G26)</x:f>
        <x:v>90</x:v>
      </x:c>
      <x:c r="AA11" s="29" t="n">
        <x:f>IF('02_优化排程'!G27="最新",'02_优化排程'!F27,'02_优化排程'!G27)</x:f>
        <x:v>160</x:v>
      </x:c>
      <x:c r="AB11" s="29" t="n">
        <x:f>IF('02_优化排程'!G28="最新",'02_优化排程'!F28,'02_优化排程'!G28)</x:f>
        <x:v>180</x:v>
      </x:c>
      <x:c r="AC11" s="29" t="n">
        <x:f>IF('02_优化排程'!G29="最新",'02_优化排程'!F29,'02_优化排程'!G29)</x:f>
        <x:v>360</x:v>
      </x:c>
      <x:c r="AD11" s="51" t="n">
        <x:f>IF('02_优化排程'!G30="最新",'02_优化排程'!F30,'02_优化排程'!G30)</x:f>
        <x:v>40</x:v>
      </x:c>
      <x:c r="AE11" s="29" t="n">
        <x:f>IF('02_优化排程'!G31="最新",'02_优化排程'!F31,'02_优化排程'!G31)</x:f>
        <x:v>75</x:v>
      </x:c>
      <x:c r="AF11" s="29" t="n">
        <x:f>IF('02_优化排程'!G32="最新",'02_优化排程'!F32,'02_优化排程'!G32)</x:f>
        <x:v>120</x:v>
      </x:c>
      <x:c r="AG11" s="29" t="n">
        <x:f>IF('02_优化排程'!G33="最新",'02_优化排程'!F33,'02_优化排程'!G33)</x:f>
        <x:v>180</x:v>
      </x:c>
      <x:c r="AH11" s="51" t="n">
        <x:f>IF('02_优化排程'!G34="最新",'02_优化排程'!F34,'02_优化排程'!G34)</x:f>
        <x:v>80</x:v>
      </x:c>
      <x:c r="AI11" s="29" t="n">
        <x:f>IF('02_优化排程'!G35="最新",'02_优化排程'!F35,'02_优化排程'!G35)</x:f>
        <x:v>100</x:v>
      </x:c>
      <x:c r="AJ11" s="29" t="n">
        <x:f>IF('02_优化排程'!G36="最新",'02_优化排程'!F36,'02_优化排程'!G36)</x:f>
        <x:v>165</x:v>
      </x:c>
      <x:c r="AK11" s="29" t="n">
        <x:f>IF('02_优化排程'!G37="最新",'02_优化排程'!F37,'02_优化排程'!G37)</x:f>
        <x:v>240</x:v>
      </x:c>
      <x:c r="AL11" s="29" t="n">
        <x:f>IF('02_优化排程'!G38="最新",'02_优化排程'!F38,'02_优化排程'!G38)</x:f>
        <x:v>200</x:v>
      </x:c>
      <x:c r="AM11" s="29" t="n">
        <x:f>IF('02_优化排程'!G39="最新",'02_优化排程'!F39,'02_优化排程'!G39)</x:f>
        <x:v>340</x:v>
      </x:c>
    </x:row>
    <x:row r="12" ht="22" customHeight="1">
      <x:c r="A12" s="17" t="str">
        <x:v>输出</x:v>
      </x:c>
      <x:c r="B12" s="17" t="str">
        <x:v>空仓等待时间</x:v>
      </x:c>
      <x:c r="C12" s="17" t="str">
        <x:v>min</x:v>
      </x:c>
      <x:c r="D12" s="17" t="str">
        <x:v>优化－本步</x:v>
      </x:c>
      <x:c r="E12" s="29" t="n">
        <x:f>IF(ISNUMBER(E11),E11-E9,E11)</x:f>
        <x:v>0</x:v>
      </x:c>
      <x:c r="F12" s="29" t="n">
        <x:f>IF(ISNUMBER(F11),F11-F9,F11)</x:f>
        <x:v>0</x:v>
      </x:c>
      <x:c r="G12" s="29" t="n">
        <x:f>IF(ISNUMBER(G11),G11-G9,G11)</x:f>
        <x:v>0</x:v>
      </x:c>
      <x:c r="H12" s="29" t="n">
        <x:f>IF(ISNUMBER(H11),H11-H9,H11)</x:f>
        <x:v>0</x:v>
      </x:c>
      <x:c r="I12" s="29" t="n">
        <x:f>IF(ISNUMBER(I11),I11-I9,I11)</x:f>
        <x:v>0</x:v>
      </x:c>
      <x:c r="J12" s="29" t="n">
        <x:f>IF(ISNUMBER(J11),J11-J9,J11)</x:f>
        <x:v>0</x:v>
      </x:c>
      <x:c r="K12" s="29" t="n">
        <x:f>IF(ISNUMBER(K11),K11-K9,K11)</x:f>
        <x:v>0</x:v>
      </x:c>
      <x:c r="L12" s="29" t="n">
        <x:f>IF(ISNUMBER(L11),L11-L9,L11)</x:f>
        <x:v>0</x:v>
      </x:c>
      <x:c r="M12" s="29" t="n">
        <x:f>IF(ISNUMBER(M11),M11-M9,M11)</x:f>
        <x:v>0</x:v>
      </x:c>
      <x:c r="N12" s="51" t="n">
        <x:f>IF(ISNUMBER(N11),N11-N9,N11)</x:f>
        <x:v>2</x:v>
      </x:c>
      <x:c r="O12" s="29" t="n">
        <x:f>IF(ISNUMBER(O11),O11-O9,O11)</x:f>
        <x:v>5</x:v>
      </x:c>
      <x:c r="P12" s="29" t="n">
        <x:f>IF(ISNUMBER(P11),P11-P9,P11)</x:f>
        <x:v>15</x:v>
      </x:c>
      <x:c r="Q12" s="29" t="n">
        <x:f>IF(ISNUMBER(Q11),Q11-Q9,Q11)</x:f>
        <x:v>15</x:v>
      </x:c>
      <x:c r="R12" s="29" t="n">
        <x:f>IF(ISNUMBER(R11),R11-R9,R11)</x:f>
        <x:v>60</x:v>
      </x:c>
      <x:c r="S12" s="51" t="n">
        <x:f>IF(ISNUMBER(S11),S11-S9,S11)</x:f>
        <x:v>10</x:v>
      </x:c>
      <x:c r="T12" s="29" t="n">
        <x:f>IF(ISNUMBER(T11),T11-T9,T11)</x:f>
        <x:v>10</x:v>
      </x:c>
      <x:c r="U12" s="29" t="n">
        <x:f>IF(ISNUMBER(U11),U11-U9,U11)</x:f>
        <x:v>10</x:v>
      </x:c>
      <x:c r="V12" s="29" t="n">
        <x:f>IF(ISNUMBER(V11),V11-V9,V11)</x:f>
        <x:v>30</x:v>
      </x:c>
      <x:c r="W12" s="29" t="n">
        <x:f>IF(ISNUMBER(W11),W11-W9,W11)</x:f>
        <x:v>120</x:v>
      </x:c>
      <x:c r="X12" s="51" t="n">
        <x:f>IF(ISNUMBER(X11),X11-X9,X11)</x:f>
        <x:v>20</x:v>
      </x:c>
      <x:c r="Y12" s="29" t="n">
        <x:f>IF(ISNUMBER(Y11),Y11-Y9,Y11)</x:f>
        <x:v>15</x:v>
      </x:c>
      <x:c r="Z12" s="29" t="n">
        <x:f>IF(ISNUMBER(Z11),Z11-Z9,Z11)</x:f>
        <x:v>30</x:v>
      </x:c>
      <x:c r="AA12" s="29" t="n">
        <x:f>IF(ISNUMBER(AA11),AA11-AA9,AA11)</x:f>
        <x:v>40</x:v>
      </x:c>
      <x:c r="AB12" s="29" t="n">
        <x:f>IF(ISNUMBER(AB11),AB11-AB9,AB11)</x:f>
        <x:v>30</x:v>
      </x:c>
      <x:c r="AC12" s="29" t="n">
        <x:f>IF(ISNUMBER(AC11),AC11-AC9,AC11)</x:f>
        <x:v>180</x:v>
      </x:c>
      <x:c r="AD12" s="51" t="n">
        <x:f>IF(ISNUMBER(AD11),AD11-AD9,AD11)</x:f>
        <x:v>20</x:v>
      </x:c>
      <x:c r="AE12" s="29" t="n">
        <x:f>IF(ISNUMBER(AE11),AE11-AE9,AE11)</x:f>
        <x:v>30</x:v>
      </x:c>
      <x:c r="AF12" s="29" t="n">
        <x:f>IF(ISNUMBER(AF11),AF11-AF9,AF11)</x:f>
        <x:v>60</x:v>
      </x:c>
      <x:c r="AG12" s="29" t="n">
        <x:f>IF(ISNUMBER(AG11),AG11-AG9,AG11)</x:f>
        <x:v>90</x:v>
      </x:c>
      <x:c r="AH12" s="51" t="n">
        <x:f>IF(ISNUMBER(AH11),AH11-AH9,AH11)</x:f>
        <x:v>35</x:v>
      </x:c>
      <x:c r="AI12" s="29" t="n">
        <x:f>IF(ISNUMBER(AI11),AI11-AI9,AI11)</x:f>
        <x:v>40</x:v>
      </x:c>
      <x:c r="AJ12" s="29" t="n">
        <x:f>IF(ISNUMBER(AJ11),AJ11-AJ9,AJ11)</x:f>
        <x:v>75</x:v>
      </x:c>
      <x:c r="AK12" s="29" t="n">
        <x:f>IF(ISNUMBER(AK11),AK11-AK9,AK11)</x:f>
        <x:v>120</x:v>
      </x:c>
      <x:c r="AL12" s="29" t="n">
        <x:f>IF(ISNUMBER(AL11),AL11-AL9,AL11)</x:f>
        <x:v>50</x:v>
      </x:c>
      <x:c r="AM12" s="29" t="n">
        <x:f>IF(ISNUMBER(AM11),AM11-AM9,AM11)</x:f>
        <x:v>160</x:v>
      </x:c>
    </x:row>
    <x:row r="13" ht="22" customHeight="1">
      <x:c r="A13" s="17" t="str">
        <x:v>输出</x:v>
      </x:c>
      <x:c r="B13" s="17" t="str">
        <x:v>加工链深度</x:v>
      </x:c>
      <x:c r="C13" s="17" t="str">
        <x:v>层</x:v>
      </x:c>
      <x:c r="D13" s="17"/>
      <x:c r="E13" s="30" t="n">
        <x:f>IF($D$3="配方有效",'03_全链计算'!E80,"待修正")</x:f>
        <x:v>0</x:v>
      </x:c>
      <x:c r="F13" s="30" t="n">
        <x:f>IF($D$3="配方有效",'03_全链计算'!F80,"待修正")</x:f>
        <x:v>0</x:v>
      </x:c>
      <x:c r="G13" s="30" t="n">
        <x:f>IF($D$3="配方有效",'03_全链计算'!G80,"待修正")</x:f>
        <x:v>0</x:v>
      </x:c>
      <x:c r="H13" s="30" t="n">
        <x:f>IF($D$3="配方有效",'03_全链计算'!H80,"待修正")</x:f>
        <x:v>0</x:v>
      </x:c>
      <x:c r="I13" s="30" t="n">
        <x:f>IF($D$3="配方有效",'03_全链计算'!I80,"待修正")</x:f>
        <x:v>0</x:v>
      </x:c>
      <x:c r="J13" s="30" t="n">
        <x:f>IF($D$3="配方有效",'03_全链计算'!J80,"待修正")</x:f>
        <x:v>0</x:v>
      </x:c>
      <x:c r="K13" s="30" t="n">
        <x:f>IF($D$3="配方有效",'03_全链计算'!K80,"待修正")</x:f>
        <x:v>0</x:v>
      </x:c>
      <x:c r="L13" s="30" t="n">
        <x:f>IF($D$3="配方有效",'03_全链计算'!L80,"待修正")</x:f>
        <x:v>0</x:v>
      </x:c>
      <x:c r="M13" s="30" t="n">
        <x:f>IF($D$3="配方有效",'03_全链计算'!M80,"待修正")</x:f>
        <x:v>0</x:v>
      </x:c>
      <x:c r="N13" s="52" t="n">
        <x:f>IF($D$3="配方有效",'03_全链计算'!N80,"待修正")</x:f>
        <x:v>1</x:v>
      </x:c>
      <x:c r="O13" s="30" t="n">
        <x:f>IF($D$3="配方有效",'03_全链计算'!O80,"待修正")</x:f>
        <x:v>1</x:v>
      </x:c>
      <x:c r="P13" s="30" t="n">
        <x:f>IF($D$3="配方有效",'03_全链计算'!P80,"待修正")</x:f>
        <x:v>1</x:v>
      </x:c>
      <x:c r="Q13" s="30" t="n">
        <x:f>IF($D$3="配方有效",'03_全链计算'!Q80,"待修正")</x:f>
        <x:v>1</x:v>
      </x:c>
      <x:c r="R13" s="30" t="n">
        <x:f>IF($D$3="配方有效",'03_全链计算'!R80,"待修正")</x:f>
        <x:v>1</x:v>
      </x:c>
      <x:c r="S13" s="52" t="n">
        <x:f>IF($D$3="配方有效",'03_全链计算'!S80,"待修正")</x:f>
        <x:v>1</x:v>
      </x:c>
      <x:c r="T13" s="30" t="n">
        <x:f>IF($D$3="配方有效",'03_全链计算'!T80,"待修正")</x:f>
        <x:v>1</x:v>
      </x:c>
      <x:c r="U13" s="30" t="n">
        <x:f>IF($D$3="配方有效",'03_全链计算'!U80,"待修正")</x:f>
        <x:v>1</x:v>
      </x:c>
      <x:c r="V13" s="30" t="n">
        <x:f>IF($D$3="配方有效",'03_全链计算'!V80,"待修正")</x:f>
        <x:v>1</x:v>
      </x:c>
      <x:c r="W13" s="30" t="n">
        <x:f>IF($D$3="配方有效",'03_全链计算'!W80,"待修正")</x:f>
        <x:v>1</x:v>
      </x:c>
      <x:c r="X13" s="52" t="n">
        <x:f>IF($D$3="配方有效",'03_全链计算'!X80,"待修正")</x:f>
        <x:v>2</x:v>
      </x:c>
      <x:c r="Y13" s="30" t="n">
        <x:f>IF($D$3="配方有效",'03_全链计算'!Y80,"待修正")</x:f>
        <x:v>2</x:v>
      </x:c>
      <x:c r="Z13" s="30" t="n">
        <x:f>IF($D$3="配方有效",'03_全链计算'!Z80,"待修正")</x:f>
        <x:v>2</x:v>
      </x:c>
      <x:c r="AA13" s="30" t="n">
        <x:f>IF($D$3="配方有效",'03_全链计算'!AA80,"待修正")</x:f>
        <x:v>2</x:v>
      </x:c>
      <x:c r="AB13" s="30" t="n">
        <x:f>IF($D$3="配方有效",'03_全链计算'!AB80,"待修正")</x:f>
        <x:v>2</x:v>
      </x:c>
      <x:c r="AC13" s="30" t="n">
        <x:f>IF($D$3="配方有效",'03_全链计算'!AC80,"待修正")</x:f>
        <x:v>2</x:v>
      </x:c>
      <x:c r="AD13" s="52" t="n">
        <x:f>IF($D$3="配方有效",'03_全链计算'!AD80,"待修正")</x:f>
        <x:v>1</x:v>
      </x:c>
      <x:c r="AE13" s="30" t="n">
        <x:f>IF($D$3="配方有效",'03_全链计算'!AE80,"待修正")</x:f>
        <x:v>1</x:v>
      </x:c>
      <x:c r="AF13" s="30" t="n">
        <x:f>IF($D$3="配方有效",'03_全链计算'!AF80,"待修正")</x:f>
        <x:v>1</x:v>
      </x:c>
      <x:c r="AG13" s="30" t="n">
        <x:f>IF($D$3="配方有效",'03_全链计算'!AG80,"待修正")</x:f>
        <x:v>1</x:v>
      </x:c>
      <x:c r="AH13" s="52" t="n">
        <x:f>IF($D$3="配方有效",'03_全链计算'!AH80,"待修正")</x:f>
        <x:v>2</x:v>
      </x:c>
      <x:c r="AI13" s="30" t="n">
        <x:f>IF($D$3="配方有效",'03_全链计算'!AI80,"待修正")</x:f>
        <x:v>2</x:v>
      </x:c>
      <x:c r="AJ13" s="30" t="n">
        <x:f>IF($D$3="配方有效",'03_全链计算'!AJ80,"待修正")</x:f>
        <x:v>2</x:v>
      </x:c>
      <x:c r="AK13" s="30" t="n">
        <x:f>IF($D$3="配方有效",'03_全链计算'!AK80,"待修正")</x:f>
        <x:v>2</x:v>
      </x:c>
      <x:c r="AL13" s="30" t="n">
        <x:f>IF($D$3="配方有效",'03_全链计算'!AL80,"待修正")</x:f>
        <x:v>3</x:v>
      </x:c>
      <x:c r="AM13" s="30" t="n">
        <x:f>IF($D$3="配方有效",'03_全链计算'!AM80,"待修正")</x:f>
        <x:v>3</x:v>
      </x:c>
    </x:row>
    <x:row r="14" ht="22" customHeight="1">
      <x:c r="A14" s="17" t="str">
        <x:v>输出</x:v>
      </x:c>
      <x:c r="B14" s="17" t="str">
        <x:v>单步复杂度</x:v>
      </x:c>
      <x:c r="C14" s="17" t="str">
        <x:v>种</x:v>
      </x:c>
      <x:c r="D14" s="17" t="str">
        <x:v>直接原料</x:v>
      </x:c>
      <x:c r="E14" s="30" t="n">
        <x:f>IF($D$3="配方有效",COUNTIF(E18:E52,"&lt;0"),"待修正")</x:f>
        <x:v>0</x:v>
      </x:c>
      <x:c r="F14" s="30" t="n">
        <x:f>IF($D$3="配方有效",COUNTIF(F18:F52,"&lt;0"),"待修正")</x:f>
        <x:v>0</x:v>
      </x:c>
      <x:c r="G14" s="30" t="n">
        <x:f>IF($D$3="配方有效",COUNTIF(G18:G52,"&lt;0"),"待修正")</x:f>
        <x:v>0</x:v>
      </x:c>
      <x:c r="H14" s="30" t="n">
        <x:f>IF($D$3="配方有效",COUNTIF(H18:H52,"&lt;0"),"待修正")</x:f>
        <x:v>0</x:v>
      </x:c>
      <x:c r="I14" s="30" t="n">
        <x:f>IF($D$3="配方有效",COUNTIF(I18:I52,"&lt;0"),"待修正")</x:f>
        <x:v>0</x:v>
      </x:c>
      <x:c r="J14" s="30" t="n">
        <x:f>IF($D$3="配方有效",COUNTIF(J18:J52,"&lt;0"),"待修正")</x:f>
        <x:v>0</x:v>
      </x:c>
      <x:c r="K14" s="30" t="n">
        <x:f>IF($D$3="配方有效",COUNTIF(K18:K52,"&lt;0"),"待修正")</x:f>
        <x:v>0</x:v>
      </x:c>
      <x:c r="L14" s="30" t="n">
        <x:f>IF($D$3="配方有效",COUNTIF(L18:L52,"&lt;0"),"待修正")</x:f>
        <x:v>0</x:v>
      </x:c>
      <x:c r="M14" s="30" t="n">
        <x:f>IF($D$3="配方有效",COUNTIF(M18:M52,"&lt;0"),"待修正")</x:f>
        <x:v>0</x:v>
      </x:c>
      <x:c r="N14" s="52" t="n">
        <x:f>IF($D$3="配方有效",COUNTIF(N18:N52,"&lt;0"),"待修正")</x:f>
        <x:v>1</x:v>
      </x:c>
      <x:c r="O14" s="30" t="n">
        <x:f>IF($D$3="配方有效",COUNTIF(O18:O52,"&lt;0"),"待修正")</x:f>
        <x:v>2</x:v>
      </x:c>
      <x:c r="P14" s="30" t="n">
        <x:f>IF($D$3="配方有效",COUNTIF(P18:P52,"&lt;0"),"待修正")</x:f>
        <x:v>1</x:v>
      </x:c>
      <x:c r="Q14" s="30" t="n">
        <x:f>IF($D$3="配方有效",COUNTIF(Q18:Q52,"&lt;0"),"待修正")</x:f>
        <x:v>2</x:v>
      </x:c>
      <x:c r="R14" s="30" t="n">
        <x:f>IF($D$3="配方有效",COUNTIF(R18:R52,"&lt;0"),"待修正")</x:f>
        <x:v>2</x:v>
      </x:c>
      <x:c r="S14" s="52" t="n">
        <x:f>IF($D$3="配方有效",COUNTIF(S18:S52,"&lt;0"),"待修正")</x:f>
        <x:v>1</x:v>
      </x:c>
      <x:c r="T14" s="30" t="n">
        <x:f>IF($D$3="配方有效",COUNTIF(T18:T52,"&lt;0"),"待修正")</x:f>
        <x:v>1</x:v>
      </x:c>
      <x:c r="U14" s="30" t="n">
        <x:f>IF($D$3="配方有效",COUNTIF(U18:U52,"&lt;0"),"待修正")</x:f>
        <x:v>1</x:v>
      </x:c>
      <x:c r="V14" s="30" t="n">
        <x:f>IF($D$3="配方有效",COUNTIF(V18:V52,"&lt;0"),"待修正")</x:f>
        <x:v>2</x:v>
      </x:c>
      <x:c r="W14" s="30" t="n">
        <x:f>IF($D$3="配方有效",COUNTIF(W18:W52,"&lt;0"),"待修正")</x:f>
        <x:v>2</x:v>
      </x:c>
      <x:c r="X14" s="52" t="n">
        <x:f>IF($D$3="配方有效",COUNTIF(X18:X52,"&lt;0"),"待修正")</x:f>
        <x:v>2</x:v>
      </x:c>
      <x:c r="Y14" s="30" t="n">
        <x:f>IF($D$3="配方有效",COUNTIF(Y18:Y52,"&lt;0"),"待修正")</x:f>
        <x:v>2</x:v>
      </x:c>
      <x:c r="Z14" s="30" t="n">
        <x:f>IF($D$3="配方有效",COUNTIF(Z18:Z52,"&lt;0"),"待修正")</x:f>
        <x:v>2</x:v>
      </x:c>
      <x:c r="AA14" s="30" t="n">
        <x:f>IF($D$3="配方有效",COUNTIF(AA18:AA52,"&lt;0"),"待修正")</x:f>
        <x:v>2</x:v>
      </x:c>
      <x:c r="AB14" s="30" t="n">
        <x:f>IF($D$3="配方有效",COUNTIF(AB18:AB52,"&lt;0"),"待修正")</x:f>
        <x:v>3</x:v>
      </x:c>
      <x:c r="AC14" s="30" t="n">
        <x:f>IF($D$3="配方有效",COUNTIF(AC18:AC52,"&lt;0"),"待修正")</x:f>
        <x:v>3</x:v>
      </x:c>
      <x:c r="AD14" s="52" t="n">
        <x:f>IF($D$3="配方有效",COUNTIF(AD18:AD52,"&lt;0"),"待修正")</x:f>
        <x:v>1</x:v>
      </x:c>
      <x:c r="AE14" s="30" t="n">
        <x:f>IF($D$3="配方有效",COUNTIF(AE18:AE52,"&lt;0"),"待修正")</x:f>
        <x:v>1</x:v>
      </x:c>
      <x:c r="AF14" s="30" t="n">
        <x:f>IF($D$3="配方有效",COUNTIF(AF18:AF52,"&lt;0"),"待修正")</x:f>
        <x:v>1</x:v>
      </x:c>
      <x:c r="AG14" s="30" t="n">
        <x:f>IF($D$3="配方有效",COUNTIF(AG18:AG52,"&lt;0"),"待修正")</x:f>
        <x:v>1</x:v>
      </x:c>
      <x:c r="AH14" s="52" t="n">
        <x:f>IF($D$3="配方有效",COUNTIF(AH18:AH52,"&lt;0"),"待修正")</x:f>
        <x:v>2</x:v>
      </x:c>
      <x:c r="AI14" s="30" t="n">
        <x:f>IF($D$3="配方有效",COUNTIF(AI18:AI52,"&lt;0"),"待修正")</x:f>
        <x:v>2</x:v>
      </x:c>
      <x:c r="AJ14" s="30" t="n">
        <x:f>IF($D$3="配方有效",COUNTIF(AJ18:AJ52,"&lt;0"),"待修正")</x:f>
        <x:v>3</x:v>
      </x:c>
      <x:c r="AK14" s="30" t="n">
        <x:f>IF($D$3="配方有效",COUNTIF(AK18:AK52,"&lt;0"),"待修正")</x:f>
        <x:v>3</x:v>
      </x:c>
      <x:c r="AL14" s="30" t="n">
        <x:f>IF($D$3="配方有效",COUNTIF(AL18:AL52,"&lt;0"),"待修正")</x:f>
        <x:v>3</x:v>
      </x:c>
      <x:c r="AM14" s="30" t="n">
        <x:f>IF($D$3="配方有效",COUNTIF(AM18:AM52,"&lt;0"),"待修正")</x:f>
        <x:v>3</x:v>
      </x:c>
    </x:row>
    <x:row r="15" ht="22" customHeight="1">
      <x:c r="A15" s="17" t="str">
        <x:v>输出</x:v>
      </x:c>
      <x:c r="B15" s="17" t="str">
        <x:v>累计复杂度</x:v>
      </x:c>
      <x:c r="C15" s="17" t="str">
        <x:v>种</x:v>
      </x:c>
      <x:c r="D15" s="17" t="str">
        <x:v>全链去重含自身</x:v>
      </x:c>
      <x:c r="E15" s="30" t="n">
        <x:f>IF($D$3="配方有效",COUNTIF('03_全链计算'!E$7:E$41,"&gt;0"),"待修正")</x:f>
        <x:v>1</x:v>
      </x:c>
      <x:c r="F15" s="30" t="n">
        <x:f>IF($D$3="配方有效",COUNTIF('03_全链计算'!F$7:F$41,"&gt;0"),"待修正")</x:f>
        <x:v>1</x:v>
      </x:c>
      <x:c r="G15" s="30" t="n">
        <x:f>IF($D$3="配方有效",COUNTIF('03_全链计算'!G$7:G$41,"&gt;0"),"待修正")</x:f>
        <x:v>1</x:v>
      </x:c>
      <x:c r="H15" s="30" t="n">
        <x:f>IF($D$3="配方有效",COUNTIF('03_全链计算'!H$7:H$41,"&gt;0"),"待修正")</x:f>
        <x:v>1</x:v>
      </x:c>
      <x:c r="I15" s="30" t="n">
        <x:f>IF($D$3="配方有效",COUNTIF('03_全链计算'!I$7:I$41,"&gt;0"),"待修正")</x:f>
        <x:v>1</x:v>
      </x:c>
      <x:c r="J15" s="30" t="n">
        <x:f>IF($D$3="配方有效",COUNTIF('03_全链计算'!J$7:J$41,"&gt;0"),"待修正")</x:f>
        <x:v>1</x:v>
      </x:c>
      <x:c r="K15" s="30" t="n">
        <x:f>IF($D$3="配方有效",COUNTIF('03_全链计算'!K$7:K$41,"&gt;0"),"待修正")</x:f>
        <x:v>1</x:v>
      </x:c>
      <x:c r="L15" s="30" t="n">
        <x:f>IF($D$3="配方有效",COUNTIF('03_全链计算'!L$7:L$41,"&gt;0"),"待修正")</x:f>
        <x:v>1</x:v>
      </x:c>
      <x:c r="M15" s="30" t="n">
        <x:f>IF($D$3="配方有效",COUNTIF('03_全链计算'!M$7:M$41,"&gt;0"),"待修正")</x:f>
        <x:v>1</x:v>
      </x:c>
      <x:c r="N15" s="52" t="n">
        <x:f>IF($D$3="配方有效",COUNTIF('03_全链计算'!N$7:N$41,"&gt;0"),"待修正")</x:f>
        <x:v>2</x:v>
      </x:c>
      <x:c r="O15" s="30" t="n">
        <x:f>IF($D$3="配方有效",COUNTIF('03_全链计算'!O$7:O$41,"&gt;0"),"待修正")</x:f>
        <x:v>3</x:v>
      </x:c>
      <x:c r="P15" s="30" t="n">
        <x:f>IF($D$3="配方有效",COUNTIF('03_全链计算'!P$7:P$41,"&gt;0"),"待修正")</x:f>
        <x:v>2</x:v>
      </x:c>
      <x:c r="Q15" s="30" t="n">
        <x:f>IF($D$3="配方有效",COUNTIF('03_全链计算'!Q$7:Q$41,"&gt;0"),"待修正")</x:f>
        <x:v>3</x:v>
      </x:c>
      <x:c r="R15" s="30" t="n">
        <x:f>IF($D$3="配方有效",COUNTIF('03_全链计算'!R$7:R$41,"&gt;0"),"待修正")</x:f>
        <x:v>3</x:v>
      </x:c>
      <x:c r="S15" s="52" t="n">
        <x:f>IF($D$3="配方有效",COUNTIF('03_全链计算'!S$7:S$41,"&gt;0"),"待修正")</x:f>
        <x:v>2</x:v>
      </x:c>
      <x:c r="T15" s="30" t="n">
        <x:f>IF($D$3="配方有效",COUNTIF('03_全链计算'!T$7:T$41,"&gt;0"),"待修正")</x:f>
        <x:v>2</x:v>
      </x:c>
      <x:c r="U15" s="30" t="n">
        <x:f>IF($D$3="配方有效",COUNTIF('03_全链计算'!U$7:U$41,"&gt;0"),"待修正")</x:f>
        <x:v>2</x:v>
      </x:c>
      <x:c r="V15" s="30" t="n">
        <x:f>IF($D$3="配方有效",COUNTIF('03_全链计算'!V$7:V$41,"&gt;0"),"待修正")</x:f>
        <x:v>3</x:v>
      </x:c>
      <x:c r="W15" s="30" t="n">
        <x:f>IF($D$3="配方有效",COUNTIF('03_全链计算'!W$7:W$41,"&gt;0"),"待修正")</x:f>
        <x:v>3</x:v>
      </x:c>
      <x:c r="X15" s="52" t="n">
        <x:f>IF($D$3="配方有效",COUNTIF('03_全链计算'!X$7:X$41,"&gt;0"),"待修正")</x:f>
        <x:v>5</x:v>
      </x:c>
      <x:c r="Y15" s="30" t="n">
        <x:f>IF($D$3="配方有效",COUNTIF('03_全链计算'!Y$7:Y$41,"&gt;0"),"待修正")</x:f>
        <x:v>4</x:v>
      </x:c>
      <x:c r="Z15" s="30" t="n">
        <x:f>IF($D$3="配方有效",COUNTIF('03_全链计算'!Z$7:Z$41,"&gt;0"),"待修正")</x:f>
        <x:v>4</x:v>
      </x:c>
      <x:c r="AA15" s="30" t="n">
        <x:f>IF($D$3="配方有效",COUNTIF('03_全链计算'!AA$7:AA$41,"&gt;0"),"待修正")</x:f>
        <x:v>6</x:v>
      </x:c>
      <x:c r="AB15" s="30" t="n">
        <x:f>IF($D$3="配方有效",COUNTIF('03_全链计算'!AB$7:AB$41,"&gt;0"),"待修正")</x:f>
        <x:v>6</x:v>
      </x:c>
      <x:c r="AC15" s="30" t="n">
        <x:f>IF($D$3="配方有效",COUNTIF('03_全链计算'!AC$7:AC$41,"&gt;0"),"待修正")</x:f>
        <x:v>5</x:v>
      </x:c>
      <x:c r="AD15" s="52" t="n">
        <x:f>IF($D$3="配方有效",COUNTIF('03_全链计算'!AD$7:AD$41,"&gt;0"),"待修正")</x:f>
        <x:v>2</x:v>
      </x:c>
      <x:c r="AE15" s="30" t="n">
        <x:f>IF($D$3="配方有效",COUNTIF('03_全链计算'!AE$7:AE$41,"&gt;0"),"待修正")</x:f>
        <x:v>2</x:v>
      </x:c>
      <x:c r="AF15" s="30" t="n">
        <x:f>IF($D$3="配方有效",COUNTIF('03_全链计算'!AF$7:AF$41,"&gt;0"),"待修正")</x:f>
        <x:v>2</x:v>
      </x:c>
      <x:c r="AG15" s="30" t="n">
        <x:f>IF($D$3="配方有效",COUNTIF('03_全链计算'!AG$7:AG$41,"&gt;0"),"待修正")</x:f>
        <x:v>2</x:v>
      </x:c>
      <x:c r="AH15" s="52" t="n">
        <x:f>IF($D$3="配方有效",COUNTIF('03_全链计算'!AH$7:AH$41,"&gt;0"),"待修正")</x:f>
        <x:v>5</x:v>
      </x:c>
      <x:c r="AI15" s="30" t="n">
        <x:f>IF($D$3="配方有效",COUNTIF('03_全链计算'!AI$7:AI$41,"&gt;0"),"待修正")</x:f>
        <x:v>5</x:v>
      </x:c>
      <x:c r="AJ15" s="30" t="n">
        <x:f>IF($D$3="配方有效",COUNTIF('03_全链计算'!AJ$7:AJ$41,"&gt;0"),"待修正")</x:f>
        <x:v>6</x:v>
      </x:c>
      <x:c r="AK15" s="30" t="n">
        <x:f>IF($D$3="配方有效",COUNTIF('03_全链计算'!AK$7:AK$41,"&gt;0"),"待修正")</x:f>
        <x:v>6</x:v>
      </x:c>
      <x:c r="AL15" s="30" t="n">
        <x:f>IF($D$3="配方有效",COUNTIF('03_全链计算'!AL$7:AL$41,"&gt;0"),"待修正")</x:f>
        <x:v>9</x:v>
      </x:c>
      <x:c r="AM15" s="30" t="n">
        <x:f>IF($D$3="配方有效",COUNTIF('03_全链计算'!AM$7:AM$41,"&gt;0"),"待修正")</x:f>
        <x:v>10</x:v>
      </x:c>
    </x:row>
    <x:row r="16" ht="22" customHeight="1">
      <x:c r="A16" s="17" t="str">
        <x:v>输出</x:v>
      </x:c>
      <x:c r="B16" s="17" t="str">
        <x:v>排程状态</x:v>
      </x:c>
      <x:c r="C16" s="17" t="str"/>
      <x:c r="D16" s="17"/>
      <x:c r="E16" s="27" t="str">
        <x:f>'02_优化排程'!G5</x:f>
        <x:v>最新</x:v>
      </x:c>
      <x:c r="F16" s="27" t="str">
        <x:f>'02_优化排程'!G6</x:f>
        <x:v>最新</x:v>
      </x:c>
      <x:c r="G16" s="27" t="str">
        <x:f>'02_优化排程'!G7</x:f>
        <x:v>最新</x:v>
      </x:c>
      <x:c r="H16" s="27" t="str">
        <x:f>'02_优化排程'!G8</x:f>
        <x:v>最新</x:v>
      </x:c>
      <x:c r="I16" s="27" t="str">
        <x:f>'02_优化排程'!G9</x:f>
        <x:v>最新</x:v>
      </x:c>
      <x:c r="J16" s="27" t="str">
        <x:f>'02_优化排程'!G10</x:f>
        <x:v>最新</x:v>
      </x:c>
      <x:c r="K16" s="27" t="str">
        <x:f>'02_优化排程'!G11</x:f>
        <x:v>最新</x:v>
      </x:c>
      <x:c r="L16" s="27" t="str">
        <x:f>'02_优化排程'!G12</x:f>
        <x:v>最新</x:v>
      </x:c>
      <x:c r="M16" s="27" t="str">
        <x:f>'02_优化排程'!G13</x:f>
        <x:v>最新</x:v>
      </x:c>
      <x:c r="N16" s="53" t="str">
        <x:f>'02_优化排程'!G14</x:f>
        <x:v>最新</x:v>
      </x:c>
      <x:c r="O16" s="27" t="str">
        <x:f>'02_优化排程'!G15</x:f>
        <x:v>最新</x:v>
      </x:c>
      <x:c r="P16" s="27" t="str">
        <x:f>'02_优化排程'!G16</x:f>
        <x:v>最新</x:v>
      </x:c>
      <x:c r="Q16" s="27" t="str">
        <x:f>'02_优化排程'!G17</x:f>
        <x:v>最新</x:v>
      </x:c>
      <x:c r="R16" s="27" t="str">
        <x:f>'02_优化排程'!G18</x:f>
        <x:v>最新</x:v>
      </x:c>
      <x:c r="S16" s="53" t="str">
        <x:f>'02_优化排程'!G19</x:f>
        <x:v>最新</x:v>
      </x:c>
      <x:c r="T16" s="27" t="str">
        <x:f>'02_优化排程'!G20</x:f>
        <x:v>最新</x:v>
      </x:c>
      <x:c r="U16" s="27" t="str">
        <x:f>'02_优化排程'!G21</x:f>
        <x:v>最新</x:v>
      </x:c>
      <x:c r="V16" s="27" t="str">
        <x:f>'02_优化排程'!G22</x:f>
        <x:v>最新</x:v>
      </x:c>
      <x:c r="W16" s="27" t="str">
        <x:f>'02_优化排程'!G23</x:f>
        <x:v>最新</x:v>
      </x:c>
      <x:c r="X16" s="53" t="str">
        <x:f>'02_优化排程'!G24</x:f>
        <x:v>最新</x:v>
      </x:c>
      <x:c r="Y16" s="27" t="str">
        <x:f>'02_优化排程'!G25</x:f>
        <x:v>最新</x:v>
      </x:c>
      <x:c r="Z16" s="27" t="str">
        <x:f>'02_优化排程'!G26</x:f>
        <x:v>最新</x:v>
      </x:c>
      <x:c r="AA16" s="27" t="str">
        <x:f>'02_优化排程'!G27</x:f>
        <x:v>最新</x:v>
      </x:c>
      <x:c r="AB16" s="27" t="str">
        <x:f>'02_优化排程'!G28</x:f>
        <x:v>最新</x:v>
      </x:c>
      <x:c r="AC16" s="27" t="str">
        <x:f>'02_优化排程'!G29</x:f>
        <x:v>最新</x:v>
      </x:c>
      <x:c r="AD16" s="53" t="str">
        <x:f>'02_优化排程'!G30</x:f>
        <x:v>最新</x:v>
      </x:c>
      <x:c r="AE16" s="27" t="str">
        <x:f>'02_优化排程'!G31</x:f>
        <x:v>最新</x:v>
      </x:c>
      <x:c r="AF16" s="27" t="str">
        <x:f>'02_优化排程'!G32</x:f>
        <x:v>最新</x:v>
      </x:c>
      <x:c r="AG16" s="27" t="str">
        <x:f>'02_优化排程'!G33</x:f>
        <x:v>最新</x:v>
      </x:c>
      <x:c r="AH16" s="53" t="str">
        <x:f>'02_优化排程'!G34</x:f>
        <x:v>最新</x:v>
      </x:c>
      <x:c r="AI16" s="27" t="str">
        <x:f>'02_优化排程'!G35</x:f>
        <x:v>最新</x:v>
      </x:c>
      <x:c r="AJ16" s="27" t="str">
        <x:f>'02_优化排程'!G36</x:f>
        <x:v>最新</x:v>
      </x:c>
      <x:c r="AK16" s="27" t="str">
        <x:f>'02_优化排程'!G37</x:f>
        <x:v>最新</x:v>
      </x:c>
      <x:c r="AL16" s="27" t="str">
        <x:f>'02_优化排程'!G38</x:f>
        <x:v>最新</x:v>
      </x:c>
      <x:c r="AM16" s="27" t="str">
        <x:f>'02_优化排程'!G39</x:f>
        <x:v>最新</x:v>
      </x:c>
    </x:row>
    <x:row r="17" ht="32" customHeight="1">
      <x:c r="A17" s="21" t="str">
        <x:v>投入ID</x:v>
      </x:c>
      <x:c r="B17" s="21" t="str">
        <x:v>投入商品</x:v>
      </x:c>
      <x:c r="C17" s="21" t="str">
        <x:v>等级</x:v>
      </x:c>
      <x:c r="D17" s="21" t="str">
        <x:v>生产建筑</x:v>
      </x:c>
      <x:c r="E17" s="38" t="str">
        <x:v>芦苇草</x:v>
      </x:c>
      <x:c r="F17" s="38" t="str">
        <x:v>棉花</x:v>
      </x:c>
      <x:c r="G17" s="38" t="str">
        <x:v>竹子</x:v>
      </x:c>
      <x:c r="H17" s="38" t="str">
        <x:v>香绒草</x:v>
      </x:c>
      <x:c r="I17" s="38" t="str">
        <x:v>薰衣草</x:v>
      </x:c>
      <x:c r="J17" s="38" t="str">
        <x:v>芍药花</x:v>
      </x:c>
      <x:c r="K17" s="38" t="str">
        <x:v>墨水花</x:v>
      </x:c>
      <x:c r="L17" s="38" t="str">
        <x:v>蜡烛花</x:v>
      </x:c>
      <x:c r="M17" s="38" t="str">
        <x:v>浆果珍珠</x:v>
      </x:c>
      <x:c r="N17" s="54" t="str">
        <x:v>芦苇丝</x:v>
      </x:c>
      <x:c r="O17" s="42" t="str">
        <x:v>棉绒团</x:v>
      </x:c>
      <x:c r="P17" s="42" t="str">
        <x:v>绒香粉</x:v>
      </x:c>
      <x:c r="Q17" s="42" t="str">
        <x:v>云朵香粉</x:v>
      </x:c>
      <x:c r="R17" s="42" t="str">
        <x:v>乌云绒团</x:v>
      </x:c>
      <x:c r="S17" s="70" t="str">
        <x:v>竹条</x:v>
      </x:c>
      <x:c r="T17" s="65" t="str">
        <x:v>薄竹片</x:v>
      </x:c>
      <x:c r="U17" s="65" t="str">
        <x:v>小竹框</x:v>
      </x:c>
      <x:c r="V17" s="65" t="str">
        <x:v>花瓣竹板</x:v>
      </x:c>
      <x:c r="W17" s="65" t="str">
        <x:v>珍珠衣帽架</x:v>
      </x:c>
      <x:c r="X17" s="79" t="str">
        <x:v>竹编小垫</x:v>
      </x:c>
      <x:c r="Y17" s="75" t="str">
        <x:v>软棉布</x:v>
      </x:c>
      <x:c r="Z17" s="75" t="str">
        <x:v>竹帘</x:v>
      </x:c>
      <x:c r="AA17" s="75" t="str">
        <x:v>绒绒灯罩</x:v>
      </x:c>
      <x:c r="AB17" s="75" t="str">
        <x:v>软边小席</x:v>
      </x:c>
      <x:c r="AC17" s="75" t="str">
        <x:v>雨滴篮子</x:v>
      </x:c>
      <x:c r="AD17" s="87" t="str">
        <x:v>薰衣草精油</x:v>
      </x:c>
      <x:c r="AE17" s="83" t="str">
        <x:v>花瓣香水</x:v>
      </x:c>
      <x:c r="AF17" s="83" t="str">
        <x:v>墨汁</x:v>
      </x:c>
      <x:c r="AG17" s="83" t="str">
        <x:v>花蜡</x:v>
      </x:c>
      <x:c r="AH17" s="95" t="str">
        <x:v>竹炭画笔</x:v>
      </x:c>
      <x:c r="AI17" s="91" t="str">
        <x:v>薰衣草香棒</x:v>
      </x:c>
      <x:c r="AJ17" s="91" t="str">
        <x:v>竹制盆景</x:v>
      </x:c>
      <x:c r="AK17" s="91" t="str">
        <x:v>圈圈蚊香</x:v>
      </x:c>
      <x:c r="AL17" s="91" t="str">
        <x:v>薰衣草软垫</x:v>
      </x:c>
      <x:c r="AM17" s="91" t="str">
        <x:v>花瓣小灯</x:v>
      </x:c>
    </x:row>
    <x:row r="18" ht="22" customHeight="1">
      <x:c r="A18" s="39" t="n">
        <x:v>1</x:v>
      </x:c>
      <x:c r="B18" s="39" t="str">
        <x:v>芦苇草</x:v>
      </x:c>
      <x:c r="C18" s="39" t="n">
        <x:v>1</x:v>
      </x:c>
      <x:c r="D18" s="39" t="str">
        <x:v>农田</x:v>
      </x:c>
      <x:c r="E18" s="32" t="n">
        <x:v>1</x:v>
      </x:c>
      <x:c r="F18" s="33" t="n">
        <x:v>0</x:v>
      </x:c>
      <x:c r="G18" s="33" t="n">
        <x:v>0</x:v>
      </x:c>
      <x:c r="H18" s="33" t="n">
        <x:v>0</x:v>
      </x:c>
      <x:c r="I18" s="33" t="n">
        <x:v>0</x:v>
      </x:c>
      <x:c r="J18" s="33" t="n">
        <x:v>0</x:v>
      </x:c>
      <x:c r="K18" s="33" t="n">
        <x:v>0</x:v>
      </x:c>
      <x:c r="L18" s="33" t="n">
        <x:v>0</x:v>
      </x:c>
      <x:c r="M18" s="33" t="n">
        <x:v>0</x:v>
      </x:c>
      <x:c r="N18" s="55" t="n">
        <x:v>-2</x:v>
      </x:c>
      <x:c r="O18" s="35" t="n">
        <x:v>-1</x:v>
      </x:c>
      <x:c r="P18" s="35" t="n">
        <x:v>0</x:v>
      </x:c>
      <x:c r="Q18" s="35" t="n">
        <x:v>0</x:v>
      </x:c>
      <x:c r="R18" s="35" t="n">
        <x:v>-2</x:v>
      </x:c>
      <x:c r="S18" s="55" t="n">
        <x:v>0</x:v>
      </x:c>
      <x:c r="T18" s="35" t="n">
        <x:v>0</x:v>
      </x:c>
      <x:c r="U18" s="35" t="n">
        <x:v>0</x:v>
      </x:c>
      <x:c r="V18" s="35" t="n">
        <x:v>0</x:v>
      </x:c>
      <x:c r="W18" s="35" t="n">
        <x:v>0</x:v>
      </x:c>
      <x:c r="X18" s="55" t="n">
        <x:v>0</x:v>
      </x:c>
      <x:c r="Y18" s="35" t="n">
        <x:v>-2</x:v>
      </x:c>
      <x:c r="Z18" s="35" t="n">
        <x:v>0</x:v>
      </x:c>
      <x:c r="AA18" s="35" t="n">
        <x:v>0</x:v>
      </x:c>
      <x:c r="AB18" s="35" t="n">
        <x:v>0</x:v>
      </x:c>
      <x:c r="AC18" s="35" t="n">
        <x:v>-1</x:v>
      </x:c>
      <x:c r="AD18" s="55" t="n">
        <x:v>0</x:v>
      </x:c>
      <x:c r="AE18" s="35" t="n">
        <x:v>0</x:v>
      </x:c>
      <x:c r="AF18" s="35" t="n">
        <x:v>0</x:v>
      </x:c>
      <x:c r="AG18" s="35" t="n">
        <x:v>0</x:v>
      </x:c>
      <x:c r="AH18" s="55" t="n">
        <x:v>0</x:v>
      </x:c>
      <x:c r="AI18" s="35" t="n">
        <x:v>0</x:v>
      </x:c>
      <x:c r="AJ18" s="35" t="n">
        <x:v>0</x:v>
      </x:c>
      <x:c r="AK18" s="35" t="n">
        <x:v>0</x:v>
      </x:c>
      <x:c r="AL18" s="35" t="n">
        <x:v>0</x:v>
      </x:c>
      <x:c r="AM18" s="35" t="n">
        <x:v>0</x:v>
      </x:c>
    </x:row>
    <x:row r="19" ht="22" customHeight="1">
      <x:c r="A19" s="39" t="n">
        <x:v>2</x:v>
      </x:c>
      <x:c r="B19" s="39" t="str">
        <x:v>棉花</x:v>
      </x:c>
      <x:c r="C19" s="39" t="n">
        <x:v>2</x:v>
      </x:c>
      <x:c r="D19" s="39" t="str">
        <x:v>农田</x:v>
      </x:c>
      <x:c r="E19" s="33" t="n">
        <x:v>0</x:v>
      </x:c>
      <x:c r="F19" s="32" t="n">
        <x:v>1</x:v>
      </x:c>
      <x:c r="G19" s="33" t="n">
        <x:v>0</x:v>
      </x:c>
      <x:c r="H19" s="33" t="n">
        <x:v>0</x:v>
      </x:c>
      <x:c r="I19" s="33" t="n">
        <x:v>0</x:v>
      </x:c>
      <x:c r="J19" s="33" t="n">
        <x:v>0</x:v>
      </x:c>
      <x:c r="K19" s="33" t="n">
        <x:v>0</x:v>
      </x:c>
      <x:c r="L19" s="33" t="n">
        <x:v>0</x:v>
      </x:c>
      <x:c r="M19" s="33" t="n">
        <x:v>0</x:v>
      </x:c>
      <x:c r="N19" s="55" t="n">
        <x:v>0</x:v>
      </x:c>
      <x:c r="O19" s="35" t="n">
        <x:v>-1</x:v>
      </x:c>
      <x:c r="P19" s="35" t="n">
        <x:v>0</x:v>
      </x:c>
      <x:c r="Q19" s="35" t="n">
        <x:v>-2</x:v>
      </x:c>
      <x:c r="R19" s="35" t="n">
        <x:v>0</x:v>
      </x:c>
      <x:c r="S19" s="55" t="n">
        <x:v>0</x:v>
      </x:c>
      <x:c r="T19" s="35" t="n">
        <x:v>0</x:v>
      </x:c>
      <x:c r="U19" s="35" t="n">
        <x:v>0</x:v>
      </x:c>
      <x:c r="V19" s="35" t="n">
        <x:v>0</x:v>
      </x:c>
      <x:c r="W19" s="35" t="n">
        <x:v>0</x:v>
      </x:c>
      <x:c r="X19" s="55" t="n">
        <x:v>0</x:v>
      </x:c>
      <x:c r="Y19" s="35" t="n">
        <x:v>0</x:v>
      </x:c>
      <x:c r="Z19" s="35" t="n">
        <x:v>-2</x:v>
      </x:c>
      <x:c r="AA19" s="35" t="n">
        <x:v>0</x:v>
      </x:c>
      <x:c r="AB19" s="35" t="n">
        <x:v>-2</x:v>
      </x:c>
      <x:c r="AC19" s="35" t="n">
        <x:v>0</x:v>
      </x:c>
      <x:c r="AD19" s="55" t="n">
        <x:v>0</x:v>
      </x:c>
      <x:c r="AE19" s="35" t="n">
        <x:v>0</x:v>
      </x:c>
      <x:c r="AF19" s="35" t="n">
        <x:v>0</x:v>
      </x:c>
      <x:c r="AG19" s="35" t="n">
        <x:v>0</x:v>
      </x:c>
      <x:c r="AH19" s="55" t="n">
        <x:v>0</x:v>
      </x:c>
      <x:c r="AI19" s="35" t="n">
        <x:v>0</x:v>
      </x:c>
      <x:c r="AJ19" s="35" t="n">
        <x:v>0</x:v>
      </x:c>
      <x:c r="AK19" s="35" t="n">
        <x:v>0</x:v>
      </x:c>
      <x:c r="AL19" s="35" t="n">
        <x:v>0</x:v>
      </x:c>
      <x:c r="AM19" s="35" t="n">
        <x:v>0</x:v>
      </x:c>
    </x:row>
    <x:row r="20" ht="22" customHeight="1">
      <x:c r="A20" s="39" t="n">
        <x:v>5</x:v>
      </x:c>
      <x:c r="B20" s="39" t="str">
        <x:v>竹子</x:v>
      </x:c>
      <x:c r="C20" s="39" t="n">
        <x:v>4</x:v>
      </x:c>
      <x:c r="D20" s="39" t="str">
        <x:v>农田</x:v>
      </x:c>
      <x:c r="E20" s="33" t="n">
        <x:v>0</x:v>
      </x:c>
      <x:c r="F20" s="33" t="n">
        <x:v>0</x:v>
      </x:c>
      <x:c r="G20" s="32" t="n">
        <x:v>1</x:v>
      </x:c>
      <x:c r="H20" s="33" t="n">
        <x:v>0</x:v>
      </x:c>
      <x:c r="I20" s="33" t="n">
        <x:v>0</x:v>
      </x:c>
      <x:c r="J20" s="33" t="n">
        <x:v>0</x:v>
      </x:c>
      <x:c r="K20" s="33" t="n">
        <x:v>0</x:v>
      </x:c>
      <x:c r="L20" s="33" t="n">
        <x:v>0</x:v>
      </x:c>
      <x:c r="M20" s="33" t="n">
        <x:v>0</x:v>
      </x:c>
      <x:c r="N20" s="56" t="n">
        <x:v>0</x:v>
      </x:c>
      <x:c r="O20" s="33" t="n">
        <x:v>0</x:v>
      </x:c>
      <x:c r="P20" s="35" t="n">
        <x:v>0</x:v>
      </x:c>
      <x:c r="Q20" s="35" t="n">
        <x:v>0</x:v>
      </x:c>
      <x:c r="R20" s="35" t="n">
        <x:v>0</x:v>
      </x:c>
      <x:c r="S20" s="55" t="n">
        <x:v>-2</x:v>
      </x:c>
      <x:c r="T20" s="35" t="n">
        <x:v>-3</x:v>
      </x:c>
      <x:c r="U20" s="35" t="n">
        <x:v>-4</x:v>
      </x:c>
      <x:c r="V20" s="35" t="n">
        <x:v>-2</x:v>
      </x:c>
      <x:c r="W20" s="35" t="n">
        <x:v>-1</x:v>
      </x:c>
      <x:c r="X20" s="55" t="n">
        <x:v>0</x:v>
      </x:c>
      <x:c r="Y20" s="35" t="n">
        <x:v>0</x:v>
      </x:c>
      <x:c r="Z20" s="35" t="n">
        <x:v>0</x:v>
      </x:c>
      <x:c r="AA20" s="35" t="n">
        <x:v>0</x:v>
      </x:c>
      <x:c r="AB20" s="35" t="n">
        <x:v>0</x:v>
      </x:c>
      <x:c r="AC20" s="35" t="n">
        <x:v>0</x:v>
      </x:c>
      <x:c r="AD20" s="55" t="n">
        <x:v>0</x:v>
      </x:c>
      <x:c r="AE20" s="35" t="n">
        <x:v>0</x:v>
      </x:c>
      <x:c r="AF20" s="35" t="n">
        <x:v>0</x:v>
      </x:c>
      <x:c r="AG20" s="35" t="n">
        <x:v>0</x:v>
      </x:c>
      <x:c r="AH20" s="55" t="n">
        <x:v>0</x:v>
      </x:c>
      <x:c r="AI20" s="35" t="n">
        <x:v>0</x:v>
      </x:c>
      <x:c r="AJ20" s="35" t="n">
        <x:v>0</x:v>
      </x:c>
      <x:c r="AK20" s="35" t="n">
        <x:v>0</x:v>
      </x:c>
      <x:c r="AL20" s="35" t="n">
        <x:v>0</x:v>
      </x:c>
      <x:c r="AM20" s="35" t="n">
        <x:v>0</x:v>
      </x:c>
    </x:row>
    <x:row r="21" ht="22" customHeight="1">
      <x:c r="A21" s="39" t="n">
        <x:v>10</x:v>
      </x:c>
      <x:c r="B21" s="39" t="str">
        <x:v>香绒草</x:v>
      </x:c>
      <x:c r="C21" s="39" t="n">
        <x:v>7</x:v>
      </x:c>
      <x:c r="D21" s="39" t="str">
        <x:v>农田</x:v>
      </x:c>
      <x:c r="E21" s="33" t="n">
        <x:v>0</x:v>
      </x:c>
      <x:c r="F21" s="33" t="n">
        <x:v>0</x:v>
      </x:c>
      <x:c r="G21" s="33" t="n">
        <x:v>0</x:v>
      </x:c>
      <x:c r="H21" s="32" t="n">
        <x:v>1</x:v>
      </x:c>
      <x:c r="I21" s="33" t="n">
        <x:v>0</x:v>
      </x:c>
      <x:c r="J21" s="33" t="n">
        <x:v>0</x:v>
      </x:c>
      <x:c r="K21" s="33" t="n">
        <x:v>0</x:v>
      </x:c>
      <x:c r="L21" s="33" t="n">
        <x:v>0</x:v>
      </x:c>
      <x:c r="M21" s="33" t="n">
        <x:v>0</x:v>
      </x:c>
      <x:c r="N21" s="56" t="n">
        <x:v>0</x:v>
      </x:c>
      <x:c r="O21" s="33" t="n">
        <x:v>0</x:v>
      </x:c>
      <x:c r="P21" s="35" t="n">
        <x:v>-2</x:v>
      </x:c>
      <x:c r="Q21" s="35" t="n">
        <x:v>-2</x:v>
      </x:c>
      <x:c r="R21" s="35" t="n">
        <x:v>0</x:v>
      </x:c>
      <x:c r="S21" s="56" t="n">
        <x:v>0</x:v>
      </x:c>
      <x:c r="T21" s="33" t="n">
        <x:v>0</x:v>
      </x:c>
      <x:c r="U21" s="35" t="n">
        <x:v>0</x:v>
      </x:c>
      <x:c r="V21" s="35" t="n">
        <x:v>0</x:v>
      </x:c>
      <x:c r="W21" s="35" t="n">
        <x:v>0</x:v>
      </x:c>
      <x:c r="X21" s="56" t="n">
        <x:v>0</x:v>
      </x:c>
      <x:c r="Y21" s="35" t="n">
        <x:v>0</x:v>
      </x:c>
      <x:c r="Z21" s="35" t="n">
        <x:v>0</x:v>
      </x:c>
      <x:c r="AA21" s="35" t="n">
        <x:v>0</x:v>
      </x:c>
      <x:c r="AB21" s="35" t="n">
        <x:v>0</x:v>
      </x:c>
      <x:c r="AC21" s="35" t="n">
        <x:v>0</x:v>
      </x:c>
      <x:c r="AD21" s="55" t="n">
        <x:v>0</x:v>
      </x:c>
      <x:c r="AE21" s="35" t="n">
        <x:v>0</x:v>
      </x:c>
      <x:c r="AF21" s="35" t="n">
        <x:v>0</x:v>
      </x:c>
      <x:c r="AG21" s="35" t="n">
        <x:v>0</x:v>
      </x:c>
      <x:c r="AH21" s="55" t="n">
        <x:v>0</x:v>
      </x:c>
      <x:c r="AI21" s="35" t="n">
        <x:v>0</x:v>
      </x:c>
      <x:c r="AJ21" s="35" t="n">
        <x:v>0</x:v>
      </x:c>
      <x:c r="AK21" s="35" t="n">
        <x:v>-2</x:v>
      </x:c>
      <x:c r="AL21" s="35" t="n">
        <x:v>0</x:v>
      </x:c>
      <x:c r="AM21" s="35" t="n">
        <x:v>0</x:v>
      </x:c>
    </x:row>
    <x:row r="22" ht="22" customHeight="1">
      <x:c r="A22" s="39" t="n">
        <x:v>15</x:v>
      </x:c>
      <x:c r="B22" s="39" t="str">
        <x:v>薰衣草</x:v>
      </x:c>
      <x:c r="C22" s="39" t="n">
        <x:v>8</x:v>
      </x:c>
      <x:c r="D22" s="39" t="str">
        <x:v>农田</x:v>
      </x:c>
      <x:c r="E22" s="33" t="n">
        <x:v>0</x:v>
      </x:c>
      <x:c r="F22" s="33" t="n">
        <x:v>0</x:v>
      </x:c>
      <x:c r="G22" s="33" t="n">
        <x:v>0</x:v>
      </x:c>
      <x:c r="H22" s="33" t="n">
        <x:v>0</x:v>
      </x:c>
      <x:c r="I22" s="32" t="n">
        <x:v>1</x:v>
      </x:c>
      <x:c r="J22" s="33" t="n">
        <x:v>0</x:v>
      </x:c>
      <x:c r="K22" s="33" t="n">
        <x:v>0</x:v>
      </x:c>
      <x:c r="L22" s="33" t="n">
        <x:v>0</x:v>
      </x:c>
      <x:c r="M22" s="33" t="n">
        <x:v>0</x:v>
      </x:c>
      <x:c r="N22" s="56" t="n">
        <x:v>0</x:v>
      </x:c>
      <x:c r="O22" s="33" t="n">
        <x:v>0</x:v>
      </x:c>
      <x:c r="P22" s="33" t="n">
        <x:v>0</x:v>
      </x:c>
      <x:c r="Q22" s="35" t="n">
        <x:v>0</x:v>
      </x:c>
      <x:c r="R22" s="35" t="n">
        <x:v>0</x:v>
      </x:c>
      <x:c r="S22" s="56" t="n">
        <x:v>0</x:v>
      </x:c>
      <x:c r="T22" s="33" t="n">
        <x:v>0</x:v>
      </x:c>
      <x:c r="U22" s="35" t="n">
        <x:v>0</x:v>
      </x:c>
      <x:c r="V22" s="35" t="n">
        <x:v>0</x:v>
      </x:c>
      <x:c r="W22" s="35" t="n">
        <x:v>0</x:v>
      </x:c>
      <x:c r="X22" s="56" t="n">
        <x:v>0</x:v>
      </x:c>
      <x:c r="Y22" s="35" t="n">
        <x:v>0</x:v>
      </x:c>
      <x:c r="Z22" s="35" t="n">
        <x:v>0</x:v>
      </x:c>
      <x:c r="AA22" s="35" t="n">
        <x:v>0</x:v>
      </x:c>
      <x:c r="AB22" s="35" t="n">
        <x:v>0</x:v>
      </x:c>
      <x:c r="AC22" s="35" t="n">
        <x:v>0</x:v>
      </x:c>
      <x:c r="AD22" s="55" t="n">
        <x:v>-2</x:v>
      </x:c>
      <x:c r="AE22" s="35" t="n">
        <x:v>0</x:v>
      </x:c>
      <x:c r="AF22" s="35" t="n">
        <x:v>0</x:v>
      </x:c>
      <x:c r="AG22" s="35" t="n">
        <x:v>0</x:v>
      </x:c>
      <x:c r="AH22" s="55" t="n">
        <x:v>0</x:v>
      </x:c>
      <x:c r="AI22" s="35" t="n">
        <x:v>0</x:v>
      </x:c>
      <x:c r="AJ22" s="35" t="n">
        <x:v>-2</x:v>
      </x:c>
      <x:c r="AK22" s="35" t="n">
        <x:v>0</x:v>
      </x:c>
      <x:c r="AL22" s="35" t="n">
        <x:v>-2</x:v>
      </x:c>
      <x:c r="AM22" s="35" t="n">
        <x:v>0</x:v>
      </x:c>
    </x:row>
    <x:row r="23" ht="22" customHeight="1">
      <x:c r="A23" s="39" t="n">
        <x:v>17</x:v>
      </x:c>
      <x:c r="B23" s="39" t="str">
        <x:v>芍药花</x:v>
      </x:c>
      <x:c r="C23" s="39" t="n">
        <x:v>10</x:v>
      </x:c>
      <x:c r="D23" s="39" t="str">
        <x:v>农田</x:v>
      </x:c>
      <x:c r="E23" s="33" t="n">
        <x:v>0</x:v>
      </x:c>
      <x:c r="F23" s="33" t="n">
        <x:v>0</x:v>
      </x:c>
      <x:c r="G23" s="33" t="n">
        <x:v>0</x:v>
      </x:c>
      <x:c r="H23" s="33" t="n">
        <x:v>0</x:v>
      </x:c>
      <x:c r="I23" s="33" t="n">
        <x:v>0</x:v>
      </x:c>
      <x:c r="J23" s="32" t="n">
        <x:v>1</x:v>
      </x:c>
      <x:c r="K23" s="33" t="n">
        <x:v>0</x:v>
      </x:c>
      <x:c r="L23" s="33" t="n">
        <x:v>0</x:v>
      </x:c>
      <x:c r="M23" s="33" t="n">
        <x:v>0</x:v>
      </x:c>
      <x:c r="N23" s="56" t="n">
        <x:v>0</x:v>
      </x:c>
      <x:c r="O23" s="33" t="n">
        <x:v>0</x:v>
      </x:c>
      <x:c r="P23" s="33" t="n">
        <x:v>0</x:v>
      </x:c>
      <x:c r="Q23" s="35" t="n">
        <x:v>0</x:v>
      </x:c>
      <x:c r="R23" s="35" t="n">
        <x:v>0</x:v>
      </x:c>
      <x:c r="S23" s="56" t="n">
        <x:v>0</x:v>
      </x:c>
      <x:c r="T23" s="33" t="n">
        <x:v>0</x:v>
      </x:c>
      <x:c r="U23" s="35" t="n">
        <x:v>0</x:v>
      </x:c>
      <x:c r="V23" s="35" t="n">
        <x:v>-2</x:v>
      </x:c>
      <x:c r="W23" s="35" t="n">
        <x:v>0</x:v>
      </x:c>
      <x:c r="X23" s="56" t="n">
        <x:v>0</x:v>
      </x:c>
      <x:c r="Y23" s="33" t="n">
        <x:v>0</x:v>
      </x:c>
      <x:c r="Z23" s="35" t="n">
        <x:v>0</x:v>
      </x:c>
      <x:c r="AA23" s="35" t="n">
        <x:v>0</x:v>
      </x:c>
      <x:c r="AB23" s="35" t="n">
        <x:v>0</x:v>
      </x:c>
      <x:c r="AC23" s="35" t="n">
        <x:v>0</x:v>
      </x:c>
      <x:c r="AD23" s="56" t="n">
        <x:v>0</x:v>
      </x:c>
      <x:c r="AE23" s="35" t="n">
        <x:v>-3</x:v>
      </x:c>
      <x:c r="AF23" s="35" t="n">
        <x:v>0</x:v>
      </x:c>
      <x:c r="AG23" s="35" t="n">
        <x:v>0</x:v>
      </x:c>
      <x:c r="AH23" s="55" t="n">
        <x:v>0</x:v>
      </x:c>
      <x:c r="AI23" s="35" t="n">
        <x:v>0</x:v>
      </x:c>
      <x:c r="AJ23" s="35" t="n">
        <x:v>0</x:v>
      </x:c>
      <x:c r="AK23" s="35" t="n">
        <x:v>0</x:v>
      </x:c>
      <x:c r="AL23" s="35" t="n">
        <x:v>0</x:v>
      </x:c>
      <x:c r="AM23" s="35" t="n">
        <x:v>0</x:v>
      </x:c>
    </x:row>
    <x:row r="24" ht="22" customHeight="1">
      <x:c r="A24" s="39" t="n">
        <x:v>24</x:v>
      </x:c>
      <x:c r="B24" s="39" t="str">
        <x:v>墨水花</x:v>
      </x:c>
      <x:c r="C24" s="39" t="n">
        <x:v>13</x:v>
      </x:c>
      <x:c r="D24" s="39" t="str">
        <x:v>农田</x:v>
      </x:c>
      <x:c r="E24" s="33" t="n">
        <x:v>0</x:v>
      </x:c>
      <x:c r="F24" s="33" t="n">
        <x:v>0</x:v>
      </x:c>
      <x:c r="G24" s="33" t="n">
        <x:v>0</x:v>
      </x:c>
      <x:c r="H24" s="33" t="n">
        <x:v>0</x:v>
      </x:c>
      <x:c r="I24" s="33" t="n">
        <x:v>0</x:v>
      </x:c>
      <x:c r="J24" s="33" t="n">
        <x:v>0</x:v>
      </x:c>
      <x:c r="K24" s="32" t="n">
        <x:v>1</x:v>
      </x:c>
      <x:c r="L24" s="33" t="n">
        <x:v>0</x:v>
      </x:c>
      <x:c r="M24" s="33" t="n">
        <x:v>0</x:v>
      </x:c>
      <x:c r="N24" s="56" t="n">
        <x:v>0</x:v>
      </x:c>
      <x:c r="O24" s="33" t="n">
        <x:v>0</x:v>
      </x:c>
      <x:c r="P24" s="33" t="n">
        <x:v>0</x:v>
      </x:c>
      <x:c r="Q24" s="35" t="n">
        <x:v>0</x:v>
      </x:c>
      <x:c r="R24" s="35" t="n">
        <x:v>-2</x:v>
      </x:c>
      <x:c r="S24" s="56" t="n">
        <x:v>0</x:v>
      </x:c>
      <x:c r="T24" s="33" t="n">
        <x:v>0</x:v>
      </x:c>
      <x:c r="U24" s="33" t="n">
        <x:v>0</x:v>
      </x:c>
      <x:c r="V24" s="35" t="n">
        <x:v>0</x:v>
      </x:c>
      <x:c r="W24" s="35" t="n">
        <x:v>0</x:v>
      </x:c>
      <x:c r="X24" s="56" t="n">
        <x:v>0</x:v>
      </x:c>
      <x:c r="Y24" s="33" t="n">
        <x:v>0</x:v>
      </x:c>
      <x:c r="Z24" s="33" t="n">
        <x:v>0</x:v>
      </x:c>
      <x:c r="AA24" s="35" t="n">
        <x:v>0</x:v>
      </x:c>
      <x:c r="AB24" s="35" t="n">
        <x:v>0</x:v>
      </x:c>
      <x:c r="AC24" s="35" t="n">
        <x:v>0</x:v>
      </x:c>
      <x:c r="AD24" s="56" t="n">
        <x:v>0</x:v>
      </x:c>
      <x:c r="AE24" s="33" t="n">
        <x:v>0</x:v>
      </x:c>
      <x:c r="AF24" s="35" t="n">
        <x:v>-3</x:v>
      </x:c>
      <x:c r="AG24" s="35" t="n">
        <x:v>0</x:v>
      </x:c>
      <x:c r="AH24" s="56" t="n">
        <x:v>0</x:v>
      </x:c>
      <x:c r="AI24" s="33" t="n">
        <x:v>0</x:v>
      </x:c>
      <x:c r="AJ24" s="35" t="n">
        <x:v>0</x:v>
      </x:c>
      <x:c r="AK24" s="35" t="n">
        <x:v>0</x:v>
      </x:c>
      <x:c r="AL24" s="35" t="n">
        <x:v>0</x:v>
      </x:c>
      <x:c r="AM24" s="35" t="n">
        <x:v>0</x:v>
      </x:c>
    </x:row>
    <x:row r="25" ht="22" customHeight="1">
      <x:c r="A25" s="39" t="n">
        <x:v>30</x:v>
      </x:c>
      <x:c r="B25" s="39" t="str">
        <x:v>蜡烛花</x:v>
      </x:c>
      <x:c r="C25" s="39" t="n">
        <x:v>16</x:v>
      </x:c>
      <x:c r="D25" s="39" t="str">
        <x:v>农田</x:v>
      </x:c>
      <x:c r="E25" s="33" t="n">
        <x:v>0</x:v>
      </x:c>
      <x:c r="F25" s="33" t="n">
        <x:v>0</x:v>
      </x:c>
      <x:c r="G25" s="33" t="n">
        <x:v>0</x:v>
      </x:c>
      <x:c r="H25" s="33" t="n">
        <x:v>0</x:v>
      </x:c>
      <x:c r="I25" s="33" t="n">
        <x:v>0</x:v>
      </x:c>
      <x:c r="J25" s="33" t="n">
        <x:v>0</x:v>
      </x:c>
      <x:c r="K25" s="33" t="n">
        <x:v>0</x:v>
      </x:c>
      <x:c r="L25" s="32" t="n">
        <x:v>1</x:v>
      </x:c>
      <x:c r="M25" s="33" t="n">
        <x:v>0</x:v>
      </x:c>
      <x:c r="N25" s="56" t="n">
        <x:v>0</x:v>
      </x:c>
      <x:c r="O25" s="33" t="n">
        <x:v>0</x:v>
      </x:c>
      <x:c r="P25" s="33" t="n">
        <x:v>0</x:v>
      </x:c>
      <x:c r="Q25" s="33" t="n">
        <x:v>0</x:v>
      </x:c>
      <x:c r="R25" s="35" t="n">
        <x:v>0</x:v>
      </x:c>
      <x:c r="S25" s="56" t="n">
        <x:v>0</x:v>
      </x:c>
      <x:c r="T25" s="33" t="n">
        <x:v>0</x:v>
      </x:c>
      <x:c r="U25" s="33" t="n">
        <x:v>0</x:v>
      </x:c>
      <x:c r="V25" s="33" t="n">
        <x:v>0</x:v>
      </x:c>
      <x:c r="W25" s="35" t="n">
        <x:v>0</x:v>
      </x:c>
      <x:c r="X25" s="56" t="n">
        <x:v>0</x:v>
      </x:c>
      <x:c r="Y25" s="33" t="n">
        <x:v>0</x:v>
      </x:c>
      <x:c r="Z25" s="33" t="n">
        <x:v>0</x:v>
      </x:c>
      <x:c r="AA25" s="33" t="n">
        <x:v>0</x:v>
      </x:c>
      <x:c r="AB25" s="35" t="n">
        <x:v>0</x:v>
      </x:c>
      <x:c r="AC25" s="35" t="n">
        <x:v>0</x:v>
      </x:c>
      <x:c r="AD25" s="56" t="n">
        <x:v>0</x:v>
      </x:c>
      <x:c r="AE25" s="33" t="n">
        <x:v>0</x:v>
      </x:c>
      <x:c r="AF25" s="33" t="n">
        <x:v>0</x:v>
      </x:c>
      <x:c r="AG25" s="35" t="n">
        <x:v>-3</x:v>
      </x:c>
      <x:c r="AH25" s="56" t="n">
        <x:v>0</x:v>
      </x:c>
      <x:c r="AI25" s="33" t="n">
        <x:v>0</x:v>
      </x:c>
      <x:c r="AJ25" s="33" t="n">
        <x:v>0</x:v>
      </x:c>
      <x:c r="AK25" s="35" t="n">
        <x:v>0</x:v>
      </x:c>
      <x:c r="AL25" s="35" t="n">
        <x:v>0</x:v>
      </x:c>
      <x:c r="AM25" s="35" t="n">
        <x:v>-2</x:v>
      </x:c>
    </x:row>
    <x:row r="26" ht="22" customHeight="1">
      <x:c r="A26" s="39" t="n">
        <x:v>35</x:v>
      </x:c>
      <x:c r="B26" s="39" t="str">
        <x:v>浆果珍珠</x:v>
      </x:c>
      <x:c r="C26" s="39" t="n">
        <x:v>19</x:v>
      </x:c>
      <x:c r="D26" s="39" t="str">
        <x:v>农田</x:v>
      </x:c>
      <x:c r="E26" s="33" t="n">
        <x:v>0</x:v>
      </x:c>
      <x:c r="F26" s="33" t="n">
        <x:v>0</x:v>
      </x:c>
      <x:c r="G26" s="33" t="n">
        <x:v>0</x:v>
      </x:c>
      <x:c r="H26" s="33" t="n">
        <x:v>0</x:v>
      </x:c>
      <x:c r="I26" s="33" t="n">
        <x:v>0</x:v>
      </x:c>
      <x:c r="J26" s="33" t="n">
        <x:v>0</x:v>
      </x:c>
      <x:c r="K26" s="33" t="n">
        <x:v>0</x:v>
      </x:c>
      <x:c r="L26" s="33" t="n">
        <x:v>0</x:v>
      </x:c>
      <x:c r="M26" s="32" t="n">
        <x:v>1</x:v>
      </x:c>
      <x:c r="N26" s="56" t="n">
        <x:v>0</x:v>
      </x:c>
      <x:c r="O26" s="33" t="n">
        <x:v>0</x:v>
      </x:c>
      <x:c r="P26" s="33" t="n">
        <x:v>0</x:v>
      </x:c>
      <x:c r="Q26" s="33" t="n">
        <x:v>0</x:v>
      </x:c>
      <x:c r="R26" s="33" t="n">
        <x:v>0</x:v>
      </x:c>
      <x:c r="S26" s="56" t="n">
        <x:v>0</x:v>
      </x:c>
      <x:c r="T26" s="33" t="n">
        <x:v>0</x:v>
      </x:c>
      <x:c r="U26" s="33" t="n">
        <x:v>0</x:v>
      </x:c>
      <x:c r="V26" s="33" t="n">
        <x:v>0</x:v>
      </x:c>
      <x:c r="W26" s="35" t="n">
        <x:v>-2</x:v>
      </x:c>
      <x:c r="X26" s="56" t="n">
        <x:v>0</x:v>
      </x:c>
      <x:c r="Y26" s="33" t="n">
        <x:v>0</x:v>
      </x:c>
      <x:c r="Z26" s="33" t="n">
        <x:v>0</x:v>
      </x:c>
      <x:c r="AA26" s="33" t="n">
        <x:v>0</x:v>
      </x:c>
      <x:c r="AB26" s="33" t="n">
        <x:v>0</x:v>
      </x:c>
      <x:c r="AC26" s="35" t="n">
        <x:v>0</x:v>
      </x:c>
      <x:c r="AD26" s="56" t="n">
        <x:v>0</x:v>
      </x:c>
      <x:c r="AE26" s="33" t="n">
        <x:v>0</x:v>
      </x:c>
      <x:c r="AF26" s="33" t="n">
        <x:v>0</x:v>
      </x:c>
      <x:c r="AG26" s="33" t="n">
        <x:v>0</x:v>
      </x:c>
      <x:c r="AH26" s="56" t="n">
        <x:v>0</x:v>
      </x:c>
      <x:c r="AI26" s="33" t="n">
        <x:v>0</x:v>
      </x:c>
      <x:c r="AJ26" s="33" t="n">
        <x:v>0</x:v>
      </x:c>
      <x:c r="AK26" s="33" t="n">
        <x:v>0</x:v>
      </x:c>
      <x:c r="AL26" s="33" t="n">
        <x:v>0</x:v>
      </x:c>
      <x:c r="AM26" s="35" t="n">
        <x:v>0</x:v>
      </x:c>
    </x:row>
    <x:row r="27" ht="22" customHeight="1">
      <x:c r="A27" s="44" t="n">
        <x:v>3</x:v>
      </x:c>
      <x:c r="B27" s="44" t="str">
        <x:v>芦苇丝</x:v>
      </x:c>
      <x:c r="C27" s="44" t="n">
        <x:v>2</x:v>
      </x:c>
      <x:c r="D27" s="44" t="str">
        <x:v>研磨机</x:v>
      </x:c>
      <x:c r="E27" s="45" t="n">
        <x:v>0</x:v>
      </x:c>
      <x:c r="F27" s="45" t="n">
        <x:v>0</x:v>
      </x:c>
      <x:c r="G27" s="45" t="n">
        <x:v>0</x:v>
      </x:c>
      <x:c r="H27" s="45" t="n">
        <x:v>0</x:v>
      </x:c>
      <x:c r="I27" s="45" t="n">
        <x:v>0</x:v>
      </x:c>
      <x:c r="J27" s="45" t="n">
        <x:v>0</x:v>
      </x:c>
      <x:c r="K27" s="45" t="n">
        <x:v>0</x:v>
      </x:c>
      <x:c r="L27" s="45" t="n">
        <x:v>0</x:v>
      </x:c>
      <x:c r="M27" s="45" t="n">
        <x:v>0</x:v>
      </x:c>
      <x:c r="N27" s="57" t="n">
        <x:v>1</x:v>
      </x:c>
      <x:c r="O27" s="47" t="n">
        <x:v>0</x:v>
      </x:c>
      <x:c r="P27" s="47" t="n">
        <x:v>0</x:v>
      </x:c>
      <x:c r="Q27" s="47" t="n">
        <x:v>0</x:v>
      </x:c>
      <x:c r="R27" s="47" t="n">
        <x:v>0</x:v>
      </x:c>
      <x:c r="S27" s="71" t="n">
        <x:v>0</x:v>
      </x:c>
      <x:c r="T27" s="47" t="n">
        <x:v>0</x:v>
      </x:c>
      <x:c r="U27" s="47" t="n">
        <x:v>0</x:v>
      </x:c>
      <x:c r="V27" s="47" t="n">
        <x:v>0</x:v>
      </x:c>
      <x:c r="W27" s="47" t="n">
        <x:v>0</x:v>
      </x:c>
      <x:c r="X27" s="71" t="n">
        <x:v>-1</x:v>
      </x:c>
      <x:c r="Y27" s="47" t="n">
        <x:v>0</x:v>
      </x:c>
      <x:c r="Z27" s="47" t="n">
        <x:v>0</x:v>
      </x:c>
      <x:c r="AA27" s="47" t="n">
        <x:v>0</x:v>
      </x:c>
      <x:c r="AB27" s="47" t="n">
        <x:v>-1</x:v>
      </x:c>
      <x:c r="AC27" s="47" t="n">
        <x:v>-1</x:v>
      </x:c>
      <x:c r="AD27" s="71" t="n">
        <x:v>0</x:v>
      </x:c>
      <x:c r="AE27" s="47" t="n">
        <x:v>0</x:v>
      </x:c>
      <x:c r="AF27" s="47" t="n">
        <x:v>0</x:v>
      </x:c>
      <x:c r="AG27" s="47" t="n">
        <x:v>0</x:v>
      </x:c>
      <x:c r="AH27" s="71" t="n">
        <x:v>0</x:v>
      </x:c>
      <x:c r="AI27" s="47" t="n">
        <x:v>0</x:v>
      </x:c>
      <x:c r="AJ27" s="47" t="n">
        <x:v>0</x:v>
      </x:c>
      <x:c r="AK27" s="47" t="n">
        <x:v>0</x:v>
      </x:c>
      <x:c r="AL27" s="47" t="n">
        <x:v>0</x:v>
      </x:c>
      <x:c r="AM27" s="47" t="n">
        <x:v>0</x:v>
      </x:c>
    </x:row>
    <x:row r="28" ht="22" customHeight="1">
      <x:c r="A28" s="43" t="n">
        <x:v>4</x:v>
      </x:c>
      <x:c r="B28" s="43" t="str">
        <x:v>棉绒团</x:v>
      </x:c>
      <x:c r="C28" s="43" t="n">
        <x:v>3</x:v>
      </x:c>
      <x:c r="D28" s="43" t="str">
        <x:v>研磨机</x:v>
      </x:c>
      <x:c r="E28" s="33" t="n">
        <x:v>0</x:v>
      </x:c>
      <x:c r="F28" s="33" t="n">
        <x:v>0</x:v>
      </x:c>
      <x:c r="G28" s="33" t="n">
        <x:v>0</x:v>
      </x:c>
      <x:c r="H28" s="33" t="n">
        <x:v>0</x:v>
      </x:c>
      <x:c r="I28" s="33" t="n">
        <x:v>0</x:v>
      </x:c>
      <x:c r="J28" s="33" t="n">
        <x:v>0</x:v>
      </x:c>
      <x:c r="K28" s="33" t="n">
        <x:v>0</x:v>
      </x:c>
      <x:c r="L28" s="33" t="n">
        <x:v>0</x:v>
      </x:c>
      <x:c r="M28" s="33" t="n">
        <x:v>0</x:v>
      </x:c>
      <x:c r="N28" s="56" t="n">
        <x:v>0</x:v>
      </x:c>
      <x:c r="O28" s="32" t="n">
        <x:v>1</x:v>
      </x:c>
      <x:c r="P28" s="35" t="n">
        <x:v>0</x:v>
      </x:c>
      <x:c r="Q28" s="35" t="n">
        <x:v>0</x:v>
      </x:c>
      <x:c r="R28" s="35" t="n">
        <x:v>0</x:v>
      </x:c>
      <x:c r="S28" s="55" t="n">
        <x:v>0</x:v>
      </x:c>
      <x:c r="T28" s="35" t="n">
        <x:v>0</x:v>
      </x:c>
      <x:c r="U28" s="35" t="n">
        <x:v>0</x:v>
      </x:c>
      <x:c r="V28" s="35" t="n">
        <x:v>0</x:v>
      </x:c>
      <x:c r="W28" s="35" t="n">
        <x:v>0</x:v>
      </x:c>
      <x:c r="X28" s="55" t="n">
        <x:v>0</x:v>
      </x:c>
      <x:c r="Y28" s="35" t="n">
        <x:v>-1</x:v>
      </x:c>
      <x:c r="Z28" s="35" t="n">
        <x:v>0</x:v>
      </x:c>
      <x:c r="AA28" s="35" t="n">
        <x:v>-1</x:v>
      </x:c>
      <x:c r="AB28" s="35" t="n">
        <x:v>0</x:v>
      </x:c>
      <x:c r="AC28" s="35" t="n">
        <x:v>0</x:v>
      </x:c>
      <x:c r="AD28" s="55" t="n">
        <x:v>0</x:v>
      </x:c>
      <x:c r="AE28" s="35" t="n">
        <x:v>0</x:v>
      </x:c>
      <x:c r="AF28" s="35" t="n">
        <x:v>0</x:v>
      </x:c>
      <x:c r="AG28" s="35" t="n">
        <x:v>0</x:v>
      </x:c>
      <x:c r="AH28" s="55" t="n">
        <x:v>0</x:v>
      </x:c>
      <x:c r="AI28" s="35" t="n">
        <x:v>0</x:v>
      </x:c>
      <x:c r="AJ28" s="35" t="n">
        <x:v>0</x:v>
      </x:c>
      <x:c r="AK28" s="35" t="n">
        <x:v>0</x:v>
      </x:c>
      <x:c r="AL28" s="35" t="n">
        <x:v>0</x:v>
      </x:c>
      <x:c r="AM28" s="35" t="n">
        <x:v>0</x:v>
      </x:c>
    </x:row>
    <x:row r="29" ht="22" customHeight="1">
      <x:c r="A29" s="43" t="n">
        <x:v>12</x:v>
      </x:c>
      <x:c r="B29" s="43" t="str">
        <x:v>绒香粉</x:v>
      </x:c>
      <x:c r="C29" s="43" t="n">
        <x:v>7</x:v>
      </x:c>
      <x:c r="D29" s="43" t="str">
        <x:v>研磨机</x:v>
      </x:c>
      <x:c r="E29" s="33" t="n">
        <x:v>0</x:v>
      </x:c>
      <x:c r="F29" s="33" t="n">
        <x:v>0</x:v>
      </x:c>
      <x:c r="G29" s="33" t="n">
        <x:v>0</x:v>
      </x:c>
      <x:c r="H29" s="33" t="n">
        <x:v>0</x:v>
      </x:c>
      <x:c r="I29" s="33" t="n">
        <x:v>0</x:v>
      </x:c>
      <x:c r="J29" s="33" t="n">
        <x:v>0</x:v>
      </x:c>
      <x:c r="K29" s="33" t="n">
        <x:v>0</x:v>
      </x:c>
      <x:c r="L29" s="33" t="n">
        <x:v>0</x:v>
      </x:c>
      <x:c r="M29" s="33" t="n">
        <x:v>0</x:v>
      </x:c>
      <x:c r="N29" s="56" t="n">
        <x:v>0</x:v>
      </x:c>
      <x:c r="O29" s="33" t="n">
        <x:v>0</x:v>
      </x:c>
      <x:c r="P29" s="32" t="n">
        <x:v>1</x:v>
      </x:c>
      <x:c r="Q29" s="35" t="n">
        <x:v>0</x:v>
      </x:c>
      <x:c r="R29" s="35" t="n">
        <x:v>0</x:v>
      </x:c>
      <x:c r="S29" s="56" t="n">
        <x:v>0</x:v>
      </x:c>
      <x:c r="T29" s="33" t="n">
        <x:v>0</x:v>
      </x:c>
      <x:c r="U29" s="35" t="n">
        <x:v>0</x:v>
      </x:c>
      <x:c r="V29" s="35" t="n">
        <x:v>0</x:v>
      </x:c>
      <x:c r="W29" s="35" t="n">
        <x:v>0</x:v>
      </x:c>
      <x:c r="X29" s="56" t="n">
        <x:v>0</x:v>
      </x:c>
      <x:c r="Y29" s="35" t="n">
        <x:v>0</x:v>
      </x:c>
      <x:c r="Z29" s="35" t="n">
        <x:v>0</x:v>
      </x:c>
      <x:c r="AA29" s="35" t="n">
        <x:v>0</x:v>
      </x:c>
      <x:c r="AB29" s="35" t="n">
        <x:v>0</x:v>
      </x:c>
      <x:c r="AC29" s="35" t="n">
        <x:v>0</x:v>
      </x:c>
      <x:c r="AD29" s="55" t="n">
        <x:v>0</x:v>
      </x:c>
      <x:c r="AE29" s="35" t="n">
        <x:v>0</x:v>
      </x:c>
      <x:c r="AF29" s="35" t="n">
        <x:v>0</x:v>
      </x:c>
      <x:c r="AG29" s="35" t="n">
        <x:v>0</x:v>
      </x:c>
      <x:c r="AH29" s="55" t="n">
        <x:v>-1</x:v>
      </x:c>
      <x:c r="AI29" s="35" t="n">
        <x:v>-1</x:v>
      </x:c>
      <x:c r="AJ29" s="35" t="n">
        <x:v>0</x:v>
      </x:c>
      <x:c r="AK29" s="35" t="n">
        <x:v>0</x:v>
      </x:c>
      <x:c r="AL29" s="35" t="n">
        <x:v>-1</x:v>
      </x:c>
      <x:c r="AM29" s="35" t="n">
        <x:v>0</x:v>
      </x:c>
    </x:row>
    <x:row r="30" ht="22" customHeight="1">
      <x:c r="A30" s="43" t="n">
        <x:v>22</x:v>
      </x:c>
      <x:c r="B30" s="43" t="str">
        <x:v>云朵香粉</x:v>
      </x:c>
      <x:c r="C30" s="43" t="n">
        <x:v>13</x:v>
      </x:c>
      <x:c r="D30" s="43" t="str">
        <x:v>研磨机</x:v>
      </x:c>
      <x:c r="E30" s="33" t="n">
        <x:v>0</x:v>
      </x:c>
      <x:c r="F30" s="33" t="n">
        <x:v>0</x:v>
      </x:c>
      <x:c r="G30" s="33" t="n">
        <x:v>0</x:v>
      </x:c>
      <x:c r="H30" s="33" t="n">
        <x:v>0</x:v>
      </x:c>
      <x:c r="I30" s="33" t="n">
        <x:v>0</x:v>
      </x:c>
      <x:c r="J30" s="33" t="n">
        <x:v>0</x:v>
      </x:c>
      <x:c r="K30" s="33" t="n">
        <x:v>0</x:v>
      </x:c>
      <x:c r="L30" s="33" t="n">
        <x:v>0</x:v>
      </x:c>
      <x:c r="M30" s="33" t="n">
        <x:v>0</x:v>
      </x:c>
      <x:c r="N30" s="56" t="n">
        <x:v>0</x:v>
      </x:c>
      <x:c r="O30" s="33" t="n">
        <x:v>0</x:v>
      </x:c>
      <x:c r="P30" s="33" t="n">
        <x:v>0</x:v>
      </x:c>
      <x:c r="Q30" s="32" t="n">
        <x:v>1</x:v>
      </x:c>
      <x:c r="R30" s="35" t="n">
        <x:v>0</x:v>
      </x:c>
      <x:c r="S30" s="56" t="n">
        <x:v>0</x:v>
      </x:c>
      <x:c r="T30" s="33" t="n">
        <x:v>0</x:v>
      </x:c>
      <x:c r="U30" s="33" t="n">
        <x:v>0</x:v>
      </x:c>
      <x:c r="V30" s="35" t="n">
        <x:v>0</x:v>
      </x:c>
      <x:c r="W30" s="35" t="n">
        <x:v>0</x:v>
      </x:c>
      <x:c r="X30" s="56" t="n">
        <x:v>0</x:v>
      </x:c>
      <x:c r="Y30" s="33" t="n">
        <x:v>0</x:v>
      </x:c>
      <x:c r="Z30" s="33" t="n">
        <x:v>0</x:v>
      </x:c>
      <x:c r="AA30" s="35" t="n">
        <x:v>0</x:v>
      </x:c>
      <x:c r="AB30" s="35" t="n">
        <x:v>0</x:v>
      </x:c>
      <x:c r="AC30" s="35" t="n">
        <x:v>0</x:v>
      </x:c>
      <x:c r="AD30" s="56" t="n">
        <x:v>0</x:v>
      </x:c>
      <x:c r="AE30" s="33" t="n">
        <x:v>0</x:v>
      </x:c>
      <x:c r="AF30" s="35" t="n">
        <x:v>0</x:v>
      </x:c>
      <x:c r="AG30" s="35" t="n">
        <x:v>0</x:v>
      </x:c>
      <x:c r="AH30" s="56" t="n">
        <x:v>0</x:v>
      </x:c>
      <x:c r="AI30" s="33" t="n">
        <x:v>0</x:v>
      </x:c>
      <x:c r="AJ30" s="35" t="n">
        <x:v>0</x:v>
      </x:c>
      <x:c r="AK30" s="35" t="n">
        <x:v>-1</x:v>
      </x:c>
      <x:c r="AL30" s="35" t="n">
        <x:v>0</x:v>
      </x:c>
      <x:c r="AM30" s="35" t="n">
        <x:v>0</x:v>
      </x:c>
    </x:row>
    <x:row r="31" ht="22" customHeight="1">
      <x:c r="A31" s="43" t="n">
        <x:v>33</x:v>
      </x:c>
      <x:c r="B31" s="43" t="str">
        <x:v>乌云绒团</x:v>
      </x:c>
      <x:c r="C31" s="43" t="n">
        <x:v>18</x:v>
      </x:c>
      <x:c r="D31" s="43" t="str">
        <x:v>研磨机</x:v>
      </x:c>
      <x:c r="E31" s="33" t="n">
        <x:v>0</x:v>
      </x:c>
      <x:c r="F31" s="33" t="n">
        <x:v>0</x:v>
      </x:c>
      <x:c r="G31" s="33" t="n">
        <x:v>0</x:v>
      </x:c>
      <x:c r="H31" s="33" t="n">
        <x:v>0</x:v>
      </x:c>
      <x:c r="I31" s="33" t="n">
        <x:v>0</x:v>
      </x:c>
      <x:c r="J31" s="33" t="n">
        <x:v>0</x:v>
      </x:c>
      <x:c r="K31" s="33" t="n">
        <x:v>0</x:v>
      </x:c>
      <x:c r="L31" s="33" t="n">
        <x:v>0</x:v>
      </x:c>
      <x:c r="M31" s="33" t="n">
        <x:v>0</x:v>
      </x:c>
      <x:c r="N31" s="56" t="n">
        <x:v>0</x:v>
      </x:c>
      <x:c r="O31" s="33" t="n">
        <x:v>0</x:v>
      </x:c>
      <x:c r="P31" s="33" t="n">
        <x:v>0</x:v>
      </x:c>
      <x:c r="Q31" s="33" t="n">
        <x:v>0</x:v>
      </x:c>
      <x:c r="R31" s="32" t="n">
        <x:v>1</x:v>
      </x:c>
      <x:c r="S31" s="56" t="n">
        <x:v>0</x:v>
      </x:c>
      <x:c r="T31" s="33" t="n">
        <x:v>0</x:v>
      </x:c>
      <x:c r="U31" s="33" t="n">
        <x:v>0</x:v>
      </x:c>
      <x:c r="V31" s="33" t="n">
        <x:v>0</x:v>
      </x:c>
      <x:c r="W31" s="35" t="n">
        <x:v>0</x:v>
      </x:c>
      <x:c r="X31" s="56" t="n">
        <x:v>0</x:v>
      </x:c>
      <x:c r="Y31" s="33" t="n">
        <x:v>0</x:v>
      </x:c>
      <x:c r="Z31" s="33" t="n">
        <x:v>0</x:v>
      </x:c>
      <x:c r="AA31" s="33" t="n">
        <x:v>0</x:v>
      </x:c>
      <x:c r="AB31" s="33" t="n">
        <x:v>0</x:v>
      </x:c>
      <x:c r="AC31" s="35" t="n">
        <x:v>0</x:v>
      </x:c>
      <x:c r="AD31" s="56" t="n">
        <x:v>0</x:v>
      </x:c>
      <x:c r="AE31" s="33" t="n">
        <x:v>0</x:v>
      </x:c>
      <x:c r="AF31" s="33" t="n">
        <x:v>0</x:v>
      </x:c>
      <x:c r="AG31" s="33" t="n">
        <x:v>0</x:v>
      </x:c>
      <x:c r="AH31" s="56" t="n">
        <x:v>0</x:v>
      </x:c>
      <x:c r="AI31" s="33" t="n">
        <x:v>0</x:v>
      </x:c>
      <x:c r="AJ31" s="33" t="n">
        <x:v>0</x:v>
      </x:c>
      <x:c r="AK31" s="33" t="n">
        <x:v>0</x:v>
      </x:c>
      <x:c r="AL31" s="35" t="n">
        <x:v>0</x:v>
      </x:c>
      <x:c r="AM31" s="35" t="n">
        <x:v>0</x:v>
      </x:c>
    </x:row>
    <x:row r="32" ht="22" customHeight="1">
      <x:c r="A32" s="67" t="n">
        <x:v>6</x:v>
      </x:c>
      <x:c r="B32" s="67" t="str">
        <x:v>竹条</x:v>
      </x:c>
      <x:c r="C32" s="67" t="n">
        <x:v>4</x:v>
      </x:c>
      <x:c r="D32" s="67" t="str">
        <x:v>切割机</x:v>
      </x:c>
      <x:c r="E32" s="45" t="n">
        <x:v>0</x:v>
      </x:c>
      <x:c r="F32" s="45" t="n">
        <x:v>0</x:v>
      </x:c>
      <x:c r="G32" s="45" t="n">
        <x:v>0</x:v>
      </x:c>
      <x:c r="H32" s="45" t="n">
        <x:v>0</x:v>
      </x:c>
      <x:c r="I32" s="45" t="n">
        <x:v>0</x:v>
      </x:c>
      <x:c r="J32" s="45" t="n">
        <x:v>0</x:v>
      </x:c>
      <x:c r="K32" s="45" t="n">
        <x:v>0</x:v>
      </x:c>
      <x:c r="L32" s="45" t="n">
        <x:v>0</x:v>
      </x:c>
      <x:c r="M32" s="45" t="n">
        <x:v>0</x:v>
      </x:c>
      <x:c r="N32" s="68" t="n">
        <x:v>0</x:v>
      </x:c>
      <x:c r="O32" s="45" t="n">
        <x:v>0</x:v>
      </x:c>
      <x:c r="P32" s="47" t="n">
        <x:v>0</x:v>
      </x:c>
      <x:c r="Q32" s="47" t="n">
        <x:v>0</x:v>
      </x:c>
      <x:c r="R32" s="47" t="n">
        <x:v>0</x:v>
      </x:c>
      <x:c r="S32" s="57" t="n">
        <x:v>1</x:v>
      </x:c>
      <x:c r="T32" s="47" t="n">
        <x:v>0</x:v>
      </x:c>
      <x:c r="U32" s="47" t="n">
        <x:v>0</x:v>
      </x:c>
      <x:c r="V32" s="47" t="n">
        <x:v>0</x:v>
      </x:c>
      <x:c r="W32" s="47" t="n">
        <x:v>0</x:v>
      </x:c>
      <x:c r="X32" s="71" t="n">
        <x:v>-1</x:v>
      </x:c>
      <x:c r="Y32" s="47" t="n">
        <x:v>0</x:v>
      </x:c>
      <x:c r="Z32" s="47" t="n">
        <x:v>0</x:v>
      </x:c>
      <x:c r="AA32" s="47" t="n">
        <x:v>0</x:v>
      </x:c>
      <x:c r="AB32" s="47" t="n">
        <x:v>0</x:v>
      </x:c>
      <x:c r="AC32" s="47" t="n">
        <x:v>0</x:v>
      </x:c>
      <x:c r="AD32" s="71" t="n">
        <x:v>0</x:v>
      </x:c>
      <x:c r="AE32" s="47" t="n">
        <x:v>0</x:v>
      </x:c>
      <x:c r="AF32" s="47" t="n">
        <x:v>0</x:v>
      </x:c>
      <x:c r="AG32" s="47" t="n">
        <x:v>0</x:v>
      </x:c>
      <x:c r="AH32" s="71" t="n">
        <x:v>-1</x:v>
      </x:c>
      <x:c r="AI32" s="47" t="n">
        <x:v>0</x:v>
      </x:c>
      <x:c r="AJ32" s="47" t="n">
        <x:v>-1</x:v>
      </x:c>
      <x:c r="AK32" s="47" t="n">
        <x:v>0</x:v>
      </x:c>
      <x:c r="AL32" s="47" t="n">
        <x:v>0</x:v>
      </x:c>
      <x:c r="AM32" s="47" t="n">
        <x:v>0</x:v>
      </x:c>
    </x:row>
    <x:row r="33" ht="22" customHeight="1">
      <x:c r="A33" s="66" t="n">
        <x:v>7</x:v>
      </x:c>
      <x:c r="B33" s="66" t="str">
        <x:v>薄竹片</x:v>
      </x:c>
      <x:c r="C33" s="66" t="n">
        <x:v>5</x:v>
      </x:c>
      <x:c r="D33" s="66" t="str">
        <x:v>切割机</x:v>
      </x:c>
      <x:c r="E33" s="33" t="n">
        <x:v>0</x:v>
      </x:c>
      <x:c r="F33" s="33" t="n">
        <x:v>0</x:v>
      </x:c>
      <x:c r="G33" s="33" t="n">
        <x:v>0</x:v>
      </x:c>
      <x:c r="H33" s="33" t="n">
        <x:v>0</x:v>
      </x:c>
      <x:c r="I33" s="33" t="n">
        <x:v>0</x:v>
      </x:c>
      <x:c r="J33" s="33" t="n">
        <x:v>0</x:v>
      </x:c>
      <x:c r="K33" s="33" t="n">
        <x:v>0</x:v>
      </x:c>
      <x:c r="L33" s="33" t="n">
        <x:v>0</x:v>
      </x:c>
      <x:c r="M33" s="33" t="n">
        <x:v>0</x:v>
      </x:c>
      <x:c r="N33" s="56" t="n">
        <x:v>0</x:v>
      </x:c>
      <x:c r="O33" s="33" t="n">
        <x:v>0</x:v>
      </x:c>
      <x:c r="P33" s="35" t="n">
        <x:v>0</x:v>
      </x:c>
      <x:c r="Q33" s="35" t="n">
        <x:v>0</x:v>
      </x:c>
      <x:c r="R33" s="35" t="n">
        <x:v>0</x:v>
      </x:c>
      <x:c r="S33" s="56" t="n">
        <x:v>0</x:v>
      </x:c>
      <x:c r="T33" s="32" t="n">
        <x:v>1</x:v>
      </x:c>
      <x:c r="U33" s="35" t="n">
        <x:v>0</x:v>
      </x:c>
      <x:c r="V33" s="35" t="n">
        <x:v>0</x:v>
      </x:c>
      <x:c r="W33" s="35" t="n">
        <x:v>0</x:v>
      </x:c>
      <x:c r="X33" s="55" t="n">
        <x:v>0</x:v>
      </x:c>
      <x:c r="Y33" s="35" t="n">
        <x:v>0</x:v>
      </x:c>
      <x:c r="Z33" s="35" t="n">
        <x:v>-1</x:v>
      </x:c>
      <x:c r="AA33" s="35" t="n">
        <x:v>0</x:v>
      </x:c>
      <x:c r="AB33" s="35" t="n">
        <x:v>-1</x:v>
      </x:c>
      <x:c r="AC33" s="35" t="n">
        <x:v>0</x:v>
      </x:c>
      <x:c r="AD33" s="55" t="n">
        <x:v>0</x:v>
      </x:c>
      <x:c r="AE33" s="35" t="n">
        <x:v>0</x:v>
      </x:c>
      <x:c r="AF33" s="35" t="n">
        <x:v>0</x:v>
      </x:c>
      <x:c r="AG33" s="35" t="n">
        <x:v>0</x:v>
      </x:c>
      <x:c r="AH33" s="55" t="n">
        <x:v>0</x:v>
      </x:c>
      <x:c r="AI33" s="35" t="n">
        <x:v>0</x:v>
      </x:c>
      <x:c r="AJ33" s="35" t="n">
        <x:v>0</x:v>
      </x:c>
      <x:c r="AK33" s="35" t="n">
        <x:v>0</x:v>
      </x:c>
      <x:c r="AL33" s="35" t="n">
        <x:v>0</x:v>
      </x:c>
      <x:c r="AM33" s="35" t="n">
        <x:v>0</x:v>
      </x:c>
    </x:row>
    <x:row r="34" ht="22" customHeight="1">
      <x:c r="A34" s="66" t="n">
        <x:v>20</x:v>
      </x:c>
      <x:c r="B34" s="66" t="str">
        <x:v>小竹框</x:v>
      </x:c>
      <x:c r="C34" s="66" t="n">
        <x:v>11</x:v>
      </x:c>
      <x:c r="D34" s="66" t="str">
        <x:v>切割机</x:v>
      </x:c>
      <x:c r="E34" s="33" t="n">
        <x:v>0</x:v>
      </x:c>
      <x:c r="F34" s="33" t="n">
        <x:v>0</x:v>
      </x:c>
      <x:c r="G34" s="33" t="n">
        <x:v>0</x:v>
      </x:c>
      <x:c r="H34" s="33" t="n">
        <x:v>0</x:v>
      </x:c>
      <x:c r="I34" s="33" t="n">
        <x:v>0</x:v>
      </x:c>
      <x:c r="J34" s="33" t="n">
        <x:v>0</x:v>
      </x:c>
      <x:c r="K34" s="33" t="n">
        <x:v>0</x:v>
      </x:c>
      <x:c r="L34" s="33" t="n">
        <x:v>0</x:v>
      </x:c>
      <x:c r="M34" s="33" t="n">
        <x:v>0</x:v>
      </x:c>
      <x:c r="N34" s="56" t="n">
        <x:v>0</x:v>
      </x:c>
      <x:c r="O34" s="33" t="n">
        <x:v>0</x:v>
      </x:c>
      <x:c r="P34" s="33" t="n">
        <x:v>0</x:v>
      </x:c>
      <x:c r="Q34" s="35" t="n">
        <x:v>0</x:v>
      </x:c>
      <x:c r="R34" s="35" t="n">
        <x:v>0</x:v>
      </x:c>
      <x:c r="S34" s="56" t="n">
        <x:v>0</x:v>
      </x:c>
      <x:c r="T34" s="33" t="n">
        <x:v>0</x:v>
      </x:c>
      <x:c r="U34" s="32" t="n">
        <x:v>1</x:v>
      </x:c>
      <x:c r="V34" s="35" t="n">
        <x:v>0</x:v>
      </x:c>
      <x:c r="W34" s="35" t="n">
        <x:v>0</x:v>
      </x:c>
      <x:c r="X34" s="56" t="n">
        <x:v>0</x:v>
      </x:c>
      <x:c r="Y34" s="33" t="n">
        <x:v>0</x:v>
      </x:c>
      <x:c r="Z34" s="35" t="n">
        <x:v>0</x:v>
      </x:c>
      <x:c r="AA34" s="35" t="n">
        <x:v>-1</x:v>
      </x:c>
      <x:c r="AB34" s="35" t="n">
        <x:v>0</x:v>
      </x:c>
      <x:c r="AC34" s="35" t="n">
        <x:v>0</x:v>
      </x:c>
      <x:c r="AD34" s="56" t="n">
        <x:v>0</x:v>
      </x:c>
      <x:c r="AE34" s="33" t="n">
        <x:v>0</x:v>
      </x:c>
      <x:c r="AF34" s="35" t="n">
        <x:v>0</x:v>
      </x:c>
      <x:c r="AG34" s="35" t="n">
        <x:v>0</x:v>
      </x:c>
      <x:c r="AH34" s="56" t="n">
        <x:v>0</x:v>
      </x:c>
      <x:c r="AI34" s="35" t="n">
        <x:v>0</x:v>
      </x:c>
      <x:c r="AJ34" s="35" t="n">
        <x:v>0</x:v>
      </x:c>
      <x:c r="AK34" s="35" t="n">
        <x:v>0</x:v>
      </x:c>
      <x:c r="AL34" s="35" t="n">
        <x:v>0</x:v>
      </x:c>
      <x:c r="AM34" s="35" t="n">
        <x:v>0</x:v>
      </x:c>
    </x:row>
    <x:row r="35" ht="22" customHeight="1">
      <x:c r="A35" s="66" t="n">
        <x:v>28</x:v>
      </x:c>
      <x:c r="B35" s="66" t="str">
        <x:v>花瓣竹板</x:v>
      </x:c>
      <x:c r="C35" s="66" t="n">
        <x:v>15</x:v>
      </x:c>
      <x:c r="D35" s="66" t="str">
        <x:v>切割机</x:v>
      </x:c>
      <x:c r="E35" s="33" t="n">
        <x:v>0</x:v>
      </x:c>
      <x:c r="F35" s="33" t="n">
        <x:v>0</x:v>
      </x:c>
      <x:c r="G35" s="33" t="n">
        <x:v>0</x:v>
      </x:c>
      <x:c r="H35" s="33" t="n">
        <x:v>0</x:v>
      </x:c>
      <x:c r="I35" s="33" t="n">
        <x:v>0</x:v>
      </x:c>
      <x:c r="J35" s="33" t="n">
        <x:v>0</x:v>
      </x:c>
      <x:c r="K35" s="33" t="n">
        <x:v>0</x:v>
      </x:c>
      <x:c r="L35" s="33" t="n">
        <x:v>0</x:v>
      </x:c>
      <x:c r="M35" s="33" t="n">
        <x:v>0</x:v>
      </x:c>
      <x:c r="N35" s="56" t="n">
        <x:v>0</x:v>
      </x:c>
      <x:c r="O35" s="33" t="n">
        <x:v>0</x:v>
      </x:c>
      <x:c r="P35" s="33" t="n">
        <x:v>0</x:v>
      </x:c>
      <x:c r="Q35" s="33" t="n">
        <x:v>0</x:v>
      </x:c>
      <x:c r="R35" s="35" t="n">
        <x:v>0</x:v>
      </x:c>
      <x:c r="S35" s="56" t="n">
        <x:v>0</x:v>
      </x:c>
      <x:c r="T35" s="33" t="n">
        <x:v>0</x:v>
      </x:c>
      <x:c r="U35" s="33" t="n">
        <x:v>0</x:v>
      </x:c>
      <x:c r="V35" s="32" t="n">
        <x:v>1</x:v>
      </x:c>
      <x:c r="W35" s="35" t="n">
        <x:v>0</x:v>
      </x:c>
      <x:c r="X35" s="56" t="n">
        <x:v>0</x:v>
      </x:c>
      <x:c r="Y35" s="33" t="n">
        <x:v>0</x:v>
      </x:c>
      <x:c r="Z35" s="33" t="n">
        <x:v>0</x:v>
      </x:c>
      <x:c r="AA35" s="35" t="n">
        <x:v>0</x:v>
      </x:c>
      <x:c r="AB35" s="35" t="n">
        <x:v>0</x:v>
      </x:c>
      <x:c r="AC35" s="35" t="n">
        <x:v>0</x:v>
      </x:c>
      <x:c r="AD35" s="56" t="n">
        <x:v>0</x:v>
      </x:c>
      <x:c r="AE35" s="33" t="n">
        <x:v>0</x:v>
      </x:c>
      <x:c r="AF35" s="33" t="n">
        <x:v>0</x:v>
      </x:c>
      <x:c r="AG35" s="35" t="n">
        <x:v>0</x:v>
      </x:c>
      <x:c r="AH35" s="56" t="n">
        <x:v>0</x:v>
      </x:c>
      <x:c r="AI35" s="33" t="n">
        <x:v>0</x:v>
      </x:c>
      <x:c r="AJ35" s="33" t="n">
        <x:v>0</x:v>
      </x:c>
      <x:c r="AK35" s="35" t="n">
        <x:v>0</x:v>
      </x:c>
      <x:c r="AL35" s="35" t="n">
        <x:v>0</x:v>
      </x:c>
      <x:c r="AM35" s="35" t="n">
        <x:v>-1</x:v>
      </x:c>
    </x:row>
    <x:row r="36" ht="22" customHeight="1">
      <x:c r="A36" s="66" t="n">
        <x:v>36</x:v>
      </x:c>
      <x:c r="B36" s="66" t="str">
        <x:v>珍珠衣帽架</x:v>
      </x:c>
      <x:c r="C36" s="66" t="n">
        <x:v>19</x:v>
      </x:c>
      <x:c r="D36" s="66" t="str">
        <x:v>切割机</x:v>
      </x:c>
      <x:c r="E36" s="33" t="n">
        <x:v>0</x:v>
      </x:c>
      <x:c r="F36" s="33" t="n">
        <x:v>0</x:v>
      </x:c>
      <x:c r="G36" s="33" t="n">
        <x:v>0</x:v>
      </x:c>
      <x:c r="H36" s="33" t="n">
        <x:v>0</x:v>
      </x:c>
      <x:c r="I36" s="33" t="n">
        <x:v>0</x:v>
      </x:c>
      <x:c r="J36" s="33" t="n">
        <x:v>0</x:v>
      </x:c>
      <x:c r="K36" s="33" t="n">
        <x:v>0</x:v>
      </x:c>
      <x:c r="L36" s="33" t="n">
        <x:v>0</x:v>
      </x:c>
      <x:c r="M36" s="33" t="n">
        <x:v>0</x:v>
      </x:c>
      <x:c r="N36" s="56" t="n">
        <x:v>0</x:v>
      </x:c>
      <x:c r="O36" s="33" t="n">
        <x:v>0</x:v>
      </x:c>
      <x:c r="P36" s="33" t="n">
        <x:v>0</x:v>
      </x:c>
      <x:c r="Q36" s="33" t="n">
        <x:v>0</x:v>
      </x:c>
      <x:c r="R36" s="33" t="n">
        <x:v>0</x:v>
      </x:c>
      <x:c r="S36" s="56" t="n">
        <x:v>0</x:v>
      </x:c>
      <x:c r="T36" s="33" t="n">
        <x:v>0</x:v>
      </x:c>
      <x:c r="U36" s="33" t="n">
        <x:v>0</x:v>
      </x:c>
      <x:c r="V36" s="33" t="n">
        <x:v>0</x:v>
      </x:c>
      <x:c r="W36" s="32" t="n">
        <x:v>1</x:v>
      </x:c>
      <x:c r="X36" s="56" t="n">
        <x:v>0</x:v>
      </x:c>
      <x:c r="Y36" s="33" t="n">
        <x:v>0</x:v>
      </x:c>
      <x:c r="Z36" s="33" t="n">
        <x:v>0</x:v>
      </x:c>
      <x:c r="AA36" s="33" t="n">
        <x:v>0</x:v>
      </x:c>
      <x:c r="AB36" s="33" t="n">
        <x:v>0</x:v>
      </x:c>
      <x:c r="AC36" s="35" t="n">
        <x:v>0</x:v>
      </x:c>
      <x:c r="AD36" s="56" t="n">
        <x:v>0</x:v>
      </x:c>
      <x:c r="AE36" s="33" t="n">
        <x:v>0</x:v>
      </x:c>
      <x:c r="AF36" s="33" t="n">
        <x:v>0</x:v>
      </x:c>
      <x:c r="AG36" s="33" t="n">
        <x:v>0</x:v>
      </x:c>
      <x:c r="AH36" s="56" t="n">
        <x:v>0</x:v>
      </x:c>
      <x:c r="AI36" s="33" t="n">
        <x:v>0</x:v>
      </x:c>
      <x:c r="AJ36" s="33" t="n">
        <x:v>0</x:v>
      </x:c>
      <x:c r="AK36" s="33" t="n">
        <x:v>0</x:v>
      </x:c>
      <x:c r="AL36" s="33" t="n">
        <x:v>0</x:v>
      </x:c>
      <x:c r="AM36" s="35" t="n">
        <x:v>0</x:v>
      </x:c>
    </x:row>
    <x:row r="37" ht="22" customHeight="1">
      <x:c r="A37" s="77" t="n">
        <x:v>14</x:v>
      </x:c>
      <x:c r="B37" s="77" t="str">
        <x:v>竹编小垫</x:v>
      </x:c>
      <x:c r="C37" s="77" t="n">
        <x:v>6</x:v>
      </x:c>
      <x:c r="D37" s="77" t="str">
        <x:v>纺织机</x:v>
      </x:c>
      <x:c r="E37" s="45" t="n">
        <x:v>0</x:v>
      </x:c>
      <x:c r="F37" s="45" t="n">
        <x:v>0</x:v>
      </x:c>
      <x:c r="G37" s="45" t="n">
        <x:v>0</x:v>
      </x:c>
      <x:c r="H37" s="45" t="n">
        <x:v>0</x:v>
      </x:c>
      <x:c r="I37" s="45" t="n">
        <x:v>0</x:v>
      </x:c>
      <x:c r="J37" s="45" t="n">
        <x:v>0</x:v>
      </x:c>
      <x:c r="K37" s="45" t="n">
        <x:v>0</x:v>
      </x:c>
      <x:c r="L37" s="45" t="n">
        <x:v>0</x:v>
      </x:c>
      <x:c r="M37" s="45" t="n">
        <x:v>0</x:v>
      </x:c>
      <x:c r="N37" s="68" t="n">
        <x:v>0</x:v>
      </x:c>
      <x:c r="O37" s="45" t="n">
        <x:v>0</x:v>
      </x:c>
      <x:c r="P37" s="47" t="n">
        <x:v>0</x:v>
      </x:c>
      <x:c r="Q37" s="47" t="n">
        <x:v>0</x:v>
      </x:c>
      <x:c r="R37" s="47" t="n">
        <x:v>0</x:v>
      </x:c>
      <x:c r="S37" s="68" t="n">
        <x:v>0</x:v>
      </x:c>
      <x:c r="T37" s="45" t="n">
        <x:v>0</x:v>
      </x:c>
      <x:c r="U37" s="47" t="n">
        <x:v>0</x:v>
      </x:c>
      <x:c r="V37" s="47" t="n">
        <x:v>0</x:v>
      </x:c>
      <x:c r="W37" s="47" t="n">
        <x:v>0</x:v>
      </x:c>
      <x:c r="X37" s="57" t="n">
        <x:v>1</x:v>
      </x:c>
      <x:c r="Y37" s="47" t="n">
        <x:v>0</x:v>
      </x:c>
      <x:c r="Z37" s="47" t="n">
        <x:v>0</x:v>
      </x:c>
      <x:c r="AA37" s="47" t="n">
        <x:v>0</x:v>
      </x:c>
      <x:c r="AB37" s="47" t="n">
        <x:v>0</x:v>
      </x:c>
      <x:c r="AC37" s="47" t="n">
        <x:v>0</x:v>
      </x:c>
      <x:c r="AD37" s="71" t="n">
        <x:v>0</x:v>
      </x:c>
      <x:c r="AE37" s="47" t="n">
        <x:v>0</x:v>
      </x:c>
      <x:c r="AF37" s="47" t="n">
        <x:v>0</x:v>
      </x:c>
      <x:c r="AG37" s="47" t="n">
        <x:v>0</x:v>
      </x:c>
      <x:c r="AH37" s="71" t="n">
        <x:v>0</x:v>
      </x:c>
      <x:c r="AI37" s="47" t="n">
        <x:v>0</x:v>
      </x:c>
      <x:c r="AJ37" s="47" t="n">
        <x:v>0</x:v>
      </x:c>
      <x:c r="AK37" s="47" t="n">
        <x:v>0</x:v>
      </x:c>
      <x:c r="AL37" s="47" t="n">
        <x:v>-1</x:v>
      </x:c>
      <x:c r="AM37" s="47" t="n">
        <x:v>0</x:v>
      </x:c>
    </x:row>
    <x:row r="38" ht="22" customHeight="1">
      <x:c r="A38" s="76" t="n">
        <x:v>16</x:v>
      </x:c>
      <x:c r="B38" s="76" t="str">
        <x:v>软棉布</x:v>
      </x:c>
      <x:c r="C38" s="76" t="n">
        <x:v>9</x:v>
      </x:c>
      <x:c r="D38" s="76" t="str">
        <x:v>纺织机</x:v>
      </x:c>
      <x:c r="E38" s="33" t="n">
        <x:v>0</x:v>
      </x:c>
      <x:c r="F38" s="33" t="n">
        <x:v>0</x:v>
      </x:c>
      <x:c r="G38" s="33" t="n">
        <x:v>0</x:v>
      </x:c>
      <x:c r="H38" s="33" t="n">
        <x:v>0</x:v>
      </x:c>
      <x:c r="I38" s="33" t="n">
        <x:v>0</x:v>
      </x:c>
      <x:c r="J38" s="33" t="n">
        <x:v>0</x:v>
      </x:c>
      <x:c r="K38" s="33" t="n">
        <x:v>0</x:v>
      </x:c>
      <x:c r="L38" s="33" t="n">
        <x:v>0</x:v>
      </x:c>
      <x:c r="M38" s="33" t="n">
        <x:v>0</x:v>
      </x:c>
      <x:c r="N38" s="56" t="n">
        <x:v>0</x:v>
      </x:c>
      <x:c r="O38" s="33" t="n">
        <x:v>0</x:v>
      </x:c>
      <x:c r="P38" s="33" t="n">
        <x:v>0</x:v>
      </x:c>
      <x:c r="Q38" s="35" t="n">
        <x:v>0</x:v>
      </x:c>
      <x:c r="R38" s="35" t="n">
        <x:v>0</x:v>
      </x:c>
      <x:c r="S38" s="56" t="n">
        <x:v>0</x:v>
      </x:c>
      <x:c r="T38" s="33" t="n">
        <x:v>0</x:v>
      </x:c>
      <x:c r="U38" s="35" t="n">
        <x:v>0</x:v>
      </x:c>
      <x:c r="V38" s="35" t="n">
        <x:v>0</x:v>
      </x:c>
      <x:c r="W38" s="35" t="n">
        <x:v>0</x:v>
      </x:c>
      <x:c r="X38" s="56" t="n">
        <x:v>0</x:v>
      </x:c>
      <x:c r="Y38" s="32" t="n">
        <x:v>1</x:v>
      </x:c>
      <x:c r="Z38" s="35" t="n">
        <x:v>0</x:v>
      </x:c>
      <x:c r="AA38" s="35" t="n">
        <x:v>0</x:v>
      </x:c>
      <x:c r="AB38" s="35" t="n">
        <x:v>0</x:v>
      </x:c>
      <x:c r="AC38" s="35" t="n">
        <x:v>0</x:v>
      </x:c>
      <x:c r="AD38" s="56" t="n">
        <x:v>0</x:v>
      </x:c>
      <x:c r="AE38" s="35" t="n">
        <x:v>0</x:v>
      </x:c>
      <x:c r="AF38" s="35" t="n">
        <x:v>0</x:v>
      </x:c>
      <x:c r="AG38" s="35" t="n">
        <x:v>0</x:v>
      </x:c>
      <x:c r="AH38" s="55" t="n">
        <x:v>0</x:v>
      </x:c>
      <x:c r="AI38" s="35" t="n">
        <x:v>0</x:v>
      </x:c>
      <x:c r="AJ38" s="35" t="n">
        <x:v>0</x:v>
      </x:c>
      <x:c r="AK38" s="35" t="n">
        <x:v>0</x:v>
      </x:c>
      <x:c r="AL38" s="35" t="n">
        <x:v>0</x:v>
      </x:c>
      <x:c r="AM38" s="35" t="n">
        <x:v>0</x:v>
      </x:c>
    </x:row>
    <x:row r="39" ht="22" customHeight="1">
      <x:c r="A39" s="76" t="n">
        <x:v>21</x:v>
      </x:c>
      <x:c r="B39" s="76" t="str">
        <x:v>竹帘</x:v>
      </x:c>
      <x:c r="C39" s="76" t="n">
        <x:v>11</x:v>
      </x:c>
      <x:c r="D39" s="76" t="str">
        <x:v>纺织机</x:v>
      </x:c>
      <x:c r="E39" s="33" t="n">
        <x:v>0</x:v>
      </x:c>
      <x:c r="F39" s="33" t="n">
        <x:v>0</x:v>
      </x:c>
      <x:c r="G39" s="33" t="n">
        <x:v>0</x:v>
      </x:c>
      <x:c r="H39" s="33" t="n">
        <x:v>0</x:v>
      </x:c>
      <x:c r="I39" s="33" t="n">
        <x:v>0</x:v>
      </x:c>
      <x:c r="J39" s="33" t="n">
        <x:v>0</x:v>
      </x:c>
      <x:c r="K39" s="33" t="n">
        <x:v>0</x:v>
      </x:c>
      <x:c r="L39" s="33" t="n">
        <x:v>0</x:v>
      </x:c>
      <x:c r="M39" s="33" t="n">
        <x:v>0</x:v>
      </x:c>
      <x:c r="N39" s="56" t="n">
        <x:v>0</x:v>
      </x:c>
      <x:c r="O39" s="33" t="n">
        <x:v>0</x:v>
      </x:c>
      <x:c r="P39" s="33" t="n">
        <x:v>0</x:v>
      </x:c>
      <x:c r="Q39" s="35" t="n">
        <x:v>0</x:v>
      </x:c>
      <x:c r="R39" s="35" t="n">
        <x:v>0</x:v>
      </x:c>
      <x:c r="S39" s="56" t="n">
        <x:v>0</x:v>
      </x:c>
      <x:c r="T39" s="33" t="n">
        <x:v>0</x:v>
      </x:c>
      <x:c r="U39" s="35" t="n">
        <x:v>0</x:v>
      </x:c>
      <x:c r="V39" s="35" t="n">
        <x:v>0</x:v>
      </x:c>
      <x:c r="W39" s="35" t="n">
        <x:v>0</x:v>
      </x:c>
      <x:c r="X39" s="56" t="n">
        <x:v>0</x:v>
      </x:c>
      <x:c r="Y39" s="33" t="n">
        <x:v>0</x:v>
      </x:c>
      <x:c r="Z39" s="32" t="n">
        <x:v>1</x:v>
      </x:c>
      <x:c r="AA39" s="35" t="n">
        <x:v>0</x:v>
      </x:c>
      <x:c r="AB39" s="35" t="n">
        <x:v>0</x:v>
      </x:c>
      <x:c r="AC39" s="35" t="n">
        <x:v>0</x:v>
      </x:c>
      <x:c r="AD39" s="56" t="n">
        <x:v>0</x:v>
      </x:c>
      <x:c r="AE39" s="33" t="n">
        <x:v>0</x:v>
      </x:c>
      <x:c r="AF39" s="35" t="n">
        <x:v>0</x:v>
      </x:c>
      <x:c r="AG39" s="35" t="n">
        <x:v>0</x:v>
      </x:c>
      <x:c r="AH39" s="56" t="n">
        <x:v>0</x:v>
      </x:c>
      <x:c r="AI39" s="35" t="n">
        <x:v>0</x:v>
      </x:c>
      <x:c r="AJ39" s="35" t="n">
        <x:v>0</x:v>
      </x:c>
      <x:c r="AK39" s="35" t="n">
        <x:v>0</x:v>
      </x:c>
      <x:c r="AL39" s="35" t="n">
        <x:v>0</x:v>
      </x:c>
      <x:c r="AM39" s="35" t="n">
        <x:v>0</x:v>
      </x:c>
    </x:row>
    <x:row r="40" ht="22" customHeight="1">
      <x:c r="A40" s="76" t="n">
        <x:v>27</x:v>
      </x:c>
      <x:c r="B40" s="76" t="str">
        <x:v>绒绒灯罩</x:v>
      </x:c>
      <x:c r="C40" s="76" t="n">
        <x:v>15</x:v>
      </x:c>
      <x:c r="D40" s="76" t="str">
        <x:v>纺织机</x:v>
      </x:c>
      <x:c r="E40" s="33" t="n">
        <x:v>0</x:v>
      </x:c>
      <x:c r="F40" s="33" t="n">
        <x:v>0</x:v>
      </x:c>
      <x:c r="G40" s="33" t="n">
        <x:v>0</x:v>
      </x:c>
      <x:c r="H40" s="33" t="n">
        <x:v>0</x:v>
      </x:c>
      <x:c r="I40" s="33" t="n">
        <x:v>0</x:v>
      </x:c>
      <x:c r="J40" s="33" t="n">
        <x:v>0</x:v>
      </x:c>
      <x:c r="K40" s="33" t="n">
        <x:v>0</x:v>
      </x:c>
      <x:c r="L40" s="33" t="n">
        <x:v>0</x:v>
      </x:c>
      <x:c r="M40" s="33" t="n">
        <x:v>0</x:v>
      </x:c>
      <x:c r="N40" s="56" t="n">
        <x:v>0</x:v>
      </x:c>
      <x:c r="O40" s="33" t="n">
        <x:v>0</x:v>
      </x:c>
      <x:c r="P40" s="33" t="n">
        <x:v>0</x:v>
      </x:c>
      <x:c r="Q40" s="33" t="n">
        <x:v>0</x:v>
      </x:c>
      <x:c r="R40" s="35" t="n">
        <x:v>0</x:v>
      </x:c>
      <x:c r="S40" s="56" t="n">
        <x:v>0</x:v>
      </x:c>
      <x:c r="T40" s="33" t="n">
        <x:v>0</x:v>
      </x:c>
      <x:c r="U40" s="33" t="n">
        <x:v>0</x:v>
      </x:c>
      <x:c r="V40" s="35" t="n">
        <x:v>0</x:v>
      </x:c>
      <x:c r="W40" s="35" t="n">
        <x:v>0</x:v>
      </x:c>
      <x:c r="X40" s="56" t="n">
        <x:v>0</x:v>
      </x:c>
      <x:c r="Y40" s="33" t="n">
        <x:v>0</x:v>
      </x:c>
      <x:c r="Z40" s="33" t="n">
        <x:v>0</x:v>
      </x:c>
      <x:c r="AA40" s="32" t="n">
        <x:v>1</x:v>
      </x:c>
      <x:c r="AB40" s="35" t="n">
        <x:v>0</x:v>
      </x:c>
      <x:c r="AC40" s="35" t="n">
        <x:v>0</x:v>
      </x:c>
      <x:c r="AD40" s="56" t="n">
        <x:v>0</x:v>
      </x:c>
      <x:c r="AE40" s="33" t="n">
        <x:v>0</x:v>
      </x:c>
      <x:c r="AF40" s="33" t="n">
        <x:v>0</x:v>
      </x:c>
      <x:c r="AG40" s="35" t="n">
        <x:v>0</x:v>
      </x:c>
      <x:c r="AH40" s="56" t="n">
        <x:v>0</x:v>
      </x:c>
      <x:c r="AI40" s="33" t="n">
        <x:v>0</x:v>
      </x:c>
      <x:c r="AJ40" s="33" t="n">
        <x:v>0</x:v>
      </x:c>
      <x:c r="AK40" s="35" t="n">
        <x:v>0</x:v>
      </x:c>
      <x:c r="AL40" s="35" t="n">
        <x:v>0</x:v>
      </x:c>
      <x:c r="AM40" s="35" t="n">
        <x:v>-1</x:v>
      </x:c>
    </x:row>
    <x:row r="41" ht="22" customHeight="1">
      <x:c r="A41" s="76" t="n">
        <x:v>32</x:v>
      </x:c>
      <x:c r="B41" s="76" t="str">
        <x:v>软边小席</x:v>
      </x:c>
      <x:c r="C41" s="76" t="n">
        <x:v>17</x:v>
      </x:c>
      <x:c r="D41" s="76" t="str">
        <x:v>纺织机</x:v>
      </x:c>
      <x:c r="E41" s="33" t="n">
        <x:v>0</x:v>
      </x:c>
      <x:c r="F41" s="33" t="n">
        <x:v>0</x:v>
      </x:c>
      <x:c r="G41" s="33" t="n">
        <x:v>0</x:v>
      </x:c>
      <x:c r="H41" s="33" t="n">
        <x:v>0</x:v>
      </x:c>
      <x:c r="I41" s="33" t="n">
        <x:v>0</x:v>
      </x:c>
      <x:c r="J41" s="33" t="n">
        <x:v>0</x:v>
      </x:c>
      <x:c r="K41" s="33" t="n">
        <x:v>0</x:v>
      </x:c>
      <x:c r="L41" s="33" t="n">
        <x:v>0</x:v>
      </x:c>
      <x:c r="M41" s="33" t="n">
        <x:v>0</x:v>
      </x:c>
      <x:c r="N41" s="56" t="n">
        <x:v>0</x:v>
      </x:c>
      <x:c r="O41" s="33" t="n">
        <x:v>0</x:v>
      </x:c>
      <x:c r="P41" s="33" t="n">
        <x:v>0</x:v>
      </x:c>
      <x:c r="Q41" s="33" t="n">
        <x:v>0</x:v>
      </x:c>
      <x:c r="R41" s="35" t="n">
        <x:v>0</x:v>
      </x:c>
      <x:c r="S41" s="56" t="n">
        <x:v>0</x:v>
      </x:c>
      <x:c r="T41" s="33" t="n">
        <x:v>0</x:v>
      </x:c>
      <x:c r="U41" s="33" t="n">
        <x:v>0</x:v>
      </x:c>
      <x:c r="V41" s="33" t="n">
        <x:v>0</x:v>
      </x:c>
      <x:c r="W41" s="35" t="n">
        <x:v>0</x:v>
      </x:c>
      <x:c r="X41" s="56" t="n">
        <x:v>0</x:v>
      </x:c>
      <x:c r="Y41" s="33" t="n">
        <x:v>0</x:v>
      </x:c>
      <x:c r="Z41" s="33" t="n">
        <x:v>0</x:v>
      </x:c>
      <x:c r="AA41" s="33" t="n">
        <x:v>0</x:v>
      </x:c>
      <x:c r="AB41" s="32" t="n">
        <x:v>1</x:v>
      </x:c>
      <x:c r="AC41" s="35" t="n">
        <x:v>0</x:v>
      </x:c>
      <x:c r="AD41" s="56" t="n">
        <x:v>0</x:v>
      </x:c>
      <x:c r="AE41" s="33" t="n">
        <x:v>0</x:v>
      </x:c>
      <x:c r="AF41" s="33" t="n">
        <x:v>0</x:v>
      </x:c>
      <x:c r="AG41" s="33" t="n">
        <x:v>0</x:v>
      </x:c>
      <x:c r="AH41" s="56" t="n">
        <x:v>0</x:v>
      </x:c>
      <x:c r="AI41" s="33" t="n">
        <x:v>0</x:v>
      </x:c>
      <x:c r="AJ41" s="33" t="n">
        <x:v>0</x:v>
      </x:c>
      <x:c r="AK41" s="33" t="n">
        <x:v>0</x:v>
      </x:c>
      <x:c r="AL41" s="35" t="n">
        <x:v>0</x:v>
      </x:c>
      <x:c r="AM41" s="35" t="n">
        <x:v>0</x:v>
      </x:c>
    </x:row>
    <x:row r="42" ht="22" customHeight="1">
      <x:c r="A42" s="76" t="n">
        <x:v>37</x:v>
      </x:c>
      <x:c r="B42" s="76" t="str">
        <x:v>雨滴篮子</x:v>
      </x:c>
      <x:c r="C42" s="76" t="n">
        <x:v>19</x:v>
      </x:c>
      <x:c r="D42" s="76" t="str">
        <x:v>纺织机</x:v>
      </x:c>
      <x:c r="E42" s="33" t="n">
        <x:v>0</x:v>
      </x:c>
      <x:c r="F42" s="33" t="n">
        <x:v>0</x:v>
      </x:c>
      <x:c r="G42" s="33" t="n">
        <x:v>0</x:v>
      </x:c>
      <x:c r="H42" s="33" t="n">
        <x:v>0</x:v>
      </x:c>
      <x:c r="I42" s="33" t="n">
        <x:v>0</x:v>
      </x:c>
      <x:c r="J42" s="33" t="n">
        <x:v>0</x:v>
      </x:c>
      <x:c r="K42" s="33" t="n">
        <x:v>0</x:v>
      </x:c>
      <x:c r="L42" s="33" t="n">
        <x:v>0</x:v>
      </x:c>
      <x:c r="M42" s="33" t="n">
        <x:v>0</x:v>
      </x:c>
      <x:c r="N42" s="56" t="n">
        <x:v>0</x:v>
      </x:c>
      <x:c r="O42" s="33" t="n">
        <x:v>0</x:v>
      </x:c>
      <x:c r="P42" s="33" t="n">
        <x:v>0</x:v>
      </x:c>
      <x:c r="Q42" s="33" t="n">
        <x:v>0</x:v>
      </x:c>
      <x:c r="R42" s="33" t="n">
        <x:v>0</x:v>
      </x:c>
      <x:c r="S42" s="56" t="n">
        <x:v>0</x:v>
      </x:c>
      <x:c r="T42" s="33" t="n">
        <x:v>0</x:v>
      </x:c>
      <x:c r="U42" s="33" t="n">
        <x:v>0</x:v>
      </x:c>
      <x:c r="V42" s="33" t="n">
        <x:v>0</x:v>
      </x:c>
      <x:c r="W42" s="35" t="n">
        <x:v>0</x:v>
      </x:c>
      <x:c r="X42" s="56" t="n">
        <x:v>0</x:v>
      </x:c>
      <x:c r="Y42" s="33" t="n">
        <x:v>0</x:v>
      </x:c>
      <x:c r="Z42" s="33" t="n">
        <x:v>0</x:v>
      </x:c>
      <x:c r="AA42" s="33" t="n">
        <x:v>0</x:v>
      </x:c>
      <x:c r="AB42" s="33" t="n">
        <x:v>0</x:v>
      </x:c>
      <x:c r="AC42" s="32" t="n">
        <x:v>1</x:v>
      </x:c>
      <x:c r="AD42" s="56" t="n">
        <x:v>0</x:v>
      </x:c>
      <x:c r="AE42" s="33" t="n">
        <x:v>0</x:v>
      </x:c>
      <x:c r="AF42" s="33" t="n">
        <x:v>0</x:v>
      </x:c>
      <x:c r="AG42" s="33" t="n">
        <x:v>0</x:v>
      </x:c>
      <x:c r="AH42" s="56" t="n">
        <x:v>0</x:v>
      </x:c>
      <x:c r="AI42" s="33" t="n">
        <x:v>0</x:v>
      </x:c>
      <x:c r="AJ42" s="33" t="n">
        <x:v>0</x:v>
      </x:c>
      <x:c r="AK42" s="33" t="n">
        <x:v>0</x:v>
      </x:c>
      <x:c r="AL42" s="33" t="n">
        <x:v>0</x:v>
      </x:c>
      <x:c r="AM42" s="35" t="n">
        <x:v>0</x:v>
      </x:c>
    </x:row>
    <x:row r="43" ht="22" customHeight="1">
      <x:c r="A43" s="85" t="n">
        <x:v>13</x:v>
      </x:c>
      <x:c r="B43" s="85" t="str">
        <x:v>薰衣草精油</x:v>
      </x:c>
      <x:c r="C43" s="85" t="n">
        <x:v>8</x:v>
      </x:c>
      <x:c r="D43" s="85" t="str">
        <x:v>萃取机</x:v>
      </x:c>
      <x:c r="E43" s="45" t="n">
        <x:v>0</x:v>
      </x:c>
      <x:c r="F43" s="45" t="n">
        <x:v>0</x:v>
      </x:c>
      <x:c r="G43" s="45" t="n">
        <x:v>0</x:v>
      </x:c>
      <x:c r="H43" s="45" t="n">
        <x:v>0</x:v>
      </x:c>
      <x:c r="I43" s="45" t="n">
        <x:v>0</x:v>
      </x:c>
      <x:c r="J43" s="45" t="n">
        <x:v>0</x:v>
      </x:c>
      <x:c r="K43" s="45" t="n">
        <x:v>0</x:v>
      </x:c>
      <x:c r="L43" s="45" t="n">
        <x:v>0</x:v>
      </x:c>
      <x:c r="M43" s="45" t="n">
        <x:v>0</x:v>
      </x:c>
      <x:c r="N43" s="68" t="n">
        <x:v>0</x:v>
      </x:c>
      <x:c r="O43" s="45" t="n">
        <x:v>0</x:v>
      </x:c>
      <x:c r="P43" s="45" t="n">
        <x:v>0</x:v>
      </x:c>
      <x:c r="Q43" s="47" t="n">
        <x:v>0</x:v>
      </x:c>
      <x:c r="R43" s="47" t="n">
        <x:v>0</x:v>
      </x:c>
      <x:c r="S43" s="68" t="n">
        <x:v>0</x:v>
      </x:c>
      <x:c r="T43" s="45" t="n">
        <x:v>0</x:v>
      </x:c>
      <x:c r="U43" s="47" t="n">
        <x:v>0</x:v>
      </x:c>
      <x:c r="V43" s="47" t="n">
        <x:v>0</x:v>
      </x:c>
      <x:c r="W43" s="47" t="n">
        <x:v>0</x:v>
      </x:c>
      <x:c r="X43" s="68" t="n">
        <x:v>0</x:v>
      </x:c>
      <x:c r="Y43" s="47" t="n">
        <x:v>0</x:v>
      </x:c>
      <x:c r="Z43" s="47" t="n">
        <x:v>0</x:v>
      </x:c>
      <x:c r="AA43" s="47" t="n">
        <x:v>0</x:v>
      </x:c>
      <x:c r="AB43" s="47" t="n">
        <x:v>0</x:v>
      </x:c>
      <x:c r="AC43" s="47" t="n">
        <x:v>0</x:v>
      </x:c>
      <x:c r="AD43" s="57" t="n">
        <x:v>1</x:v>
      </x:c>
      <x:c r="AE43" s="47" t="n">
        <x:v>0</x:v>
      </x:c>
      <x:c r="AF43" s="47" t="n">
        <x:v>0</x:v>
      </x:c>
      <x:c r="AG43" s="47" t="n">
        <x:v>0</x:v>
      </x:c>
      <x:c r="AH43" s="71" t="n">
        <x:v>0</x:v>
      </x:c>
      <x:c r="AI43" s="47" t="n">
        <x:v>-1</x:v>
      </x:c>
      <x:c r="AJ43" s="47" t="n">
        <x:v>0</x:v>
      </x:c>
      <x:c r="AK43" s="47" t="n">
        <x:v>0</x:v>
      </x:c>
      <x:c r="AL43" s="47" t="n">
        <x:v>0</x:v>
      </x:c>
      <x:c r="AM43" s="47" t="n">
        <x:v>0</x:v>
      </x:c>
    </x:row>
    <x:row r="44" ht="22" customHeight="1">
      <x:c r="A44" s="84" t="n">
        <x:v>18</x:v>
      </x:c>
      <x:c r="B44" s="84" t="str">
        <x:v>花瓣香水</x:v>
      </x:c>
      <x:c r="C44" s="84" t="n">
        <x:v>10</x:v>
      </x:c>
      <x:c r="D44" s="84" t="str">
        <x:v>萃取机</x:v>
      </x:c>
      <x:c r="E44" s="33" t="n">
        <x:v>0</x:v>
      </x:c>
      <x:c r="F44" s="33" t="n">
        <x:v>0</x:v>
      </x:c>
      <x:c r="G44" s="33" t="n">
        <x:v>0</x:v>
      </x:c>
      <x:c r="H44" s="33" t="n">
        <x:v>0</x:v>
      </x:c>
      <x:c r="I44" s="33" t="n">
        <x:v>0</x:v>
      </x:c>
      <x:c r="J44" s="33" t="n">
        <x:v>0</x:v>
      </x:c>
      <x:c r="K44" s="33" t="n">
        <x:v>0</x:v>
      </x:c>
      <x:c r="L44" s="33" t="n">
        <x:v>0</x:v>
      </x:c>
      <x:c r="M44" s="33" t="n">
        <x:v>0</x:v>
      </x:c>
      <x:c r="N44" s="56" t="n">
        <x:v>0</x:v>
      </x:c>
      <x:c r="O44" s="33" t="n">
        <x:v>0</x:v>
      </x:c>
      <x:c r="P44" s="33" t="n">
        <x:v>0</x:v>
      </x:c>
      <x:c r="Q44" s="35" t="n">
        <x:v>0</x:v>
      </x:c>
      <x:c r="R44" s="35" t="n">
        <x:v>0</x:v>
      </x:c>
      <x:c r="S44" s="56" t="n">
        <x:v>0</x:v>
      </x:c>
      <x:c r="T44" s="33" t="n">
        <x:v>0</x:v>
      </x:c>
      <x:c r="U44" s="35" t="n">
        <x:v>0</x:v>
      </x:c>
      <x:c r="V44" s="35" t="n">
        <x:v>0</x:v>
      </x:c>
      <x:c r="W44" s="35" t="n">
        <x:v>0</x:v>
      </x:c>
      <x:c r="X44" s="56" t="n">
        <x:v>0</x:v>
      </x:c>
      <x:c r="Y44" s="33" t="n">
        <x:v>0</x:v>
      </x:c>
      <x:c r="Z44" s="35" t="n">
        <x:v>0</x:v>
      </x:c>
      <x:c r="AA44" s="35" t="n">
        <x:v>0</x:v>
      </x:c>
      <x:c r="AB44" s="35" t="n">
        <x:v>0</x:v>
      </x:c>
      <x:c r="AC44" s="35" t="n">
        <x:v>0</x:v>
      </x:c>
      <x:c r="AD44" s="56" t="n">
        <x:v>0</x:v>
      </x:c>
      <x:c r="AE44" s="32" t="n">
        <x:v>1</x:v>
      </x:c>
      <x:c r="AF44" s="35" t="n">
        <x:v>0</x:v>
      </x:c>
      <x:c r="AG44" s="35" t="n">
        <x:v>0</x:v>
      </x:c>
      <x:c r="AH44" s="55" t="n">
        <x:v>0</x:v>
      </x:c>
      <x:c r="AI44" s="35" t="n">
        <x:v>0</x:v>
      </x:c>
      <x:c r="AJ44" s="35" t="n">
        <x:v>-1</x:v>
      </x:c>
      <x:c r="AK44" s="35" t="n">
        <x:v>0</x:v>
      </x:c>
      <x:c r="AL44" s="35" t="n">
        <x:v>0</x:v>
      </x:c>
      <x:c r="AM44" s="35" t="n">
        <x:v>0</x:v>
      </x:c>
    </x:row>
    <x:row r="45" ht="22" customHeight="1">
      <x:c r="A45" s="84" t="n">
        <x:v>25</x:v>
      </x:c>
      <x:c r="B45" s="84" t="str">
        <x:v>墨汁</x:v>
      </x:c>
      <x:c r="C45" s="84" t="n">
        <x:v>13</x:v>
      </x:c>
      <x:c r="D45" s="84" t="str">
        <x:v>萃取机</x:v>
      </x:c>
      <x:c r="E45" s="33" t="n">
        <x:v>0</x:v>
      </x:c>
      <x:c r="F45" s="33" t="n">
        <x:v>0</x:v>
      </x:c>
      <x:c r="G45" s="33" t="n">
        <x:v>0</x:v>
      </x:c>
      <x:c r="H45" s="33" t="n">
        <x:v>0</x:v>
      </x:c>
      <x:c r="I45" s="33" t="n">
        <x:v>0</x:v>
      </x:c>
      <x:c r="J45" s="33" t="n">
        <x:v>0</x:v>
      </x:c>
      <x:c r="K45" s="33" t="n">
        <x:v>0</x:v>
      </x:c>
      <x:c r="L45" s="33" t="n">
        <x:v>0</x:v>
      </x:c>
      <x:c r="M45" s="33" t="n">
        <x:v>0</x:v>
      </x:c>
      <x:c r="N45" s="56" t="n">
        <x:v>0</x:v>
      </x:c>
      <x:c r="O45" s="33" t="n">
        <x:v>0</x:v>
      </x:c>
      <x:c r="P45" s="33" t="n">
        <x:v>0</x:v>
      </x:c>
      <x:c r="Q45" s="35" t="n">
        <x:v>0</x:v>
      </x:c>
      <x:c r="R45" s="35" t="n">
        <x:v>0</x:v>
      </x:c>
      <x:c r="S45" s="56" t="n">
        <x:v>0</x:v>
      </x:c>
      <x:c r="T45" s="33" t="n">
        <x:v>0</x:v>
      </x:c>
      <x:c r="U45" s="33" t="n">
        <x:v>0</x:v>
      </x:c>
      <x:c r="V45" s="35" t="n">
        <x:v>0</x:v>
      </x:c>
      <x:c r="W45" s="35" t="n">
        <x:v>0</x:v>
      </x:c>
      <x:c r="X45" s="56" t="n">
        <x:v>0</x:v>
      </x:c>
      <x:c r="Y45" s="33" t="n">
        <x:v>0</x:v>
      </x:c>
      <x:c r="Z45" s="33" t="n">
        <x:v>0</x:v>
      </x:c>
      <x:c r="AA45" s="35" t="n">
        <x:v>0</x:v>
      </x:c>
      <x:c r="AB45" s="35" t="n">
        <x:v>0</x:v>
      </x:c>
      <x:c r="AC45" s="35" t="n">
        <x:v>0</x:v>
      </x:c>
      <x:c r="AD45" s="56" t="n">
        <x:v>0</x:v>
      </x:c>
      <x:c r="AE45" s="33" t="n">
        <x:v>0</x:v>
      </x:c>
      <x:c r="AF45" s="32" t="n">
        <x:v>1</x:v>
      </x:c>
      <x:c r="AG45" s="35" t="n">
        <x:v>0</x:v>
      </x:c>
      <x:c r="AH45" s="56" t="n">
        <x:v>0</x:v>
      </x:c>
      <x:c r="AI45" s="33" t="n">
        <x:v>0</x:v>
      </x:c>
      <x:c r="AJ45" s="35" t="n">
        <x:v>0</x:v>
      </x:c>
      <x:c r="AK45" s="35" t="n">
        <x:v>-1</x:v>
      </x:c>
      <x:c r="AL45" s="35" t="n">
        <x:v>0</x:v>
      </x:c>
      <x:c r="AM45" s="35" t="n">
        <x:v>0</x:v>
      </x:c>
    </x:row>
    <x:row r="46" ht="22" customHeight="1">
      <x:c r="A46" s="84" t="n">
        <x:v>31</x:v>
      </x:c>
      <x:c r="B46" s="84" t="str">
        <x:v>花蜡</x:v>
      </x:c>
      <x:c r="C46" s="84" t="n">
        <x:v>16</x:v>
      </x:c>
      <x:c r="D46" s="84" t="str">
        <x:v>萃取机</x:v>
      </x:c>
      <x:c r="E46" s="33" t="n">
        <x:v>0</x:v>
      </x:c>
      <x:c r="F46" s="33" t="n">
        <x:v>0</x:v>
      </x:c>
      <x:c r="G46" s="33" t="n">
        <x:v>0</x:v>
      </x:c>
      <x:c r="H46" s="33" t="n">
        <x:v>0</x:v>
      </x:c>
      <x:c r="I46" s="33" t="n">
        <x:v>0</x:v>
      </x:c>
      <x:c r="J46" s="33" t="n">
        <x:v>0</x:v>
      </x:c>
      <x:c r="K46" s="33" t="n">
        <x:v>0</x:v>
      </x:c>
      <x:c r="L46" s="33" t="n">
        <x:v>0</x:v>
      </x:c>
      <x:c r="M46" s="33" t="n">
        <x:v>0</x:v>
      </x:c>
      <x:c r="N46" s="56" t="n">
        <x:v>0</x:v>
      </x:c>
      <x:c r="O46" s="33" t="n">
        <x:v>0</x:v>
      </x:c>
      <x:c r="P46" s="33" t="n">
        <x:v>0</x:v>
      </x:c>
      <x:c r="Q46" s="33" t="n">
        <x:v>0</x:v>
      </x:c>
      <x:c r="R46" s="35" t="n">
        <x:v>0</x:v>
      </x:c>
      <x:c r="S46" s="56" t="n">
        <x:v>0</x:v>
      </x:c>
      <x:c r="T46" s="33" t="n">
        <x:v>0</x:v>
      </x:c>
      <x:c r="U46" s="33" t="n">
        <x:v>0</x:v>
      </x:c>
      <x:c r="V46" s="33" t="n">
        <x:v>0</x:v>
      </x:c>
      <x:c r="W46" s="35" t="n">
        <x:v>0</x:v>
      </x:c>
      <x:c r="X46" s="56" t="n">
        <x:v>0</x:v>
      </x:c>
      <x:c r="Y46" s="33" t="n">
        <x:v>0</x:v>
      </x:c>
      <x:c r="Z46" s="33" t="n">
        <x:v>0</x:v>
      </x:c>
      <x:c r="AA46" s="33" t="n">
        <x:v>0</x:v>
      </x:c>
      <x:c r="AB46" s="35" t="n">
        <x:v>0</x:v>
      </x:c>
      <x:c r="AC46" s="35" t="n">
        <x:v>-1</x:v>
      </x:c>
      <x:c r="AD46" s="56" t="n">
        <x:v>0</x:v>
      </x:c>
      <x:c r="AE46" s="33" t="n">
        <x:v>0</x:v>
      </x:c>
      <x:c r="AF46" s="33" t="n">
        <x:v>0</x:v>
      </x:c>
      <x:c r="AG46" s="32" t="n">
        <x:v>1</x:v>
      </x:c>
      <x:c r="AH46" s="56" t="n">
        <x:v>0</x:v>
      </x:c>
      <x:c r="AI46" s="33" t="n">
        <x:v>0</x:v>
      </x:c>
      <x:c r="AJ46" s="33" t="n">
        <x:v>0</x:v>
      </x:c>
      <x:c r="AK46" s="35" t="n">
        <x:v>0</x:v>
      </x:c>
      <x:c r="AL46" s="35" t="n">
        <x:v>0</x:v>
      </x:c>
      <x:c r="AM46" s="35" t="n">
        <x:v>0</x:v>
      </x:c>
    </x:row>
    <x:row r="47" ht="22" customHeight="1">
      <x:c r="A47" s="93" t="n">
        <x:v>19</x:v>
      </x:c>
      <x:c r="B47" s="93" t="str">
        <x:v>竹炭画笔</x:v>
      </x:c>
      <x:c r="C47" s="93" t="n">
        <x:v>10</x:v>
      </x:c>
      <x:c r="D47" s="93" t="str">
        <x:v>窑炉</x:v>
      </x:c>
      <x:c r="E47" s="45" t="n">
        <x:v>0</x:v>
      </x:c>
      <x:c r="F47" s="45" t="n">
        <x:v>0</x:v>
      </x:c>
      <x:c r="G47" s="45" t="n">
        <x:v>0</x:v>
      </x:c>
      <x:c r="H47" s="45" t="n">
        <x:v>0</x:v>
      </x:c>
      <x:c r="I47" s="45" t="n">
        <x:v>0</x:v>
      </x:c>
      <x:c r="J47" s="45" t="n">
        <x:v>0</x:v>
      </x:c>
      <x:c r="K47" s="45" t="n">
        <x:v>0</x:v>
      </x:c>
      <x:c r="L47" s="45" t="n">
        <x:v>0</x:v>
      </x:c>
      <x:c r="M47" s="45" t="n">
        <x:v>0</x:v>
      </x:c>
      <x:c r="N47" s="68" t="n">
        <x:v>0</x:v>
      </x:c>
      <x:c r="O47" s="45" t="n">
        <x:v>0</x:v>
      </x:c>
      <x:c r="P47" s="45" t="n">
        <x:v>0</x:v>
      </x:c>
      <x:c r="Q47" s="47" t="n">
        <x:v>0</x:v>
      </x:c>
      <x:c r="R47" s="47" t="n">
        <x:v>0</x:v>
      </x:c>
      <x:c r="S47" s="68" t="n">
        <x:v>0</x:v>
      </x:c>
      <x:c r="T47" s="45" t="n">
        <x:v>0</x:v>
      </x:c>
      <x:c r="U47" s="47" t="n">
        <x:v>0</x:v>
      </x:c>
      <x:c r="V47" s="47" t="n">
        <x:v>0</x:v>
      </x:c>
      <x:c r="W47" s="47" t="n">
        <x:v>0</x:v>
      </x:c>
      <x:c r="X47" s="68" t="n">
        <x:v>0</x:v>
      </x:c>
      <x:c r="Y47" s="45" t="n">
        <x:v>0</x:v>
      </x:c>
      <x:c r="Z47" s="47" t="n">
        <x:v>0</x:v>
      </x:c>
      <x:c r="AA47" s="47" t="n">
        <x:v>0</x:v>
      </x:c>
      <x:c r="AB47" s="47" t="n">
        <x:v>0</x:v>
      </x:c>
      <x:c r="AC47" s="47" t="n">
        <x:v>0</x:v>
      </x:c>
      <x:c r="AD47" s="68" t="n">
        <x:v>0</x:v>
      </x:c>
      <x:c r="AE47" s="47" t="n">
        <x:v>0</x:v>
      </x:c>
      <x:c r="AF47" s="47" t="n">
        <x:v>0</x:v>
      </x:c>
      <x:c r="AG47" s="47" t="n">
        <x:v>0</x:v>
      </x:c>
      <x:c r="AH47" s="57" t="n">
        <x:v>1</x:v>
      </x:c>
      <x:c r="AI47" s="47" t="n">
        <x:v>0</x:v>
      </x:c>
      <x:c r="AJ47" s="47" t="n">
        <x:v>0</x:v>
      </x:c>
      <x:c r="AK47" s="47" t="n">
        <x:v>0</x:v>
      </x:c>
      <x:c r="AL47" s="47" t="n">
        <x:v>0</x:v>
      </x:c>
      <x:c r="AM47" s="47" t="n">
        <x:v>0</x:v>
      </x:c>
    </x:row>
    <x:row r="48" ht="22" customHeight="1">
      <x:c r="A48" s="92" t="n">
        <x:v>23</x:v>
      </x:c>
      <x:c r="B48" s="92" t="str">
        <x:v>薰衣草香棒</x:v>
      </x:c>
      <x:c r="C48" s="92" t="n">
        <x:v>12</x:v>
      </x:c>
      <x:c r="D48" s="92" t="str">
        <x:v>窑炉</x:v>
      </x:c>
      <x:c r="E48" s="33" t="n">
        <x:v>0</x:v>
      </x:c>
      <x:c r="F48" s="33" t="n">
        <x:v>0</x:v>
      </x:c>
      <x:c r="G48" s="33" t="n">
        <x:v>0</x:v>
      </x:c>
      <x:c r="H48" s="33" t="n">
        <x:v>0</x:v>
      </x:c>
      <x:c r="I48" s="33" t="n">
        <x:v>0</x:v>
      </x:c>
      <x:c r="J48" s="33" t="n">
        <x:v>0</x:v>
      </x:c>
      <x:c r="K48" s="33" t="n">
        <x:v>0</x:v>
      </x:c>
      <x:c r="L48" s="33" t="n">
        <x:v>0</x:v>
      </x:c>
      <x:c r="M48" s="33" t="n">
        <x:v>0</x:v>
      </x:c>
      <x:c r="N48" s="56" t="n">
        <x:v>0</x:v>
      </x:c>
      <x:c r="O48" s="33" t="n">
        <x:v>0</x:v>
      </x:c>
      <x:c r="P48" s="33" t="n">
        <x:v>0</x:v>
      </x:c>
      <x:c r="Q48" s="35" t="n">
        <x:v>0</x:v>
      </x:c>
      <x:c r="R48" s="35" t="n">
        <x:v>0</x:v>
      </x:c>
      <x:c r="S48" s="56" t="n">
        <x:v>0</x:v>
      </x:c>
      <x:c r="T48" s="33" t="n">
        <x:v>0</x:v>
      </x:c>
      <x:c r="U48" s="33" t="n">
        <x:v>0</x:v>
      </x:c>
      <x:c r="V48" s="35" t="n">
        <x:v>0</x:v>
      </x:c>
      <x:c r="W48" s="35" t="n">
        <x:v>0</x:v>
      </x:c>
      <x:c r="X48" s="56" t="n">
        <x:v>0</x:v>
      </x:c>
      <x:c r="Y48" s="33" t="n">
        <x:v>0</x:v>
      </x:c>
      <x:c r="Z48" s="33" t="n">
        <x:v>0</x:v>
      </x:c>
      <x:c r="AA48" s="35" t="n">
        <x:v>0</x:v>
      </x:c>
      <x:c r="AB48" s="35" t="n">
        <x:v>0</x:v>
      </x:c>
      <x:c r="AC48" s="35" t="n">
        <x:v>0</x:v>
      </x:c>
      <x:c r="AD48" s="56" t="n">
        <x:v>0</x:v>
      </x:c>
      <x:c r="AE48" s="33" t="n">
        <x:v>0</x:v>
      </x:c>
      <x:c r="AF48" s="35" t="n">
        <x:v>0</x:v>
      </x:c>
      <x:c r="AG48" s="35" t="n">
        <x:v>0</x:v>
      </x:c>
      <x:c r="AH48" s="56" t="n">
        <x:v>0</x:v>
      </x:c>
      <x:c r="AI48" s="32" t="n">
        <x:v>1</x:v>
      </x:c>
      <x:c r="AJ48" s="35" t="n">
        <x:v>0</x:v>
      </x:c>
      <x:c r="AK48" s="35" t="n">
        <x:v>0</x:v>
      </x:c>
      <x:c r="AL48" s="35" t="n">
        <x:v>0</x:v>
      </x:c>
      <x:c r="AM48" s="35" t="n">
        <x:v>0</x:v>
      </x:c>
    </x:row>
    <x:row r="49" ht="22" customHeight="1">
      <x:c r="A49" s="92" t="n">
        <x:v>26</x:v>
      </x:c>
      <x:c r="B49" s="92" t="str">
        <x:v>竹制盆景</x:v>
      </x:c>
      <x:c r="C49" s="92" t="n">
        <x:v>14</x:v>
      </x:c>
      <x:c r="D49" s="92" t="str">
        <x:v>窑炉</x:v>
      </x:c>
      <x:c r="E49" s="33" t="n">
        <x:v>0</x:v>
      </x:c>
      <x:c r="F49" s="33" t="n">
        <x:v>0</x:v>
      </x:c>
      <x:c r="G49" s="33" t="n">
        <x:v>0</x:v>
      </x:c>
      <x:c r="H49" s="33" t="n">
        <x:v>0</x:v>
      </x:c>
      <x:c r="I49" s="33" t="n">
        <x:v>0</x:v>
      </x:c>
      <x:c r="J49" s="33" t="n">
        <x:v>0</x:v>
      </x:c>
      <x:c r="K49" s="33" t="n">
        <x:v>0</x:v>
      </x:c>
      <x:c r="L49" s="33" t="n">
        <x:v>0</x:v>
      </x:c>
      <x:c r="M49" s="33" t="n">
        <x:v>0</x:v>
      </x:c>
      <x:c r="N49" s="56" t="n">
        <x:v>0</x:v>
      </x:c>
      <x:c r="O49" s="33" t="n">
        <x:v>0</x:v>
      </x:c>
      <x:c r="P49" s="33" t="n">
        <x:v>0</x:v>
      </x:c>
      <x:c r="Q49" s="33" t="n">
        <x:v>0</x:v>
      </x:c>
      <x:c r="R49" s="35" t="n">
        <x:v>0</x:v>
      </x:c>
      <x:c r="S49" s="56" t="n">
        <x:v>0</x:v>
      </x:c>
      <x:c r="T49" s="33" t="n">
        <x:v>0</x:v>
      </x:c>
      <x:c r="U49" s="33" t="n">
        <x:v>0</x:v>
      </x:c>
      <x:c r="V49" s="35" t="n">
        <x:v>0</x:v>
      </x:c>
      <x:c r="W49" s="35" t="n">
        <x:v>0</x:v>
      </x:c>
      <x:c r="X49" s="56" t="n">
        <x:v>0</x:v>
      </x:c>
      <x:c r="Y49" s="33" t="n">
        <x:v>0</x:v>
      </x:c>
      <x:c r="Z49" s="33" t="n">
        <x:v>0</x:v>
      </x:c>
      <x:c r="AA49" s="35" t="n">
        <x:v>0</x:v>
      </x:c>
      <x:c r="AB49" s="35" t="n">
        <x:v>0</x:v>
      </x:c>
      <x:c r="AC49" s="35" t="n">
        <x:v>0</x:v>
      </x:c>
      <x:c r="AD49" s="56" t="n">
        <x:v>0</x:v>
      </x:c>
      <x:c r="AE49" s="33" t="n">
        <x:v>0</x:v>
      </x:c>
      <x:c r="AF49" s="33" t="n">
        <x:v>0</x:v>
      </x:c>
      <x:c r="AG49" s="35" t="n">
        <x:v>0</x:v>
      </x:c>
      <x:c r="AH49" s="56" t="n">
        <x:v>0</x:v>
      </x:c>
      <x:c r="AI49" s="33" t="n">
        <x:v>0</x:v>
      </x:c>
      <x:c r="AJ49" s="32" t="n">
        <x:v>1</x:v>
      </x:c>
      <x:c r="AK49" s="35" t="n">
        <x:v>0</x:v>
      </x:c>
      <x:c r="AL49" s="35" t="n">
        <x:v>0</x:v>
      </x:c>
      <x:c r="AM49" s="35" t="n">
        <x:v>0</x:v>
      </x:c>
    </x:row>
    <x:row r="50" ht="22" customHeight="1">
      <x:c r="A50" s="92" t="n">
        <x:v>29</x:v>
      </x:c>
      <x:c r="B50" s="92" t="str">
        <x:v>圈圈蚊香</x:v>
      </x:c>
      <x:c r="C50" s="92" t="n">
        <x:v>16</x:v>
      </x:c>
      <x:c r="D50" s="92" t="str">
        <x:v>窑炉</x:v>
      </x:c>
      <x:c r="E50" s="33" t="n">
        <x:v>0</x:v>
      </x:c>
      <x:c r="F50" s="33" t="n">
        <x:v>0</x:v>
      </x:c>
      <x:c r="G50" s="33" t="n">
        <x:v>0</x:v>
      </x:c>
      <x:c r="H50" s="33" t="n">
        <x:v>0</x:v>
      </x:c>
      <x:c r="I50" s="33" t="n">
        <x:v>0</x:v>
      </x:c>
      <x:c r="J50" s="33" t="n">
        <x:v>0</x:v>
      </x:c>
      <x:c r="K50" s="33" t="n">
        <x:v>0</x:v>
      </x:c>
      <x:c r="L50" s="33" t="n">
        <x:v>0</x:v>
      </x:c>
      <x:c r="M50" s="33" t="n">
        <x:v>0</x:v>
      </x:c>
      <x:c r="N50" s="56" t="n">
        <x:v>0</x:v>
      </x:c>
      <x:c r="O50" s="33" t="n">
        <x:v>0</x:v>
      </x:c>
      <x:c r="P50" s="33" t="n">
        <x:v>0</x:v>
      </x:c>
      <x:c r="Q50" s="33" t="n">
        <x:v>0</x:v>
      </x:c>
      <x:c r="R50" s="35" t="n">
        <x:v>0</x:v>
      </x:c>
      <x:c r="S50" s="56" t="n">
        <x:v>0</x:v>
      </x:c>
      <x:c r="T50" s="33" t="n">
        <x:v>0</x:v>
      </x:c>
      <x:c r="U50" s="33" t="n">
        <x:v>0</x:v>
      </x:c>
      <x:c r="V50" s="33" t="n">
        <x:v>0</x:v>
      </x:c>
      <x:c r="W50" s="35" t="n">
        <x:v>0</x:v>
      </x:c>
      <x:c r="X50" s="56" t="n">
        <x:v>0</x:v>
      </x:c>
      <x:c r="Y50" s="33" t="n">
        <x:v>0</x:v>
      </x:c>
      <x:c r="Z50" s="33" t="n">
        <x:v>0</x:v>
      </x:c>
      <x:c r="AA50" s="33" t="n">
        <x:v>0</x:v>
      </x:c>
      <x:c r="AB50" s="35" t="n">
        <x:v>0</x:v>
      </x:c>
      <x:c r="AC50" s="35" t="n">
        <x:v>0</x:v>
      </x:c>
      <x:c r="AD50" s="56" t="n">
        <x:v>0</x:v>
      </x:c>
      <x:c r="AE50" s="33" t="n">
        <x:v>0</x:v>
      </x:c>
      <x:c r="AF50" s="33" t="n">
        <x:v>0</x:v>
      </x:c>
      <x:c r="AG50" s="35" t="n">
        <x:v>0</x:v>
      </x:c>
      <x:c r="AH50" s="56" t="n">
        <x:v>0</x:v>
      </x:c>
      <x:c r="AI50" s="33" t="n">
        <x:v>0</x:v>
      </x:c>
      <x:c r="AJ50" s="33" t="n">
        <x:v>0</x:v>
      </x:c>
      <x:c r="AK50" s="32" t="n">
        <x:v>1</x:v>
      </x:c>
      <x:c r="AL50" s="35" t="n">
        <x:v>0</x:v>
      </x:c>
      <x:c r="AM50" s="35" t="n">
        <x:v>0</x:v>
      </x:c>
    </x:row>
    <x:row r="51" ht="22" customHeight="1">
      <x:c r="A51" s="92" t="n">
        <x:v>34</x:v>
      </x:c>
      <x:c r="B51" s="92" t="str">
        <x:v>薰衣草软垫</x:v>
      </x:c>
      <x:c r="C51" s="92" t="n">
        <x:v>18</x:v>
      </x:c>
      <x:c r="D51" s="92" t="str">
        <x:v>窑炉</x:v>
      </x:c>
      <x:c r="E51" s="33" t="n">
        <x:v>0</x:v>
      </x:c>
      <x:c r="F51" s="33" t="n">
        <x:v>0</x:v>
      </x:c>
      <x:c r="G51" s="33" t="n">
        <x:v>0</x:v>
      </x:c>
      <x:c r="H51" s="33" t="n">
        <x:v>0</x:v>
      </x:c>
      <x:c r="I51" s="33" t="n">
        <x:v>0</x:v>
      </x:c>
      <x:c r="J51" s="33" t="n">
        <x:v>0</x:v>
      </x:c>
      <x:c r="K51" s="33" t="n">
        <x:v>0</x:v>
      </x:c>
      <x:c r="L51" s="33" t="n">
        <x:v>0</x:v>
      </x:c>
      <x:c r="M51" s="33" t="n">
        <x:v>0</x:v>
      </x:c>
      <x:c r="N51" s="56" t="n">
        <x:v>0</x:v>
      </x:c>
      <x:c r="O51" s="33" t="n">
        <x:v>0</x:v>
      </x:c>
      <x:c r="P51" s="33" t="n">
        <x:v>0</x:v>
      </x:c>
      <x:c r="Q51" s="33" t="n">
        <x:v>0</x:v>
      </x:c>
      <x:c r="R51" s="35" t="n">
        <x:v>0</x:v>
      </x:c>
      <x:c r="S51" s="56" t="n">
        <x:v>0</x:v>
      </x:c>
      <x:c r="T51" s="33" t="n">
        <x:v>0</x:v>
      </x:c>
      <x:c r="U51" s="33" t="n">
        <x:v>0</x:v>
      </x:c>
      <x:c r="V51" s="33" t="n">
        <x:v>0</x:v>
      </x:c>
      <x:c r="W51" s="35" t="n">
        <x:v>0</x:v>
      </x:c>
      <x:c r="X51" s="56" t="n">
        <x:v>0</x:v>
      </x:c>
      <x:c r="Y51" s="33" t="n">
        <x:v>0</x:v>
      </x:c>
      <x:c r="Z51" s="33" t="n">
        <x:v>0</x:v>
      </x:c>
      <x:c r="AA51" s="33" t="n">
        <x:v>0</x:v>
      </x:c>
      <x:c r="AB51" s="33" t="n">
        <x:v>0</x:v>
      </x:c>
      <x:c r="AC51" s="35" t="n">
        <x:v>0</x:v>
      </x:c>
      <x:c r="AD51" s="56" t="n">
        <x:v>0</x:v>
      </x:c>
      <x:c r="AE51" s="33" t="n">
        <x:v>0</x:v>
      </x:c>
      <x:c r="AF51" s="33" t="n">
        <x:v>0</x:v>
      </x:c>
      <x:c r="AG51" s="33" t="n">
        <x:v>0</x:v>
      </x:c>
      <x:c r="AH51" s="56" t="n">
        <x:v>0</x:v>
      </x:c>
      <x:c r="AI51" s="33" t="n">
        <x:v>0</x:v>
      </x:c>
      <x:c r="AJ51" s="33" t="n">
        <x:v>0</x:v>
      </x:c>
      <x:c r="AK51" s="33" t="n">
        <x:v>0</x:v>
      </x:c>
      <x:c r="AL51" s="32" t="n">
        <x:v>1</x:v>
      </x:c>
      <x:c r="AM51" s="35" t="n">
        <x:v>0</x:v>
      </x:c>
    </x:row>
    <x:row r="52" ht="22" customHeight="1">
      <x:c r="A52" s="92" t="n">
        <x:v>38</x:v>
      </x:c>
      <x:c r="B52" s="92" t="str">
        <x:v>花瓣小灯</x:v>
      </x:c>
      <x:c r="C52" s="92" t="n">
        <x:v>20</x:v>
      </x:c>
      <x:c r="D52" s="92" t="str">
        <x:v>窑炉</x:v>
      </x:c>
      <x:c r="E52" s="33" t="n">
        <x:v>0</x:v>
      </x:c>
      <x:c r="F52" s="33" t="n">
        <x:v>0</x:v>
      </x:c>
      <x:c r="G52" s="33" t="n">
        <x:v>0</x:v>
      </x:c>
      <x:c r="H52" s="33" t="n">
        <x:v>0</x:v>
      </x:c>
      <x:c r="I52" s="33" t="n">
        <x:v>0</x:v>
      </x:c>
      <x:c r="J52" s="33" t="n">
        <x:v>0</x:v>
      </x:c>
      <x:c r="K52" s="33" t="n">
        <x:v>0</x:v>
      </x:c>
      <x:c r="L52" s="33" t="n">
        <x:v>0</x:v>
      </x:c>
      <x:c r="M52" s="33" t="n">
        <x:v>0</x:v>
      </x:c>
      <x:c r="N52" s="56" t="n">
        <x:v>0</x:v>
      </x:c>
      <x:c r="O52" s="33" t="n">
        <x:v>0</x:v>
      </x:c>
      <x:c r="P52" s="33" t="n">
        <x:v>0</x:v>
      </x:c>
      <x:c r="Q52" s="33" t="n">
        <x:v>0</x:v>
      </x:c>
      <x:c r="R52" s="33" t="n">
        <x:v>0</x:v>
      </x:c>
      <x:c r="S52" s="56" t="n">
        <x:v>0</x:v>
      </x:c>
      <x:c r="T52" s="33" t="n">
        <x:v>0</x:v>
      </x:c>
      <x:c r="U52" s="33" t="n">
        <x:v>0</x:v>
      </x:c>
      <x:c r="V52" s="33" t="n">
        <x:v>0</x:v>
      </x:c>
      <x:c r="W52" s="33" t="n">
        <x:v>0</x:v>
      </x:c>
      <x:c r="X52" s="56" t="n">
        <x:v>0</x:v>
      </x:c>
      <x:c r="Y52" s="33" t="n">
        <x:v>0</x:v>
      </x:c>
      <x:c r="Z52" s="33" t="n">
        <x:v>0</x:v>
      </x:c>
      <x:c r="AA52" s="33" t="n">
        <x:v>0</x:v>
      </x:c>
      <x:c r="AB52" s="33" t="n">
        <x:v>0</x:v>
      </x:c>
      <x:c r="AC52" s="33" t="n">
        <x:v>0</x:v>
      </x:c>
      <x:c r="AD52" s="56" t="n">
        <x:v>0</x:v>
      </x:c>
      <x:c r="AE52" s="33" t="n">
        <x:v>0</x:v>
      </x:c>
      <x:c r="AF52" s="33" t="n">
        <x:v>0</x:v>
      </x:c>
      <x:c r="AG52" s="33" t="n">
        <x:v>0</x:v>
      </x:c>
      <x:c r="AH52" s="56" t="n">
        <x:v>0</x:v>
      </x:c>
      <x:c r="AI52" s="33" t="n">
        <x:v>0</x:v>
      </x:c>
      <x:c r="AJ52" s="33" t="n">
        <x:v>0</x:v>
      </x:c>
      <x:c r="AK52" s="33" t="n">
        <x:v>0</x:v>
      </x:c>
      <x:c r="AL52" s="33" t="n">
        <x:v>0</x:v>
      </x:c>
      <x:c r="AM52" s="32" t="n">
        <x:v>1</x:v>
      </x:c>
    </x:row>
    <x:row r="53" ht="22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  <x:c r="AI53" s="9"/>
      <x:c r="AJ53" s="9"/>
      <x:c r="AK53" s="9"/>
      <x:c r="AL53" s="9"/>
      <x:c r="AM53" s="9"/>
    </x:row>
    <x:row r="54" ht="22" customHeight="1">
      <x:c r="A54" s="9" t="str">
        <x:v>配方：正1为本品产出，负数为投入件数，空白/0为无投入。作物不填投入。</x:v>
      </x:c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  <x:c r="AI54" s="9"/>
      <x:c r="AJ54" s="9"/>
      <x:c r="AK54" s="9"/>
      <x:c r="AL54" s="9"/>
      <x:c r="AM54" s="9"/>
    </x:row>
    <x:row r="55" ht="22" customHeight="1">
      <x:c r="A55" s="9" t="str">
        <x:v>累计复杂度＝全链去重商品种类，含作物与目标；单步复杂度＝直接投入种类。</x:v>
      </x:c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  <x:c r="AI55" s="9"/>
      <x:c r="AJ55" s="9"/>
      <x:c r="AK55" s="9"/>
      <x:c r="AL55" s="9"/>
      <x:c r="AM55" s="9"/>
    </x:row>
    <x:row r="56" ht="22" customHeight="1">
      <x:c r="A56" s="9" t="str">
        <x:v>底稿：桃源节奏参考版自拟方案，网页支持新增和等级规划；不是桃源原配置。</x:v>
      </x:c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  <x:c r="S56" s="9"/>
      <x:c r="T56" s="9"/>
      <x:c r="U56" s="9"/>
      <x:c r="V56" s="9"/>
      <x:c r="W56" s="9"/>
      <x:c r="X56" s="9"/>
      <x:c r="Y56" s="9"/>
      <x:c r="Z56" s="9"/>
      <x:c r="AA56" s="9"/>
      <x:c r="AB56" s="9"/>
      <x:c r="AC56" s="9"/>
      <x:c r="AD56" s="9"/>
      <x:c r="AE56" s="9"/>
      <x:c r="AF56" s="9"/>
      <x:c r="AG56" s="9"/>
      <x:c r="AH56" s="9"/>
      <x:c r="AI56" s="9"/>
      <x:c r="AJ56" s="9"/>
      <x:c r="AK56" s="9"/>
      <x:c r="AL56" s="9"/>
      <x:c r="AM56" s="9"/>
    </x:row>
    <x:row r="58">
      <x:c r="A58" s="224" t="str">
        <x:v>输出</x:v>
      </x:c>
      <x:c r="B58" s="224" t="str">
        <x:v>金币价格</x:v>
      </x:c>
      <x:c r="C58" s="224" t="str">
        <x:v>金币</x:v>
      </x:c>
      <x:c r="D58" s="224" t="str"/>
      <x:c r="E58" s="225" t="n">
        <x:f>'06_价格配置'!I38</x:f>
        <x:v>1</x:v>
      </x:c>
      <x:c r="F58" s="225" t="n">
        <x:f>'06_价格配置'!I39</x:f>
        <x:v>2</x:v>
      </x:c>
      <x:c r="G58" s="225" t="n">
        <x:f>'06_价格配置'!I40</x:f>
        <x:v>3</x:v>
      </x:c>
      <x:c r="H58" s="225" t="n">
        <x:f>'06_价格配置'!I41</x:f>
        <x:v>3</x:v>
      </x:c>
      <x:c r="I58" s="225" t="n">
        <x:f>'06_价格配置'!I42</x:f>
        <x:v>4</x:v>
      </x:c>
      <x:c r="J58" s="225" t="n">
        <x:f>'06_价格配置'!I43</x:f>
        <x:v>5</x:v>
      </x:c>
      <x:c r="K58" s="225" t="n">
        <x:f>'06_价格配置'!I44</x:f>
        <x:v>6</x:v>
      </x:c>
      <x:c r="L58" s="225" t="n">
        <x:f>'06_价格配置'!I45</x:f>
        <x:v>6</x:v>
      </x:c>
      <x:c r="M58" s="225" t="n">
        <x:f>'06_价格配置'!I46</x:f>
        <x:v>7</x:v>
      </x:c>
      <x:c r="N58" s="225" t="n">
        <x:f>'06_价格配置'!I47</x:f>
        <x:v>6</x:v>
      </x:c>
      <x:c r="O58" s="225" t="n">
        <x:f>'06_价格配置'!I48</x:f>
        <x:v>9</x:v>
      </x:c>
      <x:c r="P58" s="225" t="n">
        <x:f>'06_价格配置'!I49</x:f>
        <x:v>14</x:v>
      </x:c>
      <x:c r="Q58" s="225" t="n">
        <x:f>'06_价格配置'!I50</x:f>
        <x:v>20</x:v>
      </x:c>
      <x:c r="R58" s="225" t="n">
        <x:f>'06_价格配置'!I51</x:f>
        <x:v>26</x:v>
      </x:c>
      <x:c r="S58" s="225" t="n">
        <x:f>'06_价格配置'!I52</x:f>
        <x:v>12</x:v>
      </x:c>
      <x:c r="T58" s="225" t="n">
        <x:f>'06_价格配置'!I53</x:f>
        <x:v>17</x:v>
      </x:c>
      <x:c r="U58" s="225" t="n">
        <x:f>'06_价格配置'!I54</x:f>
        <x:v>22</x:v>
      </x:c>
      <x:c r="V58" s="225" t="n">
        <x:f>'06_价格配置'!I55</x:f>
        <x:v>27</x:v>
      </x:c>
      <x:c r="W58" s="225" t="n">
        <x:f>'06_价格配置'!I56</x:f>
        <x:v>29</x:v>
      </x:c>
      <x:c r="X58" s="225" t="n">
        <x:f>'06_价格配置'!I57</x:f>
        <x:v>28</x:v>
      </x:c>
      <x:c r="Y58" s="225" t="n">
        <x:f>'06_价格配置'!I58</x:f>
        <x:v>22</x:v>
      </x:c>
      <x:c r="Z58" s="225" t="n">
        <x:f>'06_价格配置'!I59</x:f>
        <x:v>33</x:v>
      </x:c>
      <x:c r="AA58" s="225" t="n">
        <x:f>'06_价格配置'!I60</x:f>
        <x:v>45</x:v>
      </x:c>
      <x:c r="AB58" s="225" t="n">
        <x:f>'06_价格配置'!I61</x:f>
        <x:v>42</x:v>
      </x:c>
      <x:c r="AC58" s="225" t="n">
        <x:f>'06_价格配置'!I62</x:f>
        <x:v>54</x:v>
      </x:c>
      <x:c r="AD58" s="225" t="n">
        <x:f>'06_价格配置'!I63</x:f>
        <x:v>16</x:v>
      </x:c>
      <x:c r="AE58" s="225" t="n">
        <x:f>'06_价格配置'!I64</x:f>
        <x:v>26</x:v>
      </x:c>
      <x:c r="AF58" s="225" t="n">
        <x:f>'06_价格配置'!I65</x:f>
        <x:v>30</x:v>
      </x:c>
      <x:c r="AG58" s="225" t="n">
        <x:f>'06_价格配置'!I66</x:f>
        <x:v>31</x:v>
      </x:c>
      <x:c r="AH58" s="225" t="n">
        <x:f>'06_价格配置'!I67</x:f>
        <x:v>37</x:v>
      </x:c>
      <x:c r="AI58" s="225" t="n">
        <x:f>'06_价格配置'!I68</x:f>
        <x:v>42</x:v>
      </x:c>
      <x:c r="AJ58" s="225" t="n">
        <x:f>'06_价格配置'!I69</x:f>
        <x:v>59</x:v>
      </x:c>
      <x:c r="AK58" s="225" t="n">
        <x:f>'06_价格配置'!I70</x:f>
        <x:v>70</x:v>
      </x:c>
      <x:c r="AL58" s="225" t="n">
        <x:f>'06_价格配置'!I71</x:f>
        <x:v>65</x:v>
      </x:c>
      <x:c r="AM58" s="225" t="n">
        <x:f>'06_价格配置'!I72</x:f>
        <x:v>100</x:v>
      </x:c>
    </x:row>
    <x:row r="59">
      <x:c r="A59" s="219" t="str">
        <x:v>输出</x:v>
      </x:c>
      <x:c r="B59" s="219" t="str">
        <x:v>价格状态</x:v>
      </x:c>
      <x:c r="C59" s="219" t="str"/>
      <x:c r="D59" s="219" t="str"/>
      <x:c r="E59" s="222" t="str">
        <x:f>'06_价格配置'!M38</x:f>
        <x:v>配置值</x:v>
      </x:c>
      <x:c r="F59" s="222" t="str">
        <x:f>'06_价格配置'!M39</x:f>
        <x:v>配置值</x:v>
      </x:c>
      <x:c r="G59" s="222" t="str">
        <x:f>'06_价格配置'!M40</x:f>
        <x:v>配置值</x:v>
      </x:c>
      <x:c r="H59" s="222" t="str">
        <x:f>'06_价格配置'!M41</x:f>
        <x:v>含估算</x:v>
      </x:c>
      <x:c r="I59" s="222" t="str">
        <x:f>'06_价格配置'!M42</x:f>
        <x:v>配置值</x:v>
      </x:c>
      <x:c r="J59" s="222" t="str">
        <x:f>'06_价格配置'!M43</x:f>
        <x:v>配置值</x:v>
      </x:c>
      <x:c r="K59" s="222" t="str">
        <x:f>'06_价格配置'!M44</x:f>
        <x:v>配置值</x:v>
      </x:c>
      <x:c r="L59" s="222" t="str">
        <x:f>'06_价格配置'!M45</x:f>
        <x:v>含估算</x:v>
      </x:c>
      <x:c r="M59" s="222" t="str">
        <x:f>'06_价格配置'!M46</x:f>
        <x:v>配置值</x:v>
      </x:c>
      <x:c r="N59" s="222" t="str">
        <x:f>'06_价格配置'!M47</x:f>
        <x:v>配置值</x:v>
      </x:c>
      <x:c r="O59" s="222" t="str">
        <x:f>'06_价格配置'!M48</x:f>
        <x:v>配置值</x:v>
      </x:c>
      <x:c r="P59" s="222" t="str">
        <x:f>'06_价格配置'!M49</x:f>
        <x:v>含估算</x:v>
      </x:c>
      <x:c r="Q59" s="222" t="str">
        <x:f>'06_价格配置'!M50</x:f>
        <x:v>含估算</x:v>
      </x:c>
      <x:c r="R59" s="222" t="str">
        <x:f>'06_价格配置'!M51</x:f>
        <x:v>配置值</x:v>
      </x:c>
      <x:c r="S59" s="222" t="str">
        <x:f>'06_价格配置'!M52</x:f>
        <x:v>配置值</x:v>
      </x:c>
      <x:c r="T59" s="222" t="str">
        <x:f>'06_价格配置'!M53</x:f>
        <x:v>配置值</x:v>
      </x:c>
      <x:c r="U59" s="222" t="str">
        <x:f>'06_价格配置'!M54</x:f>
        <x:v>配置值</x:v>
      </x:c>
      <x:c r="V59" s="222" t="str">
        <x:f>'06_价格配置'!M55</x:f>
        <x:v>含估算</x:v>
      </x:c>
      <x:c r="W59" s="222" t="str">
        <x:f>'06_价格配置'!M56</x:f>
        <x:v>配置值</x:v>
      </x:c>
      <x:c r="X59" s="222" t="str">
        <x:f>'06_价格配置'!M57</x:f>
        <x:v>配置值</x:v>
      </x:c>
      <x:c r="Y59" s="222" t="str">
        <x:f>'06_价格配置'!M58</x:f>
        <x:v>含估算</x:v>
      </x:c>
      <x:c r="Z59" s="222" t="str">
        <x:f>'06_价格配置'!M59</x:f>
        <x:v>配置值</x:v>
      </x:c>
      <x:c r="AA59" s="222" t="str">
        <x:f>'06_价格配置'!M60</x:f>
        <x:v>配置值</x:v>
      </x:c>
      <x:c r="AB59" s="222" t="str">
        <x:f>'06_价格配置'!M61</x:f>
        <x:v>含估算</x:v>
      </x:c>
      <x:c r="AC59" s="222" t="str">
        <x:f>'06_价格配置'!M62</x:f>
        <x:v>含估算</x:v>
      </x:c>
      <x:c r="AD59" s="222" t="str">
        <x:f>'06_价格配置'!M63</x:f>
        <x:v>配置值</x:v>
      </x:c>
      <x:c r="AE59" s="222" t="str">
        <x:f>'06_价格配置'!M64</x:f>
        <x:v>含估算</x:v>
      </x:c>
      <x:c r="AF59" s="222" t="str">
        <x:f>'06_价格配置'!M65</x:f>
        <x:v>配置值</x:v>
      </x:c>
      <x:c r="AG59" s="222" t="str">
        <x:f>'06_价格配置'!M66</x:f>
        <x:v>含估算</x:v>
      </x:c>
      <x:c r="AH59" s="222" t="str">
        <x:f>'06_价格配置'!M67</x:f>
        <x:v>含估算</x:v>
      </x:c>
      <x:c r="AI59" s="222" t="str">
        <x:f>'06_价格配置'!M68</x:f>
        <x:v>含估算</x:v>
      </x:c>
      <x:c r="AJ59" s="222" t="str">
        <x:f>'06_价格配置'!M69</x:f>
        <x:v>含估算</x:v>
      </x:c>
      <x:c r="AK59" s="222" t="str">
        <x:f>'06_价格配置'!M70</x:f>
        <x:v>含估算</x:v>
      </x:c>
      <x:c r="AL59" s="222" t="str">
        <x:f>'06_价格配置'!M71</x:f>
        <x:v>含估算</x:v>
      </x:c>
      <x:c r="AM59" s="222" t="str">
        <x:f>'06_价格配置'!M72</x:f>
        <x:v>含估算</x:v>
      </x:c>
    </x:row>
  </x:sheetData>
  <x:conditionalFormatting sqref="E18:AM52">
    <x:cfRule type="cellIs" dxfId="0" priority="1" operator="lessThan">
      <x:formula>0</x:formula>
    </x:cfRule>
  </x:conditionalFormatting>
  <x:conditionalFormatting sqref="E11:AM12">
    <x:cfRule type="containsText" dxfId="1" priority="2" operator="containsText" text="待"/>
  </x:conditionalFormatting>
  <x:dataValidations count="1366">
    <x:dataValidation type="whole" operator="equal" sqref="E5">
      <x:formula1>1</x:formula1>
    </x:dataValidation>
    <x:dataValidation type="list" sqref="E6">
      <x:formula1>"芦苇草"</x:formula1>
    </x:dataValidation>
    <x:dataValidation type="whole" operator="equal" sqref="E7">
      <x:formula1>1</x:formula1>
    </x:dataValidation>
    <x:dataValidation type="list" sqref="E8">
      <x:formula1>"农田"</x:formula1>
    </x:dataValidation>
    <x:dataValidation type="whole" operator="equal" sqref="F5">
      <x:formula1>2</x:formula1>
    </x:dataValidation>
    <x:dataValidation type="list" sqref="F6">
      <x:formula1>"棉花"</x:formula1>
    </x:dataValidation>
    <x:dataValidation type="whole" operator="equal" sqref="F7">
      <x:formula1>2</x:formula1>
    </x:dataValidation>
    <x:dataValidation type="list" sqref="F8">
      <x:formula1>"农田"</x:formula1>
    </x:dataValidation>
    <x:dataValidation type="whole" operator="equal" sqref="G5">
      <x:formula1>5</x:formula1>
    </x:dataValidation>
    <x:dataValidation type="list" sqref="G6">
      <x:formula1>"竹子"</x:formula1>
    </x:dataValidation>
    <x:dataValidation type="whole" operator="equal" sqref="G7">
      <x:formula1>4</x:formula1>
    </x:dataValidation>
    <x:dataValidation type="list" sqref="G8">
      <x:formula1>"农田"</x:formula1>
    </x:dataValidation>
    <x:dataValidation type="whole" operator="equal" sqref="H5">
      <x:formula1>10</x:formula1>
    </x:dataValidation>
    <x:dataValidation type="list" sqref="H6">
      <x:formula1>"香绒草"</x:formula1>
    </x:dataValidation>
    <x:dataValidation type="whole" operator="equal" sqref="H7">
      <x:formula1>7</x:formula1>
    </x:dataValidation>
    <x:dataValidation type="list" sqref="H8">
      <x:formula1>"农田"</x:formula1>
    </x:dataValidation>
    <x:dataValidation type="whole" operator="equal" sqref="I5">
      <x:formula1>15</x:formula1>
    </x:dataValidation>
    <x:dataValidation type="list" sqref="I6">
      <x:formula1>"薰衣草"</x:formula1>
    </x:dataValidation>
    <x:dataValidation type="whole" operator="equal" sqref="I7">
      <x:formula1>8</x:formula1>
    </x:dataValidation>
    <x:dataValidation type="list" sqref="I8">
      <x:formula1>"农田"</x:formula1>
    </x:dataValidation>
    <x:dataValidation type="whole" operator="equal" sqref="J5">
      <x:formula1>17</x:formula1>
    </x:dataValidation>
    <x:dataValidation type="list" sqref="J6">
      <x:formula1>"芍药花"</x:formula1>
    </x:dataValidation>
    <x:dataValidation type="whole" operator="equal" sqref="J7">
      <x:formula1>10</x:formula1>
    </x:dataValidation>
    <x:dataValidation type="list" sqref="J8">
      <x:formula1>"农田"</x:formula1>
    </x:dataValidation>
    <x:dataValidation type="whole" operator="equal" sqref="K5">
      <x:formula1>24</x:formula1>
    </x:dataValidation>
    <x:dataValidation type="list" sqref="K6">
      <x:formula1>"墨水花"</x:formula1>
    </x:dataValidation>
    <x:dataValidation type="whole" operator="equal" sqref="K7">
      <x:formula1>13</x:formula1>
    </x:dataValidation>
    <x:dataValidation type="list" sqref="K8">
      <x:formula1>"农田"</x:formula1>
    </x:dataValidation>
    <x:dataValidation type="whole" operator="equal" sqref="L5">
      <x:formula1>30</x:formula1>
    </x:dataValidation>
    <x:dataValidation type="list" sqref="L6">
      <x:formula1>"蜡烛花"</x:formula1>
    </x:dataValidation>
    <x:dataValidation type="whole" operator="equal" sqref="L7">
      <x:formula1>16</x:formula1>
    </x:dataValidation>
    <x:dataValidation type="list" sqref="L8">
      <x:formula1>"农田"</x:formula1>
    </x:dataValidation>
    <x:dataValidation type="whole" operator="equal" sqref="M5">
      <x:formula1>35</x:formula1>
    </x:dataValidation>
    <x:dataValidation type="list" sqref="M6">
      <x:formula1>"浆果珍珠"</x:formula1>
    </x:dataValidation>
    <x:dataValidation type="whole" operator="equal" sqref="M7">
      <x:formula1>19</x:formula1>
    </x:dataValidation>
    <x:dataValidation type="list" sqref="M8">
      <x:formula1>"农田"</x:formula1>
    </x:dataValidation>
    <x:dataValidation type="whole" operator="equal" sqref="N5">
      <x:formula1>3</x:formula1>
    </x:dataValidation>
    <x:dataValidation type="list" sqref="N6">
      <x:formula1>"芦苇丝"</x:formula1>
    </x:dataValidation>
    <x:dataValidation type="whole" operator="equal" sqref="N7">
      <x:formula1>2</x:formula1>
    </x:dataValidation>
    <x:dataValidation type="list" sqref="N8">
      <x:formula1>"研磨机"</x:formula1>
    </x:dataValidation>
    <x:dataValidation type="whole" operator="equal" sqref="O5">
      <x:formula1>4</x:formula1>
    </x:dataValidation>
    <x:dataValidation type="list" sqref="O6">
      <x:formula1>"棉绒团"</x:formula1>
    </x:dataValidation>
    <x:dataValidation type="whole" operator="equal" sqref="O7">
      <x:formula1>3</x:formula1>
    </x:dataValidation>
    <x:dataValidation type="list" sqref="O8">
      <x:formula1>"研磨机"</x:formula1>
    </x:dataValidation>
    <x:dataValidation type="whole" operator="equal" sqref="P5">
      <x:formula1>12</x:formula1>
    </x:dataValidation>
    <x:dataValidation type="list" sqref="P6">
      <x:formula1>"绒香粉"</x:formula1>
    </x:dataValidation>
    <x:dataValidation type="whole" operator="equal" sqref="P7">
      <x:formula1>7</x:formula1>
    </x:dataValidation>
    <x:dataValidation type="list" sqref="P8">
      <x:formula1>"研磨机"</x:formula1>
    </x:dataValidation>
    <x:dataValidation type="whole" operator="equal" sqref="Q5">
      <x:formula1>22</x:formula1>
    </x:dataValidation>
    <x:dataValidation type="list" sqref="Q6">
      <x:formula1>"云朵香粉"</x:formula1>
    </x:dataValidation>
    <x:dataValidation type="whole" operator="equal" sqref="Q7">
      <x:formula1>13</x:formula1>
    </x:dataValidation>
    <x:dataValidation type="list" sqref="Q8">
      <x:formula1>"研磨机"</x:formula1>
    </x:dataValidation>
    <x:dataValidation type="whole" operator="equal" sqref="R5">
      <x:formula1>33</x:formula1>
    </x:dataValidation>
    <x:dataValidation type="list" sqref="R6">
      <x:formula1>"乌云绒团"</x:formula1>
    </x:dataValidation>
    <x:dataValidation type="whole" operator="equal" sqref="R7">
      <x:formula1>18</x:formula1>
    </x:dataValidation>
    <x:dataValidation type="list" sqref="R8">
      <x:formula1>"研磨机"</x:formula1>
    </x:dataValidation>
    <x:dataValidation type="whole" operator="equal" sqref="S5">
      <x:formula1>6</x:formula1>
    </x:dataValidation>
    <x:dataValidation type="list" sqref="S6">
      <x:formula1>"竹条"</x:formula1>
    </x:dataValidation>
    <x:dataValidation type="whole" operator="equal" sqref="S7">
      <x:formula1>4</x:formula1>
    </x:dataValidation>
    <x:dataValidation type="list" sqref="S8">
      <x:formula1>"切割机"</x:formula1>
    </x:dataValidation>
    <x:dataValidation type="whole" operator="equal" sqref="T5">
      <x:formula1>7</x:formula1>
    </x:dataValidation>
    <x:dataValidation type="list" sqref="T6">
      <x:formula1>"薄竹片"</x:formula1>
    </x:dataValidation>
    <x:dataValidation type="whole" operator="equal" sqref="T7">
      <x:formula1>5</x:formula1>
    </x:dataValidation>
    <x:dataValidation type="list" sqref="T8">
      <x:formula1>"切割机"</x:formula1>
    </x:dataValidation>
    <x:dataValidation type="whole" operator="equal" sqref="U5">
      <x:formula1>20</x:formula1>
    </x:dataValidation>
    <x:dataValidation type="list" sqref="U6">
      <x:formula1>"小竹框"</x:formula1>
    </x:dataValidation>
    <x:dataValidation type="whole" operator="equal" sqref="U7">
      <x:formula1>11</x:formula1>
    </x:dataValidation>
    <x:dataValidation type="list" sqref="U8">
      <x:formula1>"切割机"</x:formula1>
    </x:dataValidation>
    <x:dataValidation type="whole" operator="equal" sqref="V5">
      <x:formula1>28</x:formula1>
    </x:dataValidation>
    <x:dataValidation type="list" sqref="V6">
      <x:formula1>"花瓣竹板"</x:formula1>
    </x:dataValidation>
    <x:dataValidation type="whole" operator="equal" sqref="V7">
      <x:formula1>15</x:formula1>
    </x:dataValidation>
    <x:dataValidation type="list" sqref="V8">
      <x:formula1>"切割机"</x:formula1>
    </x:dataValidation>
    <x:dataValidation type="whole" operator="equal" sqref="W5">
      <x:formula1>36</x:formula1>
    </x:dataValidation>
    <x:dataValidation type="list" sqref="W6">
      <x:formula1>"珍珠衣帽架"</x:formula1>
    </x:dataValidation>
    <x:dataValidation type="whole" operator="equal" sqref="W7">
      <x:formula1>19</x:formula1>
    </x:dataValidation>
    <x:dataValidation type="list" sqref="W8">
      <x:formula1>"切割机"</x:formula1>
    </x:dataValidation>
    <x:dataValidation type="whole" operator="equal" sqref="X5">
      <x:formula1>14</x:formula1>
    </x:dataValidation>
    <x:dataValidation type="list" sqref="X6">
      <x:formula1>"竹编小垫"</x:formula1>
    </x:dataValidation>
    <x:dataValidation type="whole" operator="equal" sqref="X7">
      <x:formula1>6</x:formula1>
    </x:dataValidation>
    <x:dataValidation type="list" sqref="X8">
      <x:formula1>"纺织机"</x:formula1>
    </x:dataValidation>
    <x:dataValidation type="whole" operator="equal" sqref="Y5">
      <x:formula1>16</x:formula1>
    </x:dataValidation>
    <x:dataValidation type="list" sqref="Y6">
      <x:formula1>"软棉布"</x:formula1>
    </x:dataValidation>
    <x:dataValidation type="whole" operator="equal" sqref="Y7">
      <x:formula1>9</x:formula1>
    </x:dataValidation>
    <x:dataValidation type="list" sqref="Y8">
      <x:formula1>"纺织机"</x:formula1>
    </x:dataValidation>
    <x:dataValidation type="whole" operator="equal" sqref="Z5">
      <x:formula1>21</x:formula1>
    </x:dataValidation>
    <x:dataValidation type="list" sqref="Z6">
      <x:formula1>"竹帘"</x:formula1>
    </x:dataValidation>
    <x:dataValidation type="whole" operator="equal" sqref="Z7">
      <x:formula1>11</x:formula1>
    </x:dataValidation>
    <x:dataValidation type="list" sqref="Z8">
      <x:formula1>"纺织机"</x:formula1>
    </x:dataValidation>
    <x:dataValidation type="whole" operator="equal" sqref="AA5">
      <x:formula1>27</x:formula1>
    </x:dataValidation>
    <x:dataValidation type="list" sqref="AA6">
      <x:formula1>"绒绒灯罩"</x:formula1>
    </x:dataValidation>
    <x:dataValidation type="whole" operator="equal" sqref="AA7">
      <x:formula1>15</x:formula1>
    </x:dataValidation>
    <x:dataValidation type="list" sqref="AA8">
      <x:formula1>"纺织机"</x:formula1>
    </x:dataValidation>
    <x:dataValidation type="whole" operator="equal" sqref="AB5">
      <x:formula1>32</x:formula1>
    </x:dataValidation>
    <x:dataValidation type="list" sqref="AB6">
      <x:formula1>"软边小席"</x:formula1>
    </x:dataValidation>
    <x:dataValidation type="whole" operator="equal" sqref="AB7">
      <x:formula1>17</x:formula1>
    </x:dataValidation>
    <x:dataValidation type="list" sqref="AB8">
      <x:formula1>"纺织机"</x:formula1>
    </x:dataValidation>
    <x:dataValidation type="whole" operator="equal" sqref="AC5">
      <x:formula1>37</x:formula1>
    </x:dataValidation>
    <x:dataValidation type="list" sqref="AC6">
      <x:formula1>"雨滴篮子"</x:formula1>
    </x:dataValidation>
    <x:dataValidation type="whole" operator="equal" sqref="AC7">
      <x:formula1>19</x:formula1>
    </x:dataValidation>
    <x:dataValidation type="list" sqref="AC8">
      <x:formula1>"纺织机"</x:formula1>
    </x:dataValidation>
    <x:dataValidation type="whole" operator="equal" sqref="AD5">
      <x:formula1>13</x:formula1>
    </x:dataValidation>
    <x:dataValidation type="list" sqref="AD6">
      <x:formula1>"薰衣草精油"</x:formula1>
    </x:dataValidation>
    <x:dataValidation type="whole" operator="equal" sqref="AD7">
      <x:formula1>8</x:formula1>
    </x:dataValidation>
    <x:dataValidation type="list" sqref="AD8">
      <x:formula1>"萃取机"</x:formula1>
    </x:dataValidation>
    <x:dataValidation type="whole" operator="equal" sqref="AE5">
      <x:formula1>18</x:formula1>
    </x:dataValidation>
    <x:dataValidation type="list" sqref="AE6">
      <x:formula1>"花瓣香水"</x:formula1>
    </x:dataValidation>
    <x:dataValidation type="whole" operator="equal" sqref="AE7">
      <x:formula1>10</x:formula1>
    </x:dataValidation>
    <x:dataValidation type="list" sqref="AE8">
      <x:formula1>"萃取机"</x:formula1>
    </x:dataValidation>
    <x:dataValidation type="whole" operator="equal" sqref="AF5">
      <x:formula1>25</x:formula1>
    </x:dataValidation>
    <x:dataValidation type="list" sqref="AF6">
      <x:formula1>"墨汁"</x:formula1>
    </x:dataValidation>
    <x:dataValidation type="whole" operator="equal" sqref="AF7">
      <x:formula1>13</x:formula1>
    </x:dataValidation>
    <x:dataValidation type="list" sqref="AF8">
      <x:formula1>"萃取机"</x:formula1>
    </x:dataValidation>
    <x:dataValidation type="whole" operator="equal" sqref="AG5">
      <x:formula1>31</x:formula1>
    </x:dataValidation>
    <x:dataValidation type="list" sqref="AG6">
      <x:formula1>"花蜡"</x:formula1>
    </x:dataValidation>
    <x:dataValidation type="whole" operator="equal" sqref="AG7">
      <x:formula1>16</x:formula1>
    </x:dataValidation>
    <x:dataValidation type="list" sqref="AG8">
      <x:formula1>"萃取机"</x:formula1>
    </x:dataValidation>
    <x:dataValidation type="whole" operator="equal" sqref="AH5">
      <x:formula1>19</x:formula1>
    </x:dataValidation>
    <x:dataValidation type="list" sqref="AH6">
      <x:formula1>"竹炭画笔"</x:formula1>
    </x:dataValidation>
    <x:dataValidation type="whole" operator="equal" sqref="AH7">
      <x:formula1>10</x:formula1>
    </x:dataValidation>
    <x:dataValidation type="list" sqref="AH8">
      <x:formula1>"窑炉"</x:formula1>
    </x:dataValidation>
    <x:dataValidation type="whole" operator="equal" sqref="AI5">
      <x:formula1>23</x:formula1>
    </x:dataValidation>
    <x:dataValidation type="list" sqref="AI6">
      <x:formula1>"薰衣草香棒"</x:formula1>
    </x:dataValidation>
    <x:dataValidation type="whole" operator="equal" sqref="AI7">
      <x:formula1>12</x:formula1>
    </x:dataValidation>
    <x:dataValidation type="list" sqref="AI8">
      <x:formula1>"窑炉"</x:formula1>
    </x:dataValidation>
    <x:dataValidation type="whole" operator="equal" sqref="AJ5">
      <x:formula1>26</x:formula1>
    </x:dataValidation>
    <x:dataValidation type="list" sqref="AJ6">
      <x:formula1>"竹制盆景"</x:formula1>
    </x:dataValidation>
    <x:dataValidation type="whole" operator="equal" sqref="AJ7">
      <x:formula1>14</x:formula1>
    </x:dataValidation>
    <x:dataValidation type="list" sqref="AJ8">
      <x:formula1>"窑炉"</x:formula1>
    </x:dataValidation>
    <x:dataValidation type="whole" operator="equal" sqref="AK5">
      <x:formula1>29</x:formula1>
    </x:dataValidation>
    <x:dataValidation type="list" sqref="AK6">
      <x:formula1>"圈圈蚊香"</x:formula1>
    </x:dataValidation>
    <x:dataValidation type="whole" operator="equal" sqref="AK7">
      <x:formula1>16</x:formula1>
    </x:dataValidation>
    <x:dataValidation type="list" sqref="AK8">
      <x:formula1>"窑炉"</x:formula1>
    </x:dataValidation>
    <x:dataValidation type="whole" operator="equal" sqref="AL5">
      <x:formula1>34</x:formula1>
    </x:dataValidation>
    <x:dataValidation type="list" sqref="AL6">
      <x:formula1>"薰衣草软垫"</x:formula1>
    </x:dataValidation>
    <x:dataValidation type="whole" operator="equal" sqref="AL7">
      <x:formula1>18</x:formula1>
    </x:dataValidation>
    <x:dataValidation type="list" sqref="AL8">
      <x:formula1>"窑炉"</x:formula1>
    </x:dataValidation>
    <x:dataValidation type="whole" operator="equal" sqref="AM5">
      <x:formula1>38</x:formula1>
    </x:dataValidation>
    <x:dataValidation type="list" sqref="AM6">
      <x:formula1>"花瓣小灯"</x:formula1>
    </x:dataValidation>
    <x:dataValidation type="whole" operator="equal" sqref="AM7">
      <x:formula1>20</x:formula1>
    </x:dataValidation>
    <x:dataValidation type="list" sqref="AM8">
      <x:formula1>"窑炉"</x:formula1>
    </x:dataValidation>
    <x:dataValidation type="decimal" operator="between" sqref="E9:AM9">
      <x:formula1>0.01</x:formula1>
      <x:formula2>100000</x:formula2>
    </x:dataValidation>
    <x:dataValidation type="whole" operator="equal" sqref="E18">
      <x:formula1>1</x:formula1>
    </x:dataValidation>
    <x:dataValidation type="whole" operator="equal" sqref="F18">
      <x:formula1>0</x:formula1>
    </x:dataValidation>
    <x:dataValidation type="whole" operator="equal" sqref="G18">
      <x:formula1>0</x:formula1>
    </x:dataValidation>
    <x:dataValidation type="whole" operator="equal" sqref="H18">
      <x:formula1>0</x:formula1>
    </x:dataValidation>
    <x:dataValidation type="whole" operator="equal" sqref="I18">
      <x:formula1>0</x:formula1>
    </x:dataValidation>
    <x:dataValidation type="whole" operator="equal" sqref="J18">
      <x:formula1>0</x:formula1>
    </x:dataValidation>
    <x:dataValidation type="whole" operator="equal" sqref="K18">
      <x:formula1>0</x:formula1>
    </x:dataValidation>
    <x:dataValidation type="whole" operator="equal" sqref="L18">
      <x:formula1>0</x:formula1>
    </x:dataValidation>
    <x:dataValidation type="whole" operator="equal" sqref="M18">
      <x:formula1>0</x:formula1>
    </x:dataValidation>
    <x:dataValidation type="whole" operator="between" sqref="N18">
      <x:formula1>-100</x:formula1>
      <x:formula2>0</x:formula2>
    </x:dataValidation>
    <x:dataValidation type="whole" operator="between" sqref="O18">
      <x:formula1>-100</x:formula1>
      <x:formula2>0</x:formula2>
    </x:dataValidation>
    <x:dataValidation type="whole" operator="between" sqref="P18">
      <x:formula1>-100</x:formula1>
      <x:formula2>0</x:formula2>
    </x:dataValidation>
    <x:dataValidation type="whole" operator="between" sqref="Q18">
      <x:formula1>-100</x:formula1>
      <x:formula2>0</x:formula2>
    </x:dataValidation>
    <x:dataValidation type="whole" operator="between" sqref="R18">
      <x:formula1>-100</x:formula1>
      <x:formula2>0</x:formula2>
    </x:dataValidation>
    <x:dataValidation type="whole" operator="between" sqref="S18">
      <x:formula1>-100</x:formula1>
      <x:formula2>0</x:formula2>
    </x:dataValidation>
    <x:dataValidation type="whole" operator="between" sqref="T18">
      <x:formula1>-100</x:formula1>
      <x:formula2>0</x:formula2>
    </x:dataValidation>
    <x:dataValidation type="whole" operator="between" sqref="U18">
      <x:formula1>-100</x:formula1>
      <x:formula2>0</x:formula2>
    </x:dataValidation>
    <x:dataValidation type="whole" operator="between" sqref="V18">
      <x:formula1>-100</x:formula1>
      <x:formula2>0</x:formula2>
    </x:dataValidation>
    <x:dataValidation type="whole" operator="between" sqref="W18">
      <x:formula1>-100</x:formula1>
      <x:formula2>0</x:formula2>
    </x:dataValidation>
    <x:dataValidation type="whole" operator="between" sqref="X18">
      <x:formula1>-100</x:formula1>
      <x:formula2>0</x:formula2>
    </x:dataValidation>
    <x:dataValidation type="whole" operator="between" sqref="Y18">
      <x:formula1>-100</x:formula1>
      <x:formula2>0</x:formula2>
    </x:dataValidation>
    <x:dataValidation type="whole" operator="between" sqref="Z18">
      <x:formula1>-100</x:formula1>
      <x:formula2>0</x:formula2>
    </x:dataValidation>
    <x:dataValidation type="whole" operator="between" sqref="AA18">
      <x:formula1>-100</x:formula1>
      <x:formula2>0</x:formula2>
    </x:dataValidation>
    <x:dataValidation type="whole" operator="between" sqref="AB18">
      <x:formula1>-100</x:formula1>
      <x:formula2>0</x:formula2>
    </x:dataValidation>
    <x:dataValidation type="whole" operator="between" sqref="AC18">
      <x:formula1>-100</x:formula1>
      <x:formula2>0</x:formula2>
    </x:dataValidation>
    <x:dataValidation type="whole" operator="between" sqref="AD18">
      <x:formula1>-100</x:formula1>
      <x:formula2>0</x:formula2>
    </x:dataValidation>
    <x:dataValidation type="whole" operator="between" sqref="AE18">
      <x:formula1>-100</x:formula1>
      <x:formula2>0</x:formula2>
    </x:dataValidation>
    <x:dataValidation type="whole" operator="between" sqref="AF18">
      <x:formula1>-100</x:formula1>
      <x:formula2>0</x:formula2>
    </x:dataValidation>
    <x:dataValidation type="whole" operator="between" sqref="AG18">
      <x:formula1>-100</x:formula1>
      <x:formula2>0</x:formula2>
    </x:dataValidation>
    <x:dataValidation type="whole" operator="between" sqref="AH18">
      <x:formula1>-100</x:formula1>
      <x:formula2>0</x:formula2>
    </x:dataValidation>
    <x:dataValidation type="whole" operator="between" sqref="AI18">
      <x:formula1>-100</x:formula1>
      <x:formula2>0</x:formula2>
    </x:dataValidation>
    <x:dataValidation type="whole" operator="between" sqref="AJ18">
      <x:formula1>-100</x:formula1>
      <x:formula2>0</x:formula2>
    </x:dataValidation>
    <x:dataValidation type="whole" operator="between" sqref="AK18">
      <x:formula1>-100</x:formula1>
      <x:formula2>0</x:formula2>
    </x:dataValidation>
    <x:dataValidation type="whole" operator="between" sqref="AL18">
      <x:formula1>-100</x:formula1>
      <x:formula2>0</x:formula2>
    </x:dataValidation>
    <x:dataValidation type="whole" operator="between" sqref="AM18">
      <x:formula1>-100</x:formula1>
      <x:formula2>0</x:formula2>
    </x:dataValidation>
    <x:dataValidation type="whole" operator="equal" sqref="E19">
      <x:formula1>0</x:formula1>
    </x:dataValidation>
    <x:dataValidation type="whole" operator="equal" sqref="F19">
      <x:formula1>1</x:formula1>
    </x:dataValidation>
    <x:dataValidation type="whole" operator="equal" sqref="G19">
      <x:formula1>0</x:formula1>
    </x:dataValidation>
    <x:dataValidation type="whole" operator="equal" sqref="H19">
      <x:formula1>0</x:formula1>
    </x:dataValidation>
    <x:dataValidation type="whole" operator="equal" sqref="I19">
      <x:formula1>0</x:formula1>
    </x:dataValidation>
    <x:dataValidation type="whole" operator="equal" sqref="J19">
      <x:formula1>0</x:formula1>
    </x:dataValidation>
    <x:dataValidation type="whole" operator="equal" sqref="K19">
      <x:formula1>0</x:formula1>
    </x:dataValidation>
    <x:dataValidation type="whole" operator="equal" sqref="L19">
      <x:formula1>0</x:formula1>
    </x:dataValidation>
    <x:dataValidation type="whole" operator="equal" sqref="M19">
      <x:formula1>0</x:formula1>
    </x:dataValidation>
    <x:dataValidation type="whole" operator="between" sqref="N19">
      <x:formula1>-100</x:formula1>
      <x:formula2>0</x:formula2>
    </x:dataValidation>
    <x:dataValidation type="whole" operator="between" sqref="O19">
      <x:formula1>-100</x:formula1>
      <x:formula2>0</x:formula2>
    </x:dataValidation>
    <x:dataValidation type="whole" operator="between" sqref="P19">
      <x:formula1>-100</x:formula1>
      <x:formula2>0</x:formula2>
    </x:dataValidation>
    <x:dataValidation type="whole" operator="between" sqref="Q19">
      <x:formula1>-100</x:formula1>
      <x:formula2>0</x:formula2>
    </x:dataValidation>
    <x:dataValidation type="whole" operator="between" sqref="R19">
      <x:formula1>-100</x:formula1>
      <x:formula2>0</x:formula2>
    </x:dataValidation>
    <x:dataValidation type="whole" operator="between" sqref="S19">
      <x:formula1>-100</x:formula1>
      <x:formula2>0</x:formula2>
    </x:dataValidation>
    <x:dataValidation type="whole" operator="between" sqref="T19">
      <x:formula1>-100</x:formula1>
      <x:formula2>0</x:formula2>
    </x:dataValidation>
    <x:dataValidation type="whole" operator="between" sqref="U19">
      <x:formula1>-100</x:formula1>
      <x:formula2>0</x:formula2>
    </x:dataValidation>
    <x:dataValidation type="whole" operator="between" sqref="V19">
      <x:formula1>-100</x:formula1>
      <x:formula2>0</x:formula2>
    </x:dataValidation>
    <x:dataValidation type="whole" operator="between" sqref="W19">
      <x:formula1>-100</x:formula1>
      <x:formula2>0</x:formula2>
    </x:dataValidation>
    <x:dataValidation type="whole" operator="between" sqref="X19">
      <x:formula1>-100</x:formula1>
      <x:formula2>0</x:formula2>
    </x:dataValidation>
    <x:dataValidation type="whole" operator="between" sqref="Y19">
      <x:formula1>-100</x:formula1>
      <x:formula2>0</x:formula2>
    </x:dataValidation>
    <x:dataValidation type="whole" operator="between" sqref="Z19">
      <x:formula1>-100</x:formula1>
      <x:formula2>0</x:formula2>
    </x:dataValidation>
    <x:dataValidation type="whole" operator="between" sqref="AA19">
      <x:formula1>-100</x:formula1>
      <x:formula2>0</x:formula2>
    </x:dataValidation>
    <x:dataValidation type="whole" operator="between" sqref="AB19">
      <x:formula1>-100</x:formula1>
      <x:formula2>0</x:formula2>
    </x:dataValidation>
    <x:dataValidation type="whole" operator="between" sqref="AC19">
      <x:formula1>-100</x:formula1>
      <x:formula2>0</x:formula2>
    </x:dataValidation>
    <x:dataValidation type="whole" operator="between" sqref="AD19">
      <x:formula1>-100</x:formula1>
      <x:formula2>0</x:formula2>
    </x:dataValidation>
    <x:dataValidation type="whole" operator="between" sqref="AE19">
      <x:formula1>-100</x:formula1>
      <x:formula2>0</x:formula2>
    </x:dataValidation>
    <x:dataValidation type="whole" operator="between" sqref="AF19">
      <x:formula1>-100</x:formula1>
      <x:formula2>0</x:formula2>
    </x:dataValidation>
    <x:dataValidation type="whole" operator="between" sqref="AG19">
      <x:formula1>-100</x:formula1>
      <x:formula2>0</x:formula2>
    </x:dataValidation>
    <x:dataValidation type="whole" operator="between" sqref="AH19">
      <x:formula1>-100</x:formula1>
      <x:formula2>0</x:formula2>
    </x:dataValidation>
    <x:dataValidation type="whole" operator="between" sqref="AI19">
      <x:formula1>-100</x:formula1>
      <x:formula2>0</x:formula2>
    </x:dataValidation>
    <x:dataValidation type="whole" operator="between" sqref="AJ19">
      <x:formula1>-100</x:formula1>
      <x:formula2>0</x:formula2>
    </x:dataValidation>
    <x:dataValidation type="whole" operator="between" sqref="AK19">
      <x:formula1>-100</x:formula1>
      <x:formula2>0</x:formula2>
    </x:dataValidation>
    <x:dataValidation type="whole" operator="between" sqref="AL19">
      <x:formula1>-100</x:formula1>
      <x:formula2>0</x:formula2>
    </x:dataValidation>
    <x:dataValidation type="whole" operator="between" sqref="AM19">
      <x:formula1>-100</x:formula1>
      <x:formula2>0</x:formula2>
    </x:dataValidation>
    <x:dataValidation type="whole" operator="equal" sqref="E20">
      <x:formula1>0</x:formula1>
    </x:dataValidation>
    <x:dataValidation type="whole" operator="equal" sqref="F20">
      <x:formula1>0</x:formula1>
    </x:dataValidation>
    <x:dataValidation type="whole" operator="equal" sqref="G20">
      <x:formula1>1</x:formula1>
    </x:dataValidation>
    <x:dataValidation type="whole" operator="equal" sqref="H20">
      <x:formula1>0</x:formula1>
    </x:dataValidation>
    <x:dataValidation type="whole" operator="equal" sqref="I20">
      <x:formula1>0</x:formula1>
    </x:dataValidation>
    <x:dataValidation type="whole" operator="equal" sqref="J20">
      <x:formula1>0</x:formula1>
    </x:dataValidation>
    <x:dataValidation type="whole" operator="equal" sqref="K20">
      <x:formula1>0</x:formula1>
    </x:dataValidation>
    <x:dataValidation type="whole" operator="equal" sqref="L20">
      <x:formula1>0</x:formula1>
    </x:dataValidation>
    <x:dataValidation type="whole" operator="equal" sqref="M20">
      <x:formula1>0</x:formula1>
    </x:dataValidation>
    <x:dataValidation type="whole" operator="equal" sqref="N20">
      <x:formula1>0</x:formula1>
    </x:dataValidation>
    <x:dataValidation type="whole" operator="equal" sqref="O20">
      <x:formula1>0</x:formula1>
    </x:dataValidation>
    <x:dataValidation type="whole" operator="between" sqref="P20">
      <x:formula1>-100</x:formula1>
      <x:formula2>0</x:formula2>
    </x:dataValidation>
    <x:dataValidation type="whole" operator="between" sqref="Q20">
      <x:formula1>-100</x:formula1>
      <x:formula2>0</x:formula2>
    </x:dataValidation>
    <x:dataValidation type="whole" operator="between" sqref="R20">
      <x:formula1>-100</x:formula1>
      <x:formula2>0</x:formula2>
    </x:dataValidation>
    <x:dataValidation type="whole" operator="between" sqref="S20">
      <x:formula1>-100</x:formula1>
      <x:formula2>0</x:formula2>
    </x:dataValidation>
    <x:dataValidation type="whole" operator="between" sqref="T20">
      <x:formula1>-100</x:formula1>
      <x:formula2>0</x:formula2>
    </x:dataValidation>
    <x:dataValidation type="whole" operator="between" sqref="U20">
      <x:formula1>-100</x:formula1>
      <x:formula2>0</x:formula2>
    </x:dataValidation>
    <x:dataValidation type="whole" operator="between" sqref="V20">
      <x:formula1>-100</x:formula1>
      <x:formula2>0</x:formula2>
    </x:dataValidation>
    <x:dataValidation type="whole" operator="between" sqref="W20">
      <x:formula1>-100</x:formula1>
      <x:formula2>0</x:formula2>
    </x:dataValidation>
    <x:dataValidation type="whole" operator="between" sqref="X20">
      <x:formula1>-100</x:formula1>
      <x:formula2>0</x:formula2>
    </x:dataValidation>
    <x:dataValidation type="whole" operator="between" sqref="Y20">
      <x:formula1>-100</x:formula1>
      <x:formula2>0</x:formula2>
    </x:dataValidation>
    <x:dataValidation type="whole" operator="between" sqref="Z20">
      <x:formula1>-100</x:formula1>
      <x:formula2>0</x:formula2>
    </x:dataValidation>
    <x:dataValidation type="whole" operator="between" sqref="AA20">
      <x:formula1>-100</x:formula1>
      <x:formula2>0</x:formula2>
    </x:dataValidation>
    <x:dataValidation type="whole" operator="between" sqref="AB20">
      <x:formula1>-100</x:formula1>
      <x:formula2>0</x:formula2>
    </x:dataValidation>
    <x:dataValidation type="whole" operator="between" sqref="AC20">
      <x:formula1>-100</x:formula1>
      <x:formula2>0</x:formula2>
    </x:dataValidation>
    <x:dataValidation type="whole" operator="between" sqref="AD20">
      <x:formula1>-100</x:formula1>
      <x:formula2>0</x:formula2>
    </x:dataValidation>
    <x:dataValidation type="whole" operator="between" sqref="AE20">
      <x:formula1>-100</x:formula1>
      <x:formula2>0</x:formula2>
    </x:dataValidation>
    <x:dataValidation type="whole" operator="between" sqref="AF20">
      <x:formula1>-100</x:formula1>
      <x:formula2>0</x:formula2>
    </x:dataValidation>
    <x:dataValidation type="whole" operator="between" sqref="AG20">
      <x:formula1>-100</x:formula1>
      <x:formula2>0</x:formula2>
    </x:dataValidation>
    <x:dataValidation type="whole" operator="between" sqref="AH20">
      <x:formula1>-100</x:formula1>
      <x:formula2>0</x:formula2>
    </x:dataValidation>
    <x:dataValidation type="whole" operator="between" sqref="AI20">
      <x:formula1>-100</x:formula1>
      <x:formula2>0</x:formula2>
    </x:dataValidation>
    <x:dataValidation type="whole" operator="between" sqref="AJ20">
      <x:formula1>-100</x:formula1>
      <x:formula2>0</x:formula2>
    </x:dataValidation>
    <x:dataValidation type="whole" operator="between" sqref="AK20">
      <x:formula1>-100</x:formula1>
      <x:formula2>0</x:formula2>
    </x:dataValidation>
    <x:dataValidation type="whole" operator="between" sqref="AL20">
      <x:formula1>-100</x:formula1>
      <x:formula2>0</x:formula2>
    </x:dataValidation>
    <x:dataValidation type="whole" operator="between" sqref="AM20">
      <x:formula1>-100</x:formula1>
      <x:formula2>0</x:formula2>
    </x:dataValidation>
    <x:dataValidation type="whole" operator="equal" sqref="E21">
      <x:formula1>0</x:formula1>
    </x:dataValidation>
    <x:dataValidation type="whole" operator="equal" sqref="F21">
      <x:formula1>0</x:formula1>
    </x:dataValidation>
    <x:dataValidation type="whole" operator="equal" sqref="G21">
      <x:formula1>0</x:formula1>
    </x:dataValidation>
    <x:dataValidation type="whole" operator="equal" sqref="H21">
      <x:formula1>1</x:formula1>
    </x:dataValidation>
    <x:dataValidation type="whole" operator="equal" sqref="I21">
      <x:formula1>0</x:formula1>
    </x:dataValidation>
    <x:dataValidation type="whole" operator="equal" sqref="J21">
      <x:formula1>0</x:formula1>
    </x:dataValidation>
    <x:dataValidation type="whole" operator="equal" sqref="K21">
      <x:formula1>0</x:formula1>
    </x:dataValidation>
    <x:dataValidation type="whole" operator="equal" sqref="L21">
      <x:formula1>0</x:formula1>
    </x:dataValidation>
    <x:dataValidation type="whole" operator="equal" sqref="M21">
      <x:formula1>0</x:formula1>
    </x:dataValidation>
    <x:dataValidation type="whole" operator="equal" sqref="N21">
      <x:formula1>0</x:formula1>
    </x:dataValidation>
    <x:dataValidation type="whole" operator="equal" sqref="O21">
      <x:formula1>0</x:formula1>
    </x:dataValidation>
    <x:dataValidation type="whole" operator="between" sqref="P21">
      <x:formula1>-100</x:formula1>
      <x:formula2>0</x:formula2>
    </x:dataValidation>
    <x:dataValidation type="whole" operator="between" sqref="Q21">
      <x:formula1>-100</x:formula1>
      <x:formula2>0</x:formula2>
    </x:dataValidation>
    <x:dataValidation type="whole" operator="between" sqref="R21">
      <x:formula1>-100</x:formula1>
      <x:formula2>0</x:formula2>
    </x:dataValidation>
    <x:dataValidation type="whole" operator="equal" sqref="S21">
      <x:formula1>0</x:formula1>
    </x:dataValidation>
    <x:dataValidation type="whole" operator="equal" sqref="T21">
      <x:formula1>0</x:formula1>
    </x:dataValidation>
    <x:dataValidation type="whole" operator="between" sqref="U21">
      <x:formula1>-100</x:formula1>
      <x:formula2>0</x:formula2>
    </x:dataValidation>
    <x:dataValidation type="whole" operator="between" sqref="V21">
      <x:formula1>-100</x:formula1>
      <x:formula2>0</x:formula2>
    </x:dataValidation>
    <x:dataValidation type="whole" operator="between" sqref="W21">
      <x:formula1>-100</x:formula1>
      <x:formula2>0</x:formula2>
    </x:dataValidation>
    <x:dataValidation type="whole" operator="equal" sqref="X21">
      <x:formula1>0</x:formula1>
    </x:dataValidation>
    <x:dataValidation type="whole" operator="between" sqref="Y21">
      <x:formula1>-100</x:formula1>
      <x:formula2>0</x:formula2>
    </x:dataValidation>
    <x:dataValidation type="whole" operator="between" sqref="Z21">
      <x:formula1>-100</x:formula1>
      <x:formula2>0</x:formula2>
    </x:dataValidation>
    <x:dataValidation type="whole" operator="between" sqref="AA21">
      <x:formula1>-100</x:formula1>
      <x:formula2>0</x:formula2>
    </x:dataValidation>
    <x:dataValidation type="whole" operator="between" sqref="AB21">
      <x:formula1>-100</x:formula1>
      <x:formula2>0</x:formula2>
    </x:dataValidation>
    <x:dataValidation type="whole" operator="between" sqref="AC21">
      <x:formula1>-100</x:formula1>
      <x:formula2>0</x:formula2>
    </x:dataValidation>
    <x:dataValidation type="whole" operator="between" sqref="AD21">
      <x:formula1>-100</x:formula1>
      <x:formula2>0</x:formula2>
    </x:dataValidation>
    <x:dataValidation type="whole" operator="between" sqref="AE21">
      <x:formula1>-100</x:formula1>
      <x:formula2>0</x:formula2>
    </x:dataValidation>
    <x:dataValidation type="whole" operator="between" sqref="AF21">
      <x:formula1>-100</x:formula1>
      <x:formula2>0</x:formula2>
    </x:dataValidation>
    <x:dataValidation type="whole" operator="between" sqref="AG21">
      <x:formula1>-100</x:formula1>
      <x:formula2>0</x:formula2>
    </x:dataValidation>
    <x:dataValidation type="whole" operator="between" sqref="AH21">
      <x:formula1>-100</x:formula1>
      <x:formula2>0</x:formula2>
    </x:dataValidation>
    <x:dataValidation type="whole" operator="between" sqref="AI21">
      <x:formula1>-100</x:formula1>
      <x:formula2>0</x:formula2>
    </x:dataValidation>
    <x:dataValidation type="whole" operator="between" sqref="AJ21">
      <x:formula1>-100</x:formula1>
      <x:formula2>0</x:formula2>
    </x:dataValidation>
    <x:dataValidation type="whole" operator="between" sqref="AK21">
      <x:formula1>-100</x:formula1>
      <x:formula2>0</x:formula2>
    </x:dataValidation>
    <x:dataValidation type="whole" operator="between" sqref="AL21">
      <x:formula1>-100</x:formula1>
      <x:formula2>0</x:formula2>
    </x:dataValidation>
    <x:dataValidation type="whole" operator="between" sqref="AM21">
      <x:formula1>-100</x:formula1>
      <x:formula2>0</x:formula2>
    </x:dataValidation>
    <x:dataValidation type="whole" operator="equal" sqref="E22">
      <x:formula1>0</x:formula1>
    </x:dataValidation>
    <x:dataValidation type="whole" operator="equal" sqref="F22">
      <x:formula1>0</x:formula1>
    </x:dataValidation>
    <x:dataValidation type="whole" operator="equal" sqref="G22">
      <x:formula1>0</x:formula1>
    </x:dataValidation>
    <x:dataValidation type="whole" operator="equal" sqref="H22">
      <x:formula1>0</x:formula1>
    </x:dataValidation>
    <x:dataValidation type="whole" operator="equal" sqref="I22">
      <x:formula1>1</x:formula1>
    </x:dataValidation>
    <x:dataValidation type="whole" operator="equal" sqref="J22">
      <x:formula1>0</x:formula1>
    </x:dataValidation>
    <x:dataValidation type="whole" operator="equal" sqref="K22">
      <x:formula1>0</x:formula1>
    </x:dataValidation>
    <x:dataValidation type="whole" operator="equal" sqref="L22">
      <x:formula1>0</x:formula1>
    </x:dataValidation>
    <x:dataValidation type="whole" operator="equal" sqref="M22">
      <x:formula1>0</x:formula1>
    </x:dataValidation>
    <x:dataValidation type="whole" operator="equal" sqref="N22">
      <x:formula1>0</x:formula1>
    </x:dataValidation>
    <x:dataValidation type="whole" operator="equal" sqref="O22">
      <x:formula1>0</x:formula1>
    </x:dataValidation>
    <x:dataValidation type="whole" operator="equal" sqref="P22">
      <x:formula1>0</x:formula1>
    </x:dataValidation>
    <x:dataValidation type="whole" operator="between" sqref="Q22">
      <x:formula1>-100</x:formula1>
      <x:formula2>0</x:formula2>
    </x:dataValidation>
    <x:dataValidation type="whole" operator="between" sqref="R22">
      <x:formula1>-100</x:formula1>
      <x:formula2>0</x:formula2>
    </x:dataValidation>
    <x:dataValidation type="whole" operator="equal" sqref="S22">
      <x:formula1>0</x:formula1>
    </x:dataValidation>
    <x:dataValidation type="whole" operator="equal" sqref="T22">
      <x:formula1>0</x:formula1>
    </x:dataValidation>
    <x:dataValidation type="whole" operator="between" sqref="U22">
      <x:formula1>-100</x:formula1>
      <x:formula2>0</x:formula2>
    </x:dataValidation>
    <x:dataValidation type="whole" operator="between" sqref="V22">
      <x:formula1>-100</x:formula1>
      <x:formula2>0</x:formula2>
    </x:dataValidation>
    <x:dataValidation type="whole" operator="between" sqref="W22">
      <x:formula1>-100</x:formula1>
      <x:formula2>0</x:formula2>
    </x:dataValidation>
    <x:dataValidation type="whole" operator="equal" sqref="X22">
      <x:formula1>0</x:formula1>
    </x:dataValidation>
    <x:dataValidation type="whole" operator="between" sqref="Y22">
      <x:formula1>-100</x:formula1>
      <x:formula2>0</x:formula2>
    </x:dataValidation>
    <x:dataValidation type="whole" operator="between" sqref="Z22">
      <x:formula1>-100</x:formula1>
      <x:formula2>0</x:formula2>
    </x:dataValidation>
    <x:dataValidation type="whole" operator="between" sqref="AA22">
      <x:formula1>-100</x:formula1>
      <x:formula2>0</x:formula2>
    </x:dataValidation>
    <x:dataValidation type="whole" operator="between" sqref="AB22">
      <x:formula1>-100</x:formula1>
      <x:formula2>0</x:formula2>
    </x:dataValidation>
    <x:dataValidation type="whole" operator="between" sqref="AC22">
      <x:formula1>-100</x:formula1>
      <x:formula2>0</x:formula2>
    </x:dataValidation>
    <x:dataValidation type="whole" operator="between" sqref="AD22">
      <x:formula1>-100</x:formula1>
      <x:formula2>0</x:formula2>
    </x:dataValidation>
    <x:dataValidation type="whole" operator="between" sqref="AE22">
      <x:formula1>-100</x:formula1>
      <x:formula2>0</x:formula2>
    </x:dataValidation>
    <x:dataValidation type="whole" operator="between" sqref="AF22">
      <x:formula1>-100</x:formula1>
      <x:formula2>0</x:formula2>
    </x:dataValidation>
    <x:dataValidation type="whole" operator="between" sqref="AG22">
      <x:formula1>-100</x:formula1>
      <x:formula2>0</x:formula2>
    </x:dataValidation>
    <x:dataValidation type="whole" operator="between" sqref="AH22">
      <x:formula1>-100</x:formula1>
      <x:formula2>0</x:formula2>
    </x:dataValidation>
    <x:dataValidation type="whole" operator="between" sqref="AI22">
      <x:formula1>-100</x:formula1>
      <x:formula2>0</x:formula2>
    </x:dataValidation>
    <x:dataValidation type="whole" operator="between" sqref="AJ22">
      <x:formula1>-100</x:formula1>
      <x:formula2>0</x:formula2>
    </x:dataValidation>
    <x:dataValidation type="whole" operator="between" sqref="AK22">
      <x:formula1>-100</x:formula1>
      <x:formula2>0</x:formula2>
    </x:dataValidation>
    <x:dataValidation type="whole" operator="between" sqref="AL22">
      <x:formula1>-100</x:formula1>
      <x:formula2>0</x:formula2>
    </x:dataValidation>
    <x:dataValidation type="whole" operator="between" sqref="AM22">
      <x:formula1>-100</x:formula1>
      <x:formula2>0</x:formula2>
    </x:dataValidation>
    <x:dataValidation type="whole" operator="equal" sqref="E23">
      <x:formula1>0</x:formula1>
    </x:dataValidation>
    <x:dataValidation type="whole" operator="equal" sqref="F23">
      <x:formula1>0</x:formula1>
    </x:dataValidation>
    <x:dataValidation type="whole" operator="equal" sqref="G23">
      <x:formula1>0</x:formula1>
    </x:dataValidation>
    <x:dataValidation type="whole" operator="equal" sqref="H23">
      <x:formula1>0</x:formula1>
    </x:dataValidation>
    <x:dataValidation type="whole" operator="equal" sqref="I23">
      <x:formula1>0</x:formula1>
    </x:dataValidation>
    <x:dataValidation type="whole" operator="equal" sqref="J23">
      <x:formula1>1</x:formula1>
    </x:dataValidation>
    <x:dataValidation type="whole" operator="equal" sqref="K23">
      <x:formula1>0</x:formula1>
    </x:dataValidation>
    <x:dataValidation type="whole" operator="equal" sqref="L23">
      <x:formula1>0</x:formula1>
    </x:dataValidation>
    <x:dataValidation type="whole" operator="equal" sqref="M23">
      <x:formula1>0</x:formula1>
    </x:dataValidation>
    <x:dataValidation type="whole" operator="equal" sqref="N23">
      <x:formula1>0</x:formula1>
    </x:dataValidation>
    <x:dataValidation type="whole" operator="equal" sqref="O23">
      <x:formula1>0</x:formula1>
    </x:dataValidation>
    <x:dataValidation type="whole" operator="equal" sqref="P23">
      <x:formula1>0</x:formula1>
    </x:dataValidation>
    <x:dataValidation type="whole" operator="between" sqref="Q23">
      <x:formula1>-100</x:formula1>
      <x:formula2>0</x:formula2>
    </x:dataValidation>
    <x:dataValidation type="whole" operator="between" sqref="R23">
      <x:formula1>-100</x:formula1>
      <x:formula2>0</x:formula2>
    </x:dataValidation>
    <x:dataValidation type="whole" operator="equal" sqref="S23">
      <x:formula1>0</x:formula1>
    </x:dataValidation>
    <x:dataValidation type="whole" operator="equal" sqref="T23">
      <x:formula1>0</x:formula1>
    </x:dataValidation>
    <x:dataValidation type="whole" operator="between" sqref="U23">
      <x:formula1>-100</x:formula1>
      <x:formula2>0</x:formula2>
    </x:dataValidation>
    <x:dataValidation type="whole" operator="between" sqref="V23">
      <x:formula1>-100</x:formula1>
      <x:formula2>0</x:formula2>
    </x:dataValidation>
    <x:dataValidation type="whole" operator="between" sqref="W23">
      <x:formula1>-100</x:formula1>
      <x:formula2>0</x:formula2>
    </x:dataValidation>
    <x:dataValidation type="whole" operator="equal" sqref="X23">
      <x:formula1>0</x:formula1>
    </x:dataValidation>
    <x:dataValidation type="whole" operator="equal" sqref="Y23">
      <x:formula1>0</x:formula1>
    </x:dataValidation>
    <x:dataValidation type="whole" operator="between" sqref="Z23">
      <x:formula1>-100</x:formula1>
      <x:formula2>0</x:formula2>
    </x:dataValidation>
    <x:dataValidation type="whole" operator="between" sqref="AA23">
      <x:formula1>-100</x:formula1>
      <x:formula2>0</x:formula2>
    </x:dataValidation>
    <x:dataValidation type="whole" operator="between" sqref="AB23">
      <x:formula1>-100</x:formula1>
      <x:formula2>0</x:formula2>
    </x:dataValidation>
    <x:dataValidation type="whole" operator="between" sqref="AC23">
      <x:formula1>-100</x:formula1>
      <x:formula2>0</x:formula2>
    </x:dataValidation>
    <x:dataValidation type="whole" operator="equal" sqref="AD23">
      <x:formula1>0</x:formula1>
    </x:dataValidation>
    <x:dataValidation type="whole" operator="between" sqref="AE23">
      <x:formula1>-100</x:formula1>
      <x:formula2>0</x:formula2>
    </x:dataValidation>
    <x:dataValidation type="whole" operator="between" sqref="AF23">
      <x:formula1>-100</x:formula1>
      <x:formula2>0</x:formula2>
    </x:dataValidation>
    <x:dataValidation type="whole" operator="between" sqref="AG23">
      <x:formula1>-100</x:formula1>
      <x:formula2>0</x:formula2>
    </x:dataValidation>
    <x:dataValidation type="whole" operator="between" sqref="AH23">
      <x:formula1>-100</x:formula1>
      <x:formula2>0</x:formula2>
    </x:dataValidation>
    <x:dataValidation type="whole" operator="between" sqref="AI23">
      <x:formula1>-100</x:formula1>
      <x:formula2>0</x:formula2>
    </x:dataValidation>
    <x:dataValidation type="whole" operator="between" sqref="AJ23">
      <x:formula1>-100</x:formula1>
      <x:formula2>0</x:formula2>
    </x:dataValidation>
    <x:dataValidation type="whole" operator="between" sqref="AK23">
      <x:formula1>-100</x:formula1>
      <x:formula2>0</x:formula2>
    </x:dataValidation>
    <x:dataValidation type="whole" operator="between" sqref="AL23">
      <x:formula1>-100</x:formula1>
      <x:formula2>0</x:formula2>
    </x:dataValidation>
    <x:dataValidation type="whole" operator="between" sqref="AM23">
      <x:formula1>-100</x:formula1>
      <x:formula2>0</x:formula2>
    </x:dataValidation>
    <x:dataValidation type="whole" operator="equal" sqref="E24">
      <x:formula1>0</x:formula1>
    </x:dataValidation>
    <x:dataValidation type="whole" operator="equal" sqref="F24">
      <x:formula1>0</x:formula1>
    </x:dataValidation>
    <x:dataValidation type="whole" operator="equal" sqref="G24">
      <x:formula1>0</x:formula1>
    </x:dataValidation>
    <x:dataValidation type="whole" operator="equal" sqref="H24">
      <x:formula1>0</x:formula1>
    </x:dataValidation>
    <x:dataValidation type="whole" operator="equal" sqref="I24">
      <x:formula1>0</x:formula1>
    </x:dataValidation>
    <x:dataValidation type="whole" operator="equal" sqref="J24">
      <x:formula1>0</x:formula1>
    </x:dataValidation>
    <x:dataValidation type="whole" operator="equal" sqref="K24">
      <x:formula1>1</x:formula1>
    </x:dataValidation>
    <x:dataValidation type="whole" operator="equal" sqref="L24">
      <x:formula1>0</x:formula1>
    </x:dataValidation>
    <x:dataValidation type="whole" operator="equal" sqref="M24">
      <x:formula1>0</x:formula1>
    </x:dataValidation>
    <x:dataValidation type="whole" operator="equal" sqref="N24">
      <x:formula1>0</x:formula1>
    </x:dataValidation>
    <x:dataValidation type="whole" operator="equal" sqref="O24">
      <x:formula1>0</x:formula1>
    </x:dataValidation>
    <x:dataValidation type="whole" operator="equal" sqref="P24">
      <x:formula1>0</x:formula1>
    </x:dataValidation>
    <x:dataValidation type="whole" operator="between" sqref="Q24">
      <x:formula1>-100</x:formula1>
      <x:formula2>0</x:formula2>
    </x:dataValidation>
    <x:dataValidation type="whole" operator="between" sqref="R24">
      <x:formula1>-100</x:formula1>
      <x:formula2>0</x:formula2>
    </x:dataValidation>
    <x:dataValidation type="whole" operator="equal" sqref="S24">
      <x:formula1>0</x:formula1>
    </x:dataValidation>
    <x:dataValidation type="whole" operator="equal" sqref="T24">
      <x:formula1>0</x:formula1>
    </x:dataValidation>
    <x:dataValidation type="whole" operator="equal" sqref="U24">
      <x:formula1>0</x:formula1>
    </x:dataValidation>
    <x:dataValidation type="whole" operator="between" sqref="V24">
      <x:formula1>-100</x:formula1>
      <x:formula2>0</x:formula2>
    </x:dataValidation>
    <x:dataValidation type="whole" operator="between" sqref="W24">
      <x:formula1>-100</x:formula1>
      <x:formula2>0</x:formula2>
    </x:dataValidation>
    <x:dataValidation type="whole" operator="equal" sqref="X24">
      <x:formula1>0</x:formula1>
    </x:dataValidation>
    <x:dataValidation type="whole" operator="equal" sqref="Y24">
      <x:formula1>0</x:formula1>
    </x:dataValidation>
    <x:dataValidation type="whole" operator="equal" sqref="Z24">
      <x:formula1>0</x:formula1>
    </x:dataValidation>
    <x:dataValidation type="whole" operator="between" sqref="AA24">
      <x:formula1>-100</x:formula1>
      <x:formula2>0</x:formula2>
    </x:dataValidation>
    <x:dataValidation type="whole" operator="between" sqref="AB24">
      <x:formula1>-100</x:formula1>
      <x:formula2>0</x:formula2>
    </x:dataValidation>
    <x:dataValidation type="whole" operator="between" sqref="AC24">
      <x:formula1>-100</x:formula1>
      <x:formula2>0</x:formula2>
    </x:dataValidation>
    <x:dataValidation type="whole" operator="equal" sqref="AD24">
      <x:formula1>0</x:formula1>
    </x:dataValidation>
    <x:dataValidation type="whole" operator="equal" sqref="AE24">
      <x:formula1>0</x:formula1>
    </x:dataValidation>
    <x:dataValidation type="whole" operator="between" sqref="AF24">
      <x:formula1>-100</x:formula1>
      <x:formula2>0</x:formula2>
    </x:dataValidation>
    <x:dataValidation type="whole" operator="between" sqref="AG24">
      <x:formula1>-100</x:formula1>
      <x:formula2>0</x:formula2>
    </x:dataValidation>
    <x:dataValidation type="whole" operator="equal" sqref="AH24">
      <x:formula1>0</x:formula1>
    </x:dataValidation>
    <x:dataValidation type="whole" operator="equal" sqref="AI24">
      <x:formula1>0</x:formula1>
    </x:dataValidation>
    <x:dataValidation type="whole" operator="between" sqref="AJ24">
      <x:formula1>-100</x:formula1>
      <x:formula2>0</x:formula2>
    </x:dataValidation>
    <x:dataValidation type="whole" operator="between" sqref="AK24">
      <x:formula1>-100</x:formula1>
      <x:formula2>0</x:formula2>
    </x:dataValidation>
    <x:dataValidation type="whole" operator="between" sqref="AL24">
      <x:formula1>-100</x:formula1>
      <x:formula2>0</x:formula2>
    </x:dataValidation>
    <x:dataValidation type="whole" operator="between" sqref="AM24">
      <x:formula1>-100</x:formula1>
      <x:formula2>0</x:formula2>
    </x:dataValidation>
    <x:dataValidation type="whole" operator="equal" sqref="E25">
      <x:formula1>0</x:formula1>
    </x:dataValidation>
    <x:dataValidation type="whole" operator="equal" sqref="F25">
      <x:formula1>0</x:formula1>
    </x:dataValidation>
    <x:dataValidation type="whole" operator="equal" sqref="G25">
      <x:formula1>0</x:formula1>
    </x:dataValidation>
    <x:dataValidation type="whole" operator="equal" sqref="H25">
      <x:formula1>0</x:formula1>
    </x:dataValidation>
    <x:dataValidation type="whole" operator="equal" sqref="I25">
      <x:formula1>0</x:formula1>
    </x:dataValidation>
    <x:dataValidation type="whole" operator="equal" sqref="J25">
      <x:formula1>0</x:formula1>
    </x:dataValidation>
    <x:dataValidation type="whole" operator="equal" sqref="K25">
      <x:formula1>0</x:formula1>
    </x:dataValidation>
    <x:dataValidation type="whole" operator="equal" sqref="L25">
      <x:formula1>1</x:formula1>
    </x:dataValidation>
    <x:dataValidation type="whole" operator="equal" sqref="M25">
      <x:formula1>0</x:formula1>
    </x:dataValidation>
    <x:dataValidation type="whole" operator="equal" sqref="N25">
      <x:formula1>0</x:formula1>
    </x:dataValidation>
    <x:dataValidation type="whole" operator="equal" sqref="O25">
      <x:formula1>0</x:formula1>
    </x:dataValidation>
    <x:dataValidation type="whole" operator="equal" sqref="P25">
      <x:formula1>0</x:formula1>
    </x:dataValidation>
    <x:dataValidation type="whole" operator="equal" sqref="Q25">
      <x:formula1>0</x:formula1>
    </x:dataValidation>
    <x:dataValidation type="whole" operator="between" sqref="R25">
      <x:formula1>-100</x:formula1>
      <x:formula2>0</x:formula2>
    </x:dataValidation>
    <x:dataValidation type="whole" operator="equal" sqref="S25">
      <x:formula1>0</x:formula1>
    </x:dataValidation>
    <x:dataValidation type="whole" operator="equal" sqref="T25">
      <x:formula1>0</x:formula1>
    </x:dataValidation>
    <x:dataValidation type="whole" operator="equal" sqref="U25">
      <x:formula1>0</x:formula1>
    </x:dataValidation>
    <x:dataValidation type="whole" operator="equal" sqref="V25">
      <x:formula1>0</x:formula1>
    </x:dataValidation>
    <x:dataValidation type="whole" operator="between" sqref="W25">
      <x:formula1>-100</x:formula1>
      <x:formula2>0</x:formula2>
    </x:dataValidation>
    <x:dataValidation type="whole" operator="equal" sqref="X25">
      <x:formula1>0</x:formula1>
    </x:dataValidation>
    <x:dataValidation type="whole" operator="equal" sqref="Y25">
      <x:formula1>0</x:formula1>
    </x:dataValidation>
    <x:dataValidation type="whole" operator="equal" sqref="Z25">
      <x:formula1>0</x:formula1>
    </x:dataValidation>
    <x:dataValidation type="whole" operator="equal" sqref="AA25">
      <x:formula1>0</x:formula1>
    </x:dataValidation>
    <x:dataValidation type="whole" operator="between" sqref="AB25">
      <x:formula1>-100</x:formula1>
      <x:formula2>0</x:formula2>
    </x:dataValidation>
    <x:dataValidation type="whole" operator="between" sqref="AC25">
      <x:formula1>-100</x:formula1>
      <x:formula2>0</x:formula2>
    </x:dataValidation>
    <x:dataValidation type="whole" operator="equal" sqref="AD25">
      <x:formula1>0</x:formula1>
    </x:dataValidation>
    <x:dataValidation type="whole" operator="equal" sqref="AE25">
      <x:formula1>0</x:formula1>
    </x:dataValidation>
    <x:dataValidation type="whole" operator="equal" sqref="AF25">
      <x:formula1>0</x:formula1>
    </x:dataValidation>
    <x:dataValidation type="whole" operator="between" sqref="AG25">
      <x:formula1>-100</x:formula1>
      <x:formula2>0</x:formula2>
    </x:dataValidation>
    <x:dataValidation type="whole" operator="equal" sqref="AH25">
      <x:formula1>0</x:formula1>
    </x:dataValidation>
    <x:dataValidation type="whole" operator="equal" sqref="AI25">
      <x:formula1>0</x:formula1>
    </x:dataValidation>
    <x:dataValidation type="whole" operator="equal" sqref="AJ25">
      <x:formula1>0</x:formula1>
    </x:dataValidation>
    <x:dataValidation type="whole" operator="between" sqref="AK25">
      <x:formula1>-100</x:formula1>
      <x:formula2>0</x:formula2>
    </x:dataValidation>
    <x:dataValidation type="whole" operator="between" sqref="AL25">
      <x:formula1>-100</x:formula1>
      <x:formula2>0</x:formula2>
    </x:dataValidation>
    <x:dataValidation type="whole" operator="between" sqref="AM25">
      <x:formula1>-100</x:formula1>
      <x:formula2>0</x:formula2>
    </x:dataValidation>
    <x:dataValidation type="whole" operator="equal" sqref="E26">
      <x:formula1>0</x:formula1>
    </x:dataValidation>
    <x:dataValidation type="whole" operator="equal" sqref="F26">
      <x:formula1>0</x:formula1>
    </x:dataValidation>
    <x:dataValidation type="whole" operator="equal" sqref="G26">
      <x:formula1>0</x:formula1>
    </x:dataValidation>
    <x:dataValidation type="whole" operator="equal" sqref="H26">
      <x:formula1>0</x:formula1>
    </x:dataValidation>
    <x:dataValidation type="whole" operator="equal" sqref="I26">
      <x:formula1>0</x:formula1>
    </x:dataValidation>
    <x:dataValidation type="whole" operator="equal" sqref="J26">
      <x:formula1>0</x:formula1>
    </x:dataValidation>
    <x:dataValidation type="whole" operator="equal" sqref="K26">
      <x:formula1>0</x:formula1>
    </x:dataValidation>
    <x:dataValidation type="whole" operator="equal" sqref="L26">
      <x:formula1>0</x:formula1>
    </x:dataValidation>
    <x:dataValidation type="whole" operator="equal" sqref="M26">
      <x:formula1>1</x:formula1>
    </x:dataValidation>
    <x:dataValidation type="whole" operator="equal" sqref="N26">
      <x:formula1>0</x:formula1>
    </x:dataValidation>
    <x:dataValidation type="whole" operator="equal" sqref="O26">
      <x:formula1>0</x:formula1>
    </x:dataValidation>
    <x:dataValidation type="whole" operator="equal" sqref="P26">
      <x:formula1>0</x:formula1>
    </x:dataValidation>
    <x:dataValidation type="whole" operator="equal" sqref="Q26">
      <x:formula1>0</x:formula1>
    </x:dataValidation>
    <x:dataValidation type="whole" operator="equal" sqref="R26">
      <x:formula1>0</x:formula1>
    </x:dataValidation>
    <x:dataValidation type="whole" operator="equal" sqref="S26">
      <x:formula1>0</x:formula1>
    </x:dataValidation>
    <x:dataValidation type="whole" operator="equal" sqref="T26">
      <x:formula1>0</x:formula1>
    </x:dataValidation>
    <x:dataValidation type="whole" operator="equal" sqref="U26">
      <x:formula1>0</x:formula1>
    </x:dataValidation>
    <x:dataValidation type="whole" operator="equal" sqref="V26">
      <x:formula1>0</x:formula1>
    </x:dataValidation>
    <x:dataValidation type="whole" operator="between" sqref="W26">
      <x:formula1>-100</x:formula1>
      <x:formula2>0</x:formula2>
    </x:dataValidation>
    <x:dataValidation type="whole" operator="equal" sqref="X26">
      <x:formula1>0</x:formula1>
    </x:dataValidation>
    <x:dataValidation type="whole" operator="equal" sqref="Y26">
      <x:formula1>0</x:formula1>
    </x:dataValidation>
    <x:dataValidation type="whole" operator="equal" sqref="Z26">
      <x:formula1>0</x:formula1>
    </x:dataValidation>
    <x:dataValidation type="whole" operator="equal" sqref="AA26">
      <x:formula1>0</x:formula1>
    </x:dataValidation>
    <x:dataValidation type="whole" operator="equal" sqref="AB26">
      <x:formula1>0</x:formula1>
    </x:dataValidation>
    <x:dataValidation type="whole" operator="between" sqref="AC26">
      <x:formula1>-100</x:formula1>
      <x:formula2>0</x:formula2>
    </x:dataValidation>
    <x:dataValidation type="whole" operator="equal" sqref="AD26">
      <x:formula1>0</x:formula1>
    </x:dataValidation>
    <x:dataValidation type="whole" operator="equal" sqref="AE26">
      <x:formula1>0</x:formula1>
    </x:dataValidation>
    <x:dataValidation type="whole" operator="equal" sqref="AF26">
      <x:formula1>0</x:formula1>
    </x:dataValidation>
    <x:dataValidation type="whole" operator="equal" sqref="AG26">
      <x:formula1>0</x:formula1>
    </x:dataValidation>
    <x:dataValidation type="whole" operator="equal" sqref="AH26">
      <x:formula1>0</x:formula1>
    </x:dataValidation>
    <x:dataValidation type="whole" operator="equal" sqref="AI26">
      <x:formula1>0</x:formula1>
    </x:dataValidation>
    <x:dataValidation type="whole" operator="equal" sqref="AJ26">
      <x:formula1>0</x:formula1>
    </x:dataValidation>
    <x:dataValidation type="whole" operator="equal" sqref="AK26">
      <x:formula1>0</x:formula1>
    </x:dataValidation>
    <x:dataValidation type="whole" operator="equal" sqref="AL26">
      <x:formula1>0</x:formula1>
    </x:dataValidation>
    <x:dataValidation type="whole" operator="between" sqref="AM26">
      <x:formula1>-100</x:formula1>
      <x:formula2>0</x:formula2>
    </x:dataValidation>
    <x:dataValidation type="whole" operator="equal" sqref="E27">
      <x:formula1>0</x:formula1>
    </x:dataValidation>
    <x:dataValidation type="whole" operator="equal" sqref="F27">
      <x:formula1>0</x:formula1>
    </x:dataValidation>
    <x:dataValidation type="whole" operator="equal" sqref="G27">
      <x:formula1>0</x:formula1>
    </x:dataValidation>
    <x:dataValidation type="whole" operator="equal" sqref="H27">
      <x:formula1>0</x:formula1>
    </x:dataValidation>
    <x:dataValidation type="whole" operator="equal" sqref="I27">
      <x:formula1>0</x:formula1>
    </x:dataValidation>
    <x:dataValidation type="whole" operator="equal" sqref="J27">
      <x:formula1>0</x:formula1>
    </x:dataValidation>
    <x:dataValidation type="whole" operator="equal" sqref="K27">
      <x:formula1>0</x:formula1>
    </x:dataValidation>
    <x:dataValidation type="whole" operator="equal" sqref="L27">
      <x:formula1>0</x:formula1>
    </x:dataValidation>
    <x:dataValidation type="whole" operator="equal" sqref="M27">
      <x:formula1>0</x:formula1>
    </x:dataValidation>
    <x:dataValidation type="whole" operator="equal" sqref="N27">
      <x:formula1>1</x:formula1>
    </x:dataValidation>
    <x:dataValidation type="whole" operator="between" sqref="O27">
      <x:formula1>-100</x:formula1>
      <x:formula2>0</x:formula2>
    </x:dataValidation>
    <x:dataValidation type="whole" operator="between" sqref="P27">
      <x:formula1>-100</x:formula1>
      <x:formula2>0</x:formula2>
    </x:dataValidation>
    <x:dataValidation type="whole" operator="between" sqref="Q27">
      <x:formula1>-100</x:formula1>
      <x:formula2>0</x:formula2>
    </x:dataValidation>
    <x:dataValidation type="whole" operator="between" sqref="R27">
      <x:formula1>-100</x:formula1>
      <x:formula2>0</x:formula2>
    </x:dataValidation>
    <x:dataValidation type="whole" operator="between" sqref="S27">
      <x:formula1>-100</x:formula1>
      <x:formula2>0</x:formula2>
    </x:dataValidation>
    <x:dataValidation type="whole" operator="between" sqref="T27">
      <x:formula1>-100</x:formula1>
      <x:formula2>0</x:formula2>
    </x:dataValidation>
    <x:dataValidation type="whole" operator="between" sqref="U27">
      <x:formula1>-100</x:formula1>
      <x:formula2>0</x:formula2>
    </x:dataValidation>
    <x:dataValidation type="whole" operator="between" sqref="V27">
      <x:formula1>-100</x:formula1>
      <x:formula2>0</x:formula2>
    </x:dataValidation>
    <x:dataValidation type="whole" operator="between" sqref="W27">
      <x:formula1>-100</x:formula1>
      <x:formula2>0</x:formula2>
    </x:dataValidation>
    <x:dataValidation type="whole" operator="between" sqref="X27">
      <x:formula1>-100</x:formula1>
      <x:formula2>0</x:formula2>
    </x:dataValidation>
    <x:dataValidation type="whole" operator="between" sqref="Y27">
      <x:formula1>-100</x:formula1>
      <x:formula2>0</x:formula2>
    </x:dataValidation>
    <x:dataValidation type="whole" operator="between" sqref="Z27">
      <x:formula1>-100</x:formula1>
      <x:formula2>0</x:formula2>
    </x:dataValidation>
    <x:dataValidation type="whole" operator="between" sqref="AA27">
      <x:formula1>-100</x:formula1>
      <x:formula2>0</x:formula2>
    </x:dataValidation>
    <x:dataValidation type="whole" operator="between" sqref="AB27">
      <x:formula1>-100</x:formula1>
      <x:formula2>0</x:formula2>
    </x:dataValidation>
    <x:dataValidation type="whole" operator="between" sqref="AC27">
      <x:formula1>-100</x:formula1>
      <x:formula2>0</x:formula2>
    </x:dataValidation>
    <x:dataValidation type="whole" operator="between" sqref="AD27">
      <x:formula1>-100</x:formula1>
      <x:formula2>0</x:formula2>
    </x:dataValidation>
    <x:dataValidation type="whole" operator="between" sqref="AE27">
      <x:formula1>-100</x:formula1>
      <x:formula2>0</x:formula2>
    </x:dataValidation>
    <x:dataValidation type="whole" operator="between" sqref="AF27">
      <x:formula1>-100</x:formula1>
      <x:formula2>0</x:formula2>
    </x:dataValidation>
    <x:dataValidation type="whole" operator="between" sqref="AG27">
      <x:formula1>-100</x:formula1>
      <x:formula2>0</x:formula2>
    </x:dataValidation>
    <x:dataValidation type="whole" operator="between" sqref="AH27">
      <x:formula1>-100</x:formula1>
      <x:formula2>0</x:formula2>
    </x:dataValidation>
    <x:dataValidation type="whole" operator="between" sqref="AI27">
      <x:formula1>-100</x:formula1>
      <x:formula2>0</x:formula2>
    </x:dataValidation>
    <x:dataValidation type="whole" operator="between" sqref="AJ27">
      <x:formula1>-100</x:formula1>
      <x:formula2>0</x:formula2>
    </x:dataValidation>
    <x:dataValidation type="whole" operator="between" sqref="AK27">
      <x:formula1>-100</x:formula1>
      <x:formula2>0</x:formula2>
    </x:dataValidation>
    <x:dataValidation type="whole" operator="between" sqref="AL27">
      <x:formula1>-100</x:formula1>
      <x:formula2>0</x:formula2>
    </x:dataValidation>
    <x:dataValidation type="whole" operator="between" sqref="AM27">
      <x:formula1>-100</x:formula1>
      <x:formula2>0</x:formula2>
    </x:dataValidation>
    <x:dataValidation type="whole" operator="equal" sqref="E28">
      <x:formula1>0</x:formula1>
    </x:dataValidation>
    <x:dataValidation type="whole" operator="equal" sqref="F28">
      <x:formula1>0</x:formula1>
    </x:dataValidation>
    <x:dataValidation type="whole" operator="equal" sqref="G28">
      <x:formula1>0</x:formula1>
    </x:dataValidation>
    <x:dataValidation type="whole" operator="equal" sqref="H28">
      <x:formula1>0</x:formula1>
    </x:dataValidation>
    <x:dataValidation type="whole" operator="equal" sqref="I28">
      <x:formula1>0</x:formula1>
    </x:dataValidation>
    <x:dataValidation type="whole" operator="equal" sqref="J28">
      <x:formula1>0</x:formula1>
    </x:dataValidation>
    <x:dataValidation type="whole" operator="equal" sqref="K28">
      <x:formula1>0</x:formula1>
    </x:dataValidation>
    <x:dataValidation type="whole" operator="equal" sqref="L28">
      <x:formula1>0</x:formula1>
    </x:dataValidation>
    <x:dataValidation type="whole" operator="equal" sqref="M28">
      <x:formula1>0</x:formula1>
    </x:dataValidation>
    <x:dataValidation type="whole" operator="equal" sqref="N28">
      <x:formula1>0</x:formula1>
    </x:dataValidation>
    <x:dataValidation type="whole" operator="equal" sqref="O28">
      <x:formula1>1</x:formula1>
    </x:dataValidation>
    <x:dataValidation type="whole" operator="between" sqref="P28">
      <x:formula1>-100</x:formula1>
      <x:formula2>0</x:formula2>
    </x:dataValidation>
    <x:dataValidation type="whole" operator="between" sqref="Q28">
      <x:formula1>-100</x:formula1>
      <x:formula2>0</x:formula2>
    </x:dataValidation>
    <x:dataValidation type="whole" operator="between" sqref="R28">
      <x:formula1>-100</x:formula1>
      <x:formula2>0</x:formula2>
    </x:dataValidation>
    <x:dataValidation type="whole" operator="between" sqref="S28">
      <x:formula1>-100</x:formula1>
      <x:formula2>0</x:formula2>
    </x:dataValidation>
    <x:dataValidation type="whole" operator="between" sqref="T28">
      <x:formula1>-100</x:formula1>
      <x:formula2>0</x:formula2>
    </x:dataValidation>
    <x:dataValidation type="whole" operator="between" sqref="U28">
      <x:formula1>-100</x:formula1>
      <x:formula2>0</x:formula2>
    </x:dataValidation>
    <x:dataValidation type="whole" operator="between" sqref="V28">
      <x:formula1>-100</x:formula1>
      <x:formula2>0</x:formula2>
    </x:dataValidation>
    <x:dataValidation type="whole" operator="between" sqref="W28">
      <x:formula1>-100</x:formula1>
      <x:formula2>0</x:formula2>
    </x:dataValidation>
    <x:dataValidation type="whole" operator="between" sqref="X28">
      <x:formula1>-100</x:formula1>
      <x:formula2>0</x:formula2>
    </x:dataValidation>
    <x:dataValidation type="whole" operator="between" sqref="Y28">
      <x:formula1>-100</x:formula1>
      <x:formula2>0</x:formula2>
    </x:dataValidation>
    <x:dataValidation type="whole" operator="between" sqref="Z28">
      <x:formula1>-100</x:formula1>
      <x:formula2>0</x:formula2>
    </x:dataValidation>
    <x:dataValidation type="whole" operator="between" sqref="AA28">
      <x:formula1>-100</x:formula1>
      <x:formula2>0</x:formula2>
    </x:dataValidation>
    <x:dataValidation type="whole" operator="between" sqref="AB28">
      <x:formula1>-100</x:formula1>
      <x:formula2>0</x:formula2>
    </x:dataValidation>
    <x:dataValidation type="whole" operator="between" sqref="AC28">
      <x:formula1>-100</x:formula1>
      <x:formula2>0</x:formula2>
    </x:dataValidation>
    <x:dataValidation type="whole" operator="between" sqref="AD28">
      <x:formula1>-100</x:formula1>
      <x:formula2>0</x:formula2>
    </x:dataValidation>
    <x:dataValidation type="whole" operator="between" sqref="AE28">
      <x:formula1>-100</x:formula1>
      <x:formula2>0</x:formula2>
    </x:dataValidation>
    <x:dataValidation type="whole" operator="between" sqref="AF28">
      <x:formula1>-100</x:formula1>
      <x:formula2>0</x:formula2>
    </x:dataValidation>
    <x:dataValidation type="whole" operator="between" sqref="AG28">
      <x:formula1>-100</x:formula1>
      <x:formula2>0</x:formula2>
    </x:dataValidation>
    <x:dataValidation type="whole" operator="between" sqref="AH28">
      <x:formula1>-100</x:formula1>
      <x:formula2>0</x:formula2>
    </x:dataValidation>
    <x:dataValidation type="whole" operator="between" sqref="AI28">
      <x:formula1>-100</x:formula1>
      <x:formula2>0</x:formula2>
    </x:dataValidation>
    <x:dataValidation type="whole" operator="between" sqref="AJ28">
      <x:formula1>-100</x:formula1>
      <x:formula2>0</x:formula2>
    </x:dataValidation>
    <x:dataValidation type="whole" operator="between" sqref="AK28">
      <x:formula1>-100</x:formula1>
      <x:formula2>0</x:formula2>
    </x:dataValidation>
    <x:dataValidation type="whole" operator="between" sqref="AL28">
      <x:formula1>-100</x:formula1>
      <x:formula2>0</x:formula2>
    </x:dataValidation>
    <x:dataValidation type="whole" operator="between" sqref="AM28">
      <x:formula1>-100</x:formula1>
      <x:formula2>0</x:formula2>
    </x:dataValidation>
    <x:dataValidation type="whole" operator="equal" sqref="E29">
      <x:formula1>0</x:formula1>
    </x:dataValidation>
    <x:dataValidation type="whole" operator="equal" sqref="F29">
      <x:formula1>0</x:formula1>
    </x:dataValidation>
    <x:dataValidation type="whole" operator="equal" sqref="G29">
      <x:formula1>0</x:formula1>
    </x:dataValidation>
    <x:dataValidation type="whole" operator="equal" sqref="H29">
      <x:formula1>0</x:formula1>
    </x:dataValidation>
    <x:dataValidation type="whole" operator="equal" sqref="I29">
      <x:formula1>0</x:formula1>
    </x:dataValidation>
    <x:dataValidation type="whole" operator="equal" sqref="J29">
      <x:formula1>0</x:formula1>
    </x:dataValidation>
    <x:dataValidation type="whole" operator="equal" sqref="K29">
      <x:formula1>0</x:formula1>
    </x:dataValidation>
    <x:dataValidation type="whole" operator="equal" sqref="L29">
      <x:formula1>0</x:formula1>
    </x:dataValidation>
    <x:dataValidation type="whole" operator="equal" sqref="M29">
      <x:formula1>0</x:formula1>
    </x:dataValidation>
    <x:dataValidation type="whole" operator="equal" sqref="N29">
      <x:formula1>0</x:formula1>
    </x:dataValidation>
    <x:dataValidation type="whole" operator="equal" sqref="O29">
      <x:formula1>0</x:formula1>
    </x:dataValidation>
    <x:dataValidation type="whole" operator="equal" sqref="P29">
      <x:formula1>1</x:formula1>
    </x:dataValidation>
    <x:dataValidation type="whole" operator="between" sqref="Q29">
      <x:formula1>-100</x:formula1>
      <x:formula2>0</x:formula2>
    </x:dataValidation>
    <x:dataValidation type="whole" operator="between" sqref="R29">
      <x:formula1>-100</x:formula1>
      <x:formula2>0</x:formula2>
    </x:dataValidation>
    <x:dataValidation type="whole" operator="equal" sqref="S29">
      <x:formula1>0</x:formula1>
    </x:dataValidation>
    <x:dataValidation type="whole" operator="equal" sqref="T29">
      <x:formula1>0</x:formula1>
    </x:dataValidation>
    <x:dataValidation type="whole" operator="between" sqref="U29">
      <x:formula1>-100</x:formula1>
      <x:formula2>0</x:formula2>
    </x:dataValidation>
    <x:dataValidation type="whole" operator="between" sqref="V29">
      <x:formula1>-100</x:formula1>
      <x:formula2>0</x:formula2>
    </x:dataValidation>
    <x:dataValidation type="whole" operator="between" sqref="W29">
      <x:formula1>-100</x:formula1>
      <x:formula2>0</x:formula2>
    </x:dataValidation>
    <x:dataValidation type="whole" operator="equal" sqref="X29">
      <x:formula1>0</x:formula1>
    </x:dataValidation>
    <x:dataValidation type="whole" operator="between" sqref="Y29">
      <x:formula1>-100</x:formula1>
      <x:formula2>0</x:formula2>
    </x:dataValidation>
    <x:dataValidation type="whole" operator="between" sqref="Z29">
      <x:formula1>-100</x:formula1>
      <x:formula2>0</x:formula2>
    </x:dataValidation>
    <x:dataValidation type="whole" operator="between" sqref="AA29">
      <x:formula1>-100</x:formula1>
      <x:formula2>0</x:formula2>
    </x:dataValidation>
    <x:dataValidation type="whole" operator="between" sqref="AB29">
      <x:formula1>-100</x:formula1>
      <x:formula2>0</x:formula2>
    </x:dataValidation>
    <x:dataValidation type="whole" operator="between" sqref="AC29">
      <x:formula1>-100</x:formula1>
      <x:formula2>0</x:formula2>
    </x:dataValidation>
    <x:dataValidation type="whole" operator="between" sqref="AD29">
      <x:formula1>-100</x:formula1>
      <x:formula2>0</x:formula2>
    </x:dataValidation>
    <x:dataValidation type="whole" operator="between" sqref="AE29">
      <x:formula1>-100</x:formula1>
      <x:formula2>0</x:formula2>
    </x:dataValidation>
    <x:dataValidation type="whole" operator="between" sqref="AF29">
      <x:formula1>-100</x:formula1>
      <x:formula2>0</x:formula2>
    </x:dataValidation>
    <x:dataValidation type="whole" operator="between" sqref="AG29">
      <x:formula1>-100</x:formula1>
      <x:formula2>0</x:formula2>
    </x:dataValidation>
    <x:dataValidation type="whole" operator="between" sqref="AH29">
      <x:formula1>-100</x:formula1>
      <x:formula2>0</x:formula2>
    </x:dataValidation>
    <x:dataValidation type="whole" operator="between" sqref="AI29">
      <x:formula1>-100</x:formula1>
      <x:formula2>0</x:formula2>
    </x:dataValidation>
    <x:dataValidation type="whole" operator="between" sqref="AJ29">
      <x:formula1>-100</x:formula1>
      <x:formula2>0</x:formula2>
    </x:dataValidation>
    <x:dataValidation type="whole" operator="between" sqref="AK29">
      <x:formula1>-100</x:formula1>
      <x:formula2>0</x:formula2>
    </x:dataValidation>
    <x:dataValidation type="whole" operator="between" sqref="AL29">
      <x:formula1>-100</x:formula1>
      <x:formula2>0</x:formula2>
    </x:dataValidation>
    <x:dataValidation type="whole" operator="between" sqref="AM29">
      <x:formula1>-100</x:formula1>
      <x:formula2>0</x:formula2>
    </x:dataValidation>
    <x:dataValidation type="whole" operator="equal" sqref="E30">
      <x:formula1>0</x:formula1>
    </x:dataValidation>
    <x:dataValidation type="whole" operator="equal" sqref="F30">
      <x:formula1>0</x:formula1>
    </x:dataValidation>
    <x:dataValidation type="whole" operator="equal" sqref="G30">
      <x:formula1>0</x:formula1>
    </x:dataValidation>
    <x:dataValidation type="whole" operator="equal" sqref="H30">
      <x:formula1>0</x:formula1>
    </x:dataValidation>
    <x:dataValidation type="whole" operator="equal" sqref="I30">
      <x:formula1>0</x:formula1>
    </x:dataValidation>
    <x:dataValidation type="whole" operator="equal" sqref="J30">
      <x:formula1>0</x:formula1>
    </x:dataValidation>
    <x:dataValidation type="whole" operator="equal" sqref="K30">
      <x:formula1>0</x:formula1>
    </x:dataValidation>
    <x:dataValidation type="whole" operator="equal" sqref="L30">
      <x:formula1>0</x:formula1>
    </x:dataValidation>
    <x:dataValidation type="whole" operator="equal" sqref="M30">
      <x:formula1>0</x:formula1>
    </x:dataValidation>
    <x:dataValidation type="whole" operator="equal" sqref="N30">
      <x:formula1>0</x:formula1>
    </x:dataValidation>
    <x:dataValidation type="whole" operator="equal" sqref="O30">
      <x:formula1>0</x:formula1>
    </x:dataValidation>
    <x:dataValidation type="whole" operator="equal" sqref="P30">
      <x:formula1>0</x:formula1>
    </x:dataValidation>
    <x:dataValidation type="whole" operator="equal" sqref="Q30">
      <x:formula1>1</x:formula1>
    </x:dataValidation>
    <x:dataValidation type="whole" operator="between" sqref="R30">
      <x:formula1>-100</x:formula1>
      <x:formula2>0</x:formula2>
    </x:dataValidation>
    <x:dataValidation type="whole" operator="equal" sqref="S30">
      <x:formula1>0</x:formula1>
    </x:dataValidation>
    <x:dataValidation type="whole" operator="equal" sqref="T30">
      <x:formula1>0</x:formula1>
    </x:dataValidation>
    <x:dataValidation type="whole" operator="equal" sqref="U30">
      <x:formula1>0</x:formula1>
    </x:dataValidation>
    <x:dataValidation type="whole" operator="between" sqref="V30">
      <x:formula1>-100</x:formula1>
      <x:formula2>0</x:formula2>
    </x:dataValidation>
    <x:dataValidation type="whole" operator="between" sqref="W30">
      <x:formula1>-100</x:formula1>
      <x:formula2>0</x:formula2>
    </x:dataValidation>
    <x:dataValidation type="whole" operator="equal" sqref="X30">
      <x:formula1>0</x:formula1>
    </x:dataValidation>
    <x:dataValidation type="whole" operator="equal" sqref="Y30">
      <x:formula1>0</x:formula1>
    </x:dataValidation>
    <x:dataValidation type="whole" operator="equal" sqref="Z30">
      <x:formula1>0</x:formula1>
    </x:dataValidation>
    <x:dataValidation type="whole" operator="between" sqref="AA30">
      <x:formula1>-100</x:formula1>
      <x:formula2>0</x:formula2>
    </x:dataValidation>
    <x:dataValidation type="whole" operator="between" sqref="AB30">
      <x:formula1>-100</x:formula1>
      <x:formula2>0</x:formula2>
    </x:dataValidation>
    <x:dataValidation type="whole" operator="between" sqref="AC30">
      <x:formula1>-100</x:formula1>
      <x:formula2>0</x:formula2>
    </x:dataValidation>
    <x:dataValidation type="whole" operator="equal" sqref="AD30">
      <x:formula1>0</x:formula1>
    </x:dataValidation>
    <x:dataValidation type="whole" operator="equal" sqref="AE30">
      <x:formula1>0</x:formula1>
    </x:dataValidation>
    <x:dataValidation type="whole" operator="between" sqref="AF30">
      <x:formula1>-100</x:formula1>
      <x:formula2>0</x:formula2>
    </x:dataValidation>
    <x:dataValidation type="whole" operator="between" sqref="AG30">
      <x:formula1>-100</x:formula1>
      <x:formula2>0</x:formula2>
    </x:dataValidation>
    <x:dataValidation type="whole" operator="equal" sqref="AH30">
      <x:formula1>0</x:formula1>
    </x:dataValidation>
    <x:dataValidation type="whole" operator="equal" sqref="AI30">
      <x:formula1>0</x:formula1>
    </x:dataValidation>
    <x:dataValidation type="whole" operator="between" sqref="AJ30">
      <x:formula1>-100</x:formula1>
      <x:formula2>0</x:formula2>
    </x:dataValidation>
    <x:dataValidation type="whole" operator="between" sqref="AK30">
      <x:formula1>-100</x:formula1>
      <x:formula2>0</x:formula2>
    </x:dataValidation>
    <x:dataValidation type="whole" operator="between" sqref="AL30">
      <x:formula1>-100</x:formula1>
      <x:formula2>0</x:formula2>
    </x:dataValidation>
    <x:dataValidation type="whole" operator="between" sqref="AM30">
      <x:formula1>-100</x:formula1>
      <x:formula2>0</x:formula2>
    </x:dataValidation>
    <x:dataValidation type="whole" operator="equal" sqref="E31">
      <x:formula1>0</x:formula1>
    </x:dataValidation>
    <x:dataValidation type="whole" operator="equal" sqref="F31">
      <x:formula1>0</x:formula1>
    </x:dataValidation>
    <x:dataValidation type="whole" operator="equal" sqref="G31">
      <x:formula1>0</x:formula1>
    </x:dataValidation>
    <x:dataValidation type="whole" operator="equal" sqref="H31">
      <x:formula1>0</x:formula1>
    </x:dataValidation>
    <x:dataValidation type="whole" operator="equal" sqref="I31">
      <x:formula1>0</x:formula1>
    </x:dataValidation>
    <x:dataValidation type="whole" operator="equal" sqref="J31">
      <x:formula1>0</x:formula1>
    </x:dataValidation>
    <x:dataValidation type="whole" operator="equal" sqref="K31">
      <x:formula1>0</x:formula1>
    </x:dataValidation>
    <x:dataValidation type="whole" operator="equal" sqref="L31">
      <x:formula1>0</x:formula1>
    </x:dataValidation>
    <x:dataValidation type="whole" operator="equal" sqref="M31">
      <x:formula1>0</x:formula1>
    </x:dataValidation>
    <x:dataValidation type="whole" operator="equal" sqref="N31">
      <x:formula1>0</x:formula1>
    </x:dataValidation>
    <x:dataValidation type="whole" operator="equal" sqref="O31">
      <x:formula1>0</x:formula1>
    </x:dataValidation>
    <x:dataValidation type="whole" operator="equal" sqref="P31">
      <x:formula1>0</x:formula1>
    </x:dataValidation>
    <x:dataValidation type="whole" operator="equal" sqref="Q31">
      <x:formula1>0</x:formula1>
    </x:dataValidation>
    <x:dataValidation type="whole" operator="equal" sqref="R31">
      <x:formula1>1</x:formula1>
    </x:dataValidation>
    <x:dataValidation type="whole" operator="equal" sqref="S31">
      <x:formula1>0</x:formula1>
    </x:dataValidation>
    <x:dataValidation type="whole" operator="equal" sqref="T31">
      <x:formula1>0</x:formula1>
    </x:dataValidation>
    <x:dataValidation type="whole" operator="equal" sqref="U31">
      <x:formula1>0</x:formula1>
    </x:dataValidation>
    <x:dataValidation type="whole" operator="equal" sqref="V31">
      <x:formula1>0</x:formula1>
    </x:dataValidation>
    <x:dataValidation type="whole" operator="between" sqref="W31">
      <x:formula1>-100</x:formula1>
      <x:formula2>0</x:formula2>
    </x:dataValidation>
    <x:dataValidation type="whole" operator="equal" sqref="X31">
      <x:formula1>0</x:formula1>
    </x:dataValidation>
    <x:dataValidation type="whole" operator="equal" sqref="Y31">
      <x:formula1>0</x:formula1>
    </x:dataValidation>
    <x:dataValidation type="whole" operator="equal" sqref="Z31">
      <x:formula1>0</x:formula1>
    </x:dataValidation>
    <x:dataValidation type="whole" operator="equal" sqref="AA31">
      <x:formula1>0</x:formula1>
    </x:dataValidation>
    <x:dataValidation type="whole" operator="equal" sqref="AB31">
      <x:formula1>0</x:formula1>
    </x:dataValidation>
    <x:dataValidation type="whole" operator="between" sqref="AC31">
      <x:formula1>-100</x:formula1>
      <x:formula2>0</x:formula2>
    </x:dataValidation>
    <x:dataValidation type="whole" operator="equal" sqref="AD31">
      <x:formula1>0</x:formula1>
    </x:dataValidation>
    <x:dataValidation type="whole" operator="equal" sqref="AE31">
      <x:formula1>0</x:formula1>
    </x:dataValidation>
    <x:dataValidation type="whole" operator="equal" sqref="AF31">
      <x:formula1>0</x:formula1>
    </x:dataValidation>
    <x:dataValidation type="whole" operator="equal" sqref="AG31">
      <x:formula1>0</x:formula1>
    </x:dataValidation>
    <x:dataValidation type="whole" operator="equal" sqref="AH31">
      <x:formula1>0</x:formula1>
    </x:dataValidation>
    <x:dataValidation type="whole" operator="equal" sqref="AI31">
      <x:formula1>0</x:formula1>
    </x:dataValidation>
    <x:dataValidation type="whole" operator="equal" sqref="AJ31">
      <x:formula1>0</x:formula1>
    </x:dataValidation>
    <x:dataValidation type="whole" operator="equal" sqref="AK31">
      <x:formula1>0</x:formula1>
    </x:dataValidation>
    <x:dataValidation type="whole" operator="between" sqref="AL31">
      <x:formula1>-100</x:formula1>
      <x:formula2>0</x:formula2>
    </x:dataValidation>
    <x:dataValidation type="whole" operator="between" sqref="AM31">
      <x:formula1>-100</x:formula1>
      <x:formula2>0</x:formula2>
    </x:dataValidation>
    <x:dataValidation type="whole" operator="equal" sqref="E32">
      <x:formula1>0</x:formula1>
    </x:dataValidation>
    <x:dataValidation type="whole" operator="equal" sqref="F32">
      <x:formula1>0</x:formula1>
    </x:dataValidation>
    <x:dataValidation type="whole" operator="equal" sqref="G32">
      <x:formula1>0</x:formula1>
    </x:dataValidation>
    <x:dataValidation type="whole" operator="equal" sqref="H32">
      <x:formula1>0</x:formula1>
    </x:dataValidation>
    <x:dataValidation type="whole" operator="equal" sqref="I32">
      <x:formula1>0</x:formula1>
    </x:dataValidation>
    <x:dataValidation type="whole" operator="equal" sqref="J32">
      <x:formula1>0</x:formula1>
    </x:dataValidation>
    <x:dataValidation type="whole" operator="equal" sqref="K32">
      <x:formula1>0</x:formula1>
    </x:dataValidation>
    <x:dataValidation type="whole" operator="equal" sqref="L32">
      <x:formula1>0</x:formula1>
    </x:dataValidation>
    <x:dataValidation type="whole" operator="equal" sqref="M32">
      <x:formula1>0</x:formula1>
    </x:dataValidation>
    <x:dataValidation type="whole" operator="equal" sqref="N32">
      <x:formula1>0</x:formula1>
    </x:dataValidation>
    <x:dataValidation type="whole" operator="equal" sqref="O32">
      <x:formula1>0</x:formula1>
    </x:dataValidation>
    <x:dataValidation type="whole" operator="between" sqref="P32">
      <x:formula1>-100</x:formula1>
      <x:formula2>0</x:formula2>
    </x:dataValidation>
    <x:dataValidation type="whole" operator="between" sqref="Q32">
      <x:formula1>-100</x:formula1>
      <x:formula2>0</x:formula2>
    </x:dataValidation>
    <x:dataValidation type="whole" operator="between" sqref="R32">
      <x:formula1>-100</x:formula1>
      <x:formula2>0</x:formula2>
    </x:dataValidation>
    <x:dataValidation type="whole" operator="equal" sqref="S32">
      <x:formula1>1</x:formula1>
    </x:dataValidation>
    <x:dataValidation type="whole" operator="between" sqref="T32">
      <x:formula1>-100</x:formula1>
      <x:formula2>0</x:formula2>
    </x:dataValidation>
    <x:dataValidation type="whole" operator="between" sqref="U32">
      <x:formula1>-100</x:formula1>
      <x:formula2>0</x:formula2>
    </x:dataValidation>
    <x:dataValidation type="whole" operator="between" sqref="V32">
      <x:formula1>-100</x:formula1>
      <x:formula2>0</x:formula2>
    </x:dataValidation>
    <x:dataValidation type="whole" operator="between" sqref="W32">
      <x:formula1>-100</x:formula1>
      <x:formula2>0</x:formula2>
    </x:dataValidation>
    <x:dataValidation type="whole" operator="between" sqref="X32">
      <x:formula1>-100</x:formula1>
      <x:formula2>0</x:formula2>
    </x:dataValidation>
    <x:dataValidation type="whole" operator="between" sqref="Y32">
      <x:formula1>-100</x:formula1>
      <x:formula2>0</x:formula2>
    </x:dataValidation>
    <x:dataValidation type="whole" operator="between" sqref="Z32">
      <x:formula1>-100</x:formula1>
      <x:formula2>0</x:formula2>
    </x:dataValidation>
    <x:dataValidation type="whole" operator="between" sqref="AA32">
      <x:formula1>-100</x:formula1>
      <x:formula2>0</x:formula2>
    </x:dataValidation>
    <x:dataValidation type="whole" operator="between" sqref="AB32">
      <x:formula1>-100</x:formula1>
      <x:formula2>0</x:formula2>
    </x:dataValidation>
    <x:dataValidation type="whole" operator="between" sqref="AC32">
      <x:formula1>-100</x:formula1>
      <x:formula2>0</x:formula2>
    </x:dataValidation>
    <x:dataValidation type="whole" operator="between" sqref="AD32">
      <x:formula1>-100</x:formula1>
      <x:formula2>0</x:formula2>
    </x:dataValidation>
    <x:dataValidation type="whole" operator="between" sqref="AE32">
      <x:formula1>-100</x:formula1>
      <x:formula2>0</x:formula2>
    </x:dataValidation>
    <x:dataValidation type="whole" operator="between" sqref="AF32">
      <x:formula1>-100</x:formula1>
      <x:formula2>0</x:formula2>
    </x:dataValidation>
    <x:dataValidation type="whole" operator="between" sqref="AG32">
      <x:formula1>-100</x:formula1>
      <x:formula2>0</x:formula2>
    </x:dataValidation>
    <x:dataValidation type="whole" operator="between" sqref="AH32">
      <x:formula1>-100</x:formula1>
      <x:formula2>0</x:formula2>
    </x:dataValidation>
    <x:dataValidation type="whole" operator="between" sqref="AI32">
      <x:formula1>-100</x:formula1>
      <x:formula2>0</x:formula2>
    </x:dataValidation>
    <x:dataValidation type="whole" operator="between" sqref="AJ32">
      <x:formula1>-100</x:formula1>
      <x:formula2>0</x:formula2>
    </x:dataValidation>
    <x:dataValidation type="whole" operator="between" sqref="AK32">
      <x:formula1>-100</x:formula1>
      <x:formula2>0</x:formula2>
    </x:dataValidation>
    <x:dataValidation type="whole" operator="between" sqref="AL32">
      <x:formula1>-100</x:formula1>
      <x:formula2>0</x:formula2>
    </x:dataValidation>
    <x:dataValidation type="whole" operator="between" sqref="AM32">
      <x:formula1>-100</x:formula1>
      <x:formula2>0</x:formula2>
    </x:dataValidation>
    <x:dataValidation type="whole" operator="equal" sqref="E33">
      <x:formula1>0</x:formula1>
    </x:dataValidation>
    <x:dataValidation type="whole" operator="equal" sqref="F33">
      <x:formula1>0</x:formula1>
    </x:dataValidation>
    <x:dataValidation type="whole" operator="equal" sqref="G33">
      <x:formula1>0</x:formula1>
    </x:dataValidation>
    <x:dataValidation type="whole" operator="equal" sqref="H33">
      <x:formula1>0</x:formula1>
    </x:dataValidation>
    <x:dataValidation type="whole" operator="equal" sqref="I33">
      <x:formula1>0</x:formula1>
    </x:dataValidation>
    <x:dataValidation type="whole" operator="equal" sqref="J33">
      <x:formula1>0</x:formula1>
    </x:dataValidation>
    <x:dataValidation type="whole" operator="equal" sqref="K33">
      <x:formula1>0</x:formula1>
    </x:dataValidation>
    <x:dataValidation type="whole" operator="equal" sqref="L33">
      <x:formula1>0</x:formula1>
    </x:dataValidation>
    <x:dataValidation type="whole" operator="equal" sqref="M33">
      <x:formula1>0</x:formula1>
    </x:dataValidation>
    <x:dataValidation type="whole" operator="equal" sqref="N33">
      <x:formula1>0</x:formula1>
    </x:dataValidation>
    <x:dataValidation type="whole" operator="equal" sqref="O33">
      <x:formula1>0</x:formula1>
    </x:dataValidation>
    <x:dataValidation type="whole" operator="between" sqref="P33">
      <x:formula1>-100</x:formula1>
      <x:formula2>0</x:formula2>
    </x:dataValidation>
    <x:dataValidation type="whole" operator="between" sqref="Q33">
      <x:formula1>-100</x:formula1>
      <x:formula2>0</x:formula2>
    </x:dataValidation>
    <x:dataValidation type="whole" operator="between" sqref="R33">
      <x:formula1>-100</x:formula1>
      <x:formula2>0</x:formula2>
    </x:dataValidation>
    <x:dataValidation type="whole" operator="equal" sqref="S33">
      <x:formula1>0</x:formula1>
    </x:dataValidation>
    <x:dataValidation type="whole" operator="equal" sqref="T33">
      <x:formula1>1</x:formula1>
    </x:dataValidation>
    <x:dataValidation type="whole" operator="between" sqref="U33">
      <x:formula1>-100</x:formula1>
      <x:formula2>0</x:formula2>
    </x:dataValidation>
    <x:dataValidation type="whole" operator="between" sqref="V33">
      <x:formula1>-100</x:formula1>
      <x:formula2>0</x:formula2>
    </x:dataValidation>
    <x:dataValidation type="whole" operator="between" sqref="W33">
      <x:formula1>-100</x:formula1>
      <x:formula2>0</x:formula2>
    </x:dataValidation>
    <x:dataValidation type="whole" operator="between" sqref="X33">
      <x:formula1>-100</x:formula1>
      <x:formula2>0</x:formula2>
    </x:dataValidation>
    <x:dataValidation type="whole" operator="between" sqref="Y33">
      <x:formula1>-100</x:formula1>
      <x:formula2>0</x:formula2>
    </x:dataValidation>
    <x:dataValidation type="whole" operator="between" sqref="Z33">
      <x:formula1>-100</x:formula1>
      <x:formula2>0</x:formula2>
    </x:dataValidation>
    <x:dataValidation type="whole" operator="between" sqref="AA33">
      <x:formula1>-100</x:formula1>
      <x:formula2>0</x:formula2>
    </x:dataValidation>
    <x:dataValidation type="whole" operator="between" sqref="AB33">
      <x:formula1>-100</x:formula1>
      <x:formula2>0</x:formula2>
    </x:dataValidation>
    <x:dataValidation type="whole" operator="between" sqref="AC33">
      <x:formula1>-100</x:formula1>
      <x:formula2>0</x:formula2>
    </x:dataValidation>
    <x:dataValidation type="whole" operator="between" sqref="AD33">
      <x:formula1>-100</x:formula1>
      <x:formula2>0</x:formula2>
    </x:dataValidation>
    <x:dataValidation type="whole" operator="between" sqref="AE33">
      <x:formula1>-100</x:formula1>
      <x:formula2>0</x:formula2>
    </x:dataValidation>
    <x:dataValidation type="whole" operator="between" sqref="AF33">
      <x:formula1>-100</x:formula1>
      <x:formula2>0</x:formula2>
    </x:dataValidation>
    <x:dataValidation type="whole" operator="between" sqref="AG33">
      <x:formula1>-100</x:formula1>
      <x:formula2>0</x:formula2>
    </x:dataValidation>
    <x:dataValidation type="whole" operator="between" sqref="AH33">
      <x:formula1>-100</x:formula1>
      <x:formula2>0</x:formula2>
    </x:dataValidation>
    <x:dataValidation type="whole" operator="between" sqref="AI33">
      <x:formula1>-100</x:formula1>
      <x:formula2>0</x:formula2>
    </x:dataValidation>
    <x:dataValidation type="whole" operator="between" sqref="AJ33">
      <x:formula1>-100</x:formula1>
      <x:formula2>0</x:formula2>
    </x:dataValidation>
    <x:dataValidation type="whole" operator="between" sqref="AK33">
      <x:formula1>-100</x:formula1>
      <x:formula2>0</x:formula2>
    </x:dataValidation>
    <x:dataValidation type="whole" operator="between" sqref="AL33">
      <x:formula1>-100</x:formula1>
      <x:formula2>0</x:formula2>
    </x:dataValidation>
    <x:dataValidation type="whole" operator="between" sqref="AM33">
      <x:formula1>-100</x:formula1>
      <x:formula2>0</x:formula2>
    </x:dataValidation>
    <x:dataValidation type="whole" operator="equal" sqref="E34">
      <x:formula1>0</x:formula1>
    </x:dataValidation>
    <x:dataValidation type="whole" operator="equal" sqref="F34">
      <x:formula1>0</x:formula1>
    </x:dataValidation>
    <x:dataValidation type="whole" operator="equal" sqref="G34">
      <x:formula1>0</x:formula1>
    </x:dataValidation>
    <x:dataValidation type="whole" operator="equal" sqref="H34">
      <x:formula1>0</x:formula1>
    </x:dataValidation>
    <x:dataValidation type="whole" operator="equal" sqref="I34">
      <x:formula1>0</x:formula1>
    </x:dataValidation>
    <x:dataValidation type="whole" operator="equal" sqref="J34">
      <x:formula1>0</x:formula1>
    </x:dataValidation>
    <x:dataValidation type="whole" operator="equal" sqref="K34">
      <x:formula1>0</x:formula1>
    </x:dataValidation>
    <x:dataValidation type="whole" operator="equal" sqref="L34">
      <x:formula1>0</x:formula1>
    </x:dataValidation>
    <x:dataValidation type="whole" operator="equal" sqref="M34">
      <x:formula1>0</x:formula1>
    </x:dataValidation>
    <x:dataValidation type="whole" operator="equal" sqref="N34">
      <x:formula1>0</x:formula1>
    </x:dataValidation>
    <x:dataValidation type="whole" operator="equal" sqref="O34">
      <x:formula1>0</x:formula1>
    </x:dataValidation>
    <x:dataValidation type="whole" operator="equal" sqref="P34">
      <x:formula1>0</x:formula1>
    </x:dataValidation>
    <x:dataValidation type="whole" operator="between" sqref="Q34">
      <x:formula1>-100</x:formula1>
      <x:formula2>0</x:formula2>
    </x:dataValidation>
    <x:dataValidation type="whole" operator="between" sqref="R34">
      <x:formula1>-100</x:formula1>
      <x:formula2>0</x:formula2>
    </x:dataValidation>
    <x:dataValidation type="whole" operator="equal" sqref="S34">
      <x:formula1>0</x:formula1>
    </x:dataValidation>
    <x:dataValidation type="whole" operator="equal" sqref="T34">
      <x:formula1>0</x:formula1>
    </x:dataValidation>
    <x:dataValidation type="whole" operator="equal" sqref="U34">
      <x:formula1>1</x:formula1>
    </x:dataValidation>
    <x:dataValidation type="whole" operator="between" sqref="V34">
      <x:formula1>-100</x:formula1>
      <x:formula2>0</x:formula2>
    </x:dataValidation>
    <x:dataValidation type="whole" operator="between" sqref="W34">
      <x:formula1>-100</x:formula1>
      <x:formula2>0</x:formula2>
    </x:dataValidation>
    <x:dataValidation type="whole" operator="equal" sqref="X34">
      <x:formula1>0</x:formula1>
    </x:dataValidation>
    <x:dataValidation type="whole" operator="equal" sqref="Y34">
      <x:formula1>0</x:formula1>
    </x:dataValidation>
    <x:dataValidation type="whole" operator="between" sqref="Z34">
      <x:formula1>-100</x:formula1>
      <x:formula2>0</x:formula2>
    </x:dataValidation>
    <x:dataValidation type="whole" operator="between" sqref="AA34">
      <x:formula1>-100</x:formula1>
      <x:formula2>0</x:formula2>
    </x:dataValidation>
    <x:dataValidation type="whole" operator="between" sqref="AB34">
      <x:formula1>-100</x:formula1>
      <x:formula2>0</x:formula2>
    </x:dataValidation>
    <x:dataValidation type="whole" operator="between" sqref="AC34">
      <x:formula1>-100</x:formula1>
      <x:formula2>0</x:formula2>
    </x:dataValidation>
    <x:dataValidation type="whole" operator="equal" sqref="AD34">
      <x:formula1>0</x:formula1>
    </x:dataValidation>
    <x:dataValidation type="whole" operator="equal" sqref="AE34">
      <x:formula1>0</x:formula1>
    </x:dataValidation>
    <x:dataValidation type="whole" operator="between" sqref="AF34">
      <x:formula1>-100</x:formula1>
      <x:formula2>0</x:formula2>
    </x:dataValidation>
    <x:dataValidation type="whole" operator="between" sqref="AG34">
      <x:formula1>-100</x:formula1>
      <x:formula2>0</x:formula2>
    </x:dataValidation>
    <x:dataValidation type="whole" operator="equal" sqref="AH34">
      <x:formula1>0</x:formula1>
    </x:dataValidation>
    <x:dataValidation type="whole" operator="between" sqref="AI34">
      <x:formula1>-100</x:formula1>
      <x:formula2>0</x:formula2>
    </x:dataValidation>
    <x:dataValidation type="whole" operator="between" sqref="AJ34">
      <x:formula1>-100</x:formula1>
      <x:formula2>0</x:formula2>
    </x:dataValidation>
    <x:dataValidation type="whole" operator="between" sqref="AK34">
      <x:formula1>-100</x:formula1>
      <x:formula2>0</x:formula2>
    </x:dataValidation>
    <x:dataValidation type="whole" operator="between" sqref="AL34">
      <x:formula1>-100</x:formula1>
      <x:formula2>0</x:formula2>
    </x:dataValidation>
    <x:dataValidation type="whole" operator="between" sqref="AM34">
      <x:formula1>-100</x:formula1>
      <x:formula2>0</x:formula2>
    </x:dataValidation>
    <x:dataValidation type="whole" operator="equal" sqref="E35">
      <x:formula1>0</x:formula1>
    </x:dataValidation>
    <x:dataValidation type="whole" operator="equal" sqref="F35">
      <x:formula1>0</x:formula1>
    </x:dataValidation>
    <x:dataValidation type="whole" operator="equal" sqref="G35">
      <x:formula1>0</x:formula1>
    </x:dataValidation>
    <x:dataValidation type="whole" operator="equal" sqref="H35">
      <x:formula1>0</x:formula1>
    </x:dataValidation>
    <x:dataValidation type="whole" operator="equal" sqref="I35">
      <x:formula1>0</x:formula1>
    </x:dataValidation>
    <x:dataValidation type="whole" operator="equal" sqref="J35">
      <x:formula1>0</x:formula1>
    </x:dataValidation>
    <x:dataValidation type="whole" operator="equal" sqref="K35">
      <x:formula1>0</x:formula1>
    </x:dataValidation>
    <x:dataValidation type="whole" operator="equal" sqref="L35">
      <x:formula1>0</x:formula1>
    </x:dataValidation>
    <x:dataValidation type="whole" operator="equal" sqref="M35">
      <x:formula1>0</x:formula1>
    </x:dataValidation>
    <x:dataValidation type="whole" operator="equal" sqref="N35">
      <x:formula1>0</x:formula1>
    </x:dataValidation>
    <x:dataValidation type="whole" operator="equal" sqref="O35">
      <x:formula1>0</x:formula1>
    </x:dataValidation>
    <x:dataValidation type="whole" operator="equal" sqref="P35">
      <x:formula1>0</x:formula1>
    </x:dataValidation>
    <x:dataValidation type="whole" operator="equal" sqref="Q35">
      <x:formula1>0</x:formula1>
    </x:dataValidation>
    <x:dataValidation type="whole" operator="between" sqref="R35">
      <x:formula1>-100</x:formula1>
      <x:formula2>0</x:formula2>
    </x:dataValidation>
    <x:dataValidation type="whole" operator="equal" sqref="S35">
      <x:formula1>0</x:formula1>
    </x:dataValidation>
    <x:dataValidation type="whole" operator="equal" sqref="T35">
      <x:formula1>0</x:formula1>
    </x:dataValidation>
    <x:dataValidation type="whole" operator="equal" sqref="U35">
      <x:formula1>0</x:formula1>
    </x:dataValidation>
    <x:dataValidation type="whole" operator="equal" sqref="V35">
      <x:formula1>1</x:formula1>
    </x:dataValidation>
    <x:dataValidation type="whole" operator="between" sqref="W35">
      <x:formula1>-100</x:formula1>
      <x:formula2>0</x:formula2>
    </x:dataValidation>
    <x:dataValidation type="whole" operator="equal" sqref="X35">
      <x:formula1>0</x:formula1>
    </x:dataValidation>
    <x:dataValidation type="whole" operator="equal" sqref="Y35">
      <x:formula1>0</x:formula1>
    </x:dataValidation>
    <x:dataValidation type="whole" operator="equal" sqref="Z35">
      <x:formula1>0</x:formula1>
    </x:dataValidation>
    <x:dataValidation type="whole" operator="between" sqref="AA35">
      <x:formula1>-100</x:formula1>
      <x:formula2>0</x:formula2>
    </x:dataValidation>
    <x:dataValidation type="whole" operator="between" sqref="AB35">
      <x:formula1>-100</x:formula1>
      <x:formula2>0</x:formula2>
    </x:dataValidation>
    <x:dataValidation type="whole" operator="between" sqref="AC35">
      <x:formula1>-100</x:formula1>
      <x:formula2>0</x:formula2>
    </x:dataValidation>
    <x:dataValidation type="whole" operator="equal" sqref="AD35">
      <x:formula1>0</x:formula1>
    </x:dataValidation>
    <x:dataValidation type="whole" operator="equal" sqref="AE35">
      <x:formula1>0</x:formula1>
    </x:dataValidation>
    <x:dataValidation type="whole" operator="equal" sqref="AF35">
      <x:formula1>0</x:formula1>
    </x:dataValidation>
    <x:dataValidation type="whole" operator="between" sqref="AG35">
      <x:formula1>-100</x:formula1>
      <x:formula2>0</x:formula2>
    </x:dataValidation>
    <x:dataValidation type="whole" operator="equal" sqref="AH35">
      <x:formula1>0</x:formula1>
    </x:dataValidation>
    <x:dataValidation type="whole" operator="equal" sqref="AI35">
      <x:formula1>0</x:formula1>
    </x:dataValidation>
    <x:dataValidation type="whole" operator="equal" sqref="AJ35">
      <x:formula1>0</x:formula1>
    </x:dataValidation>
    <x:dataValidation type="whole" operator="between" sqref="AK35">
      <x:formula1>-100</x:formula1>
      <x:formula2>0</x:formula2>
    </x:dataValidation>
    <x:dataValidation type="whole" operator="between" sqref="AL35">
      <x:formula1>-100</x:formula1>
      <x:formula2>0</x:formula2>
    </x:dataValidation>
    <x:dataValidation type="whole" operator="between" sqref="AM35">
      <x:formula1>-100</x:formula1>
      <x:formula2>0</x:formula2>
    </x:dataValidation>
    <x:dataValidation type="whole" operator="equal" sqref="E36">
      <x:formula1>0</x:formula1>
    </x:dataValidation>
    <x:dataValidation type="whole" operator="equal" sqref="F36">
      <x:formula1>0</x:formula1>
    </x:dataValidation>
    <x:dataValidation type="whole" operator="equal" sqref="G36">
      <x:formula1>0</x:formula1>
    </x:dataValidation>
    <x:dataValidation type="whole" operator="equal" sqref="H36">
      <x:formula1>0</x:formula1>
    </x:dataValidation>
    <x:dataValidation type="whole" operator="equal" sqref="I36">
      <x:formula1>0</x:formula1>
    </x:dataValidation>
    <x:dataValidation type="whole" operator="equal" sqref="J36">
      <x:formula1>0</x:formula1>
    </x:dataValidation>
    <x:dataValidation type="whole" operator="equal" sqref="K36">
      <x:formula1>0</x:formula1>
    </x:dataValidation>
    <x:dataValidation type="whole" operator="equal" sqref="L36">
      <x:formula1>0</x:formula1>
    </x:dataValidation>
    <x:dataValidation type="whole" operator="equal" sqref="M36">
      <x:formula1>0</x:formula1>
    </x:dataValidation>
    <x:dataValidation type="whole" operator="equal" sqref="N36">
      <x:formula1>0</x:formula1>
    </x:dataValidation>
    <x:dataValidation type="whole" operator="equal" sqref="O36">
      <x:formula1>0</x:formula1>
    </x:dataValidation>
    <x:dataValidation type="whole" operator="equal" sqref="P36">
      <x:formula1>0</x:formula1>
    </x:dataValidation>
    <x:dataValidation type="whole" operator="equal" sqref="Q36">
      <x:formula1>0</x:formula1>
    </x:dataValidation>
    <x:dataValidation type="whole" operator="equal" sqref="R36">
      <x:formula1>0</x:formula1>
    </x:dataValidation>
    <x:dataValidation type="whole" operator="equal" sqref="S36">
      <x:formula1>0</x:formula1>
    </x:dataValidation>
    <x:dataValidation type="whole" operator="equal" sqref="T36">
      <x:formula1>0</x:formula1>
    </x:dataValidation>
    <x:dataValidation type="whole" operator="equal" sqref="U36">
      <x:formula1>0</x:formula1>
    </x:dataValidation>
    <x:dataValidation type="whole" operator="equal" sqref="V36">
      <x:formula1>0</x:formula1>
    </x:dataValidation>
    <x:dataValidation type="whole" operator="equal" sqref="W36">
      <x:formula1>1</x:formula1>
    </x:dataValidation>
    <x:dataValidation type="whole" operator="equal" sqref="X36">
      <x:formula1>0</x:formula1>
    </x:dataValidation>
    <x:dataValidation type="whole" operator="equal" sqref="Y36">
      <x:formula1>0</x:formula1>
    </x:dataValidation>
    <x:dataValidation type="whole" operator="equal" sqref="Z36">
      <x:formula1>0</x:formula1>
    </x:dataValidation>
    <x:dataValidation type="whole" operator="equal" sqref="AA36">
      <x:formula1>0</x:formula1>
    </x:dataValidation>
    <x:dataValidation type="whole" operator="equal" sqref="AB36">
      <x:formula1>0</x:formula1>
    </x:dataValidation>
    <x:dataValidation type="whole" operator="between" sqref="AC36">
      <x:formula1>-100</x:formula1>
      <x:formula2>0</x:formula2>
    </x:dataValidation>
    <x:dataValidation type="whole" operator="equal" sqref="AD36">
      <x:formula1>0</x:formula1>
    </x:dataValidation>
    <x:dataValidation type="whole" operator="equal" sqref="AE36">
      <x:formula1>0</x:formula1>
    </x:dataValidation>
    <x:dataValidation type="whole" operator="equal" sqref="AF36">
      <x:formula1>0</x:formula1>
    </x:dataValidation>
    <x:dataValidation type="whole" operator="equal" sqref="AG36">
      <x:formula1>0</x:formula1>
    </x:dataValidation>
    <x:dataValidation type="whole" operator="equal" sqref="AH36">
      <x:formula1>0</x:formula1>
    </x:dataValidation>
    <x:dataValidation type="whole" operator="equal" sqref="AI36">
      <x:formula1>0</x:formula1>
    </x:dataValidation>
    <x:dataValidation type="whole" operator="equal" sqref="AJ36">
      <x:formula1>0</x:formula1>
    </x:dataValidation>
    <x:dataValidation type="whole" operator="equal" sqref="AK36">
      <x:formula1>0</x:formula1>
    </x:dataValidation>
    <x:dataValidation type="whole" operator="equal" sqref="AL36">
      <x:formula1>0</x:formula1>
    </x:dataValidation>
    <x:dataValidation type="whole" operator="between" sqref="AM36">
      <x:formula1>-100</x:formula1>
      <x:formula2>0</x:formula2>
    </x:dataValidation>
    <x:dataValidation type="whole" operator="equal" sqref="E37">
      <x:formula1>0</x:formula1>
    </x:dataValidation>
    <x:dataValidation type="whole" operator="equal" sqref="F37">
      <x:formula1>0</x:formula1>
    </x:dataValidation>
    <x:dataValidation type="whole" operator="equal" sqref="G37">
      <x:formula1>0</x:formula1>
    </x:dataValidation>
    <x:dataValidation type="whole" operator="equal" sqref="H37">
      <x:formula1>0</x:formula1>
    </x:dataValidation>
    <x:dataValidation type="whole" operator="equal" sqref="I37">
      <x:formula1>0</x:formula1>
    </x:dataValidation>
    <x:dataValidation type="whole" operator="equal" sqref="J37">
      <x:formula1>0</x:formula1>
    </x:dataValidation>
    <x:dataValidation type="whole" operator="equal" sqref="K37">
      <x:formula1>0</x:formula1>
    </x:dataValidation>
    <x:dataValidation type="whole" operator="equal" sqref="L37">
      <x:formula1>0</x:formula1>
    </x:dataValidation>
    <x:dataValidation type="whole" operator="equal" sqref="M37">
      <x:formula1>0</x:formula1>
    </x:dataValidation>
    <x:dataValidation type="whole" operator="equal" sqref="N37">
      <x:formula1>0</x:formula1>
    </x:dataValidation>
    <x:dataValidation type="whole" operator="equal" sqref="O37">
      <x:formula1>0</x:formula1>
    </x:dataValidation>
    <x:dataValidation type="whole" operator="between" sqref="P37">
      <x:formula1>-100</x:formula1>
      <x:formula2>0</x:formula2>
    </x:dataValidation>
    <x:dataValidation type="whole" operator="between" sqref="Q37">
      <x:formula1>-100</x:formula1>
      <x:formula2>0</x:formula2>
    </x:dataValidation>
    <x:dataValidation type="whole" operator="between" sqref="R37">
      <x:formula1>-100</x:formula1>
      <x:formula2>0</x:formula2>
    </x:dataValidation>
    <x:dataValidation type="whole" operator="equal" sqref="S37">
      <x:formula1>0</x:formula1>
    </x:dataValidation>
    <x:dataValidation type="whole" operator="equal" sqref="T37">
      <x:formula1>0</x:formula1>
    </x:dataValidation>
    <x:dataValidation type="whole" operator="between" sqref="U37">
      <x:formula1>-100</x:formula1>
      <x:formula2>0</x:formula2>
    </x:dataValidation>
    <x:dataValidation type="whole" operator="between" sqref="V37">
      <x:formula1>-100</x:formula1>
      <x:formula2>0</x:formula2>
    </x:dataValidation>
    <x:dataValidation type="whole" operator="between" sqref="W37">
      <x:formula1>-100</x:formula1>
      <x:formula2>0</x:formula2>
    </x:dataValidation>
    <x:dataValidation type="whole" operator="equal" sqref="X37">
      <x:formula1>1</x:formula1>
    </x:dataValidation>
    <x:dataValidation type="whole" operator="between" sqref="Y37">
      <x:formula1>-100</x:formula1>
      <x:formula2>0</x:formula2>
    </x:dataValidation>
    <x:dataValidation type="whole" operator="between" sqref="Z37">
      <x:formula1>-100</x:formula1>
      <x:formula2>0</x:formula2>
    </x:dataValidation>
    <x:dataValidation type="whole" operator="between" sqref="AA37">
      <x:formula1>-100</x:formula1>
      <x:formula2>0</x:formula2>
    </x:dataValidation>
    <x:dataValidation type="whole" operator="between" sqref="AB37">
      <x:formula1>-100</x:formula1>
      <x:formula2>0</x:formula2>
    </x:dataValidation>
    <x:dataValidation type="whole" operator="between" sqref="AC37">
      <x:formula1>-100</x:formula1>
      <x:formula2>0</x:formula2>
    </x:dataValidation>
    <x:dataValidation type="whole" operator="between" sqref="AD37">
      <x:formula1>-100</x:formula1>
      <x:formula2>0</x:formula2>
    </x:dataValidation>
    <x:dataValidation type="whole" operator="between" sqref="AE37">
      <x:formula1>-100</x:formula1>
      <x:formula2>0</x:formula2>
    </x:dataValidation>
    <x:dataValidation type="whole" operator="between" sqref="AF37">
      <x:formula1>-100</x:formula1>
      <x:formula2>0</x:formula2>
    </x:dataValidation>
    <x:dataValidation type="whole" operator="between" sqref="AG37">
      <x:formula1>-100</x:formula1>
      <x:formula2>0</x:formula2>
    </x:dataValidation>
    <x:dataValidation type="whole" operator="between" sqref="AH37">
      <x:formula1>-100</x:formula1>
      <x:formula2>0</x:formula2>
    </x:dataValidation>
    <x:dataValidation type="whole" operator="between" sqref="AI37">
      <x:formula1>-100</x:formula1>
      <x:formula2>0</x:formula2>
    </x:dataValidation>
    <x:dataValidation type="whole" operator="between" sqref="AJ37">
      <x:formula1>-100</x:formula1>
      <x:formula2>0</x:formula2>
    </x:dataValidation>
    <x:dataValidation type="whole" operator="between" sqref="AK37">
      <x:formula1>-100</x:formula1>
      <x:formula2>0</x:formula2>
    </x:dataValidation>
    <x:dataValidation type="whole" operator="between" sqref="AL37">
      <x:formula1>-100</x:formula1>
      <x:formula2>0</x:formula2>
    </x:dataValidation>
    <x:dataValidation type="whole" operator="between" sqref="AM37">
      <x:formula1>-100</x:formula1>
      <x:formula2>0</x:formula2>
    </x:dataValidation>
    <x:dataValidation type="whole" operator="equal" sqref="E38">
      <x:formula1>0</x:formula1>
    </x:dataValidation>
    <x:dataValidation type="whole" operator="equal" sqref="F38">
      <x:formula1>0</x:formula1>
    </x:dataValidation>
    <x:dataValidation type="whole" operator="equal" sqref="G38">
      <x:formula1>0</x:formula1>
    </x:dataValidation>
    <x:dataValidation type="whole" operator="equal" sqref="H38">
      <x:formula1>0</x:formula1>
    </x:dataValidation>
    <x:dataValidation type="whole" operator="equal" sqref="I38">
      <x:formula1>0</x:formula1>
    </x:dataValidation>
    <x:dataValidation type="whole" operator="equal" sqref="J38">
      <x:formula1>0</x:formula1>
    </x:dataValidation>
    <x:dataValidation type="whole" operator="equal" sqref="K38">
      <x:formula1>0</x:formula1>
    </x:dataValidation>
    <x:dataValidation type="whole" operator="equal" sqref="L38">
      <x:formula1>0</x:formula1>
    </x:dataValidation>
    <x:dataValidation type="whole" operator="equal" sqref="M38">
      <x:formula1>0</x:formula1>
    </x:dataValidation>
    <x:dataValidation type="whole" operator="equal" sqref="N38">
      <x:formula1>0</x:formula1>
    </x:dataValidation>
    <x:dataValidation type="whole" operator="equal" sqref="O38">
      <x:formula1>0</x:formula1>
    </x:dataValidation>
    <x:dataValidation type="whole" operator="equal" sqref="P38">
      <x:formula1>0</x:formula1>
    </x:dataValidation>
    <x:dataValidation type="whole" operator="between" sqref="Q38">
      <x:formula1>-100</x:formula1>
      <x:formula2>0</x:formula2>
    </x:dataValidation>
    <x:dataValidation type="whole" operator="between" sqref="R38">
      <x:formula1>-100</x:formula1>
      <x:formula2>0</x:formula2>
    </x:dataValidation>
    <x:dataValidation type="whole" operator="equal" sqref="S38">
      <x:formula1>0</x:formula1>
    </x:dataValidation>
    <x:dataValidation type="whole" operator="equal" sqref="T38">
      <x:formula1>0</x:formula1>
    </x:dataValidation>
    <x:dataValidation type="whole" operator="between" sqref="U38">
      <x:formula1>-100</x:formula1>
      <x:formula2>0</x:formula2>
    </x:dataValidation>
    <x:dataValidation type="whole" operator="between" sqref="V38">
      <x:formula1>-100</x:formula1>
      <x:formula2>0</x:formula2>
    </x:dataValidation>
    <x:dataValidation type="whole" operator="between" sqref="W38">
      <x:formula1>-100</x:formula1>
      <x:formula2>0</x:formula2>
    </x:dataValidation>
    <x:dataValidation type="whole" operator="equal" sqref="X38">
      <x:formula1>0</x:formula1>
    </x:dataValidation>
    <x:dataValidation type="whole" operator="equal" sqref="Y38">
      <x:formula1>1</x:formula1>
    </x:dataValidation>
    <x:dataValidation type="whole" operator="between" sqref="Z38">
      <x:formula1>-100</x:formula1>
      <x:formula2>0</x:formula2>
    </x:dataValidation>
    <x:dataValidation type="whole" operator="between" sqref="AA38">
      <x:formula1>-100</x:formula1>
      <x:formula2>0</x:formula2>
    </x:dataValidation>
    <x:dataValidation type="whole" operator="between" sqref="AB38">
      <x:formula1>-100</x:formula1>
      <x:formula2>0</x:formula2>
    </x:dataValidation>
    <x:dataValidation type="whole" operator="between" sqref="AC38">
      <x:formula1>-100</x:formula1>
      <x:formula2>0</x:formula2>
    </x:dataValidation>
    <x:dataValidation type="whole" operator="equal" sqref="AD38">
      <x:formula1>0</x:formula1>
    </x:dataValidation>
    <x:dataValidation type="whole" operator="between" sqref="AE38">
      <x:formula1>-100</x:formula1>
      <x:formula2>0</x:formula2>
    </x:dataValidation>
    <x:dataValidation type="whole" operator="between" sqref="AF38">
      <x:formula1>-100</x:formula1>
      <x:formula2>0</x:formula2>
    </x:dataValidation>
    <x:dataValidation type="whole" operator="between" sqref="AG38">
      <x:formula1>-100</x:formula1>
      <x:formula2>0</x:formula2>
    </x:dataValidation>
    <x:dataValidation type="whole" operator="between" sqref="AH38">
      <x:formula1>-100</x:formula1>
      <x:formula2>0</x:formula2>
    </x:dataValidation>
    <x:dataValidation type="whole" operator="between" sqref="AI38">
      <x:formula1>-100</x:formula1>
      <x:formula2>0</x:formula2>
    </x:dataValidation>
    <x:dataValidation type="whole" operator="between" sqref="AJ38">
      <x:formula1>-100</x:formula1>
      <x:formula2>0</x:formula2>
    </x:dataValidation>
    <x:dataValidation type="whole" operator="between" sqref="AK38">
      <x:formula1>-100</x:formula1>
      <x:formula2>0</x:formula2>
    </x:dataValidation>
    <x:dataValidation type="whole" operator="between" sqref="AL38">
      <x:formula1>-100</x:formula1>
      <x:formula2>0</x:formula2>
    </x:dataValidation>
    <x:dataValidation type="whole" operator="between" sqref="AM38">
      <x:formula1>-100</x:formula1>
      <x:formula2>0</x:formula2>
    </x:dataValidation>
    <x:dataValidation type="whole" operator="equal" sqref="E39">
      <x:formula1>0</x:formula1>
    </x:dataValidation>
    <x:dataValidation type="whole" operator="equal" sqref="F39">
      <x:formula1>0</x:formula1>
    </x:dataValidation>
    <x:dataValidation type="whole" operator="equal" sqref="G39">
      <x:formula1>0</x:formula1>
    </x:dataValidation>
    <x:dataValidation type="whole" operator="equal" sqref="H39">
      <x:formula1>0</x:formula1>
    </x:dataValidation>
    <x:dataValidation type="whole" operator="equal" sqref="I39">
      <x:formula1>0</x:formula1>
    </x:dataValidation>
    <x:dataValidation type="whole" operator="equal" sqref="J39">
      <x:formula1>0</x:formula1>
    </x:dataValidation>
    <x:dataValidation type="whole" operator="equal" sqref="K39">
      <x:formula1>0</x:formula1>
    </x:dataValidation>
    <x:dataValidation type="whole" operator="equal" sqref="L39">
      <x:formula1>0</x:formula1>
    </x:dataValidation>
    <x:dataValidation type="whole" operator="equal" sqref="M39">
      <x:formula1>0</x:formula1>
    </x:dataValidation>
    <x:dataValidation type="whole" operator="equal" sqref="N39">
      <x:formula1>0</x:formula1>
    </x:dataValidation>
    <x:dataValidation type="whole" operator="equal" sqref="O39">
      <x:formula1>0</x:formula1>
    </x:dataValidation>
    <x:dataValidation type="whole" operator="equal" sqref="P39">
      <x:formula1>0</x:formula1>
    </x:dataValidation>
    <x:dataValidation type="whole" operator="between" sqref="Q39">
      <x:formula1>-100</x:formula1>
      <x:formula2>0</x:formula2>
    </x:dataValidation>
    <x:dataValidation type="whole" operator="between" sqref="R39">
      <x:formula1>-100</x:formula1>
      <x:formula2>0</x:formula2>
    </x:dataValidation>
    <x:dataValidation type="whole" operator="equal" sqref="S39">
      <x:formula1>0</x:formula1>
    </x:dataValidation>
    <x:dataValidation type="whole" operator="equal" sqref="T39">
      <x:formula1>0</x:formula1>
    </x:dataValidation>
    <x:dataValidation type="whole" operator="between" sqref="U39">
      <x:formula1>-100</x:formula1>
      <x:formula2>0</x:formula2>
    </x:dataValidation>
    <x:dataValidation type="whole" operator="between" sqref="V39">
      <x:formula1>-100</x:formula1>
      <x:formula2>0</x:formula2>
    </x:dataValidation>
    <x:dataValidation type="whole" operator="between" sqref="W39">
      <x:formula1>-100</x:formula1>
      <x:formula2>0</x:formula2>
    </x:dataValidation>
    <x:dataValidation type="whole" operator="equal" sqref="X39">
      <x:formula1>0</x:formula1>
    </x:dataValidation>
    <x:dataValidation type="whole" operator="equal" sqref="Y39">
      <x:formula1>0</x:formula1>
    </x:dataValidation>
    <x:dataValidation type="whole" operator="equal" sqref="Z39">
      <x:formula1>1</x:formula1>
    </x:dataValidation>
    <x:dataValidation type="whole" operator="between" sqref="AA39">
      <x:formula1>-100</x:formula1>
      <x:formula2>0</x:formula2>
    </x:dataValidation>
    <x:dataValidation type="whole" operator="between" sqref="AB39">
      <x:formula1>-100</x:formula1>
      <x:formula2>0</x:formula2>
    </x:dataValidation>
    <x:dataValidation type="whole" operator="between" sqref="AC39">
      <x:formula1>-100</x:formula1>
      <x:formula2>0</x:formula2>
    </x:dataValidation>
    <x:dataValidation type="whole" operator="equal" sqref="AD39">
      <x:formula1>0</x:formula1>
    </x:dataValidation>
    <x:dataValidation type="whole" operator="equal" sqref="AE39">
      <x:formula1>0</x:formula1>
    </x:dataValidation>
    <x:dataValidation type="whole" operator="between" sqref="AF39">
      <x:formula1>-100</x:formula1>
      <x:formula2>0</x:formula2>
    </x:dataValidation>
    <x:dataValidation type="whole" operator="between" sqref="AG39">
      <x:formula1>-100</x:formula1>
      <x:formula2>0</x:formula2>
    </x:dataValidation>
    <x:dataValidation type="whole" operator="equal" sqref="AH39">
      <x:formula1>0</x:formula1>
    </x:dataValidation>
    <x:dataValidation type="whole" operator="between" sqref="AI39">
      <x:formula1>-100</x:formula1>
      <x:formula2>0</x:formula2>
    </x:dataValidation>
    <x:dataValidation type="whole" operator="between" sqref="AJ39">
      <x:formula1>-100</x:formula1>
      <x:formula2>0</x:formula2>
    </x:dataValidation>
    <x:dataValidation type="whole" operator="between" sqref="AK39">
      <x:formula1>-100</x:formula1>
      <x:formula2>0</x:formula2>
    </x:dataValidation>
    <x:dataValidation type="whole" operator="between" sqref="AL39">
      <x:formula1>-100</x:formula1>
      <x:formula2>0</x:formula2>
    </x:dataValidation>
    <x:dataValidation type="whole" operator="between" sqref="AM39">
      <x:formula1>-100</x:formula1>
      <x:formula2>0</x:formula2>
    </x:dataValidation>
    <x:dataValidation type="whole" operator="equal" sqref="E40">
      <x:formula1>0</x:formula1>
    </x:dataValidation>
    <x:dataValidation type="whole" operator="equal" sqref="F40">
      <x:formula1>0</x:formula1>
    </x:dataValidation>
    <x:dataValidation type="whole" operator="equal" sqref="G40">
      <x:formula1>0</x:formula1>
    </x:dataValidation>
    <x:dataValidation type="whole" operator="equal" sqref="H40">
      <x:formula1>0</x:formula1>
    </x:dataValidation>
    <x:dataValidation type="whole" operator="equal" sqref="I40">
      <x:formula1>0</x:formula1>
    </x:dataValidation>
    <x:dataValidation type="whole" operator="equal" sqref="J40">
      <x:formula1>0</x:formula1>
    </x:dataValidation>
    <x:dataValidation type="whole" operator="equal" sqref="K40">
      <x:formula1>0</x:formula1>
    </x:dataValidation>
    <x:dataValidation type="whole" operator="equal" sqref="L40">
      <x:formula1>0</x:formula1>
    </x:dataValidation>
    <x:dataValidation type="whole" operator="equal" sqref="M40">
      <x:formula1>0</x:formula1>
    </x:dataValidation>
    <x:dataValidation type="whole" operator="equal" sqref="N40">
      <x:formula1>0</x:formula1>
    </x:dataValidation>
    <x:dataValidation type="whole" operator="equal" sqref="O40">
      <x:formula1>0</x:formula1>
    </x:dataValidation>
    <x:dataValidation type="whole" operator="equal" sqref="P40">
      <x:formula1>0</x:formula1>
    </x:dataValidation>
    <x:dataValidation type="whole" operator="equal" sqref="Q40">
      <x:formula1>0</x:formula1>
    </x:dataValidation>
    <x:dataValidation type="whole" operator="between" sqref="R40">
      <x:formula1>-100</x:formula1>
      <x:formula2>0</x:formula2>
    </x:dataValidation>
    <x:dataValidation type="whole" operator="equal" sqref="S40">
      <x:formula1>0</x:formula1>
    </x:dataValidation>
    <x:dataValidation type="whole" operator="equal" sqref="T40">
      <x:formula1>0</x:formula1>
    </x:dataValidation>
    <x:dataValidation type="whole" operator="equal" sqref="U40">
      <x:formula1>0</x:formula1>
    </x:dataValidation>
    <x:dataValidation type="whole" operator="between" sqref="V40">
      <x:formula1>-100</x:formula1>
      <x:formula2>0</x:formula2>
    </x:dataValidation>
    <x:dataValidation type="whole" operator="between" sqref="W40">
      <x:formula1>-100</x:formula1>
      <x:formula2>0</x:formula2>
    </x:dataValidation>
    <x:dataValidation type="whole" operator="equal" sqref="X40">
      <x:formula1>0</x:formula1>
    </x:dataValidation>
    <x:dataValidation type="whole" operator="equal" sqref="Y40">
      <x:formula1>0</x:formula1>
    </x:dataValidation>
    <x:dataValidation type="whole" operator="equal" sqref="Z40">
      <x:formula1>0</x:formula1>
    </x:dataValidation>
    <x:dataValidation type="whole" operator="equal" sqref="AA40">
      <x:formula1>1</x:formula1>
    </x:dataValidation>
    <x:dataValidation type="whole" operator="between" sqref="AB40">
      <x:formula1>-100</x:formula1>
      <x:formula2>0</x:formula2>
    </x:dataValidation>
    <x:dataValidation type="whole" operator="between" sqref="AC40">
      <x:formula1>-100</x:formula1>
      <x:formula2>0</x:formula2>
    </x:dataValidation>
    <x:dataValidation type="whole" operator="equal" sqref="AD40">
      <x:formula1>0</x:formula1>
    </x:dataValidation>
    <x:dataValidation type="whole" operator="equal" sqref="AE40">
      <x:formula1>0</x:formula1>
    </x:dataValidation>
    <x:dataValidation type="whole" operator="equal" sqref="AF40">
      <x:formula1>0</x:formula1>
    </x:dataValidation>
    <x:dataValidation type="whole" operator="between" sqref="AG40">
      <x:formula1>-100</x:formula1>
      <x:formula2>0</x:formula2>
    </x:dataValidation>
    <x:dataValidation type="whole" operator="equal" sqref="AH40">
      <x:formula1>0</x:formula1>
    </x:dataValidation>
    <x:dataValidation type="whole" operator="equal" sqref="AI40">
      <x:formula1>0</x:formula1>
    </x:dataValidation>
    <x:dataValidation type="whole" operator="equal" sqref="AJ40">
      <x:formula1>0</x:formula1>
    </x:dataValidation>
    <x:dataValidation type="whole" operator="between" sqref="AK40">
      <x:formula1>-100</x:formula1>
      <x:formula2>0</x:formula2>
    </x:dataValidation>
    <x:dataValidation type="whole" operator="between" sqref="AL40">
      <x:formula1>-100</x:formula1>
      <x:formula2>0</x:formula2>
    </x:dataValidation>
    <x:dataValidation type="whole" operator="between" sqref="AM40">
      <x:formula1>-100</x:formula1>
      <x:formula2>0</x:formula2>
    </x:dataValidation>
    <x:dataValidation type="whole" operator="equal" sqref="E41">
      <x:formula1>0</x:formula1>
    </x:dataValidation>
    <x:dataValidation type="whole" operator="equal" sqref="F41">
      <x:formula1>0</x:formula1>
    </x:dataValidation>
    <x:dataValidation type="whole" operator="equal" sqref="G41">
      <x:formula1>0</x:formula1>
    </x:dataValidation>
    <x:dataValidation type="whole" operator="equal" sqref="H41">
      <x:formula1>0</x:formula1>
    </x:dataValidation>
    <x:dataValidation type="whole" operator="equal" sqref="I41">
      <x:formula1>0</x:formula1>
    </x:dataValidation>
    <x:dataValidation type="whole" operator="equal" sqref="J41">
      <x:formula1>0</x:formula1>
    </x:dataValidation>
    <x:dataValidation type="whole" operator="equal" sqref="K41">
      <x:formula1>0</x:formula1>
    </x:dataValidation>
    <x:dataValidation type="whole" operator="equal" sqref="L41">
      <x:formula1>0</x:formula1>
    </x:dataValidation>
    <x:dataValidation type="whole" operator="equal" sqref="M41">
      <x:formula1>0</x:formula1>
    </x:dataValidation>
    <x:dataValidation type="whole" operator="equal" sqref="N41">
      <x:formula1>0</x:formula1>
    </x:dataValidation>
    <x:dataValidation type="whole" operator="equal" sqref="O41">
      <x:formula1>0</x:formula1>
    </x:dataValidation>
    <x:dataValidation type="whole" operator="equal" sqref="P41">
      <x:formula1>0</x:formula1>
    </x:dataValidation>
    <x:dataValidation type="whole" operator="equal" sqref="Q41">
      <x:formula1>0</x:formula1>
    </x:dataValidation>
    <x:dataValidation type="whole" operator="between" sqref="R41">
      <x:formula1>-100</x:formula1>
      <x:formula2>0</x:formula2>
    </x:dataValidation>
    <x:dataValidation type="whole" operator="equal" sqref="S41">
      <x:formula1>0</x:formula1>
    </x:dataValidation>
    <x:dataValidation type="whole" operator="equal" sqref="T41">
      <x:formula1>0</x:formula1>
    </x:dataValidation>
    <x:dataValidation type="whole" operator="equal" sqref="U41">
      <x:formula1>0</x:formula1>
    </x:dataValidation>
    <x:dataValidation type="whole" operator="equal" sqref="V41">
      <x:formula1>0</x:formula1>
    </x:dataValidation>
    <x:dataValidation type="whole" operator="between" sqref="W41">
      <x:formula1>-100</x:formula1>
      <x:formula2>0</x:formula2>
    </x:dataValidation>
    <x:dataValidation type="whole" operator="equal" sqref="X41">
      <x:formula1>0</x:formula1>
    </x:dataValidation>
    <x:dataValidation type="whole" operator="equal" sqref="Y41">
      <x:formula1>0</x:formula1>
    </x:dataValidation>
    <x:dataValidation type="whole" operator="equal" sqref="Z41">
      <x:formula1>0</x:formula1>
    </x:dataValidation>
    <x:dataValidation type="whole" operator="equal" sqref="AA41">
      <x:formula1>0</x:formula1>
    </x:dataValidation>
    <x:dataValidation type="whole" operator="equal" sqref="AB41">
      <x:formula1>1</x:formula1>
    </x:dataValidation>
    <x:dataValidation type="whole" operator="between" sqref="AC41">
      <x:formula1>-100</x:formula1>
      <x:formula2>0</x:formula2>
    </x:dataValidation>
    <x:dataValidation type="whole" operator="equal" sqref="AD41">
      <x:formula1>0</x:formula1>
    </x:dataValidation>
    <x:dataValidation type="whole" operator="equal" sqref="AE41">
      <x:formula1>0</x:formula1>
    </x:dataValidation>
    <x:dataValidation type="whole" operator="equal" sqref="AF41">
      <x:formula1>0</x:formula1>
    </x:dataValidation>
    <x:dataValidation type="whole" operator="equal" sqref="AG41">
      <x:formula1>0</x:formula1>
    </x:dataValidation>
    <x:dataValidation type="whole" operator="equal" sqref="AH41">
      <x:formula1>0</x:formula1>
    </x:dataValidation>
    <x:dataValidation type="whole" operator="equal" sqref="AI41">
      <x:formula1>0</x:formula1>
    </x:dataValidation>
    <x:dataValidation type="whole" operator="equal" sqref="AJ41">
      <x:formula1>0</x:formula1>
    </x:dataValidation>
    <x:dataValidation type="whole" operator="equal" sqref="AK41">
      <x:formula1>0</x:formula1>
    </x:dataValidation>
    <x:dataValidation type="whole" operator="between" sqref="AL41">
      <x:formula1>-100</x:formula1>
      <x:formula2>0</x:formula2>
    </x:dataValidation>
    <x:dataValidation type="whole" operator="between" sqref="AM41">
      <x:formula1>-100</x:formula1>
      <x:formula2>0</x:formula2>
    </x:dataValidation>
    <x:dataValidation type="whole" operator="equal" sqref="E42">
      <x:formula1>0</x:formula1>
    </x:dataValidation>
    <x:dataValidation type="whole" operator="equal" sqref="F42">
      <x:formula1>0</x:formula1>
    </x:dataValidation>
    <x:dataValidation type="whole" operator="equal" sqref="G42">
      <x:formula1>0</x:formula1>
    </x:dataValidation>
    <x:dataValidation type="whole" operator="equal" sqref="H42">
      <x:formula1>0</x:formula1>
    </x:dataValidation>
    <x:dataValidation type="whole" operator="equal" sqref="I42">
      <x:formula1>0</x:formula1>
    </x:dataValidation>
    <x:dataValidation type="whole" operator="equal" sqref="J42">
      <x:formula1>0</x:formula1>
    </x:dataValidation>
    <x:dataValidation type="whole" operator="equal" sqref="K42">
      <x:formula1>0</x:formula1>
    </x:dataValidation>
    <x:dataValidation type="whole" operator="equal" sqref="L42">
      <x:formula1>0</x:formula1>
    </x:dataValidation>
    <x:dataValidation type="whole" operator="equal" sqref="M42">
      <x:formula1>0</x:formula1>
    </x:dataValidation>
    <x:dataValidation type="whole" operator="equal" sqref="N42">
      <x:formula1>0</x:formula1>
    </x:dataValidation>
    <x:dataValidation type="whole" operator="equal" sqref="O42">
      <x:formula1>0</x:formula1>
    </x:dataValidation>
    <x:dataValidation type="whole" operator="equal" sqref="P42">
      <x:formula1>0</x:formula1>
    </x:dataValidation>
    <x:dataValidation type="whole" operator="equal" sqref="Q42">
      <x:formula1>0</x:formula1>
    </x:dataValidation>
    <x:dataValidation type="whole" operator="equal" sqref="R42">
      <x:formula1>0</x:formula1>
    </x:dataValidation>
    <x:dataValidation type="whole" operator="equal" sqref="S42">
      <x:formula1>0</x:formula1>
    </x:dataValidation>
    <x:dataValidation type="whole" operator="equal" sqref="T42">
      <x:formula1>0</x:formula1>
    </x:dataValidation>
    <x:dataValidation type="whole" operator="equal" sqref="U42">
      <x:formula1>0</x:formula1>
    </x:dataValidation>
    <x:dataValidation type="whole" operator="equal" sqref="V42">
      <x:formula1>0</x:formula1>
    </x:dataValidation>
    <x:dataValidation type="whole" operator="between" sqref="W42">
      <x:formula1>-100</x:formula1>
      <x:formula2>0</x:formula2>
    </x:dataValidation>
    <x:dataValidation type="whole" operator="equal" sqref="X42">
      <x:formula1>0</x:formula1>
    </x:dataValidation>
    <x:dataValidation type="whole" operator="equal" sqref="Y42">
      <x:formula1>0</x:formula1>
    </x:dataValidation>
    <x:dataValidation type="whole" operator="equal" sqref="Z42">
      <x:formula1>0</x:formula1>
    </x:dataValidation>
    <x:dataValidation type="whole" operator="equal" sqref="AA42">
      <x:formula1>0</x:formula1>
    </x:dataValidation>
    <x:dataValidation type="whole" operator="equal" sqref="AB42">
      <x:formula1>0</x:formula1>
    </x:dataValidation>
    <x:dataValidation type="whole" operator="equal" sqref="AC42">
      <x:formula1>1</x:formula1>
    </x:dataValidation>
    <x:dataValidation type="whole" operator="equal" sqref="AD42">
      <x:formula1>0</x:formula1>
    </x:dataValidation>
    <x:dataValidation type="whole" operator="equal" sqref="AE42">
      <x:formula1>0</x:formula1>
    </x:dataValidation>
    <x:dataValidation type="whole" operator="equal" sqref="AF42">
      <x:formula1>0</x:formula1>
    </x:dataValidation>
    <x:dataValidation type="whole" operator="equal" sqref="AG42">
      <x:formula1>0</x:formula1>
    </x:dataValidation>
    <x:dataValidation type="whole" operator="equal" sqref="AH42">
      <x:formula1>0</x:formula1>
    </x:dataValidation>
    <x:dataValidation type="whole" operator="equal" sqref="AI42">
      <x:formula1>0</x:formula1>
    </x:dataValidation>
    <x:dataValidation type="whole" operator="equal" sqref="AJ42">
      <x:formula1>0</x:formula1>
    </x:dataValidation>
    <x:dataValidation type="whole" operator="equal" sqref="AK42">
      <x:formula1>0</x:formula1>
    </x:dataValidation>
    <x:dataValidation type="whole" operator="equal" sqref="AL42">
      <x:formula1>0</x:formula1>
    </x:dataValidation>
    <x:dataValidation type="whole" operator="between" sqref="AM42">
      <x:formula1>-100</x:formula1>
      <x:formula2>0</x:formula2>
    </x:dataValidation>
    <x:dataValidation type="whole" operator="equal" sqref="E43">
      <x:formula1>0</x:formula1>
    </x:dataValidation>
    <x:dataValidation type="whole" operator="equal" sqref="F43">
      <x:formula1>0</x:formula1>
    </x:dataValidation>
    <x:dataValidation type="whole" operator="equal" sqref="G43">
      <x:formula1>0</x:formula1>
    </x:dataValidation>
    <x:dataValidation type="whole" operator="equal" sqref="H43">
      <x:formula1>0</x:formula1>
    </x:dataValidation>
    <x:dataValidation type="whole" operator="equal" sqref="I43">
      <x:formula1>0</x:formula1>
    </x:dataValidation>
    <x:dataValidation type="whole" operator="equal" sqref="J43">
      <x:formula1>0</x:formula1>
    </x:dataValidation>
    <x:dataValidation type="whole" operator="equal" sqref="K43">
      <x:formula1>0</x:formula1>
    </x:dataValidation>
    <x:dataValidation type="whole" operator="equal" sqref="L43">
      <x:formula1>0</x:formula1>
    </x:dataValidation>
    <x:dataValidation type="whole" operator="equal" sqref="M43">
      <x:formula1>0</x:formula1>
    </x:dataValidation>
    <x:dataValidation type="whole" operator="equal" sqref="N43">
      <x:formula1>0</x:formula1>
    </x:dataValidation>
    <x:dataValidation type="whole" operator="equal" sqref="O43">
      <x:formula1>0</x:formula1>
    </x:dataValidation>
    <x:dataValidation type="whole" operator="equal" sqref="P43">
      <x:formula1>0</x:formula1>
    </x:dataValidation>
    <x:dataValidation type="whole" operator="between" sqref="Q43">
      <x:formula1>-100</x:formula1>
      <x:formula2>0</x:formula2>
    </x:dataValidation>
    <x:dataValidation type="whole" operator="between" sqref="R43">
      <x:formula1>-100</x:formula1>
      <x:formula2>0</x:formula2>
    </x:dataValidation>
    <x:dataValidation type="whole" operator="equal" sqref="S43">
      <x:formula1>0</x:formula1>
    </x:dataValidation>
    <x:dataValidation type="whole" operator="equal" sqref="T43">
      <x:formula1>0</x:formula1>
    </x:dataValidation>
    <x:dataValidation type="whole" operator="between" sqref="U43">
      <x:formula1>-100</x:formula1>
      <x:formula2>0</x:formula2>
    </x:dataValidation>
    <x:dataValidation type="whole" operator="between" sqref="V43">
      <x:formula1>-100</x:formula1>
      <x:formula2>0</x:formula2>
    </x:dataValidation>
    <x:dataValidation type="whole" operator="between" sqref="W43">
      <x:formula1>-100</x:formula1>
      <x:formula2>0</x:formula2>
    </x:dataValidation>
    <x:dataValidation type="whole" operator="equal" sqref="X43">
      <x:formula1>0</x:formula1>
    </x:dataValidation>
    <x:dataValidation type="whole" operator="between" sqref="Y43">
      <x:formula1>-100</x:formula1>
      <x:formula2>0</x:formula2>
    </x:dataValidation>
    <x:dataValidation type="whole" operator="between" sqref="Z43">
      <x:formula1>-100</x:formula1>
      <x:formula2>0</x:formula2>
    </x:dataValidation>
    <x:dataValidation type="whole" operator="between" sqref="AA43">
      <x:formula1>-100</x:formula1>
      <x:formula2>0</x:formula2>
    </x:dataValidation>
    <x:dataValidation type="whole" operator="between" sqref="AB43">
      <x:formula1>-100</x:formula1>
      <x:formula2>0</x:formula2>
    </x:dataValidation>
    <x:dataValidation type="whole" operator="between" sqref="AC43">
      <x:formula1>-100</x:formula1>
      <x:formula2>0</x:formula2>
    </x:dataValidation>
    <x:dataValidation type="whole" operator="equal" sqref="AD43">
      <x:formula1>1</x:formula1>
    </x:dataValidation>
    <x:dataValidation type="whole" operator="between" sqref="AE43">
      <x:formula1>-100</x:formula1>
      <x:formula2>0</x:formula2>
    </x:dataValidation>
    <x:dataValidation type="whole" operator="between" sqref="AF43">
      <x:formula1>-100</x:formula1>
      <x:formula2>0</x:formula2>
    </x:dataValidation>
    <x:dataValidation type="whole" operator="between" sqref="AG43">
      <x:formula1>-100</x:formula1>
      <x:formula2>0</x:formula2>
    </x:dataValidation>
    <x:dataValidation type="whole" operator="between" sqref="AH43">
      <x:formula1>-100</x:formula1>
      <x:formula2>0</x:formula2>
    </x:dataValidation>
    <x:dataValidation type="whole" operator="between" sqref="AI43">
      <x:formula1>-100</x:formula1>
      <x:formula2>0</x:formula2>
    </x:dataValidation>
    <x:dataValidation type="whole" operator="between" sqref="AJ43">
      <x:formula1>-100</x:formula1>
      <x:formula2>0</x:formula2>
    </x:dataValidation>
    <x:dataValidation type="whole" operator="between" sqref="AK43">
      <x:formula1>-100</x:formula1>
      <x:formula2>0</x:formula2>
    </x:dataValidation>
    <x:dataValidation type="whole" operator="between" sqref="AL43">
      <x:formula1>-100</x:formula1>
      <x:formula2>0</x:formula2>
    </x:dataValidation>
    <x:dataValidation type="whole" operator="between" sqref="AM43">
      <x:formula1>-100</x:formula1>
      <x:formula2>0</x:formula2>
    </x:dataValidation>
    <x:dataValidation type="whole" operator="equal" sqref="E44">
      <x:formula1>0</x:formula1>
    </x:dataValidation>
    <x:dataValidation type="whole" operator="equal" sqref="F44">
      <x:formula1>0</x:formula1>
    </x:dataValidation>
    <x:dataValidation type="whole" operator="equal" sqref="G44">
      <x:formula1>0</x:formula1>
    </x:dataValidation>
    <x:dataValidation type="whole" operator="equal" sqref="H44">
      <x:formula1>0</x:formula1>
    </x:dataValidation>
    <x:dataValidation type="whole" operator="equal" sqref="I44">
      <x:formula1>0</x:formula1>
    </x:dataValidation>
    <x:dataValidation type="whole" operator="equal" sqref="J44">
      <x:formula1>0</x:formula1>
    </x:dataValidation>
    <x:dataValidation type="whole" operator="equal" sqref="K44">
      <x:formula1>0</x:formula1>
    </x:dataValidation>
    <x:dataValidation type="whole" operator="equal" sqref="L44">
      <x:formula1>0</x:formula1>
    </x:dataValidation>
    <x:dataValidation type="whole" operator="equal" sqref="M44">
      <x:formula1>0</x:formula1>
    </x:dataValidation>
    <x:dataValidation type="whole" operator="equal" sqref="N44">
      <x:formula1>0</x:formula1>
    </x:dataValidation>
    <x:dataValidation type="whole" operator="equal" sqref="O44">
      <x:formula1>0</x:formula1>
    </x:dataValidation>
    <x:dataValidation type="whole" operator="equal" sqref="P44">
      <x:formula1>0</x:formula1>
    </x:dataValidation>
    <x:dataValidation type="whole" operator="between" sqref="Q44">
      <x:formula1>-100</x:formula1>
      <x:formula2>0</x:formula2>
    </x:dataValidation>
    <x:dataValidation type="whole" operator="between" sqref="R44">
      <x:formula1>-100</x:formula1>
      <x:formula2>0</x:formula2>
    </x:dataValidation>
    <x:dataValidation type="whole" operator="equal" sqref="S44">
      <x:formula1>0</x:formula1>
    </x:dataValidation>
    <x:dataValidation type="whole" operator="equal" sqref="T44">
      <x:formula1>0</x:formula1>
    </x:dataValidation>
    <x:dataValidation type="whole" operator="between" sqref="U44">
      <x:formula1>-100</x:formula1>
      <x:formula2>0</x:formula2>
    </x:dataValidation>
    <x:dataValidation type="whole" operator="between" sqref="V44">
      <x:formula1>-100</x:formula1>
      <x:formula2>0</x:formula2>
    </x:dataValidation>
    <x:dataValidation type="whole" operator="between" sqref="W44">
      <x:formula1>-100</x:formula1>
      <x:formula2>0</x:formula2>
    </x:dataValidation>
    <x:dataValidation type="whole" operator="equal" sqref="X44">
      <x:formula1>0</x:formula1>
    </x:dataValidation>
    <x:dataValidation type="whole" operator="equal" sqref="Y44">
      <x:formula1>0</x:formula1>
    </x:dataValidation>
    <x:dataValidation type="whole" operator="between" sqref="Z44">
      <x:formula1>-100</x:formula1>
      <x:formula2>0</x:formula2>
    </x:dataValidation>
    <x:dataValidation type="whole" operator="between" sqref="AA44">
      <x:formula1>-100</x:formula1>
      <x:formula2>0</x:formula2>
    </x:dataValidation>
    <x:dataValidation type="whole" operator="between" sqref="AB44">
      <x:formula1>-100</x:formula1>
      <x:formula2>0</x:formula2>
    </x:dataValidation>
    <x:dataValidation type="whole" operator="between" sqref="AC44">
      <x:formula1>-100</x:formula1>
      <x:formula2>0</x:formula2>
    </x:dataValidation>
    <x:dataValidation type="whole" operator="equal" sqref="AD44">
      <x:formula1>0</x:formula1>
    </x:dataValidation>
    <x:dataValidation type="whole" operator="equal" sqref="AE44">
      <x:formula1>1</x:formula1>
    </x:dataValidation>
    <x:dataValidation type="whole" operator="between" sqref="AF44">
      <x:formula1>-100</x:formula1>
      <x:formula2>0</x:formula2>
    </x:dataValidation>
    <x:dataValidation type="whole" operator="between" sqref="AG44">
      <x:formula1>-100</x:formula1>
      <x:formula2>0</x:formula2>
    </x:dataValidation>
    <x:dataValidation type="whole" operator="between" sqref="AH44">
      <x:formula1>-100</x:formula1>
      <x:formula2>0</x:formula2>
    </x:dataValidation>
    <x:dataValidation type="whole" operator="between" sqref="AI44">
      <x:formula1>-100</x:formula1>
      <x:formula2>0</x:formula2>
    </x:dataValidation>
    <x:dataValidation type="whole" operator="between" sqref="AJ44">
      <x:formula1>-100</x:formula1>
      <x:formula2>0</x:formula2>
    </x:dataValidation>
    <x:dataValidation type="whole" operator="between" sqref="AK44">
      <x:formula1>-100</x:formula1>
      <x:formula2>0</x:formula2>
    </x:dataValidation>
    <x:dataValidation type="whole" operator="between" sqref="AL44">
      <x:formula1>-100</x:formula1>
      <x:formula2>0</x:formula2>
    </x:dataValidation>
    <x:dataValidation type="whole" operator="between" sqref="AM44">
      <x:formula1>-100</x:formula1>
      <x:formula2>0</x:formula2>
    </x:dataValidation>
    <x:dataValidation type="whole" operator="equal" sqref="E45">
      <x:formula1>0</x:formula1>
    </x:dataValidation>
    <x:dataValidation type="whole" operator="equal" sqref="F45">
      <x:formula1>0</x:formula1>
    </x:dataValidation>
    <x:dataValidation type="whole" operator="equal" sqref="G45">
      <x:formula1>0</x:formula1>
    </x:dataValidation>
    <x:dataValidation type="whole" operator="equal" sqref="H45">
      <x:formula1>0</x:formula1>
    </x:dataValidation>
    <x:dataValidation type="whole" operator="equal" sqref="I45">
      <x:formula1>0</x:formula1>
    </x:dataValidation>
    <x:dataValidation type="whole" operator="equal" sqref="J45">
      <x:formula1>0</x:formula1>
    </x:dataValidation>
    <x:dataValidation type="whole" operator="equal" sqref="K45">
      <x:formula1>0</x:formula1>
    </x:dataValidation>
    <x:dataValidation type="whole" operator="equal" sqref="L45">
      <x:formula1>0</x:formula1>
    </x:dataValidation>
    <x:dataValidation type="whole" operator="equal" sqref="M45">
      <x:formula1>0</x:formula1>
    </x:dataValidation>
    <x:dataValidation type="whole" operator="equal" sqref="N45">
      <x:formula1>0</x:formula1>
    </x:dataValidation>
    <x:dataValidation type="whole" operator="equal" sqref="O45">
      <x:formula1>0</x:formula1>
    </x:dataValidation>
    <x:dataValidation type="whole" operator="equal" sqref="P45">
      <x:formula1>0</x:formula1>
    </x:dataValidation>
    <x:dataValidation type="whole" operator="between" sqref="Q45">
      <x:formula1>-100</x:formula1>
      <x:formula2>0</x:formula2>
    </x:dataValidation>
    <x:dataValidation type="whole" operator="between" sqref="R45">
      <x:formula1>-100</x:formula1>
      <x:formula2>0</x:formula2>
    </x:dataValidation>
    <x:dataValidation type="whole" operator="equal" sqref="S45">
      <x:formula1>0</x:formula1>
    </x:dataValidation>
    <x:dataValidation type="whole" operator="equal" sqref="T45">
      <x:formula1>0</x:formula1>
    </x:dataValidation>
    <x:dataValidation type="whole" operator="equal" sqref="U45">
      <x:formula1>0</x:formula1>
    </x:dataValidation>
    <x:dataValidation type="whole" operator="between" sqref="V45">
      <x:formula1>-100</x:formula1>
      <x:formula2>0</x:formula2>
    </x:dataValidation>
    <x:dataValidation type="whole" operator="between" sqref="W45">
      <x:formula1>-100</x:formula1>
      <x:formula2>0</x:formula2>
    </x:dataValidation>
    <x:dataValidation type="whole" operator="equal" sqref="X45">
      <x:formula1>0</x:formula1>
    </x:dataValidation>
    <x:dataValidation type="whole" operator="equal" sqref="Y45">
      <x:formula1>0</x:formula1>
    </x:dataValidation>
    <x:dataValidation type="whole" operator="equal" sqref="Z45">
      <x:formula1>0</x:formula1>
    </x:dataValidation>
    <x:dataValidation type="whole" operator="between" sqref="AA45">
      <x:formula1>-100</x:formula1>
      <x:formula2>0</x:formula2>
    </x:dataValidation>
    <x:dataValidation type="whole" operator="between" sqref="AB45">
      <x:formula1>-100</x:formula1>
      <x:formula2>0</x:formula2>
    </x:dataValidation>
    <x:dataValidation type="whole" operator="between" sqref="AC45">
      <x:formula1>-100</x:formula1>
      <x:formula2>0</x:formula2>
    </x:dataValidation>
    <x:dataValidation type="whole" operator="equal" sqref="AD45">
      <x:formula1>0</x:formula1>
    </x:dataValidation>
    <x:dataValidation type="whole" operator="equal" sqref="AE45">
      <x:formula1>0</x:formula1>
    </x:dataValidation>
    <x:dataValidation type="whole" operator="equal" sqref="AF45">
      <x:formula1>1</x:formula1>
    </x:dataValidation>
    <x:dataValidation type="whole" operator="between" sqref="AG45">
      <x:formula1>-100</x:formula1>
      <x:formula2>0</x:formula2>
    </x:dataValidation>
    <x:dataValidation type="whole" operator="equal" sqref="AH45">
      <x:formula1>0</x:formula1>
    </x:dataValidation>
    <x:dataValidation type="whole" operator="equal" sqref="AI45">
      <x:formula1>0</x:formula1>
    </x:dataValidation>
    <x:dataValidation type="whole" operator="between" sqref="AJ45">
      <x:formula1>-100</x:formula1>
      <x:formula2>0</x:formula2>
    </x:dataValidation>
    <x:dataValidation type="whole" operator="between" sqref="AK45">
      <x:formula1>-100</x:formula1>
      <x:formula2>0</x:formula2>
    </x:dataValidation>
    <x:dataValidation type="whole" operator="between" sqref="AL45">
      <x:formula1>-100</x:formula1>
      <x:formula2>0</x:formula2>
    </x:dataValidation>
    <x:dataValidation type="whole" operator="between" sqref="AM45">
      <x:formula1>-100</x:formula1>
      <x:formula2>0</x:formula2>
    </x:dataValidation>
    <x:dataValidation type="whole" operator="equal" sqref="E46">
      <x:formula1>0</x:formula1>
    </x:dataValidation>
    <x:dataValidation type="whole" operator="equal" sqref="F46">
      <x:formula1>0</x:formula1>
    </x:dataValidation>
    <x:dataValidation type="whole" operator="equal" sqref="G46">
      <x:formula1>0</x:formula1>
    </x:dataValidation>
    <x:dataValidation type="whole" operator="equal" sqref="H46">
      <x:formula1>0</x:formula1>
    </x:dataValidation>
    <x:dataValidation type="whole" operator="equal" sqref="I46">
      <x:formula1>0</x:formula1>
    </x:dataValidation>
    <x:dataValidation type="whole" operator="equal" sqref="J46">
      <x:formula1>0</x:formula1>
    </x:dataValidation>
    <x:dataValidation type="whole" operator="equal" sqref="K46">
      <x:formula1>0</x:formula1>
    </x:dataValidation>
    <x:dataValidation type="whole" operator="equal" sqref="L46">
      <x:formula1>0</x:formula1>
    </x:dataValidation>
    <x:dataValidation type="whole" operator="equal" sqref="M46">
      <x:formula1>0</x:formula1>
    </x:dataValidation>
    <x:dataValidation type="whole" operator="equal" sqref="N46">
      <x:formula1>0</x:formula1>
    </x:dataValidation>
    <x:dataValidation type="whole" operator="equal" sqref="O46">
      <x:formula1>0</x:formula1>
    </x:dataValidation>
    <x:dataValidation type="whole" operator="equal" sqref="P46">
      <x:formula1>0</x:formula1>
    </x:dataValidation>
    <x:dataValidation type="whole" operator="equal" sqref="Q46">
      <x:formula1>0</x:formula1>
    </x:dataValidation>
    <x:dataValidation type="whole" operator="between" sqref="R46">
      <x:formula1>-100</x:formula1>
      <x:formula2>0</x:formula2>
    </x:dataValidation>
    <x:dataValidation type="whole" operator="equal" sqref="S46">
      <x:formula1>0</x:formula1>
    </x:dataValidation>
    <x:dataValidation type="whole" operator="equal" sqref="T46">
      <x:formula1>0</x:formula1>
    </x:dataValidation>
    <x:dataValidation type="whole" operator="equal" sqref="U46">
      <x:formula1>0</x:formula1>
    </x:dataValidation>
    <x:dataValidation type="whole" operator="equal" sqref="V46">
      <x:formula1>0</x:formula1>
    </x:dataValidation>
    <x:dataValidation type="whole" operator="between" sqref="W46">
      <x:formula1>-100</x:formula1>
      <x:formula2>0</x:formula2>
    </x:dataValidation>
    <x:dataValidation type="whole" operator="equal" sqref="X46">
      <x:formula1>0</x:formula1>
    </x:dataValidation>
    <x:dataValidation type="whole" operator="equal" sqref="Y46">
      <x:formula1>0</x:formula1>
    </x:dataValidation>
    <x:dataValidation type="whole" operator="equal" sqref="Z46">
      <x:formula1>0</x:formula1>
    </x:dataValidation>
    <x:dataValidation type="whole" operator="equal" sqref="AA46">
      <x:formula1>0</x:formula1>
    </x:dataValidation>
    <x:dataValidation type="whole" operator="between" sqref="AB46">
      <x:formula1>-100</x:formula1>
      <x:formula2>0</x:formula2>
    </x:dataValidation>
    <x:dataValidation type="whole" operator="between" sqref="AC46">
      <x:formula1>-100</x:formula1>
      <x:formula2>0</x:formula2>
    </x:dataValidation>
    <x:dataValidation type="whole" operator="equal" sqref="AD46">
      <x:formula1>0</x:formula1>
    </x:dataValidation>
    <x:dataValidation type="whole" operator="equal" sqref="AE46">
      <x:formula1>0</x:formula1>
    </x:dataValidation>
    <x:dataValidation type="whole" operator="equal" sqref="AF46">
      <x:formula1>0</x:formula1>
    </x:dataValidation>
    <x:dataValidation type="whole" operator="equal" sqref="AG46">
      <x:formula1>1</x:formula1>
    </x:dataValidation>
    <x:dataValidation type="whole" operator="equal" sqref="AH46">
      <x:formula1>0</x:formula1>
    </x:dataValidation>
    <x:dataValidation type="whole" operator="equal" sqref="AI46">
      <x:formula1>0</x:formula1>
    </x:dataValidation>
    <x:dataValidation type="whole" operator="equal" sqref="AJ46">
      <x:formula1>0</x:formula1>
    </x:dataValidation>
    <x:dataValidation type="whole" operator="between" sqref="AK46">
      <x:formula1>-100</x:formula1>
      <x:formula2>0</x:formula2>
    </x:dataValidation>
    <x:dataValidation type="whole" operator="between" sqref="AL46">
      <x:formula1>-100</x:formula1>
      <x:formula2>0</x:formula2>
    </x:dataValidation>
    <x:dataValidation type="whole" operator="between" sqref="AM46">
      <x:formula1>-100</x:formula1>
      <x:formula2>0</x:formula2>
    </x:dataValidation>
    <x:dataValidation type="whole" operator="equal" sqref="E47">
      <x:formula1>0</x:formula1>
    </x:dataValidation>
    <x:dataValidation type="whole" operator="equal" sqref="F47">
      <x:formula1>0</x:formula1>
    </x:dataValidation>
    <x:dataValidation type="whole" operator="equal" sqref="G47">
      <x:formula1>0</x:formula1>
    </x:dataValidation>
    <x:dataValidation type="whole" operator="equal" sqref="H47">
      <x:formula1>0</x:formula1>
    </x:dataValidation>
    <x:dataValidation type="whole" operator="equal" sqref="I47">
      <x:formula1>0</x:formula1>
    </x:dataValidation>
    <x:dataValidation type="whole" operator="equal" sqref="J47">
      <x:formula1>0</x:formula1>
    </x:dataValidation>
    <x:dataValidation type="whole" operator="equal" sqref="K47">
      <x:formula1>0</x:formula1>
    </x:dataValidation>
    <x:dataValidation type="whole" operator="equal" sqref="L47">
      <x:formula1>0</x:formula1>
    </x:dataValidation>
    <x:dataValidation type="whole" operator="equal" sqref="M47">
      <x:formula1>0</x:formula1>
    </x:dataValidation>
    <x:dataValidation type="whole" operator="equal" sqref="N47">
      <x:formula1>0</x:formula1>
    </x:dataValidation>
    <x:dataValidation type="whole" operator="equal" sqref="O47">
      <x:formula1>0</x:formula1>
    </x:dataValidation>
    <x:dataValidation type="whole" operator="equal" sqref="P47">
      <x:formula1>0</x:formula1>
    </x:dataValidation>
    <x:dataValidation type="whole" operator="between" sqref="Q47">
      <x:formula1>-100</x:formula1>
      <x:formula2>0</x:formula2>
    </x:dataValidation>
    <x:dataValidation type="whole" operator="between" sqref="R47">
      <x:formula1>-100</x:formula1>
      <x:formula2>0</x:formula2>
    </x:dataValidation>
    <x:dataValidation type="whole" operator="equal" sqref="S47">
      <x:formula1>0</x:formula1>
    </x:dataValidation>
    <x:dataValidation type="whole" operator="equal" sqref="T47">
      <x:formula1>0</x:formula1>
    </x:dataValidation>
    <x:dataValidation type="whole" operator="between" sqref="U47">
      <x:formula1>-100</x:formula1>
      <x:formula2>0</x:formula2>
    </x:dataValidation>
    <x:dataValidation type="whole" operator="between" sqref="V47">
      <x:formula1>-100</x:formula1>
      <x:formula2>0</x:formula2>
    </x:dataValidation>
    <x:dataValidation type="whole" operator="between" sqref="W47">
      <x:formula1>-100</x:formula1>
      <x:formula2>0</x:formula2>
    </x:dataValidation>
    <x:dataValidation type="whole" operator="equal" sqref="X47">
      <x:formula1>0</x:formula1>
    </x:dataValidation>
    <x:dataValidation type="whole" operator="equal" sqref="Y47">
      <x:formula1>0</x:formula1>
    </x:dataValidation>
    <x:dataValidation type="whole" operator="between" sqref="Z47">
      <x:formula1>-100</x:formula1>
      <x:formula2>0</x:formula2>
    </x:dataValidation>
    <x:dataValidation type="whole" operator="between" sqref="AA47">
      <x:formula1>-100</x:formula1>
      <x:formula2>0</x:formula2>
    </x:dataValidation>
    <x:dataValidation type="whole" operator="between" sqref="AB47">
      <x:formula1>-100</x:formula1>
      <x:formula2>0</x:formula2>
    </x:dataValidation>
    <x:dataValidation type="whole" operator="between" sqref="AC47">
      <x:formula1>-100</x:formula1>
      <x:formula2>0</x:formula2>
    </x:dataValidation>
    <x:dataValidation type="whole" operator="equal" sqref="AD47">
      <x:formula1>0</x:formula1>
    </x:dataValidation>
    <x:dataValidation type="whole" operator="between" sqref="AE47">
      <x:formula1>-100</x:formula1>
      <x:formula2>0</x:formula2>
    </x:dataValidation>
    <x:dataValidation type="whole" operator="between" sqref="AF47">
      <x:formula1>-100</x:formula1>
      <x:formula2>0</x:formula2>
    </x:dataValidation>
    <x:dataValidation type="whole" operator="between" sqref="AG47">
      <x:formula1>-100</x:formula1>
      <x:formula2>0</x:formula2>
    </x:dataValidation>
    <x:dataValidation type="whole" operator="equal" sqref="AH47">
      <x:formula1>1</x:formula1>
    </x:dataValidation>
    <x:dataValidation type="whole" operator="between" sqref="AI47">
      <x:formula1>-100</x:formula1>
      <x:formula2>0</x:formula2>
    </x:dataValidation>
    <x:dataValidation type="whole" operator="between" sqref="AJ47">
      <x:formula1>-100</x:formula1>
      <x:formula2>0</x:formula2>
    </x:dataValidation>
    <x:dataValidation type="whole" operator="between" sqref="AK47">
      <x:formula1>-100</x:formula1>
      <x:formula2>0</x:formula2>
    </x:dataValidation>
    <x:dataValidation type="whole" operator="between" sqref="AL47">
      <x:formula1>-100</x:formula1>
      <x:formula2>0</x:formula2>
    </x:dataValidation>
    <x:dataValidation type="whole" operator="between" sqref="AM47">
      <x:formula1>-100</x:formula1>
      <x:formula2>0</x:formula2>
    </x:dataValidation>
    <x:dataValidation type="whole" operator="equal" sqref="E48">
      <x:formula1>0</x:formula1>
    </x:dataValidation>
    <x:dataValidation type="whole" operator="equal" sqref="F48">
      <x:formula1>0</x:formula1>
    </x:dataValidation>
    <x:dataValidation type="whole" operator="equal" sqref="G48">
      <x:formula1>0</x:formula1>
    </x:dataValidation>
    <x:dataValidation type="whole" operator="equal" sqref="H48">
      <x:formula1>0</x:formula1>
    </x:dataValidation>
    <x:dataValidation type="whole" operator="equal" sqref="I48">
      <x:formula1>0</x:formula1>
    </x:dataValidation>
    <x:dataValidation type="whole" operator="equal" sqref="J48">
      <x:formula1>0</x:formula1>
    </x:dataValidation>
    <x:dataValidation type="whole" operator="equal" sqref="K48">
      <x:formula1>0</x:formula1>
    </x:dataValidation>
    <x:dataValidation type="whole" operator="equal" sqref="L48">
      <x:formula1>0</x:formula1>
    </x:dataValidation>
    <x:dataValidation type="whole" operator="equal" sqref="M48">
      <x:formula1>0</x:formula1>
    </x:dataValidation>
    <x:dataValidation type="whole" operator="equal" sqref="N48">
      <x:formula1>0</x:formula1>
    </x:dataValidation>
    <x:dataValidation type="whole" operator="equal" sqref="O48">
      <x:formula1>0</x:formula1>
    </x:dataValidation>
    <x:dataValidation type="whole" operator="equal" sqref="P48">
      <x:formula1>0</x:formula1>
    </x:dataValidation>
    <x:dataValidation type="whole" operator="between" sqref="Q48">
      <x:formula1>-100</x:formula1>
      <x:formula2>0</x:formula2>
    </x:dataValidation>
    <x:dataValidation type="whole" operator="between" sqref="R48">
      <x:formula1>-100</x:formula1>
      <x:formula2>0</x:formula2>
    </x:dataValidation>
    <x:dataValidation type="whole" operator="equal" sqref="S48">
      <x:formula1>0</x:formula1>
    </x:dataValidation>
    <x:dataValidation type="whole" operator="equal" sqref="T48">
      <x:formula1>0</x:formula1>
    </x:dataValidation>
    <x:dataValidation type="whole" operator="equal" sqref="U48">
      <x:formula1>0</x:formula1>
    </x:dataValidation>
    <x:dataValidation type="whole" operator="between" sqref="V48">
      <x:formula1>-100</x:formula1>
      <x:formula2>0</x:formula2>
    </x:dataValidation>
    <x:dataValidation type="whole" operator="between" sqref="W48">
      <x:formula1>-100</x:formula1>
      <x:formula2>0</x:formula2>
    </x:dataValidation>
    <x:dataValidation type="whole" operator="equal" sqref="X48">
      <x:formula1>0</x:formula1>
    </x:dataValidation>
    <x:dataValidation type="whole" operator="equal" sqref="Y48">
      <x:formula1>0</x:formula1>
    </x:dataValidation>
    <x:dataValidation type="whole" operator="equal" sqref="Z48">
      <x:formula1>0</x:formula1>
    </x:dataValidation>
    <x:dataValidation type="whole" operator="between" sqref="AA48">
      <x:formula1>-100</x:formula1>
      <x:formula2>0</x:formula2>
    </x:dataValidation>
    <x:dataValidation type="whole" operator="between" sqref="AB48">
      <x:formula1>-100</x:formula1>
      <x:formula2>0</x:formula2>
    </x:dataValidation>
    <x:dataValidation type="whole" operator="between" sqref="AC48">
      <x:formula1>-100</x:formula1>
      <x:formula2>0</x:formula2>
    </x:dataValidation>
    <x:dataValidation type="whole" operator="equal" sqref="AD48">
      <x:formula1>0</x:formula1>
    </x:dataValidation>
    <x:dataValidation type="whole" operator="equal" sqref="AE48">
      <x:formula1>0</x:formula1>
    </x:dataValidation>
    <x:dataValidation type="whole" operator="between" sqref="AF48">
      <x:formula1>-100</x:formula1>
      <x:formula2>0</x:formula2>
    </x:dataValidation>
    <x:dataValidation type="whole" operator="between" sqref="AG48">
      <x:formula1>-100</x:formula1>
      <x:formula2>0</x:formula2>
    </x:dataValidation>
    <x:dataValidation type="whole" operator="equal" sqref="AH48">
      <x:formula1>0</x:formula1>
    </x:dataValidation>
    <x:dataValidation type="whole" operator="equal" sqref="AI48">
      <x:formula1>1</x:formula1>
    </x:dataValidation>
    <x:dataValidation type="whole" operator="between" sqref="AJ48">
      <x:formula1>-100</x:formula1>
      <x:formula2>0</x:formula2>
    </x:dataValidation>
    <x:dataValidation type="whole" operator="between" sqref="AK48">
      <x:formula1>-100</x:formula1>
      <x:formula2>0</x:formula2>
    </x:dataValidation>
    <x:dataValidation type="whole" operator="between" sqref="AL48">
      <x:formula1>-100</x:formula1>
      <x:formula2>0</x:formula2>
    </x:dataValidation>
    <x:dataValidation type="whole" operator="between" sqref="AM48">
      <x:formula1>-100</x:formula1>
      <x:formula2>0</x:formula2>
    </x:dataValidation>
    <x:dataValidation type="whole" operator="equal" sqref="E49">
      <x:formula1>0</x:formula1>
    </x:dataValidation>
    <x:dataValidation type="whole" operator="equal" sqref="F49">
      <x:formula1>0</x:formula1>
    </x:dataValidation>
    <x:dataValidation type="whole" operator="equal" sqref="G49">
      <x:formula1>0</x:formula1>
    </x:dataValidation>
    <x:dataValidation type="whole" operator="equal" sqref="H49">
      <x:formula1>0</x:formula1>
    </x:dataValidation>
    <x:dataValidation type="whole" operator="equal" sqref="I49">
      <x:formula1>0</x:formula1>
    </x:dataValidation>
    <x:dataValidation type="whole" operator="equal" sqref="J49">
      <x:formula1>0</x:formula1>
    </x:dataValidation>
    <x:dataValidation type="whole" operator="equal" sqref="K49">
      <x:formula1>0</x:formula1>
    </x:dataValidation>
    <x:dataValidation type="whole" operator="equal" sqref="L49">
      <x:formula1>0</x:formula1>
    </x:dataValidation>
    <x:dataValidation type="whole" operator="equal" sqref="M49">
      <x:formula1>0</x:formula1>
    </x:dataValidation>
    <x:dataValidation type="whole" operator="equal" sqref="N49">
      <x:formula1>0</x:formula1>
    </x:dataValidation>
    <x:dataValidation type="whole" operator="equal" sqref="O49">
      <x:formula1>0</x:formula1>
    </x:dataValidation>
    <x:dataValidation type="whole" operator="equal" sqref="P49">
      <x:formula1>0</x:formula1>
    </x:dataValidation>
    <x:dataValidation type="whole" operator="equal" sqref="Q49">
      <x:formula1>0</x:formula1>
    </x:dataValidation>
    <x:dataValidation type="whole" operator="between" sqref="R49">
      <x:formula1>-100</x:formula1>
      <x:formula2>0</x:formula2>
    </x:dataValidation>
    <x:dataValidation type="whole" operator="equal" sqref="S49">
      <x:formula1>0</x:formula1>
    </x:dataValidation>
    <x:dataValidation type="whole" operator="equal" sqref="T49">
      <x:formula1>0</x:formula1>
    </x:dataValidation>
    <x:dataValidation type="whole" operator="equal" sqref="U49">
      <x:formula1>0</x:formula1>
    </x:dataValidation>
    <x:dataValidation type="whole" operator="between" sqref="V49">
      <x:formula1>-100</x:formula1>
      <x:formula2>0</x:formula2>
    </x:dataValidation>
    <x:dataValidation type="whole" operator="between" sqref="W49">
      <x:formula1>-100</x:formula1>
      <x:formula2>0</x:formula2>
    </x:dataValidation>
    <x:dataValidation type="whole" operator="equal" sqref="X49">
      <x:formula1>0</x:formula1>
    </x:dataValidation>
    <x:dataValidation type="whole" operator="equal" sqref="Y49">
      <x:formula1>0</x:formula1>
    </x:dataValidation>
    <x:dataValidation type="whole" operator="equal" sqref="Z49">
      <x:formula1>0</x:formula1>
    </x:dataValidation>
    <x:dataValidation type="whole" operator="between" sqref="AA49">
      <x:formula1>-100</x:formula1>
      <x:formula2>0</x:formula2>
    </x:dataValidation>
    <x:dataValidation type="whole" operator="between" sqref="AB49">
      <x:formula1>-100</x:formula1>
      <x:formula2>0</x:formula2>
    </x:dataValidation>
    <x:dataValidation type="whole" operator="between" sqref="AC49">
      <x:formula1>-100</x:formula1>
      <x:formula2>0</x:formula2>
    </x:dataValidation>
    <x:dataValidation type="whole" operator="equal" sqref="AD49">
      <x:formula1>0</x:formula1>
    </x:dataValidation>
    <x:dataValidation type="whole" operator="equal" sqref="AE49">
      <x:formula1>0</x:formula1>
    </x:dataValidation>
    <x:dataValidation type="whole" operator="equal" sqref="AF49">
      <x:formula1>0</x:formula1>
    </x:dataValidation>
    <x:dataValidation type="whole" operator="between" sqref="AG49">
      <x:formula1>-100</x:formula1>
      <x:formula2>0</x:formula2>
    </x:dataValidation>
    <x:dataValidation type="whole" operator="equal" sqref="AH49">
      <x:formula1>0</x:formula1>
    </x:dataValidation>
    <x:dataValidation type="whole" operator="equal" sqref="AI49">
      <x:formula1>0</x:formula1>
    </x:dataValidation>
    <x:dataValidation type="whole" operator="equal" sqref="AJ49">
      <x:formula1>1</x:formula1>
    </x:dataValidation>
    <x:dataValidation type="whole" operator="between" sqref="AK49">
      <x:formula1>-100</x:formula1>
      <x:formula2>0</x:formula2>
    </x:dataValidation>
    <x:dataValidation type="whole" operator="between" sqref="AL49">
      <x:formula1>-100</x:formula1>
      <x:formula2>0</x:formula2>
    </x:dataValidation>
    <x:dataValidation type="whole" operator="between" sqref="AM49">
      <x:formula1>-100</x:formula1>
      <x:formula2>0</x:formula2>
    </x:dataValidation>
    <x:dataValidation type="whole" operator="equal" sqref="E50">
      <x:formula1>0</x:formula1>
    </x:dataValidation>
    <x:dataValidation type="whole" operator="equal" sqref="F50">
      <x:formula1>0</x:formula1>
    </x:dataValidation>
    <x:dataValidation type="whole" operator="equal" sqref="G50">
      <x:formula1>0</x:formula1>
    </x:dataValidation>
    <x:dataValidation type="whole" operator="equal" sqref="H50">
      <x:formula1>0</x:formula1>
    </x:dataValidation>
    <x:dataValidation type="whole" operator="equal" sqref="I50">
      <x:formula1>0</x:formula1>
    </x:dataValidation>
    <x:dataValidation type="whole" operator="equal" sqref="J50">
      <x:formula1>0</x:formula1>
    </x:dataValidation>
    <x:dataValidation type="whole" operator="equal" sqref="K50">
      <x:formula1>0</x:formula1>
    </x:dataValidation>
    <x:dataValidation type="whole" operator="equal" sqref="L50">
      <x:formula1>0</x:formula1>
    </x:dataValidation>
    <x:dataValidation type="whole" operator="equal" sqref="M50">
      <x:formula1>0</x:formula1>
    </x:dataValidation>
    <x:dataValidation type="whole" operator="equal" sqref="N50">
      <x:formula1>0</x:formula1>
    </x:dataValidation>
    <x:dataValidation type="whole" operator="equal" sqref="O50">
      <x:formula1>0</x:formula1>
    </x:dataValidation>
    <x:dataValidation type="whole" operator="equal" sqref="P50">
      <x:formula1>0</x:formula1>
    </x:dataValidation>
    <x:dataValidation type="whole" operator="equal" sqref="Q50">
      <x:formula1>0</x:formula1>
    </x:dataValidation>
    <x:dataValidation type="whole" operator="between" sqref="R50">
      <x:formula1>-100</x:formula1>
      <x:formula2>0</x:formula2>
    </x:dataValidation>
    <x:dataValidation type="whole" operator="equal" sqref="S50">
      <x:formula1>0</x:formula1>
    </x:dataValidation>
    <x:dataValidation type="whole" operator="equal" sqref="T50">
      <x:formula1>0</x:formula1>
    </x:dataValidation>
    <x:dataValidation type="whole" operator="equal" sqref="U50">
      <x:formula1>0</x:formula1>
    </x:dataValidation>
    <x:dataValidation type="whole" operator="equal" sqref="V50">
      <x:formula1>0</x:formula1>
    </x:dataValidation>
    <x:dataValidation type="whole" operator="between" sqref="W50">
      <x:formula1>-100</x:formula1>
      <x:formula2>0</x:formula2>
    </x:dataValidation>
    <x:dataValidation type="whole" operator="equal" sqref="X50">
      <x:formula1>0</x:formula1>
    </x:dataValidation>
    <x:dataValidation type="whole" operator="equal" sqref="Y50">
      <x:formula1>0</x:formula1>
    </x:dataValidation>
    <x:dataValidation type="whole" operator="equal" sqref="Z50">
      <x:formula1>0</x:formula1>
    </x:dataValidation>
    <x:dataValidation type="whole" operator="equal" sqref="AA50">
      <x:formula1>0</x:formula1>
    </x:dataValidation>
    <x:dataValidation type="whole" operator="between" sqref="AB50">
      <x:formula1>-100</x:formula1>
      <x:formula2>0</x:formula2>
    </x:dataValidation>
    <x:dataValidation type="whole" operator="between" sqref="AC50">
      <x:formula1>-100</x:formula1>
      <x:formula2>0</x:formula2>
    </x:dataValidation>
    <x:dataValidation type="whole" operator="equal" sqref="AD50">
      <x:formula1>0</x:formula1>
    </x:dataValidation>
    <x:dataValidation type="whole" operator="equal" sqref="AE50">
      <x:formula1>0</x:formula1>
    </x:dataValidation>
    <x:dataValidation type="whole" operator="equal" sqref="AF50">
      <x:formula1>0</x:formula1>
    </x:dataValidation>
    <x:dataValidation type="whole" operator="between" sqref="AG50">
      <x:formula1>-100</x:formula1>
      <x:formula2>0</x:formula2>
    </x:dataValidation>
    <x:dataValidation type="whole" operator="equal" sqref="AH50">
      <x:formula1>0</x:formula1>
    </x:dataValidation>
    <x:dataValidation type="whole" operator="equal" sqref="AI50">
      <x:formula1>0</x:formula1>
    </x:dataValidation>
    <x:dataValidation type="whole" operator="equal" sqref="AJ50">
      <x:formula1>0</x:formula1>
    </x:dataValidation>
    <x:dataValidation type="whole" operator="equal" sqref="AK50">
      <x:formula1>1</x:formula1>
    </x:dataValidation>
    <x:dataValidation type="whole" operator="between" sqref="AL50">
      <x:formula1>-100</x:formula1>
      <x:formula2>0</x:formula2>
    </x:dataValidation>
    <x:dataValidation type="whole" operator="between" sqref="AM50">
      <x:formula1>-100</x:formula1>
      <x:formula2>0</x:formula2>
    </x:dataValidation>
    <x:dataValidation type="whole" operator="equal" sqref="E51">
      <x:formula1>0</x:formula1>
    </x:dataValidation>
    <x:dataValidation type="whole" operator="equal" sqref="F51">
      <x:formula1>0</x:formula1>
    </x:dataValidation>
    <x:dataValidation type="whole" operator="equal" sqref="G51">
      <x:formula1>0</x:formula1>
    </x:dataValidation>
    <x:dataValidation type="whole" operator="equal" sqref="H51">
      <x:formula1>0</x:formula1>
    </x:dataValidation>
    <x:dataValidation type="whole" operator="equal" sqref="I51">
      <x:formula1>0</x:formula1>
    </x:dataValidation>
    <x:dataValidation type="whole" operator="equal" sqref="J51">
      <x:formula1>0</x:formula1>
    </x:dataValidation>
    <x:dataValidation type="whole" operator="equal" sqref="K51">
      <x:formula1>0</x:formula1>
    </x:dataValidation>
    <x:dataValidation type="whole" operator="equal" sqref="L51">
      <x:formula1>0</x:formula1>
    </x:dataValidation>
    <x:dataValidation type="whole" operator="equal" sqref="M51">
      <x:formula1>0</x:formula1>
    </x:dataValidation>
    <x:dataValidation type="whole" operator="equal" sqref="N51">
      <x:formula1>0</x:formula1>
    </x:dataValidation>
    <x:dataValidation type="whole" operator="equal" sqref="O51">
      <x:formula1>0</x:formula1>
    </x:dataValidation>
    <x:dataValidation type="whole" operator="equal" sqref="P51">
      <x:formula1>0</x:formula1>
    </x:dataValidation>
    <x:dataValidation type="whole" operator="equal" sqref="Q51">
      <x:formula1>0</x:formula1>
    </x:dataValidation>
    <x:dataValidation type="whole" operator="between" sqref="R51">
      <x:formula1>-100</x:formula1>
      <x:formula2>0</x:formula2>
    </x:dataValidation>
    <x:dataValidation type="whole" operator="equal" sqref="S51">
      <x:formula1>0</x:formula1>
    </x:dataValidation>
    <x:dataValidation type="whole" operator="equal" sqref="T51">
      <x:formula1>0</x:formula1>
    </x:dataValidation>
    <x:dataValidation type="whole" operator="equal" sqref="U51">
      <x:formula1>0</x:formula1>
    </x:dataValidation>
    <x:dataValidation type="whole" operator="equal" sqref="V51">
      <x:formula1>0</x:formula1>
    </x:dataValidation>
    <x:dataValidation type="whole" operator="between" sqref="W51">
      <x:formula1>-100</x:formula1>
      <x:formula2>0</x:formula2>
    </x:dataValidation>
    <x:dataValidation type="whole" operator="equal" sqref="X51">
      <x:formula1>0</x:formula1>
    </x:dataValidation>
    <x:dataValidation type="whole" operator="equal" sqref="Y51">
      <x:formula1>0</x:formula1>
    </x:dataValidation>
    <x:dataValidation type="whole" operator="equal" sqref="Z51">
      <x:formula1>0</x:formula1>
    </x:dataValidation>
    <x:dataValidation type="whole" operator="equal" sqref="AA51">
      <x:formula1>0</x:formula1>
    </x:dataValidation>
    <x:dataValidation type="whole" operator="equal" sqref="AB51">
      <x:formula1>0</x:formula1>
    </x:dataValidation>
    <x:dataValidation type="whole" operator="between" sqref="AC51">
      <x:formula1>-100</x:formula1>
      <x:formula2>0</x:formula2>
    </x:dataValidation>
    <x:dataValidation type="whole" operator="equal" sqref="AD51">
      <x:formula1>0</x:formula1>
    </x:dataValidation>
    <x:dataValidation type="whole" operator="equal" sqref="AE51">
      <x:formula1>0</x:formula1>
    </x:dataValidation>
    <x:dataValidation type="whole" operator="equal" sqref="AF51">
      <x:formula1>0</x:formula1>
    </x:dataValidation>
    <x:dataValidation type="whole" operator="equal" sqref="AG51">
      <x:formula1>0</x:formula1>
    </x:dataValidation>
    <x:dataValidation type="whole" operator="equal" sqref="AH51">
      <x:formula1>0</x:formula1>
    </x:dataValidation>
    <x:dataValidation type="whole" operator="equal" sqref="AI51">
      <x:formula1>0</x:formula1>
    </x:dataValidation>
    <x:dataValidation type="whole" operator="equal" sqref="AJ51">
      <x:formula1>0</x:formula1>
    </x:dataValidation>
    <x:dataValidation type="whole" operator="equal" sqref="AK51">
      <x:formula1>0</x:formula1>
    </x:dataValidation>
    <x:dataValidation type="whole" operator="equal" sqref="AL51">
      <x:formula1>1</x:formula1>
    </x:dataValidation>
    <x:dataValidation type="whole" operator="between" sqref="AM51">
      <x:formula1>-100</x:formula1>
      <x:formula2>0</x:formula2>
    </x:dataValidation>
    <x:dataValidation type="whole" operator="equal" sqref="E52">
      <x:formula1>0</x:formula1>
    </x:dataValidation>
    <x:dataValidation type="whole" operator="equal" sqref="F52">
      <x:formula1>0</x:formula1>
    </x:dataValidation>
    <x:dataValidation type="whole" operator="equal" sqref="G52">
      <x:formula1>0</x:formula1>
    </x:dataValidation>
    <x:dataValidation type="whole" operator="equal" sqref="H52">
      <x:formula1>0</x:formula1>
    </x:dataValidation>
    <x:dataValidation type="whole" operator="equal" sqref="I52">
      <x:formula1>0</x:formula1>
    </x:dataValidation>
    <x:dataValidation type="whole" operator="equal" sqref="J52">
      <x:formula1>0</x:formula1>
    </x:dataValidation>
    <x:dataValidation type="whole" operator="equal" sqref="K52">
      <x:formula1>0</x:formula1>
    </x:dataValidation>
    <x:dataValidation type="whole" operator="equal" sqref="L52">
      <x:formula1>0</x:formula1>
    </x:dataValidation>
    <x:dataValidation type="whole" operator="equal" sqref="M52">
      <x:formula1>0</x:formula1>
    </x:dataValidation>
    <x:dataValidation type="whole" operator="equal" sqref="N52">
      <x:formula1>0</x:formula1>
    </x:dataValidation>
    <x:dataValidation type="whole" operator="equal" sqref="O52">
      <x:formula1>0</x:formula1>
    </x:dataValidation>
    <x:dataValidation type="whole" operator="equal" sqref="P52">
      <x:formula1>0</x:formula1>
    </x:dataValidation>
    <x:dataValidation type="whole" operator="equal" sqref="Q52">
      <x:formula1>0</x:formula1>
    </x:dataValidation>
    <x:dataValidation type="whole" operator="equal" sqref="R52">
      <x:formula1>0</x:formula1>
    </x:dataValidation>
    <x:dataValidation type="whole" operator="equal" sqref="S52">
      <x:formula1>0</x:formula1>
    </x:dataValidation>
    <x:dataValidation type="whole" operator="equal" sqref="T52">
      <x:formula1>0</x:formula1>
    </x:dataValidation>
    <x:dataValidation type="whole" operator="equal" sqref="U52">
      <x:formula1>0</x:formula1>
    </x:dataValidation>
    <x:dataValidation type="whole" operator="equal" sqref="V52">
      <x:formula1>0</x:formula1>
    </x:dataValidation>
    <x:dataValidation type="whole" operator="equal" sqref="W52">
      <x:formula1>0</x:formula1>
    </x:dataValidation>
    <x:dataValidation type="whole" operator="equal" sqref="X52">
      <x:formula1>0</x:formula1>
    </x:dataValidation>
    <x:dataValidation type="whole" operator="equal" sqref="Y52">
      <x:formula1>0</x:formula1>
    </x:dataValidation>
    <x:dataValidation type="whole" operator="equal" sqref="Z52">
      <x:formula1>0</x:formula1>
    </x:dataValidation>
    <x:dataValidation type="whole" operator="equal" sqref="AA52">
      <x:formula1>0</x:formula1>
    </x:dataValidation>
    <x:dataValidation type="whole" operator="equal" sqref="AB52">
      <x:formula1>0</x:formula1>
    </x:dataValidation>
    <x:dataValidation type="whole" operator="equal" sqref="AC52">
      <x:formula1>0</x:formula1>
    </x:dataValidation>
    <x:dataValidation type="whole" operator="equal" sqref="AD52">
      <x:formula1>0</x:formula1>
    </x:dataValidation>
    <x:dataValidation type="whole" operator="equal" sqref="AE52">
      <x:formula1>0</x:formula1>
    </x:dataValidation>
    <x:dataValidation type="whole" operator="equal" sqref="AF52">
      <x:formula1>0</x:formula1>
    </x:dataValidation>
    <x:dataValidation type="whole" operator="equal" sqref="AG52">
      <x:formula1>0</x:formula1>
    </x:dataValidation>
    <x:dataValidation type="whole" operator="equal" sqref="AH52">
      <x:formula1>0</x:formula1>
    </x:dataValidation>
    <x:dataValidation type="whole" operator="equal" sqref="AI52">
      <x:formula1>0</x:formula1>
    </x:dataValidation>
    <x:dataValidation type="whole" operator="equal" sqref="AJ52">
      <x:formula1>0</x:formula1>
    </x:dataValidation>
    <x:dataValidation type="whole" operator="equal" sqref="AK52">
      <x:formula1>0</x:formula1>
    </x:dataValidation>
    <x:dataValidation type="whole" operator="equal" sqref="AL52">
      <x:formula1>0</x:formula1>
    </x:dataValidation>
    <x:dataValidation type="whole" operator="equal" sqref="AM52">
      <x:formula1>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8C7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9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 ht="30" customHeight="1">
      <x:c r="A1" s="11" t="str">
        <x:v>工序负载观察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</x:row>
    <x:row r="2" ht="24" customHeight="1">
      <x:c r="A2" s="12" t="str">
        <x:v>上游全链数量×上游本步时间÷目标本步时间；下方合并同建筑工序。横纵粗线分隔建筑。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</x:row>
    <x:row r="3" ht="22" customHeight="1">
      <x:c r="A3" s="9" t="str">
        <x:v>相对负载；农田未除土地数，加工未除通道数，不等于实际整体利用率。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</x:row>
    <x:row r="4" ht="22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</x:row>
    <x:row r="5" ht="32" customHeight="1">
      <x:c r="A5" s="21" t="str">
        <x:v>上游ID</x:v>
      </x:c>
      <x:c r="B5" s="21" t="str">
        <x:v>上游商品</x:v>
      </x:c>
      <x:c r="C5" s="21" t="str">
        <x:v>生产建筑</x:v>
      </x:c>
      <x:c r="D5" s="21" t="str">
        <x:v>本步min</x:v>
      </x:c>
      <x:c r="E5" s="21" t="n">
        <x:v>1</x:v>
      </x:c>
      <x:c r="F5" s="21" t="n">
        <x:v>2</x:v>
      </x:c>
      <x:c r="G5" s="21" t="n">
        <x:v>5</x:v>
      </x:c>
      <x:c r="H5" s="21" t="n">
        <x:v>10</x:v>
      </x:c>
      <x:c r="I5" s="21" t="n">
        <x:v>15</x:v>
      </x:c>
      <x:c r="J5" s="21" t="n">
        <x:v>17</x:v>
      </x:c>
      <x:c r="K5" s="21" t="n">
        <x:v>24</x:v>
      </x:c>
      <x:c r="L5" s="21" t="n">
        <x:v>30</x:v>
      </x:c>
      <x:c r="M5" s="21" t="n">
        <x:v>35</x:v>
      </x:c>
      <x:c r="N5" s="59" t="n">
        <x:v>3</x:v>
      </x:c>
      <x:c r="O5" s="21" t="n">
        <x:v>4</x:v>
      </x:c>
      <x:c r="P5" s="21" t="n">
        <x:v>12</x:v>
      </x:c>
      <x:c r="Q5" s="21" t="n">
        <x:v>22</x:v>
      </x:c>
      <x:c r="R5" s="21" t="n">
        <x:v>33</x:v>
      </x:c>
      <x:c r="S5" s="59" t="n">
        <x:v>6</x:v>
      </x:c>
      <x:c r="T5" s="21" t="n">
        <x:v>7</x:v>
      </x:c>
      <x:c r="U5" s="21" t="n">
        <x:v>20</x:v>
      </x:c>
      <x:c r="V5" s="21" t="n">
        <x:v>28</x:v>
      </x:c>
      <x:c r="W5" s="21" t="n">
        <x:v>36</x:v>
      </x:c>
      <x:c r="X5" s="59" t="n">
        <x:v>14</x:v>
      </x:c>
      <x:c r="Y5" s="21" t="n">
        <x:v>16</x:v>
      </x:c>
      <x:c r="Z5" s="21" t="n">
        <x:v>21</x:v>
      </x:c>
      <x:c r="AA5" s="21" t="n">
        <x:v>27</x:v>
      </x:c>
      <x:c r="AB5" s="21" t="n">
        <x:v>32</x:v>
      </x:c>
      <x:c r="AC5" s="21" t="n">
        <x:v>37</x:v>
      </x:c>
      <x:c r="AD5" s="59" t="n">
        <x:v>13</x:v>
      </x:c>
      <x:c r="AE5" s="21" t="n">
        <x:v>18</x:v>
      </x:c>
      <x:c r="AF5" s="21" t="n">
        <x:v>25</x:v>
      </x:c>
      <x:c r="AG5" s="21" t="n">
        <x:v>31</x:v>
      </x:c>
      <x:c r="AH5" s="59" t="n">
        <x:v>19</x:v>
      </x:c>
      <x:c r="AI5" s="21" t="n">
        <x:v>23</x:v>
      </x:c>
      <x:c r="AJ5" s="21" t="n">
        <x:v>26</x:v>
      </x:c>
      <x:c r="AK5" s="21" t="n">
        <x:v>29</x:v>
      </x:c>
      <x:c r="AL5" s="21" t="n">
        <x:v>34</x:v>
      </x:c>
      <x:c r="AM5" s="21" t="n">
        <x:v>38</x:v>
      </x:c>
    </x:row>
    <x:row r="6" ht="22" customHeight="1">
      <x:c r="A6" s="17"/>
      <x:c r="B6" s="17"/>
      <x:c r="C6" s="17"/>
      <x:c r="D6" s="17"/>
      <x:c r="E6" s="39" t="str">
        <x:f>'01_数值调参'!E6</x:f>
        <x:v>芦苇草</x:v>
      </x:c>
      <x:c r="F6" s="39" t="str">
        <x:f>'01_数值调参'!F6</x:f>
        <x:v>棉花</x:v>
      </x:c>
      <x:c r="G6" s="39" t="str">
        <x:f>'01_数值调参'!G6</x:f>
        <x:v>竹子</x:v>
      </x:c>
      <x:c r="H6" s="39" t="str">
        <x:f>'01_数值调参'!H6</x:f>
        <x:v>香绒草</x:v>
      </x:c>
      <x:c r="I6" s="39" t="str">
        <x:f>'01_数值调参'!I6</x:f>
        <x:v>薰衣草</x:v>
      </x:c>
      <x:c r="J6" s="39" t="str">
        <x:f>'01_数值调参'!J6</x:f>
        <x:v>芍药花</x:v>
      </x:c>
      <x:c r="K6" s="39" t="str">
        <x:f>'01_数值调参'!K6</x:f>
        <x:v>墨水花</x:v>
      </x:c>
      <x:c r="L6" s="39" t="str">
        <x:f>'01_数值调参'!L6</x:f>
        <x:v>蜡烛花</x:v>
      </x:c>
      <x:c r="M6" s="39" t="str">
        <x:f>'01_数值调参'!M6</x:f>
        <x:v>浆果珍珠</x:v>
      </x:c>
      <x:c r="N6" s="60" t="str">
        <x:f>'01_数值调参'!N6</x:f>
        <x:v>芦苇丝</x:v>
      </x:c>
      <x:c r="O6" s="43" t="str">
        <x:f>'01_数值调参'!O6</x:f>
        <x:v>棉绒团</x:v>
      </x:c>
      <x:c r="P6" s="43" t="str">
        <x:f>'01_数值调参'!P6</x:f>
        <x:v>绒香粉</x:v>
      </x:c>
      <x:c r="Q6" s="43" t="str">
        <x:f>'01_数值调参'!Q6</x:f>
        <x:v>云朵香粉</x:v>
      </x:c>
      <x:c r="R6" s="43" t="str">
        <x:f>'01_数值调参'!R6</x:f>
        <x:v>乌云绒团</x:v>
      </x:c>
      <x:c r="S6" s="72" t="str">
        <x:f>'01_数值调参'!S6</x:f>
        <x:v>竹条</x:v>
      </x:c>
      <x:c r="T6" s="66" t="str">
        <x:f>'01_数值调参'!T6</x:f>
        <x:v>薄竹片</x:v>
      </x:c>
      <x:c r="U6" s="66" t="str">
        <x:f>'01_数值调参'!U6</x:f>
        <x:v>小竹框</x:v>
      </x:c>
      <x:c r="V6" s="66" t="str">
        <x:f>'01_数值调参'!V6</x:f>
        <x:v>花瓣竹板</x:v>
      </x:c>
      <x:c r="W6" s="66" t="str">
        <x:f>'01_数值调参'!W6</x:f>
        <x:v>珍珠衣帽架</x:v>
      </x:c>
      <x:c r="X6" s="80" t="str">
        <x:f>'01_数值调参'!X6</x:f>
        <x:v>竹编小垫</x:v>
      </x:c>
      <x:c r="Y6" s="76" t="str">
        <x:f>'01_数值调参'!Y6</x:f>
        <x:v>软棉布</x:v>
      </x:c>
      <x:c r="Z6" s="76" t="str">
        <x:f>'01_数值调参'!Z6</x:f>
        <x:v>竹帘</x:v>
      </x:c>
      <x:c r="AA6" s="76" t="str">
        <x:f>'01_数值调参'!AA6</x:f>
        <x:v>绒绒灯罩</x:v>
      </x:c>
      <x:c r="AB6" s="76" t="str">
        <x:f>'01_数值调参'!AB6</x:f>
        <x:v>软边小席</x:v>
      </x:c>
      <x:c r="AC6" s="76" t="str">
        <x:f>'01_数值调参'!AC6</x:f>
        <x:v>雨滴篮子</x:v>
      </x:c>
      <x:c r="AD6" s="88" t="str">
        <x:f>'01_数值调参'!AD6</x:f>
        <x:v>薰衣草精油</x:v>
      </x:c>
      <x:c r="AE6" s="84" t="str">
        <x:f>'01_数值调参'!AE6</x:f>
        <x:v>花瓣香水</x:v>
      </x:c>
      <x:c r="AF6" s="84" t="str">
        <x:f>'01_数值调参'!AF6</x:f>
        <x:v>墨汁</x:v>
      </x:c>
      <x:c r="AG6" s="84" t="str">
        <x:f>'01_数值调参'!AG6</x:f>
        <x:v>花蜡</x:v>
      </x:c>
      <x:c r="AH6" s="96" t="str">
        <x:f>'01_数值调参'!AH6</x:f>
        <x:v>竹炭画笔</x:v>
      </x:c>
      <x:c r="AI6" s="92" t="str">
        <x:f>'01_数值调参'!AI6</x:f>
        <x:v>薰衣草香棒</x:v>
      </x:c>
      <x:c r="AJ6" s="92" t="str">
        <x:f>'01_数值调参'!AJ6</x:f>
        <x:v>竹制盆景</x:v>
      </x:c>
      <x:c r="AK6" s="92" t="str">
        <x:f>'01_数值调参'!AK6</x:f>
        <x:v>圈圈蚊香</x:v>
      </x:c>
      <x:c r="AL6" s="92" t="str">
        <x:f>'01_数值调参'!AL6</x:f>
        <x:v>薰衣草软垫</x:v>
      </x:c>
      <x:c r="AM6" s="92" t="str">
        <x:f>'01_数值调参'!AM6</x:f>
        <x:v>花瓣小灯</x:v>
      </x:c>
    </x:row>
    <x:row r="7" ht="22" customHeight="1">
      <x:c r="A7" s="17"/>
      <x:c r="B7" s="17"/>
      <x:c r="C7" s="17"/>
      <x:c r="D7" s="17" t="str">
        <x:v>解锁等级</x:v>
      </x:c>
      <x:c r="E7" s="17" t="n">
        <x:f>'01_数值调参'!E7</x:f>
        <x:v>1</x:v>
      </x:c>
      <x:c r="F7" s="17" t="n">
        <x:f>'01_数值调参'!F7</x:f>
        <x:v>2</x:v>
      </x:c>
      <x:c r="G7" s="17" t="n">
        <x:f>'01_数值调参'!G7</x:f>
        <x:v>4</x:v>
      </x:c>
      <x:c r="H7" s="17" t="n">
        <x:f>'01_数值调参'!H7</x:f>
        <x:v>7</x:v>
      </x:c>
      <x:c r="I7" s="17" t="n">
        <x:f>'01_数值调参'!I7</x:f>
        <x:v>8</x:v>
      </x:c>
      <x:c r="J7" s="17" t="n">
        <x:f>'01_数值调参'!J7</x:f>
        <x:v>10</x:v>
      </x:c>
      <x:c r="K7" s="17" t="n">
        <x:f>'01_数值调参'!K7</x:f>
        <x:v>13</x:v>
      </x:c>
      <x:c r="L7" s="17" t="n">
        <x:f>'01_数值调参'!L7</x:f>
        <x:v>16</x:v>
      </x:c>
      <x:c r="M7" s="17" t="n">
        <x:f>'01_数值调参'!M7</x:f>
        <x:v>19</x:v>
      </x:c>
      <x:c r="N7" s="61" t="n">
        <x:f>'01_数值调参'!N7</x:f>
        <x:v>2</x:v>
      </x:c>
      <x:c r="O7" s="17" t="n">
        <x:f>'01_数值调参'!O7</x:f>
        <x:v>3</x:v>
      </x:c>
      <x:c r="P7" s="17" t="n">
        <x:f>'01_数值调参'!P7</x:f>
        <x:v>7</x:v>
      </x:c>
      <x:c r="Q7" s="17" t="n">
        <x:f>'01_数值调参'!Q7</x:f>
        <x:v>13</x:v>
      </x:c>
      <x:c r="R7" s="17" t="n">
        <x:f>'01_数值调参'!R7</x:f>
        <x:v>18</x:v>
      </x:c>
      <x:c r="S7" s="61" t="n">
        <x:f>'01_数值调参'!S7</x:f>
        <x:v>4</x:v>
      </x:c>
      <x:c r="T7" s="17" t="n">
        <x:f>'01_数值调参'!T7</x:f>
        <x:v>5</x:v>
      </x:c>
      <x:c r="U7" s="17" t="n">
        <x:f>'01_数值调参'!U7</x:f>
        <x:v>11</x:v>
      </x:c>
      <x:c r="V7" s="17" t="n">
        <x:f>'01_数值调参'!V7</x:f>
        <x:v>15</x:v>
      </x:c>
      <x:c r="W7" s="17" t="n">
        <x:f>'01_数值调参'!W7</x:f>
        <x:v>19</x:v>
      </x:c>
      <x:c r="X7" s="61" t="n">
        <x:f>'01_数值调参'!X7</x:f>
        <x:v>6</x:v>
      </x:c>
      <x:c r="Y7" s="17" t="n">
        <x:f>'01_数值调参'!Y7</x:f>
        <x:v>9</x:v>
      </x:c>
      <x:c r="Z7" s="17" t="n">
        <x:f>'01_数值调参'!Z7</x:f>
        <x:v>11</x:v>
      </x:c>
      <x:c r="AA7" s="17" t="n">
        <x:f>'01_数值调参'!AA7</x:f>
        <x:v>15</x:v>
      </x:c>
      <x:c r="AB7" s="17" t="n">
        <x:f>'01_数值调参'!AB7</x:f>
        <x:v>17</x:v>
      </x:c>
      <x:c r="AC7" s="17" t="n">
        <x:f>'01_数值调参'!AC7</x:f>
        <x:v>19</x:v>
      </x:c>
      <x:c r="AD7" s="61" t="n">
        <x:f>'01_数值调参'!AD7</x:f>
        <x:v>8</x:v>
      </x:c>
      <x:c r="AE7" s="17" t="n">
        <x:f>'01_数值调参'!AE7</x:f>
        <x:v>10</x:v>
      </x:c>
      <x:c r="AF7" s="17" t="n">
        <x:f>'01_数值调参'!AF7</x:f>
        <x:v>13</x:v>
      </x:c>
      <x:c r="AG7" s="17" t="n">
        <x:f>'01_数值调参'!AG7</x:f>
        <x:v>16</x:v>
      </x:c>
      <x:c r="AH7" s="61" t="n">
        <x:f>'01_数值调参'!AH7</x:f>
        <x:v>10</x:v>
      </x:c>
      <x:c r="AI7" s="17" t="n">
        <x:f>'01_数值调参'!AI7</x:f>
        <x:v>12</x:v>
      </x:c>
      <x:c r="AJ7" s="17" t="n">
        <x:f>'01_数值调参'!AJ7</x:f>
        <x:v>14</x:v>
      </x:c>
      <x:c r="AK7" s="17" t="n">
        <x:f>'01_数值调参'!AK7</x:f>
        <x:v>16</x:v>
      </x:c>
      <x:c r="AL7" s="17" t="n">
        <x:f>'01_数值调参'!AL7</x:f>
        <x:v>18</x:v>
      </x:c>
      <x:c r="AM7" s="17" t="n">
        <x:f>'01_数值调参'!AM7</x:f>
        <x:v>20</x:v>
      </x:c>
    </x:row>
    <x:row r="8" ht="22" customHeight="1">
      <x:c r="A8" s="39" t="n">
        <x:v>1</x:v>
      </x:c>
      <x:c r="B8" s="39" t="str">
        <x:v>芦苇草</x:v>
      </x:c>
      <x:c r="C8" s="39" t="str">
        <x:v>农田</x:v>
      </x:c>
      <x:c r="D8" s="39" t="n">
        <x:f>'01_数值调参'!E9</x:f>
        <x:v>2</x:v>
      </x:c>
      <x:c r="E8" s="101" t="n">
        <x:f>IF('01_数值调参'!$D$3="配方有效",'03_全链计算'!E7*$D8/'01_数值调参'!E9,"待修正")</x:f>
        <x:v>1</x:v>
      </x:c>
      <x:c r="F8" s="101" t="n">
        <x:f>IF('01_数值调参'!$D$3="配方有效",'03_全链计算'!F7*$D8/'01_数值调参'!F9,"待修正")</x:f>
        <x:v>0</x:v>
      </x:c>
      <x:c r="G8" s="101" t="n">
        <x:f>IF('01_数值调参'!$D$3="配方有效",'03_全链计算'!G7*$D8/'01_数值调参'!G9,"待修正")</x:f>
        <x:v>0</x:v>
      </x:c>
      <x:c r="H8" s="101" t="n">
        <x:f>IF('01_数值调参'!$D$3="配方有效",'03_全链计算'!H7*$D8/'01_数值调参'!H9,"待修正")</x:f>
        <x:v>0</x:v>
      </x:c>
      <x:c r="I8" s="101" t="n">
        <x:f>IF('01_数值调参'!$D$3="配方有效",'03_全链计算'!I7*$D8/'01_数值调参'!I9,"待修正")</x:f>
        <x:v>0</x:v>
      </x:c>
      <x:c r="J8" s="101" t="n">
        <x:f>IF('01_数值调参'!$D$3="配方有效",'03_全链计算'!J7*$D8/'01_数值调参'!J9,"待修正")</x:f>
        <x:v>0</x:v>
      </x:c>
      <x:c r="K8" s="101" t="n">
        <x:f>IF('01_数值调参'!$D$3="配方有效",'03_全链计算'!K7*$D8/'01_数值调参'!K9,"待修正")</x:f>
        <x:v>0</x:v>
      </x:c>
      <x:c r="L8" s="101" t="n">
        <x:f>IF('01_数值调参'!$D$3="配方有效",'03_全链计算'!L7*$D8/'01_数值调参'!L9,"待修正")</x:f>
        <x:v>0</x:v>
      </x:c>
      <x:c r="M8" s="101" t="n">
        <x:f>IF('01_数值调参'!$D$3="配方有效",'03_全链计算'!M7*$D8/'01_数值调参'!M9,"待修正")</x:f>
        <x:v>0</x:v>
      </x:c>
      <x:c r="N8" s="102" t="n">
        <x:f>IF('01_数值调参'!$D$3="配方有效",'03_全链计算'!N7*$D8/'01_数值调参'!N9,"待修正")</x:f>
        <x:v>0.8</x:v>
      </x:c>
      <x:c r="O8" s="101" t="n">
        <x:f>IF('01_数值调参'!$D$3="配方有效",'03_全链计算'!O7*$D8/'01_数值调参'!O9,"待修正")</x:f>
        <x:v>0.2</x:v>
      </x:c>
      <x:c r="P8" s="101" t="n">
        <x:f>IF('01_数值调参'!$D$3="配方有效",'03_全链计算'!P7*$D8/'01_数值调参'!P9,"待修正")</x:f>
        <x:v>0</x:v>
      </x:c>
      <x:c r="Q8" s="101" t="n">
        <x:f>IF('01_数值调参'!$D$3="配方有效",'03_全链计算'!Q7*$D8/'01_数值调参'!Q9,"待修正")</x:f>
        <x:v>0</x:v>
      </x:c>
      <x:c r="R8" s="101" t="n">
        <x:f>IF('01_数值调参'!$D$3="配方有效",'03_全链计算'!R7*$D8/'01_数值调参'!R9,"待修正")</x:f>
        <x:v>0.06666666666666667</x:v>
      </x:c>
      <x:c r="S8" s="102" t="n">
        <x:f>IF('01_数值调参'!$D$3="配方有效",'03_全链计算'!S7*$D8/'01_数值调参'!S9,"待修正")</x:f>
        <x:v>0</x:v>
      </x:c>
      <x:c r="T8" s="101" t="n">
        <x:f>IF('01_数值调参'!$D$3="配方有效",'03_全链计算'!T7*$D8/'01_数值调参'!T9,"待修正")</x:f>
        <x:v>0</x:v>
      </x:c>
      <x:c r="U8" s="101" t="n">
        <x:f>IF('01_数值调参'!$D$3="配方有效",'03_全链计算'!U7*$D8/'01_数值调参'!U9,"待修正")</x:f>
        <x:v>0</x:v>
      </x:c>
      <x:c r="V8" s="101" t="n">
        <x:f>IF('01_数值调参'!$D$3="配方有效",'03_全链计算'!V7*$D8/'01_数值调参'!V9,"待修正")</x:f>
        <x:v>0</x:v>
      </x:c>
      <x:c r="W8" s="101" t="n">
        <x:f>IF('01_数值调参'!$D$3="配方有效",'03_全链计算'!W7*$D8/'01_数值调参'!W9,"待修正")</x:f>
        <x:v>0</x:v>
      </x:c>
      <x:c r="X8" s="102" t="n">
        <x:f>IF('01_数值调参'!$D$3="配方有效",'03_全链计算'!X7*$D8/'01_数值调参'!X9,"待修正")</x:f>
        <x:v>0.13333333333333333</x:v>
      </x:c>
      <x:c r="Y8" s="101" t="n">
        <x:f>IF('01_数值调参'!$D$3="配方有效",'03_全链计算'!Y7*$D8/'01_数值调参'!Y9,"待修正")</x:f>
        <x:v>0.13333333333333333</x:v>
      </x:c>
      <x:c r="Z8" s="101" t="n">
        <x:f>IF('01_数值调参'!$D$3="配方有效",'03_全链计算'!Z7*$D8/'01_数值调参'!Z9,"待修正")</x:f>
        <x:v>0</x:v>
      </x:c>
      <x:c r="AA8" s="101" t="n">
        <x:f>IF('01_数值调参'!$D$3="配方有效",'03_全链计算'!AA7*$D8/'01_数值调参'!AA9,"待修正")</x:f>
        <x:v>0.016666666666666666</x:v>
      </x:c>
      <x:c r="AB8" s="101" t="n">
        <x:f>IF('01_数值调参'!$D$3="配方有效",'03_全链计算'!AB7*$D8/'01_数值调参'!AB9,"待修正")</x:f>
        <x:v>0.02666666666666667</x:v>
      </x:c>
      <x:c r="AC8" s="101" t="n">
        <x:f>IF('01_数值调参'!$D$3="配方有效",'03_全链计算'!AC7*$D8/'01_数值调参'!AC9,"待修正")</x:f>
        <x:v>0.03333333333333333</x:v>
      </x:c>
      <x:c r="AD8" s="102" t="n">
        <x:f>IF('01_数值调参'!$D$3="配方有效",'03_全链计算'!AD7*$D8/'01_数值调参'!AD9,"待修正")</x:f>
        <x:v>0</x:v>
      </x:c>
      <x:c r="AE8" s="101" t="n">
        <x:f>IF('01_数值调参'!$D$3="配方有效",'03_全链计算'!AE7*$D8/'01_数值调参'!AE9,"待修正")</x:f>
        <x:v>0</x:v>
      </x:c>
      <x:c r="AF8" s="101" t="n">
        <x:f>IF('01_数值调参'!$D$3="配方有效",'03_全链计算'!AF7*$D8/'01_数值调参'!AF9,"待修正")</x:f>
        <x:v>0</x:v>
      </x:c>
      <x:c r="AG8" s="101" t="n">
        <x:f>IF('01_数值调参'!$D$3="配方有效",'03_全链计算'!AG7*$D8/'01_数值调参'!AG9,"待修正")</x:f>
        <x:v>0</x:v>
      </x:c>
      <x:c r="AH8" s="102" t="n">
        <x:f>IF('01_数值调参'!$D$3="配方有效",'03_全链计算'!AH7*$D8/'01_数值调参'!AH9,"待修正")</x:f>
        <x:v>0</x:v>
      </x:c>
      <x:c r="AI8" s="101" t="n">
        <x:f>IF('01_数值调参'!$D$3="配方有效",'03_全链计算'!AI7*$D8/'01_数值调参'!AI9,"待修正")</x:f>
        <x:v>0</x:v>
      </x:c>
      <x:c r="AJ8" s="101" t="n">
        <x:f>IF('01_数值调参'!$D$3="配方有效",'03_全链计算'!AJ7*$D8/'01_数值调参'!AJ9,"待修正")</x:f>
        <x:v>0</x:v>
      </x:c>
      <x:c r="AK8" s="101" t="n">
        <x:f>IF('01_数值调参'!$D$3="配方有效",'03_全链计算'!AK7*$D8/'01_数值调参'!AK9,"待修正")</x:f>
        <x:v>0</x:v>
      </x:c>
      <x:c r="AL8" s="101" t="n">
        <x:f>IF('01_数值调参'!$D$3="配方有效",'03_全链计算'!AL7*$D8/'01_数值调参'!AL9,"待修正")</x:f>
        <x:v>0.02666666666666667</x:v>
      </x:c>
      <x:c r="AM8" s="101" t="n">
        <x:f>IF('01_数值调参'!$D$3="配方有效",'03_全链计算'!AM7*$D8/'01_数值调参'!AM9,"待修正")</x:f>
        <x:v>0.011111111111111112</x:v>
      </x:c>
    </x:row>
    <x:row r="9" ht="22" customHeight="1">
      <x:c r="A9" s="39" t="n">
        <x:v>2</x:v>
      </x:c>
      <x:c r="B9" s="39" t="str">
        <x:v>棉花</x:v>
      </x:c>
      <x:c r="C9" s="39" t="str">
        <x:v>农田</x:v>
      </x:c>
      <x:c r="D9" s="39" t="n">
        <x:f>'01_数值调参'!F9</x:f>
        <x:v>5</x:v>
      </x:c>
      <x:c r="E9" s="101" t="n">
        <x:f>IF('01_数值调参'!$D$3="配方有效",'03_全链计算'!E8*$D9/'01_数值调参'!E9,"待修正")</x:f>
        <x:v>0</x:v>
      </x:c>
      <x:c r="F9" s="101" t="n">
        <x:f>IF('01_数值调参'!$D$3="配方有效",'03_全链计算'!F8*$D9/'01_数值调参'!F9,"待修正")</x:f>
        <x:v>1</x:v>
      </x:c>
      <x:c r="G9" s="101" t="n">
        <x:f>IF('01_数值调参'!$D$3="配方有效",'03_全链计算'!G8*$D9/'01_数值调参'!G9,"待修正")</x:f>
        <x:v>0</x:v>
      </x:c>
      <x:c r="H9" s="101" t="n">
        <x:f>IF('01_数值调参'!$D$3="配方有效",'03_全链计算'!H8*$D9/'01_数值调参'!H9,"待修正")</x:f>
        <x:v>0</x:v>
      </x:c>
      <x:c r="I9" s="101" t="n">
        <x:f>IF('01_数值调参'!$D$3="配方有效",'03_全链计算'!I8*$D9/'01_数值调参'!I9,"待修正")</x:f>
        <x:v>0</x:v>
      </x:c>
      <x:c r="J9" s="101" t="n">
        <x:f>IF('01_数值调参'!$D$3="配方有效",'03_全链计算'!J8*$D9/'01_数值调参'!J9,"待修正")</x:f>
        <x:v>0</x:v>
      </x:c>
      <x:c r="K9" s="101" t="n">
        <x:f>IF('01_数值调参'!$D$3="配方有效",'03_全链计算'!K8*$D9/'01_数值调参'!K9,"待修正")</x:f>
        <x:v>0</x:v>
      </x:c>
      <x:c r="L9" s="101" t="n">
        <x:f>IF('01_数值调参'!$D$3="配方有效",'03_全链计算'!L8*$D9/'01_数值调参'!L9,"待修正")</x:f>
        <x:v>0</x:v>
      </x:c>
      <x:c r="M9" s="101" t="n">
        <x:f>IF('01_数值调参'!$D$3="配方有效",'03_全链计算'!M8*$D9/'01_数值调参'!M9,"待修正")</x:f>
        <x:v>0</x:v>
      </x:c>
      <x:c r="N9" s="102" t="n">
        <x:f>IF('01_数值调参'!$D$3="配方有效",'03_全链计算'!N8*$D9/'01_数值调参'!N9,"待修正")</x:f>
        <x:v>0</x:v>
      </x:c>
      <x:c r="O9" s="101" t="n">
        <x:f>IF('01_数值调参'!$D$3="配方有效",'03_全链计算'!O8*$D9/'01_数值调参'!O9,"待修正")</x:f>
        <x:v>0.5</x:v>
      </x:c>
      <x:c r="P9" s="101" t="n">
        <x:f>IF('01_数值调参'!$D$3="配方有效",'03_全链计算'!P8*$D9/'01_数值调参'!P9,"待修正")</x:f>
        <x:v>0</x:v>
      </x:c>
      <x:c r="Q9" s="101" t="n">
        <x:f>IF('01_数值调参'!$D$3="配方有效",'03_全链计算'!Q8*$D9/'01_数值调参'!Q9,"待修正")</x:f>
        <x:v>0.3333333333333333</x:v>
      </x:c>
      <x:c r="R9" s="101" t="n">
        <x:f>IF('01_数值调参'!$D$3="配方有效",'03_全链计算'!R8*$D9/'01_数值调参'!R9,"待修正")</x:f>
        <x:v>0</x:v>
      </x:c>
      <x:c r="S9" s="102" t="n">
        <x:f>IF('01_数值调参'!$D$3="配方有效",'03_全链计算'!S8*$D9/'01_数值调参'!S9,"待修正")</x:f>
        <x:v>0</x:v>
      </x:c>
      <x:c r="T9" s="101" t="n">
        <x:f>IF('01_数值调参'!$D$3="配方有效",'03_全链计算'!T8*$D9/'01_数值调参'!T9,"待修正")</x:f>
        <x:v>0</x:v>
      </x:c>
      <x:c r="U9" s="101" t="n">
        <x:f>IF('01_数值调参'!$D$3="配方有效",'03_全链计算'!U8*$D9/'01_数值调参'!U9,"待修正")</x:f>
        <x:v>0</x:v>
      </x:c>
      <x:c r="V9" s="101" t="n">
        <x:f>IF('01_数值调参'!$D$3="配方有效",'03_全链计算'!V8*$D9/'01_数值调参'!V9,"待修正")</x:f>
        <x:v>0</x:v>
      </x:c>
      <x:c r="W9" s="101" t="n">
        <x:f>IF('01_数值调参'!$D$3="配方有效",'03_全链计算'!W8*$D9/'01_数值调参'!W9,"待修正")</x:f>
        <x:v>0</x:v>
      </x:c>
      <x:c r="X9" s="102" t="n">
        <x:f>IF('01_数值调参'!$D$3="配方有效",'03_全链计算'!X8*$D9/'01_数值调参'!X9,"待修正")</x:f>
        <x:v>0</x:v>
      </x:c>
      <x:c r="Y9" s="101" t="n">
        <x:f>IF('01_数值调参'!$D$3="配方有效",'03_全链计算'!Y8*$D9/'01_数值调参'!Y9,"待修正")</x:f>
        <x:v>0.1111111111111111</x:v>
      </x:c>
      <x:c r="Z9" s="101" t="n">
        <x:f>IF('01_数值调参'!$D$3="配方有效",'03_全链计算'!Z8*$D9/'01_数值调参'!Z9,"待修正")</x:f>
        <x:v>0.16666666666666666</x:v>
      </x:c>
      <x:c r="AA9" s="101" t="n">
        <x:f>IF('01_数值调参'!$D$3="配方有效",'03_全链计算'!AA8*$D9/'01_数值调参'!AA9,"待修正")</x:f>
        <x:v>0.041666666666666664</x:v>
      </x:c>
      <x:c r="AB9" s="101" t="n">
        <x:f>IF('01_数值调参'!$D$3="配方有效",'03_全链计算'!AB8*$D9/'01_数值调参'!AB9,"待修正")</x:f>
        <x:v>0.06666666666666667</x:v>
      </x:c>
      <x:c r="AC9" s="101" t="n">
        <x:f>IF('01_数值调参'!$D$3="配方有效",'03_全链计算'!AC8*$D9/'01_数值调参'!AC9,"待修正")</x:f>
        <x:v>0</x:v>
      </x:c>
      <x:c r="AD9" s="102" t="n">
        <x:f>IF('01_数值调参'!$D$3="配方有效",'03_全链计算'!AD8*$D9/'01_数值调参'!AD9,"待修正")</x:f>
        <x:v>0</x:v>
      </x:c>
      <x:c r="AE9" s="101" t="n">
        <x:f>IF('01_数值调参'!$D$3="配方有效",'03_全链计算'!AE8*$D9/'01_数值调参'!AE9,"待修正")</x:f>
        <x:v>0</x:v>
      </x:c>
      <x:c r="AF9" s="101" t="n">
        <x:f>IF('01_数值调参'!$D$3="配方有效",'03_全链计算'!AF8*$D9/'01_数值调参'!AF9,"待修正")</x:f>
        <x:v>0</x:v>
      </x:c>
      <x:c r="AG9" s="101" t="n">
        <x:f>IF('01_数值调参'!$D$3="配方有效",'03_全链计算'!AG8*$D9/'01_数值调参'!AG9,"待修正")</x:f>
        <x:v>0</x:v>
      </x:c>
      <x:c r="AH9" s="102" t="n">
        <x:f>IF('01_数值调参'!$D$3="配方有效",'03_全链计算'!AH8*$D9/'01_数值调参'!AH9,"待修正")</x:f>
        <x:v>0</x:v>
      </x:c>
      <x:c r="AI9" s="101" t="n">
        <x:f>IF('01_数值调参'!$D$3="配方有效",'03_全链计算'!AI8*$D9/'01_数值调参'!AI9,"待修正")</x:f>
        <x:v>0</x:v>
      </x:c>
      <x:c r="AJ9" s="101" t="n">
        <x:f>IF('01_数值调参'!$D$3="配方有效",'03_全链计算'!AJ8*$D9/'01_数值调参'!AJ9,"待修正")</x:f>
        <x:v>0</x:v>
      </x:c>
      <x:c r="AK9" s="101" t="n">
        <x:f>IF('01_数值调参'!$D$3="配方有效",'03_全链计算'!AK8*$D9/'01_数值调参'!AK9,"待修正")</x:f>
        <x:v>0.08333333333333333</x:v>
      </x:c>
      <x:c r="AL9" s="101" t="n">
        <x:f>IF('01_数值调参'!$D$3="配方有效",'03_全链计算'!AL8*$D9/'01_数值调参'!AL9,"待修正")</x:f>
        <x:v>0</x:v>
      </x:c>
      <x:c r="AM9" s="101" t="n">
        <x:f>IF('01_数值调参'!$D$3="配方有效",'03_全链计算'!AM8*$D9/'01_数值调参'!AM9,"待修正")</x:f>
        <x:v>0.027777777777777776</x:v>
      </x:c>
    </x:row>
    <x:row r="10" ht="22" customHeight="1">
      <x:c r="A10" s="39" t="n">
        <x:v>5</x:v>
      </x:c>
      <x:c r="B10" s="39" t="str">
        <x:v>竹子</x:v>
      </x:c>
      <x:c r="C10" s="39" t="str">
        <x:v>农田</x:v>
      </x:c>
      <x:c r="D10" s="39" t="n">
        <x:f>'01_数值调参'!G9</x:f>
        <x:v>10</x:v>
      </x:c>
      <x:c r="E10" s="101" t="n">
        <x:f>IF('01_数值调参'!$D$3="配方有效",'03_全链计算'!E9*$D10/'01_数值调参'!E9,"待修正")</x:f>
        <x:v>0</x:v>
      </x:c>
      <x:c r="F10" s="101" t="n">
        <x:f>IF('01_数值调参'!$D$3="配方有效",'03_全链计算'!F9*$D10/'01_数值调参'!F9,"待修正")</x:f>
        <x:v>0</x:v>
      </x:c>
      <x:c r="G10" s="101" t="n">
        <x:f>IF('01_数值调参'!$D$3="配方有效",'03_全链计算'!G9*$D10/'01_数值调参'!G9,"待修正")</x:f>
        <x:v>1</x:v>
      </x:c>
      <x:c r="H10" s="101" t="n">
        <x:f>IF('01_数值调参'!$D$3="配方有效",'03_全链计算'!H9*$D10/'01_数值调参'!H9,"待修正")</x:f>
        <x:v>0</x:v>
      </x:c>
      <x:c r="I10" s="101" t="n">
        <x:f>IF('01_数值调参'!$D$3="配方有效",'03_全链计算'!I9*$D10/'01_数值调参'!I9,"待修正")</x:f>
        <x:v>0</x:v>
      </x:c>
      <x:c r="J10" s="101" t="n">
        <x:f>IF('01_数值调参'!$D$3="配方有效",'03_全链计算'!J9*$D10/'01_数值调参'!J9,"待修正")</x:f>
        <x:v>0</x:v>
      </x:c>
      <x:c r="K10" s="101" t="n">
        <x:f>IF('01_数值调参'!$D$3="配方有效",'03_全链计算'!K9*$D10/'01_数值调参'!K9,"待修正")</x:f>
        <x:v>0</x:v>
      </x:c>
      <x:c r="L10" s="101" t="n">
        <x:f>IF('01_数值调参'!$D$3="配方有效",'03_全链计算'!L9*$D10/'01_数值调参'!L9,"待修正")</x:f>
        <x:v>0</x:v>
      </x:c>
      <x:c r="M10" s="101" t="n">
        <x:f>IF('01_数值调参'!$D$3="配方有效",'03_全链计算'!M9*$D10/'01_数值调参'!M9,"待修正")</x:f>
        <x:v>0</x:v>
      </x:c>
      <x:c r="N10" s="102" t="n">
        <x:f>IF('01_数值调参'!$D$3="配方有效",'03_全链计算'!N9*$D10/'01_数值调参'!N9,"待修正")</x:f>
        <x:v>0</x:v>
      </x:c>
      <x:c r="O10" s="101" t="n">
        <x:f>IF('01_数值调参'!$D$3="配方有效",'03_全链计算'!O9*$D10/'01_数值调参'!O9,"待修正")</x:f>
        <x:v>0</x:v>
      </x:c>
      <x:c r="P10" s="101" t="n">
        <x:f>IF('01_数值调参'!$D$3="配方有效",'03_全链计算'!P9*$D10/'01_数值调参'!P9,"待修正")</x:f>
        <x:v>0</x:v>
      </x:c>
      <x:c r="Q10" s="101" t="n">
        <x:f>IF('01_数值调参'!$D$3="配方有效",'03_全链计算'!Q9*$D10/'01_数值调参'!Q9,"待修正")</x:f>
        <x:v>0</x:v>
      </x:c>
      <x:c r="R10" s="101" t="n">
        <x:f>IF('01_数值调参'!$D$3="配方有效",'03_全链计算'!R9*$D10/'01_数值调参'!R9,"待修正")</x:f>
        <x:v>0</x:v>
      </x:c>
      <x:c r="S10" s="102" t="n">
        <x:f>IF('01_数值调参'!$D$3="配方有效",'03_全链计算'!S9*$D10/'01_数值调参'!S9,"待修正")</x:f>
        <x:v>2</x:v>
      </x:c>
      <x:c r="T10" s="101" t="n">
        <x:f>IF('01_数值调参'!$D$3="配方有效",'03_全链计算'!T9*$D10/'01_数值调参'!T9,"待修正")</x:f>
        <x:v>1.5</x:v>
      </x:c>
      <x:c r="U10" s="101" t="n">
        <x:f>IF('01_数值调参'!$D$3="配方有效",'03_全链计算'!U9*$D10/'01_数值调参'!U9,"待修正")</x:f>
        <x:v>1.3333333333333333</x:v>
      </x:c>
      <x:c r="V10" s="101" t="n">
        <x:f>IF('01_数值调参'!$D$3="配方有效",'03_全链计算'!V9*$D10/'01_数值调参'!V9,"待修正")</x:f>
        <x:v>0.4444444444444444</x:v>
      </x:c>
      <x:c r="W10" s="101" t="n">
        <x:f>IF('01_数值调参'!$D$3="配方有效",'03_全链计算'!W9*$D10/'01_数值调参'!W9,"待修正")</x:f>
        <x:v>0.16666666666666666</x:v>
      </x:c>
      <x:c r="X10" s="102" t="n">
        <x:f>IF('01_数值调参'!$D$3="配方有效",'03_全链计算'!X9*$D10/'01_数值调参'!X9,"待修正")</x:f>
        <x:v>0.6666666666666666</x:v>
      </x:c>
      <x:c r="Y10" s="101" t="n">
        <x:f>IF('01_数值调参'!$D$3="配方有效",'03_全链计算'!Y9*$D10/'01_数值调参'!Y9,"待修正")</x:f>
        <x:v>0</x:v>
      </x:c>
      <x:c r="Z10" s="101" t="n">
        <x:f>IF('01_数值调参'!$D$3="配方有效",'03_全链计算'!Z9*$D10/'01_数值调参'!Z9,"待修正")</x:f>
        <x:v>0.5</x:v>
      </x:c>
      <x:c r="AA10" s="101" t="n">
        <x:f>IF('01_数值调参'!$D$3="配方有效",'03_全链计算'!AA9*$D10/'01_数值调参'!AA9,"待修正")</x:f>
        <x:v>0.3333333333333333</x:v>
      </x:c>
      <x:c r="AB10" s="101" t="n">
        <x:f>IF('01_数值调参'!$D$3="配方有效",'03_全链计算'!AB9*$D10/'01_数值调参'!AB9,"待修正")</x:f>
        <x:v>0.2</x:v>
      </x:c>
      <x:c r="AC10" s="101" t="n">
        <x:f>IF('01_数值调参'!$D$3="配方有效",'03_全链计算'!AC9*$D10/'01_数值调参'!AC9,"待修正")</x:f>
        <x:v>0</x:v>
      </x:c>
      <x:c r="AD10" s="102" t="n">
        <x:f>IF('01_数值调参'!$D$3="配方有效",'03_全链计算'!AD9*$D10/'01_数值调参'!AD9,"待修正")</x:f>
        <x:v>0</x:v>
      </x:c>
      <x:c r="AE10" s="101" t="n">
        <x:f>IF('01_数值调参'!$D$3="配方有效",'03_全链计算'!AE9*$D10/'01_数值调参'!AE9,"待修正")</x:f>
        <x:v>0</x:v>
      </x:c>
      <x:c r="AF10" s="101" t="n">
        <x:f>IF('01_数值调参'!$D$3="配方有效",'03_全链计算'!AF9*$D10/'01_数值调参'!AF9,"待修正")</x:f>
        <x:v>0</x:v>
      </x:c>
      <x:c r="AG10" s="101" t="n">
        <x:f>IF('01_数值调参'!$D$3="配方有效",'03_全链计算'!AG9*$D10/'01_数值调参'!AG9,"待修正")</x:f>
        <x:v>0</x:v>
      </x:c>
      <x:c r="AH10" s="102" t="n">
        <x:f>IF('01_数值调参'!$D$3="配方有效",'03_全链计算'!AH9*$D10/'01_数值调参'!AH9,"待修正")</x:f>
        <x:v>0.4444444444444444</x:v>
      </x:c>
      <x:c r="AI10" s="101" t="n">
        <x:f>IF('01_数值调参'!$D$3="配方有效",'03_全链计算'!AI9*$D10/'01_数值调参'!AI9,"待修正")</x:f>
        <x:v>0</x:v>
      </x:c>
      <x:c r="AJ10" s="101" t="n">
        <x:f>IF('01_数值调参'!$D$3="配方有效",'03_全链计算'!AJ9*$D10/'01_数值调参'!AJ9,"待修正")</x:f>
        <x:v>0.2222222222222222</x:v>
      </x:c>
      <x:c r="AK10" s="101" t="n">
        <x:f>IF('01_数值调参'!$D$3="配方有效",'03_全链计算'!AK9*$D10/'01_数值调参'!AK9,"待修正")</x:f>
        <x:v>0</x:v>
      </x:c>
      <x:c r="AL10" s="101" t="n">
        <x:f>IF('01_数值调参'!$D$3="配方有效",'03_全链计算'!AL9*$D10/'01_数值调参'!AL9,"待修正")</x:f>
        <x:v>0.13333333333333333</x:v>
      </x:c>
      <x:c r="AM10" s="101" t="n">
        <x:f>IF('01_数值调参'!$D$3="配方有效",'03_全链计算'!AM9*$D10/'01_数值调参'!AM9,"待修正")</x:f>
        <x:v>0.3333333333333333</x:v>
      </x:c>
    </x:row>
    <x:row r="11" ht="22" customHeight="1">
      <x:c r="A11" s="39" t="n">
        <x:v>10</x:v>
      </x:c>
      <x:c r="B11" s="39" t="str">
        <x:v>香绒草</x:v>
      </x:c>
      <x:c r="C11" s="39" t="str">
        <x:v>农田</x:v>
      </x:c>
      <x:c r="D11" s="39" t="n">
        <x:f>'01_数值调参'!H9</x:f>
        <x:v>15</x:v>
      </x:c>
      <x:c r="E11" s="101" t="n">
        <x:f>IF('01_数值调参'!$D$3="配方有效",'03_全链计算'!E10*$D11/'01_数值调参'!E9,"待修正")</x:f>
        <x:v>0</x:v>
      </x:c>
      <x:c r="F11" s="101" t="n">
        <x:f>IF('01_数值调参'!$D$3="配方有效",'03_全链计算'!F10*$D11/'01_数值调参'!F9,"待修正")</x:f>
        <x:v>0</x:v>
      </x:c>
      <x:c r="G11" s="101" t="n">
        <x:f>IF('01_数值调参'!$D$3="配方有效",'03_全链计算'!G10*$D11/'01_数值调参'!G9,"待修正")</x:f>
        <x:v>0</x:v>
      </x:c>
      <x:c r="H11" s="101" t="n">
        <x:f>IF('01_数值调参'!$D$3="配方有效",'03_全链计算'!H10*$D11/'01_数值调参'!H9,"待修正")</x:f>
        <x:v>1</x:v>
      </x:c>
      <x:c r="I11" s="101" t="n">
        <x:f>IF('01_数值调参'!$D$3="配方有效",'03_全链计算'!I10*$D11/'01_数值调参'!I9,"待修正")</x:f>
        <x:v>0</x:v>
      </x:c>
      <x:c r="J11" s="101" t="n">
        <x:f>IF('01_数值调参'!$D$3="配方有效",'03_全链计算'!J10*$D11/'01_数值调参'!J9,"待修正")</x:f>
        <x:v>0</x:v>
      </x:c>
      <x:c r="K11" s="101" t="n">
        <x:f>IF('01_数值调参'!$D$3="配方有效",'03_全链计算'!K10*$D11/'01_数值调参'!K9,"待修正")</x:f>
        <x:v>0</x:v>
      </x:c>
      <x:c r="L11" s="101" t="n">
        <x:f>IF('01_数值调参'!$D$3="配方有效",'03_全链计算'!L10*$D11/'01_数值调参'!L9,"待修正")</x:f>
        <x:v>0</x:v>
      </x:c>
      <x:c r="M11" s="101" t="n">
        <x:f>IF('01_数值调参'!$D$3="配方有效",'03_全链计算'!M10*$D11/'01_数值调参'!M9,"待修正")</x:f>
        <x:v>0</x:v>
      </x:c>
      <x:c r="N11" s="102" t="n">
        <x:f>IF('01_数值调参'!$D$3="配方有效",'03_全链计算'!N10*$D11/'01_数值调参'!N9,"待修正")</x:f>
        <x:v>0</x:v>
      </x:c>
      <x:c r="O11" s="101" t="n">
        <x:f>IF('01_数值调参'!$D$3="配方有效",'03_全链计算'!O10*$D11/'01_数值调参'!O9,"待修正")</x:f>
        <x:v>0</x:v>
      </x:c>
      <x:c r="P11" s="101" t="n">
        <x:f>IF('01_数值调参'!$D$3="配方有效",'03_全链计算'!P10*$D11/'01_数值调参'!P9,"待修正")</x:f>
        <x:v>1.5</x:v>
      </x:c>
      <x:c r="Q11" s="101" t="n">
        <x:f>IF('01_数值调参'!$D$3="配方有效",'03_全链计算'!Q10*$D11/'01_数值调参'!Q9,"待修正")</x:f>
        <x:v>1</x:v>
      </x:c>
      <x:c r="R11" s="101" t="n">
        <x:f>IF('01_数值调参'!$D$3="配方有效",'03_全链计算'!R10*$D11/'01_数值调参'!R9,"待修正")</x:f>
        <x:v>0</x:v>
      </x:c>
      <x:c r="S11" s="102" t="n">
        <x:f>IF('01_数值调参'!$D$3="配方有效",'03_全链计算'!S10*$D11/'01_数值调参'!S9,"待修正")</x:f>
        <x:v>0</x:v>
      </x:c>
      <x:c r="T11" s="101" t="n">
        <x:f>IF('01_数值调参'!$D$3="配方有效",'03_全链计算'!T10*$D11/'01_数值调参'!T9,"待修正")</x:f>
        <x:v>0</x:v>
      </x:c>
      <x:c r="U11" s="101" t="n">
        <x:f>IF('01_数值调参'!$D$3="配方有效",'03_全链计算'!U10*$D11/'01_数值调参'!U9,"待修正")</x:f>
        <x:v>0</x:v>
      </x:c>
      <x:c r="V11" s="101" t="n">
        <x:f>IF('01_数值调参'!$D$3="配方有效",'03_全链计算'!V10*$D11/'01_数值调参'!V9,"待修正")</x:f>
        <x:v>0</x:v>
      </x:c>
      <x:c r="W11" s="101" t="n">
        <x:f>IF('01_数值调参'!$D$3="配方有效",'03_全链计算'!W10*$D11/'01_数值调参'!W9,"待修正")</x:f>
        <x:v>0</x:v>
      </x:c>
      <x:c r="X11" s="102" t="n">
        <x:f>IF('01_数值调参'!$D$3="配方有效",'03_全链计算'!X10*$D11/'01_数值调参'!X9,"待修正")</x:f>
        <x:v>0</x:v>
      </x:c>
      <x:c r="Y11" s="101" t="n">
        <x:f>IF('01_数值调参'!$D$3="配方有效",'03_全链计算'!Y10*$D11/'01_数值调参'!Y9,"待修正")</x:f>
        <x:v>0</x:v>
      </x:c>
      <x:c r="Z11" s="101" t="n">
        <x:f>IF('01_数值调参'!$D$3="配方有效",'03_全链计算'!Z10*$D11/'01_数值调参'!Z9,"待修正")</x:f>
        <x:v>0</x:v>
      </x:c>
      <x:c r="AA11" s="101" t="n">
        <x:f>IF('01_数值调参'!$D$3="配方有效",'03_全链计算'!AA10*$D11/'01_数值调参'!AA9,"待修正")</x:f>
        <x:v>0</x:v>
      </x:c>
      <x:c r="AB11" s="101" t="n">
        <x:f>IF('01_数值调参'!$D$3="配方有效",'03_全链计算'!AB10*$D11/'01_数值调参'!AB9,"待修正")</x:f>
        <x:v>0</x:v>
      </x:c>
      <x:c r="AC11" s="101" t="n">
        <x:f>IF('01_数值调参'!$D$3="配方有效",'03_全链计算'!AC10*$D11/'01_数值调参'!AC9,"待修正")</x:f>
        <x:v>0</x:v>
      </x:c>
      <x:c r="AD11" s="102" t="n">
        <x:f>IF('01_数值调参'!$D$3="配方有效",'03_全链计算'!AD10*$D11/'01_数值调参'!AD9,"待修正")</x:f>
        <x:v>0</x:v>
      </x:c>
      <x:c r="AE11" s="101" t="n">
        <x:f>IF('01_数值调参'!$D$3="配方有效",'03_全链计算'!AE10*$D11/'01_数值调参'!AE9,"待修正")</x:f>
        <x:v>0</x:v>
      </x:c>
      <x:c r="AF11" s="101" t="n">
        <x:f>IF('01_数值调参'!$D$3="配方有效",'03_全链计算'!AF10*$D11/'01_数值调参'!AF9,"待修正")</x:f>
        <x:v>0</x:v>
      </x:c>
      <x:c r="AG11" s="101" t="n">
        <x:f>IF('01_数值调参'!$D$3="配方有效",'03_全链计算'!AG10*$D11/'01_数值调参'!AG9,"待修正")</x:f>
        <x:v>0</x:v>
      </x:c>
      <x:c r="AH11" s="102" t="n">
        <x:f>IF('01_数值调参'!$D$3="配方有效",'03_全链计算'!AH10*$D11/'01_数值调参'!AH9,"待修正")</x:f>
        <x:v>0.6666666666666666</x:v>
      </x:c>
      <x:c r="AI11" s="101" t="n">
        <x:f>IF('01_数值调参'!$D$3="配方有效",'03_全链计算'!AI10*$D11/'01_数值调参'!AI9,"待修正")</x:f>
        <x:v>0.5</x:v>
      </x:c>
      <x:c r="AJ11" s="101" t="n">
        <x:f>IF('01_数值调参'!$D$3="配方有效",'03_全链计算'!AJ10*$D11/'01_数值调参'!AJ9,"待修正")</x:f>
        <x:v>0</x:v>
      </x:c>
      <x:c r="AK11" s="101" t="n">
        <x:f>IF('01_数值调参'!$D$3="配方有效",'03_全链计算'!AK10*$D11/'01_数值调参'!AK9,"待修正")</x:f>
        <x:v>0.5</x:v>
      </x:c>
      <x:c r="AL11" s="101" t="n">
        <x:f>IF('01_数值调参'!$D$3="配方有效",'03_全链计算'!AL10*$D11/'01_数值调参'!AL9,"待修正")</x:f>
        <x:v>0.2</x:v>
      </x:c>
      <x:c r="AM11" s="101" t="n">
        <x:f>IF('01_数值调参'!$D$3="配方有效",'03_全链计算'!AM10*$D11/'01_数值调参'!AM9,"待修正")</x:f>
        <x:v>0</x:v>
      </x:c>
    </x:row>
    <x:row r="12" ht="22" customHeight="1">
      <x:c r="A12" s="39" t="n">
        <x:v>15</x:v>
      </x:c>
      <x:c r="B12" s="39" t="str">
        <x:v>薰衣草</x:v>
      </x:c>
      <x:c r="C12" s="39" t="str">
        <x:v>农田</x:v>
      </x:c>
      <x:c r="D12" s="39" t="n">
        <x:f>'01_数值调参'!I9</x:f>
        <x:v>20</x:v>
      </x:c>
      <x:c r="E12" s="101" t="n">
        <x:f>IF('01_数值调参'!$D$3="配方有效",'03_全链计算'!E11*$D12/'01_数值调参'!E9,"待修正")</x:f>
        <x:v>0</x:v>
      </x:c>
      <x:c r="F12" s="101" t="n">
        <x:f>IF('01_数值调参'!$D$3="配方有效",'03_全链计算'!F11*$D12/'01_数值调参'!F9,"待修正")</x:f>
        <x:v>0</x:v>
      </x:c>
      <x:c r="G12" s="101" t="n">
        <x:f>IF('01_数值调参'!$D$3="配方有效",'03_全链计算'!G11*$D12/'01_数值调参'!G9,"待修正")</x:f>
        <x:v>0</x:v>
      </x:c>
      <x:c r="H12" s="101" t="n">
        <x:f>IF('01_数值调参'!$D$3="配方有效",'03_全链计算'!H11*$D12/'01_数值调参'!H9,"待修正")</x:f>
        <x:v>0</x:v>
      </x:c>
      <x:c r="I12" s="101" t="n">
        <x:f>IF('01_数值调参'!$D$3="配方有效",'03_全链计算'!I11*$D12/'01_数值调参'!I9,"待修正")</x:f>
        <x:v>1</x:v>
      </x:c>
      <x:c r="J12" s="101" t="n">
        <x:f>IF('01_数值调参'!$D$3="配方有效",'03_全链计算'!J11*$D12/'01_数值调参'!J9,"待修正")</x:f>
        <x:v>0</x:v>
      </x:c>
      <x:c r="K12" s="101" t="n">
        <x:f>IF('01_数值调参'!$D$3="配方有效",'03_全链计算'!K11*$D12/'01_数值调参'!K9,"待修正")</x:f>
        <x:v>0</x:v>
      </x:c>
      <x:c r="L12" s="101" t="n">
        <x:f>IF('01_数值调参'!$D$3="配方有效",'03_全链计算'!L11*$D12/'01_数值调参'!L9,"待修正")</x:f>
        <x:v>0</x:v>
      </x:c>
      <x:c r="M12" s="101" t="n">
        <x:f>IF('01_数值调参'!$D$3="配方有效",'03_全链计算'!M11*$D12/'01_数值调参'!M9,"待修正")</x:f>
        <x:v>0</x:v>
      </x:c>
      <x:c r="N12" s="102" t="n">
        <x:f>IF('01_数值调参'!$D$3="配方有效",'03_全链计算'!N11*$D12/'01_数值调参'!N9,"待修正")</x:f>
        <x:v>0</x:v>
      </x:c>
      <x:c r="O12" s="101" t="n">
        <x:f>IF('01_数值调参'!$D$3="配方有效",'03_全链计算'!O11*$D12/'01_数值调参'!O9,"待修正")</x:f>
        <x:v>0</x:v>
      </x:c>
      <x:c r="P12" s="101" t="n">
        <x:f>IF('01_数值调参'!$D$3="配方有效",'03_全链计算'!P11*$D12/'01_数值调参'!P9,"待修正")</x:f>
        <x:v>0</x:v>
      </x:c>
      <x:c r="Q12" s="101" t="n">
        <x:f>IF('01_数值调参'!$D$3="配方有效",'03_全链计算'!Q11*$D12/'01_数值调参'!Q9,"待修正")</x:f>
        <x:v>0</x:v>
      </x:c>
      <x:c r="R12" s="101" t="n">
        <x:f>IF('01_数值调参'!$D$3="配方有效",'03_全链计算'!R11*$D12/'01_数值调参'!R9,"待修正")</x:f>
        <x:v>0</x:v>
      </x:c>
      <x:c r="S12" s="102" t="n">
        <x:f>IF('01_数值调参'!$D$3="配方有效",'03_全链计算'!S11*$D12/'01_数值调参'!S9,"待修正")</x:f>
        <x:v>0</x:v>
      </x:c>
      <x:c r="T12" s="101" t="n">
        <x:f>IF('01_数值调参'!$D$3="配方有效",'03_全链计算'!T11*$D12/'01_数值调参'!T9,"待修正")</x:f>
        <x:v>0</x:v>
      </x:c>
      <x:c r="U12" s="101" t="n">
        <x:f>IF('01_数值调参'!$D$3="配方有效",'03_全链计算'!U11*$D12/'01_数值调参'!U9,"待修正")</x:f>
        <x:v>0</x:v>
      </x:c>
      <x:c r="V12" s="101" t="n">
        <x:f>IF('01_数值调参'!$D$3="配方有效",'03_全链计算'!V11*$D12/'01_数值调参'!V9,"待修正")</x:f>
        <x:v>0</x:v>
      </x:c>
      <x:c r="W12" s="101" t="n">
        <x:f>IF('01_数值调参'!$D$3="配方有效",'03_全链计算'!W11*$D12/'01_数值调参'!W9,"待修正")</x:f>
        <x:v>0</x:v>
      </x:c>
      <x:c r="X12" s="102" t="n">
        <x:f>IF('01_数值调参'!$D$3="配方有效",'03_全链计算'!X11*$D12/'01_数值调参'!X9,"待修正")</x:f>
        <x:v>0</x:v>
      </x:c>
      <x:c r="Y12" s="101" t="n">
        <x:f>IF('01_数值调参'!$D$3="配方有效",'03_全链计算'!Y11*$D12/'01_数值调参'!Y9,"待修正")</x:f>
        <x:v>0</x:v>
      </x:c>
      <x:c r="Z12" s="101" t="n">
        <x:f>IF('01_数值调参'!$D$3="配方有效",'03_全链计算'!Z11*$D12/'01_数值调参'!Z9,"待修正")</x:f>
        <x:v>0</x:v>
      </x:c>
      <x:c r="AA12" s="101" t="n">
        <x:f>IF('01_数值调参'!$D$3="配方有效",'03_全链计算'!AA11*$D12/'01_数值调参'!AA9,"待修正")</x:f>
        <x:v>0</x:v>
      </x:c>
      <x:c r="AB12" s="101" t="n">
        <x:f>IF('01_数值调参'!$D$3="配方有效",'03_全链计算'!AB11*$D12/'01_数值调参'!AB9,"待修正")</x:f>
        <x:v>0</x:v>
      </x:c>
      <x:c r="AC12" s="101" t="n">
        <x:f>IF('01_数值调参'!$D$3="配方有效",'03_全链计算'!AC11*$D12/'01_数值调参'!AC9,"待修正")</x:f>
        <x:v>0</x:v>
      </x:c>
      <x:c r="AD12" s="102" t="n">
        <x:f>IF('01_数值调参'!$D$3="配方有效",'03_全链计算'!AD11*$D12/'01_数值调参'!AD9,"待修正")</x:f>
        <x:v>2</x:v>
      </x:c>
      <x:c r="AE12" s="101" t="n">
        <x:f>IF('01_数值调参'!$D$3="配方有效",'03_全链计算'!AE11*$D12/'01_数值调参'!AE9,"待修正")</x:f>
        <x:v>0</x:v>
      </x:c>
      <x:c r="AF12" s="101" t="n">
        <x:f>IF('01_数值调参'!$D$3="配方有效",'03_全链计算'!AF11*$D12/'01_数值调参'!AF9,"待修正")</x:f>
        <x:v>0</x:v>
      </x:c>
      <x:c r="AG12" s="101" t="n">
        <x:f>IF('01_数值调参'!$D$3="配方有效",'03_全链计算'!AG11*$D12/'01_数值调参'!AG9,"待修正")</x:f>
        <x:v>0</x:v>
      </x:c>
      <x:c r="AH12" s="102" t="n">
        <x:f>IF('01_数值调参'!$D$3="配方有效",'03_全链计算'!AH11*$D12/'01_数值调参'!AH9,"待修正")</x:f>
        <x:v>0</x:v>
      </x:c>
      <x:c r="AI12" s="101" t="n">
        <x:f>IF('01_数值调参'!$D$3="配方有效",'03_全链计算'!AI11*$D12/'01_数值调参'!AI9,"待修正")</x:f>
        <x:v>0.6666666666666666</x:v>
      </x:c>
      <x:c r="AJ12" s="101" t="n">
        <x:f>IF('01_数值调参'!$D$3="配方有效",'03_全链计算'!AJ11*$D12/'01_数值调参'!AJ9,"待修正")</x:f>
        <x:v>0.4444444444444444</x:v>
      </x:c>
      <x:c r="AK12" s="101" t="n">
        <x:f>IF('01_数值调参'!$D$3="配方有效",'03_全链计算'!AK11*$D12/'01_数值调参'!AK9,"待修正")</x:f>
        <x:v>0</x:v>
      </x:c>
      <x:c r="AL12" s="101" t="n">
        <x:f>IF('01_数值调参'!$D$3="配方有效",'03_全链计算'!AL11*$D12/'01_数值调参'!AL9,"待修正")</x:f>
        <x:v>0.26666666666666666</x:v>
      </x:c>
      <x:c r="AM12" s="101" t="n">
        <x:f>IF('01_数值调参'!$D$3="配方有效",'03_全链计算'!AM11*$D12/'01_数值调参'!AM9,"待修正")</x:f>
        <x:v>0</x:v>
      </x:c>
    </x:row>
    <x:row r="13" ht="22" customHeight="1">
      <x:c r="A13" s="39" t="n">
        <x:v>17</x:v>
      </x:c>
      <x:c r="B13" s="39" t="str">
        <x:v>芍药花</x:v>
      </x:c>
      <x:c r="C13" s="39" t="str">
        <x:v>农田</x:v>
      </x:c>
      <x:c r="D13" s="39" t="n">
        <x:f>'01_数值调参'!J9</x:f>
        <x:v>30</x:v>
      </x:c>
      <x:c r="E13" s="101" t="n">
        <x:f>IF('01_数值调参'!$D$3="配方有效",'03_全链计算'!E12*$D13/'01_数值调参'!E9,"待修正")</x:f>
        <x:v>0</x:v>
      </x:c>
      <x:c r="F13" s="101" t="n">
        <x:f>IF('01_数值调参'!$D$3="配方有效",'03_全链计算'!F12*$D13/'01_数值调参'!F9,"待修正")</x:f>
        <x:v>0</x:v>
      </x:c>
      <x:c r="G13" s="101" t="n">
        <x:f>IF('01_数值调参'!$D$3="配方有效",'03_全链计算'!G12*$D13/'01_数值调参'!G9,"待修正")</x:f>
        <x:v>0</x:v>
      </x:c>
      <x:c r="H13" s="101" t="n">
        <x:f>IF('01_数值调参'!$D$3="配方有效",'03_全链计算'!H12*$D13/'01_数值调参'!H9,"待修正")</x:f>
        <x:v>0</x:v>
      </x:c>
      <x:c r="I13" s="101" t="n">
        <x:f>IF('01_数值调参'!$D$3="配方有效",'03_全链计算'!I12*$D13/'01_数值调参'!I9,"待修正")</x:f>
        <x:v>0</x:v>
      </x:c>
      <x:c r="J13" s="101" t="n">
        <x:f>IF('01_数值调参'!$D$3="配方有效",'03_全链计算'!J12*$D13/'01_数值调参'!J9,"待修正")</x:f>
        <x:v>1</x:v>
      </x:c>
      <x:c r="K13" s="101" t="n">
        <x:f>IF('01_数值调参'!$D$3="配方有效",'03_全链计算'!K12*$D13/'01_数值调参'!K9,"待修正")</x:f>
        <x:v>0</x:v>
      </x:c>
      <x:c r="L13" s="101" t="n">
        <x:f>IF('01_数值调参'!$D$3="配方有效",'03_全链计算'!L12*$D13/'01_数值调参'!L9,"待修正")</x:f>
        <x:v>0</x:v>
      </x:c>
      <x:c r="M13" s="101" t="n">
        <x:f>IF('01_数值调参'!$D$3="配方有效",'03_全链计算'!M12*$D13/'01_数值调参'!M9,"待修正")</x:f>
        <x:v>0</x:v>
      </x:c>
      <x:c r="N13" s="102" t="n">
        <x:f>IF('01_数值调参'!$D$3="配方有效",'03_全链计算'!N12*$D13/'01_数值调参'!N9,"待修正")</x:f>
        <x:v>0</x:v>
      </x:c>
      <x:c r="O13" s="101" t="n">
        <x:f>IF('01_数值调参'!$D$3="配方有效",'03_全链计算'!O12*$D13/'01_数值调参'!O9,"待修正")</x:f>
        <x:v>0</x:v>
      </x:c>
      <x:c r="P13" s="101" t="n">
        <x:f>IF('01_数值调参'!$D$3="配方有效",'03_全链计算'!P12*$D13/'01_数值调参'!P9,"待修正")</x:f>
        <x:v>0</x:v>
      </x:c>
      <x:c r="Q13" s="101" t="n">
        <x:f>IF('01_数值调参'!$D$3="配方有效",'03_全链计算'!Q12*$D13/'01_数值调参'!Q9,"待修正")</x:f>
        <x:v>0</x:v>
      </x:c>
      <x:c r="R13" s="101" t="n">
        <x:f>IF('01_数值调参'!$D$3="配方有效",'03_全链计算'!R12*$D13/'01_数值调参'!R9,"待修正")</x:f>
        <x:v>0</x:v>
      </x:c>
      <x:c r="S13" s="102" t="n">
        <x:f>IF('01_数值调参'!$D$3="配方有效",'03_全链计算'!S12*$D13/'01_数值调参'!S9,"待修正")</x:f>
        <x:v>0</x:v>
      </x:c>
      <x:c r="T13" s="101" t="n">
        <x:f>IF('01_数值调参'!$D$3="配方有效",'03_全链计算'!T12*$D13/'01_数值调参'!T9,"待修正")</x:f>
        <x:v>0</x:v>
      </x:c>
      <x:c r="U13" s="101" t="n">
        <x:f>IF('01_数值调参'!$D$3="配方有效",'03_全链计算'!U12*$D13/'01_数值调参'!U9,"待修正")</x:f>
        <x:v>0</x:v>
      </x:c>
      <x:c r="V13" s="101" t="n">
        <x:f>IF('01_数值调参'!$D$3="配方有效",'03_全链计算'!V12*$D13/'01_数值调参'!V9,"待修正")</x:f>
        <x:v>1.3333333333333333</x:v>
      </x:c>
      <x:c r="W13" s="101" t="n">
        <x:f>IF('01_数值调参'!$D$3="配方有效",'03_全链计算'!W12*$D13/'01_数值调参'!W9,"待修正")</x:f>
        <x:v>0</x:v>
      </x:c>
      <x:c r="X13" s="102" t="n">
        <x:f>IF('01_数值调参'!$D$3="配方有效",'03_全链计算'!X12*$D13/'01_数值调参'!X9,"待修正")</x:f>
        <x:v>0</x:v>
      </x:c>
      <x:c r="Y13" s="101" t="n">
        <x:f>IF('01_数值调参'!$D$3="配方有效",'03_全链计算'!Y12*$D13/'01_数值调参'!Y9,"待修正")</x:f>
        <x:v>0</x:v>
      </x:c>
      <x:c r="Z13" s="101" t="n">
        <x:f>IF('01_数值调参'!$D$3="配方有效",'03_全链计算'!Z12*$D13/'01_数值调参'!Z9,"待修正")</x:f>
        <x:v>0</x:v>
      </x:c>
      <x:c r="AA13" s="101" t="n">
        <x:f>IF('01_数值调参'!$D$3="配方有效",'03_全链计算'!AA12*$D13/'01_数值调参'!AA9,"待修正")</x:f>
        <x:v>0</x:v>
      </x:c>
      <x:c r="AB13" s="101" t="n">
        <x:f>IF('01_数值调参'!$D$3="配方有效",'03_全链计算'!AB12*$D13/'01_数值调参'!AB9,"待修正")</x:f>
        <x:v>0</x:v>
      </x:c>
      <x:c r="AC13" s="101" t="n">
        <x:f>IF('01_数值调参'!$D$3="配方有效",'03_全链计算'!AC12*$D13/'01_数值调参'!AC9,"待修正")</x:f>
        <x:v>0</x:v>
      </x:c>
      <x:c r="AD13" s="102" t="n">
        <x:f>IF('01_数值调参'!$D$3="配方有效",'03_全链计算'!AD12*$D13/'01_数值调参'!AD9,"待修正")</x:f>
        <x:v>0</x:v>
      </x:c>
      <x:c r="AE13" s="101" t="n">
        <x:f>IF('01_数值调参'!$D$3="配方有效",'03_全链计算'!AE12*$D13/'01_数值调参'!AE9,"待修正")</x:f>
        <x:v>2</x:v>
      </x:c>
      <x:c r="AF13" s="101" t="n">
        <x:f>IF('01_数值调参'!$D$3="配方有效",'03_全链计算'!AF12*$D13/'01_数值调参'!AF9,"待修正")</x:f>
        <x:v>0</x:v>
      </x:c>
      <x:c r="AG13" s="101" t="n">
        <x:f>IF('01_数值调参'!$D$3="配方有效",'03_全链计算'!AG12*$D13/'01_数值调参'!AG9,"待修正")</x:f>
        <x:v>0</x:v>
      </x:c>
      <x:c r="AH13" s="102" t="n">
        <x:f>IF('01_数值调参'!$D$3="配方有效",'03_全链计算'!AH12*$D13/'01_数值调参'!AH9,"待修正")</x:f>
        <x:v>0</x:v>
      </x:c>
      <x:c r="AI13" s="101" t="n">
        <x:f>IF('01_数值调参'!$D$3="配方有效",'03_全链计算'!AI12*$D13/'01_数值调参'!AI9,"待修正")</x:f>
        <x:v>0</x:v>
      </x:c>
      <x:c r="AJ13" s="101" t="n">
        <x:f>IF('01_数值调参'!$D$3="配方有效",'03_全链计算'!AJ12*$D13/'01_数值调参'!AJ9,"待修正")</x:f>
        <x:v>1</x:v>
      </x:c>
      <x:c r="AK13" s="101" t="n">
        <x:f>IF('01_数值调参'!$D$3="配方有效",'03_全链计算'!AK12*$D13/'01_数值调参'!AK9,"待修正")</x:f>
        <x:v>0</x:v>
      </x:c>
      <x:c r="AL13" s="101" t="n">
        <x:f>IF('01_数值调参'!$D$3="配方有效",'03_全链计算'!AL12*$D13/'01_数值调参'!AL9,"待修正")</x:f>
        <x:v>0</x:v>
      </x:c>
      <x:c r="AM13" s="101" t="n">
        <x:f>IF('01_数值调参'!$D$3="配方有效",'03_全链计算'!AM12*$D13/'01_数值调参'!AM9,"待修正")</x:f>
        <x:v>0.3333333333333333</x:v>
      </x:c>
    </x:row>
    <x:row r="14" ht="22" customHeight="1">
      <x:c r="A14" s="39" t="n">
        <x:v>24</x:v>
      </x:c>
      <x:c r="B14" s="39" t="str">
        <x:v>墨水花</x:v>
      </x:c>
      <x:c r="C14" s="39" t="str">
        <x:v>农田</x:v>
      </x:c>
      <x:c r="D14" s="39" t="n">
        <x:f>'01_数值调参'!K9</x:f>
        <x:v>60</x:v>
      </x:c>
      <x:c r="E14" s="101" t="n">
        <x:f>IF('01_数值调参'!$D$3="配方有效",'03_全链计算'!E13*$D14/'01_数值调参'!E9,"待修正")</x:f>
        <x:v>0</x:v>
      </x:c>
      <x:c r="F14" s="101" t="n">
        <x:f>IF('01_数值调参'!$D$3="配方有效",'03_全链计算'!F13*$D14/'01_数值调参'!F9,"待修正")</x:f>
        <x:v>0</x:v>
      </x:c>
      <x:c r="G14" s="101" t="n">
        <x:f>IF('01_数值调参'!$D$3="配方有效",'03_全链计算'!G13*$D14/'01_数值调参'!G9,"待修正")</x:f>
        <x:v>0</x:v>
      </x:c>
      <x:c r="H14" s="101" t="n">
        <x:f>IF('01_数值调参'!$D$3="配方有效",'03_全链计算'!H13*$D14/'01_数值调参'!H9,"待修正")</x:f>
        <x:v>0</x:v>
      </x:c>
      <x:c r="I14" s="101" t="n">
        <x:f>IF('01_数值调参'!$D$3="配方有效",'03_全链计算'!I13*$D14/'01_数值调参'!I9,"待修正")</x:f>
        <x:v>0</x:v>
      </x:c>
      <x:c r="J14" s="101" t="n">
        <x:f>IF('01_数值调参'!$D$3="配方有效",'03_全链计算'!J13*$D14/'01_数值调参'!J9,"待修正")</x:f>
        <x:v>0</x:v>
      </x:c>
      <x:c r="K14" s="101" t="n">
        <x:f>IF('01_数值调参'!$D$3="配方有效",'03_全链计算'!K13*$D14/'01_数值调参'!K9,"待修正")</x:f>
        <x:v>1</x:v>
      </x:c>
      <x:c r="L14" s="101" t="n">
        <x:f>IF('01_数值调参'!$D$3="配方有效",'03_全链计算'!L13*$D14/'01_数值调参'!L9,"待修正")</x:f>
        <x:v>0</x:v>
      </x:c>
      <x:c r="M14" s="101" t="n">
        <x:f>IF('01_数值调参'!$D$3="配方有效",'03_全链计算'!M13*$D14/'01_数值调参'!M9,"待修正")</x:f>
        <x:v>0</x:v>
      </x:c>
      <x:c r="N14" s="102" t="n">
        <x:f>IF('01_数值调参'!$D$3="配方有效",'03_全链计算'!N13*$D14/'01_数值调参'!N9,"待修正")</x:f>
        <x:v>0</x:v>
      </x:c>
      <x:c r="O14" s="101" t="n">
        <x:f>IF('01_数值调参'!$D$3="配方有效",'03_全链计算'!O13*$D14/'01_数值调参'!O9,"待修正")</x:f>
        <x:v>0</x:v>
      </x:c>
      <x:c r="P14" s="101" t="n">
        <x:f>IF('01_数值调参'!$D$3="配方有效",'03_全链计算'!P13*$D14/'01_数值调参'!P9,"待修正")</x:f>
        <x:v>0</x:v>
      </x:c>
      <x:c r="Q14" s="101" t="n">
        <x:f>IF('01_数值调参'!$D$3="配方有效",'03_全链计算'!Q13*$D14/'01_数值调参'!Q9,"待修正")</x:f>
        <x:v>0</x:v>
      </x:c>
      <x:c r="R14" s="101" t="n">
        <x:f>IF('01_数值调参'!$D$3="配方有效",'03_全链计算'!R13*$D14/'01_数值调参'!R9,"待修正")</x:f>
        <x:v>2</x:v>
      </x:c>
      <x:c r="S14" s="102" t="n">
        <x:f>IF('01_数值调参'!$D$3="配方有效",'03_全链计算'!S13*$D14/'01_数值调参'!S9,"待修正")</x:f>
        <x:v>0</x:v>
      </x:c>
      <x:c r="T14" s="101" t="n">
        <x:f>IF('01_数值调参'!$D$3="配方有效",'03_全链计算'!T13*$D14/'01_数值调参'!T9,"待修正")</x:f>
        <x:v>0</x:v>
      </x:c>
      <x:c r="U14" s="101" t="n">
        <x:f>IF('01_数值调参'!$D$3="配方有效",'03_全链计算'!U13*$D14/'01_数值调参'!U9,"待修正")</x:f>
        <x:v>0</x:v>
      </x:c>
      <x:c r="V14" s="101" t="n">
        <x:f>IF('01_数值调参'!$D$3="配方有效",'03_全链计算'!V13*$D14/'01_数值调参'!V9,"待修正")</x:f>
        <x:v>0</x:v>
      </x:c>
      <x:c r="W14" s="101" t="n">
        <x:f>IF('01_数值调参'!$D$3="配方有效",'03_全链计算'!W13*$D14/'01_数值调参'!W9,"待修正")</x:f>
        <x:v>0</x:v>
      </x:c>
      <x:c r="X14" s="102" t="n">
        <x:f>IF('01_数值调参'!$D$3="配方有效",'03_全链计算'!X13*$D14/'01_数值调参'!X9,"待修正")</x:f>
        <x:v>0</x:v>
      </x:c>
      <x:c r="Y14" s="101" t="n">
        <x:f>IF('01_数值调参'!$D$3="配方有效",'03_全链计算'!Y13*$D14/'01_数值调参'!Y9,"待修正")</x:f>
        <x:v>0</x:v>
      </x:c>
      <x:c r="Z14" s="101" t="n">
        <x:f>IF('01_数值调参'!$D$3="配方有效",'03_全链计算'!Z13*$D14/'01_数值调参'!Z9,"待修正")</x:f>
        <x:v>0</x:v>
      </x:c>
      <x:c r="AA14" s="101" t="n">
        <x:f>IF('01_数值调参'!$D$3="配方有效",'03_全链计算'!AA13*$D14/'01_数值调参'!AA9,"待修正")</x:f>
        <x:v>0</x:v>
      </x:c>
      <x:c r="AB14" s="101" t="n">
        <x:f>IF('01_数值调参'!$D$3="配方有效",'03_全链计算'!AB13*$D14/'01_数值调参'!AB9,"待修正")</x:f>
        <x:v>0</x:v>
      </x:c>
      <x:c r="AC14" s="101" t="n">
        <x:f>IF('01_数值调参'!$D$3="配方有效",'03_全链计算'!AC13*$D14/'01_数值调参'!AC9,"待修正")</x:f>
        <x:v>0</x:v>
      </x:c>
      <x:c r="AD14" s="102" t="n">
        <x:f>IF('01_数值调参'!$D$3="配方有效",'03_全链计算'!AD13*$D14/'01_数值调参'!AD9,"待修正")</x:f>
        <x:v>0</x:v>
      </x:c>
      <x:c r="AE14" s="101" t="n">
        <x:f>IF('01_数值调参'!$D$3="配方有效",'03_全链计算'!AE13*$D14/'01_数值调参'!AE9,"待修正")</x:f>
        <x:v>0</x:v>
      </x:c>
      <x:c r="AF14" s="101" t="n">
        <x:f>IF('01_数值调参'!$D$3="配方有效",'03_全链计算'!AF13*$D14/'01_数值调参'!AF9,"待修正")</x:f>
        <x:v>3</x:v>
      </x:c>
      <x:c r="AG14" s="101" t="n">
        <x:f>IF('01_数值调参'!$D$3="配方有效",'03_全链计算'!AG13*$D14/'01_数值调参'!AG9,"待修正")</x:f>
        <x:v>0</x:v>
      </x:c>
      <x:c r="AH14" s="102" t="n">
        <x:f>IF('01_数值调参'!$D$3="配方有效",'03_全链计算'!AH13*$D14/'01_数值调参'!AH9,"待修正")</x:f>
        <x:v>0</x:v>
      </x:c>
      <x:c r="AI14" s="101" t="n">
        <x:f>IF('01_数值调参'!$D$3="配方有效",'03_全链计算'!AI13*$D14/'01_数值调参'!AI9,"待修正")</x:f>
        <x:v>0</x:v>
      </x:c>
      <x:c r="AJ14" s="101" t="n">
        <x:f>IF('01_数值调参'!$D$3="配方有效",'03_全链计算'!AJ13*$D14/'01_数值调参'!AJ9,"待修正")</x:f>
        <x:v>0</x:v>
      </x:c>
      <x:c r="AK14" s="101" t="n">
        <x:f>IF('01_数值调参'!$D$3="配方有效",'03_全链计算'!AK13*$D14/'01_数值调参'!AK9,"待修正")</x:f>
        <x:v>1.5</x:v>
      </x:c>
      <x:c r="AL14" s="101" t="n">
        <x:f>IF('01_数值调参'!$D$3="配方有效",'03_全链计算'!AL13*$D14/'01_数值调参'!AL9,"待修正")</x:f>
        <x:v>0</x:v>
      </x:c>
      <x:c r="AM14" s="101" t="n">
        <x:f>IF('01_数值调参'!$D$3="配方有效",'03_全链计算'!AM13*$D14/'01_数值调参'!AM9,"待修正")</x:f>
        <x:v>0</x:v>
      </x:c>
    </x:row>
    <x:row r="15" ht="22" customHeight="1">
      <x:c r="A15" s="39" t="n">
        <x:v>30</x:v>
      </x:c>
      <x:c r="B15" s="39" t="str">
        <x:v>蜡烛花</x:v>
      </x:c>
      <x:c r="C15" s="39" t="str">
        <x:v>农田</x:v>
      </x:c>
      <x:c r="D15" s="39" t="n">
        <x:f>'01_数值调参'!L9</x:f>
        <x:v>90</x:v>
      </x:c>
      <x:c r="E15" s="101" t="n">
        <x:f>IF('01_数值调参'!$D$3="配方有效",'03_全链计算'!E14*$D15/'01_数值调参'!E9,"待修正")</x:f>
        <x:v>0</x:v>
      </x:c>
      <x:c r="F15" s="101" t="n">
        <x:f>IF('01_数值调参'!$D$3="配方有效",'03_全链计算'!F14*$D15/'01_数值调参'!F9,"待修正")</x:f>
        <x:v>0</x:v>
      </x:c>
      <x:c r="G15" s="101" t="n">
        <x:f>IF('01_数值调参'!$D$3="配方有效",'03_全链计算'!G14*$D15/'01_数值调参'!G9,"待修正")</x:f>
        <x:v>0</x:v>
      </x:c>
      <x:c r="H15" s="101" t="n">
        <x:f>IF('01_数值调参'!$D$3="配方有效",'03_全链计算'!H14*$D15/'01_数值调参'!H9,"待修正")</x:f>
        <x:v>0</x:v>
      </x:c>
      <x:c r="I15" s="101" t="n">
        <x:f>IF('01_数值调参'!$D$3="配方有效",'03_全链计算'!I14*$D15/'01_数值调参'!I9,"待修正")</x:f>
        <x:v>0</x:v>
      </x:c>
      <x:c r="J15" s="101" t="n">
        <x:f>IF('01_数值调参'!$D$3="配方有效",'03_全链计算'!J14*$D15/'01_数值调参'!J9,"待修正")</x:f>
        <x:v>0</x:v>
      </x:c>
      <x:c r="K15" s="101" t="n">
        <x:f>IF('01_数值调参'!$D$3="配方有效",'03_全链计算'!K14*$D15/'01_数值调参'!K9,"待修正")</x:f>
        <x:v>0</x:v>
      </x:c>
      <x:c r="L15" s="101" t="n">
        <x:f>IF('01_数值调参'!$D$3="配方有效",'03_全链计算'!L14*$D15/'01_数值调参'!L9,"待修正")</x:f>
        <x:v>1</x:v>
      </x:c>
      <x:c r="M15" s="101" t="n">
        <x:f>IF('01_数值调参'!$D$3="配方有效",'03_全链计算'!M14*$D15/'01_数值调参'!M9,"待修正")</x:f>
        <x:v>0</x:v>
      </x:c>
      <x:c r="N15" s="102" t="n">
        <x:f>IF('01_数值调参'!$D$3="配方有效",'03_全链计算'!N14*$D15/'01_数值调参'!N9,"待修正")</x:f>
        <x:v>0</x:v>
      </x:c>
      <x:c r="O15" s="101" t="n">
        <x:f>IF('01_数值调参'!$D$3="配方有效",'03_全链计算'!O14*$D15/'01_数值调参'!O9,"待修正")</x:f>
        <x:v>0</x:v>
      </x:c>
      <x:c r="P15" s="101" t="n">
        <x:f>IF('01_数值调参'!$D$3="配方有效",'03_全链计算'!P14*$D15/'01_数值调参'!P9,"待修正")</x:f>
        <x:v>0</x:v>
      </x:c>
      <x:c r="Q15" s="101" t="n">
        <x:f>IF('01_数值调参'!$D$3="配方有效",'03_全链计算'!Q14*$D15/'01_数值调参'!Q9,"待修正")</x:f>
        <x:v>0</x:v>
      </x:c>
      <x:c r="R15" s="101" t="n">
        <x:f>IF('01_数值调参'!$D$3="配方有效",'03_全链计算'!R14*$D15/'01_数值调参'!R9,"待修正")</x:f>
        <x:v>0</x:v>
      </x:c>
      <x:c r="S15" s="102" t="n">
        <x:f>IF('01_数值调参'!$D$3="配方有效",'03_全链计算'!S14*$D15/'01_数值调参'!S9,"待修正")</x:f>
        <x:v>0</x:v>
      </x:c>
      <x:c r="T15" s="101" t="n">
        <x:f>IF('01_数值调参'!$D$3="配方有效",'03_全链计算'!T14*$D15/'01_数值调参'!T9,"待修正")</x:f>
        <x:v>0</x:v>
      </x:c>
      <x:c r="U15" s="101" t="n">
        <x:f>IF('01_数值调参'!$D$3="配方有效",'03_全链计算'!U14*$D15/'01_数值调参'!U9,"待修正")</x:f>
        <x:v>0</x:v>
      </x:c>
      <x:c r="V15" s="101" t="n">
        <x:f>IF('01_数值调参'!$D$3="配方有效",'03_全链计算'!V14*$D15/'01_数值调参'!V9,"待修正")</x:f>
        <x:v>0</x:v>
      </x:c>
      <x:c r="W15" s="101" t="n">
        <x:f>IF('01_数值调参'!$D$3="配方有效",'03_全链计算'!W14*$D15/'01_数值调参'!W9,"待修正")</x:f>
        <x:v>0</x:v>
      </x:c>
      <x:c r="X15" s="102" t="n">
        <x:f>IF('01_数值调参'!$D$3="配方有效",'03_全链计算'!X14*$D15/'01_数值调参'!X9,"待修正")</x:f>
        <x:v>0</x:v>
      </x:c>
      <x:c r="Y15" s="101" t="n">
        <x:f>IF('01_数值调参'!$D$3="配方有效",'03_全链计算'!Y14*$D15/'01_数值调参'!Y9,"待修正")</x:f>
        <x:v>0</x:v>
      </x:c>
      <x:c r="Z15" s="101" t="n">
        <x:f>IF('01_数值调参'!$D$3="配方有效",'03_全链计算'!Z14*$D15/'01_数值调参'!Z9,"待修正")</x:f>
        <x:v>0</x:v>
      </x:c>
      <x:c r="AA15" s="101" t="n">
        <x:f>IF('01_数值调参'!$D$3="配方有效",'03_全链计算'!AA14*$D15/'01_数值调参'!AA9,"待修正")</x:f>
        <x:v>0</x:v>
      </x:c>
      <x:c r="AB15" s="101" t="n">
        <x:f>IF('01_数值调参'!$D$3="配方有效",'03_全链计算'!AB14*$D15/'01_数值调参'!AB9,"待修正")</x:f>
        <x:v>0</x:v>
      </x:c>
      <x:c r="AC15" s="101" t="n">
        <x:f>IF('01_数值调参'!$D$3="配方有效",'03_全链计算'!AC14*$D15/'01_数值调参'!AC9,"待修正")</x:f>
        <x:v>1.5</x:v>
      </x:c>
      <x:c r="AD15" s="102" t="n">
        <x:f>IF('01_数值调参'!$D$3="配方有效",'03_全链计算'!AD14*$D15/'01_数值调参'!AD9,"待修正")</x:f>
        <x:v>0</x:v>
      </x:c>
      <x:c r="AE15" s="101" t="n">
        <x:f>IF('01_数值调参'!$D$3="配方有效",'03_全链计算'!AE14*$D15/'01_数值调参'!AE9,"待修正")</x:f>
        <x:v>0</x:v>
      </x:c>
      <x:c r="AF15" s="101" t="n">
        <x:f>IF('01_数值调参'!$D$3="配方有效",'03_全链计算'!AF14*$D15/'01_数值调参'!AF9,"待修正")</x:f>
        <x:v>0</x:v>
      </x:c>
      <x:c r="AG15" s="101" t="n">
        <x:f>IF('01_数值调参'!$D$3="配方有效",'03_全链计算'!AG14*$D15/'01_数值调参'!AG9,"待修正")</x:f>
        <x:v>3</x:v>
      </x:c>
      <x:c r="AH15" s="102" t="n">
        <x:f>IF('01_数值调参'!$D$3="配方有效",'03_全链计算'!AH14*$D15/'01_数值调参'!AH9,"待修正")</x:f>
        <x:v>0</x:v>
      </x:c>
      <x:c r="AI15" s="101" t="n">
        <x:f>IF('01_数值调参'!$D$3="配方有效",'03_全链计算'!AI14*$D15/'01_数值调参'!AI9,"待修正")</x:f>
        <x:v>0</x:v>
      </x:c>
      <x:c r="AJ15" s="101" t="n">
        <x:f>IF('01_数值调参'!$D$3="配方有效",'03_全链计算'!AJ14*$D15/'01_数值调参'!AJ9,"待修正")</x:f>
        <x:v>0</x:v>
      </x:c>
      <x:c r="AK15" s="101" t="n">
        <x:f>IF('01_数值调参'!$D$3="配方有效",'03_全链计算'!AK14*$D15/'01_数值调参'!AK9,"待修正")</x:f>
        <x:v>0</x:v>
      </x:c>
      <x:c r="AL15" s="101" t="n">
        <x:f>IF('01_数值调参'!$D$3="配方有效",'03_全链计算'!AL14*$D15/'01_数值调参'!AL9,"待修正")</x:f>
        <x:v>0</x:v>
      </x:c>
      <x:c r="AM15" s="101" t="n">
        <x:f>IF('01_数值调参'!$D$3="配方有效",'03_全链计算'!AM14*$D15/'01_数值调参'!AM9,"待修正")</x:f>
        <x:v>1</x:v>
      </x:c>
    </x:row>
    <x:row r="16" ht="22" customHeight="1">
      <x:c r="A16" s="39" t="n">
        <x:v>35</x:v>
      </x:c>
      <x:c r="B16" s="39" t="str">
        <x:v>浆果珍珠</x:v>
      </x:c>
      <x:c r="C16" s="39" t="str">
        <x:v>农田</x:v>
      </x:c>
      <x:c r="D16" s="39" t="n">
        <x:f>'01_数值调参'!M9</x:f>
        <x:v>120</x:v>
      </x:c>
      <x:c r="E16" s="101" t="n">
        <x:f>IF('01_数值调参'!$D$3="配方有效",'03_全链计算'!E15*$D16/'01_数值调参'!E9,"待修正")</x:f>
        <x:v>0</x:v>
      </x:c>
      <x:c r="F16" s="101" t="n">
        <x:f>IF('01_数值调参'!$D$3="配方有效",'03_全链计算'!F15*$D16/'01_数值调参'!F9,"待修正")</x:f>
        <x:v>0</x:v>
      </x:c>
      <x:c r="G16" s="101" t="n">
        <x:f>IF('01_数值调参'!$D$3="配方有效",'03_全链计算'!G15*$D16/'01_数值调参'!G9,"待修正")</x:f>
        <x:v>0</x:v>
      </x:c>
      <x:c r="H16" s="101" t="n">
        <x:f>IF('01_数值调参'!$D$3="配方有效",'03_全链计算'!H15*$D16/'01_数值调参'!H9,"待修正")</x:f>
        <x:v>0</x:v>
      </x:c>
      <x:c r="I16" s="101" t="n">
        <x:f>IF('01_数值调参'!$D$3="配方有效",'03_全链计算'!I15*$D16/'01_数值调参'!I9,"待修正")</x:f>
        <x:v>0</x:v>
      </x:c>
      <x:c r="J16" s="101" t="n">
        <x:f>IF('01_数值调参'!$D$3="配方有效",'03_全链计算'!J15*$D16/'01_数值调参'!J9,"待修正")</x:f>
        <x:v>0</x:v>
      </x:c>
      <x:c r="K16" s="101" t="n">
        <x:f>IF('01_数值调参'!$D$3="配方有效",'03_全链计算'!K15*$D16/'01_数值调参'!K9,"待修正")</x:f>
        <x:v>0</x:v>
      </x:c>
      <x:c r="L16" s="101" t="n">
        <x:f>IF('01_数值调参'!$D$3="配方有效",'03_全链计算'!L15*$D16/'01_数值调参'!L9,"待修正")</x:f>
        <x:v>0</x:v>
      </x:c>
      <x:c r="M16" s="101" t="n">
        <x:f>IF('01_数值调参'!$D$3="配方有效",'03_全链计算'!M15*$D16/'01_数值调参'!M9,"待修正")</x:f>
        <x:v>1</x:v>
      </x:c>
      <x:c r="N16" s="102" t="n">
        <x:f>IF('01_数值调参'!$D$3="配方有效",'03_全链计算'!N15*$D16/'01_数值调参'!N9,"待修正")</x:f>
        <x:v>0</x:v>
      </x:c>
      <x:c r="O16" s="101" t="n">
        <x:f>IF('01_数值调参'!$D$3="配方有效",'03_全链计算'!O15*$D16/'01_数值调参'!O9,"待修正")</x:f>
        <x:v>0</x:v>
      </x:c>
      <x:c r="P16" s="101" t="n">
        <x:f>IF('01_数值调参'!$D$3="配方有效",'03_全链计算'!P15*$D16/'01_数值调参'!P9,"待修正")</x:f>
        <x:v>0</x:v>
      </x:c>
      <x:c r="Q16" s="101" t="n">
        <x:f>IF('01_数值调参'!$D$3="配方有效",'03_全链计算'!Q15*$D16/'01_数值调参'!Q9,"待修正")</x:f>
        <x:v>0</x:v>
      </x:c>
      <x:c r="R16" s="101" t="n">
        <x:f>IF('01_数值调参'!$D$3="配方有效",'03_全链计算'!R15*$D16/'01_数值调参'!R9,"待修正")</x:f>
        <x:v>0</x:v>
      </x:c>
      <x:c r="S16" s="102" t="n">
        <x:f>IF('01_数值调参'!$D$3="配方有效",'03_全链计算'!S15*$D16/'01_数值调参'!S9,"待修正")</x:f>
        <x:v>0</x:v>
      </x:c>
      <x:c r="T16" s="101" t="n">
        <x:f>IF('01_数值调参'!$D$3="配方有效",'03_全链计算'!T15*$D16/'01_数值调参'!T9,"待修正")</x:f>
        <x:v>0</x:v>
      </x:c>
      <x:c r="U16" s="101" t="n">
        <x:f>IF('01_数值调参'!$D$3="配方有效",'03_全链计算'!U15*$D16/'01_数值调参'!U9,"待修正")</x:f>
        <x:v>0</x:v>
      </x:c>
      <x:c r="V16" s="101" t="n">
        <x:f>IF('01_数值调参'!$D$3="配方有效",'03_全链计算'!V15*$D16/'01_数值调参'!V9,"待修正")</x:f>
        <x:v>0</x:v>
      </x:c>
      <x:c r="W16" s="101" t="n">
        <x:f>IF('01_数值调参'!$D$3="配方有效",'03_全链计算'!W15*$D16/'01_数值调参'!W9,"待修正")</x:f>
        <x:v>4</x:v>
      </x:c>
      <x:c r="X16" s="102" t="n">
        <x:f>IF('01_数值调参'!$D$3="配方有效",'03_全链计算'!X15*$D16/'01_数值调参'!X9,"待修正")</x:f>
        <x:v>0</x:v>
      </x:c>
      <x:c r="Y16" s="101" t="n">
        <x:f>IF('01_数值调参'!$D$3="配方有效",'03_全链计算'!Y15*$D16/'01_数值调参'!Y9,"待修正")</x:f>
        <x:v>0</x:v>
      </x:c>
      <x:c r="Z16" s="101" t="n">
        <x:f>IF('01_数值调参'!$D$3="配方有效",'03_全链计算'!Z15*$D16/'01_数值调参'!Z9,"待修正")</x:f>
        <x:v>0</x:v>
      </x:c>
      <x:c r="AA16" s="101" t="n">
        <x:f>IF('01_数值调参'!$D$3="配方有效",'03_全链计算'!AA15*$D16/'01_数值调参'!AA9,"待修正")</x:f>
        <x:v>0</x:v>
      </x:c>
      <x:c r="AB16" s="101" t="n">
        <x:f>IF('01_数值调参'!$D$3="配方有效",'03_全链计算'!AB15*$D16/'01_数值调参'!AB9,"待修正")</x:f>
        <x:v>0</x:v>
      </x:c>
      <x:c r="AC16" s="101" t="n">
        <x:f>IF('01_数值调参'!$D$3="配方有效",'03_全链计算'!AC15*$D16/'01_数值调参'!AC9,"待修正")</x:f>
        <x:v>0</x:v>
      </x:c>
      <x:c r="AD16" s="102" t="n">
        <x:f>IF('01_数值调参'!$D$3="配方有效",'03_全链计算'!AD15*$D16/'01_数值调参'!AD9,"待修正")</x:f>
        <x:v>0</x:v>
      </x:c>
      <x:c r="AE16" s="101" t="n">
        <x:f>IF('01_数值调参'!$D$3="配方有效",'03_全链计算'!AE15*$D16/'01_数值调参'!AE9,"待修正")</x:f>
        <x:v>0</x:v>
      </x:c>
      <x:c r="AF16" s="101" t="n">
        <x:f>IF('01_数值调参'!$D$3="配方有效",'03_全链计算'!AF15*$D16/'01_数值调参'!AF9,"待修正")</x:f>
        <x:v>0</x:v>
      </x:c>
      <x:c r="AG16" s="101" t="n">
        <x:f>IF('01_数值调参'!$D$3="配方有效",'03_全链计算'!AG15*$D16/'01_数值调参'!AG9,"待修正")</x:f>
        <x:v>0</x:v>
      </x:c>
      <x:c r="AH16" s="102" t="n">
        <x:f>IF('01_数值调参'!$D$3="配方有效",'03_全链计算'!AH15*$D16/'01_数值调参'!AH9,"待修正")</x:f>
        <x:v>0</x:v>
      </x:c>
      <x:c r="AI16" s="101" t="n">
        <x:f>IF('01_数值调参'!$D$3="配方有效",'03_全链计算'!AI15*$D16/'01_数值调参'!AI9,"待修正")</x:f>
        <x:v>0</x:v>
      </x:c>
      <x:c r="AJ16" s="101" t="n">
        <x:f>IF('01_数值调参'!$D$3="配方有效",'03_全链计算'!AJ15*$D16/'01_数值调参'!AJ9,"待修正")</x:f>
        <x:v>0</x:v>
      </x:c>
      <x:c r="AK16" s="101" t="n">
        <x:f>IF('01_数值调参'!$D$3="配方有效",'03_全链计算'!AK15*$D16/'01_数值调参'!AK9,"待修正")</x:f>
        <x:v>0</x:v>
      </x:c>
      <x:c r="AL16" s="101" t="n">
        <x:f>IF('01_数值调参'!$D$3="配方有效",'03_全链计算'!AL15*$D16/'01_数值调参'!AL9,"待修正")</x:f>
        <x:v>0</x:v>
      </x:c>
      <x:c r="AM16" s="101" t="n">
        <x:f>IF('01_数值调参'!$D$3="配方有效",'03_全链计算'!AM15*$D16/'01_数值调参'!AM9,"待修正")</x:f>
        <x:v>0</x:v>
      </x:c>
    </x:row>
    <x:row r="17" ht="22" customHeight="1">
      <x:c r="A17" s="44" t="n">
        <x:v>3</x:v>
      </x:c>
      <x:c r="B17" s="44" t="str">
        <x:v>芦苇丝</x:v>
      </x:c>
      <x:c r="C17" s="44" t="str">
        <x:v>研磨机</x:v>
      </x:c>
      <x:c r="D17" s="44" t="n">
        <x:f>'01_数值调参'!N9</x:f>
        <x:v>5</x:v>
      </x:c>
      <x:c r="E17" s="103" t="n">
        <x:f>IF('01_数值调参'!$D$3="配方有效",'03_全链计算'!E16*$D17/'01_数值调参'!E9,"待修正")</x:f>
        <x:v>0</x:v>
      </x:c>
      <x:c r="F17" s="103" t="n">
        <x:f>IF('01_数值调参'!$D$3="配方有效",'03_全链计算'!F16*$D17/'01_数值调参'!F9,"待修正")</x:f>
        <x:v>0</x:v>
      </x:c>
      <x:c r="G17" s="103" t="n">
        <x:f>IF('01_数值调参'!$D$3="配方有效",'03_全链计算'!G16*$D17/'01_数值调参'!G9,"待修正")</x:f>
        <x:v>0</x:v>
      </x:c>
      <x:c r="H17" s="103" t="n">
        <x:f>IF('01_数值调参'!$D$3="配方有效",'03_全链计算'!H16*$D17/'01_数值调参'!H9,"待修正")</x:f>
        <x:v>0</x:v>
      </x:c>
      <x:c r="I17" s="103" t="n">
        <x:f>IF('01_数值调参'!$D$3="配方有效",'03_全链计算'!I16*$D17/'01_数值调参'!I9,"待修正")</x:f>
        <x:v>0</x:v>
      </x:c>
      <x:c r="J17" s="103" t="n">
        <x:f>IF('01_数值调参'!$D$3="配方有效",'03_全链计算'!J16*$D17/'01_数值调参'!J9,"待修正")</x:f>
        <x:v>0</x:v>
      </x:c>
      <x:c r="K17" s="103" t="n">
        <x:f>IF('01_数值调参'!$D$3="配方有效",'03_全链计算'!K16*$D17/'01_数值调参'!K9,"待修正")</x:f>
        <x:v>0</x:v>
      </x:c>
      <x:c r="L17" s="103" t="n">
        <x:f>IF('01_数值调参'!$D$3="配方有效",'03_全链计算'!L16*$D17/'01_数值调参'!L9,"待修正")</x:f>
        <x:v>0</x:v>
      </x:c>
      <x:c r="M17" s="103" t="n">
        <x:f>IF('01_数值调参'!$D$3="配方有效",'03_全链计算'!M16*$D17/'01_数值调参'!M9,"待修正")</x:f>
        <x:v>0</x:v>
      </x:c>
      <x:c r="N17" s="104" t="n">
        <x:f>IF('01_数值调参'!$D$3="配方有效",'03_全链计算'!N16*$D17/'01_数值调参'!N9,"待修正")</x:f>
        <x:v>1</x:v>
      </x:c>
      <x:c r="O17" s="103" t="n">
        <x:f>IF('01_数值调参'!$D$3="配方有效",'03_全链计算'!O16*$D17/'01_数值调参'!O9,"待修正")</x:f>
        <x:v>0</x:v>
      </x:c>
      <x:c r="P17" s="103" t="n">
        <x:f>IF('01_数值调参'!$D$3="配方有效",'03_全链计算'!P16*$D17/'01_数值调参'!P9,"待修正")</x:f>
        <x:v>0</x:v>
      </x:c>
      <x:c r="Q17" s="103" t="n">
        <x:f>IF('01_数值调参'!$D$3="配方有效",'03_全链计算'!Q16*$D17/'01_数值调参'!Q9,"待修正")</x:f>
        <x:v>0</x:v>
      </x:c>
      <x:c r="R17" s="103" t="n">
        <x:f>IF('01_数值调参'!$D$3="配方有效",'03_全链计算'!R16*$D17/'01_数值调参'!R9,"待修正")</x:f>
        <x:v>0</x:v>
      </x:c>
      <x:c r="S17" s="104" t="n">
        <x:f>IF('01_数值调参'!$D$3="配方有效",'03_全链计算'!S16*$D17/'01_数值调参'!S9,"待修正")</x:f>
        <x:v>0</x:v>
      </x:c>
      <x:c r="T17" s="103" t="n">
        <x:f>IF('01_数值调参'!$D$3="配方有效",'03_全链计算'!T16*$D17/'01_数值调参'!T9,"待修正")</x:f>
        <x:v>0</x:v>
      </x:c>
      <x:c r="U17" s="103" t="n">
        <x:f>IF('01_数值调参'!$D$3="配方有效",'03_全链计算'!U16*$D17/'01_数值调参'!U9,"待修正")</x:f>
        <x:v>0</x:v>
      </x:c>
      <x:c r="V17" s="103" t="n">
        <x:f>IF('01_数值调参'!$D$3="配方有效",'03_全链计算'!V16*$D17/'01_数值调参'!V9,"待修正")</x:f>
        <x:v>0</x:v>
      </x:c>
      <x:c r="W17" s="103" t="n">
        <x:f>IF('01_数值调参'!$D$3="配方有效",'03_全链计算'!W16*$D17/'01_数值调参'!W9,"待修正")</x:f>
        <x:v>0</x:v>
      </x:c>
      <x:c r="X17" s="104" t="n">
        <x:f>IF('01_数值调参'!$D$3="配方有效",'03_全链计算'!X16*$D17/'01_数值调参'!X9,"待修正")</x:f>
        <x:v>0.16666666666666666</x:v>
      </x:c>
      <x:c r="Y17" s="103" t="n">
        <x:f>IF('01_数值调参'!$D$3="配方有效",'03_全链计算'!Y16*$D17/'01_数值调参'!Y9,"待修正")</x:f>
        <x:v>0</x:v>
      </x:c>
      <x:c r="Z17" s="103" t="n">
        <x:f>IF('01_数值调参'!$D$3="配方有效",'03_全链计算'!Z16*$D17/'01_数值调参'!Z9,"待修正")</x:f>
        <x:v>0</x:v>
      </x:c>
      <x:c r="AA17" s="103" t="n">
        <x:f>IF('01_数值调参'!$D$3="配方有效",'03_全链计算'!AA16*$D17/'01_数值调参'!AA9,"待修正")</x:f>
        <x:v>0</x:v>
      </x:c>
      <x:c r="AB17" s="103" t="n">
        <x:f>IF('01_数值调参'!$D$3="配方有效",'03_全链计算'!AB16*$D17/'01_数值调参'!AB9,"待修正")</x:f>
        <x:v>0.03333333333333333</x:v>
      </x:c>
      <x:c r="AC17" s="103" t="n">
        <x:f>IF('01_数值调参'!$D$3="配方有效",'03_全链计算'!AC16*$D17/'01_数值调参'!AC9,"待修正")</x:f>
        <x:v>0.027777777777777776</x:v>
      </x:c>
      <x:c r="AD17" s="104" t="n">
        <x:f>IF('01_数值调参'!$D$3="配方有效",'03_全链计算'!AD16*$D17/'01_数值调参'!AD9,"待修正")</x:f>
        <x:v>0</x:v>
      </x:c>
      <x:c r="AE17" s="103" t="n">
        <x:f>IF('01_数值调参'!$D$3="配方有效",'03_全链计算'!AE16*$D17/'01_数值调参'!AE9,"待修正")</x:f>
        <x:v>0</x:v>
      </x:c>
      <x:c r="AF17" s="103" t="n">
        <x:f>IF('01_数值调参'!$D$3="配方有效",'03_全链计算'!AF16*$D17/'01_数值调参'!AF9,"待修正")</x:f>
        <x:v>0</x:v>
      </x:c>
      <x:c r="AG17" s="103" t="n">
        <x:f>IF('01_数值调参'!$D$3="配方有效",'03_全链计算'!AG16*$D17/'01_数值调参'!AG9,"待修正")</x:f>
        <x:v>0</x:v>
      </x:c>
      <x:c r="AH17" s="104" t="n">
        <x:f>IF('01_数值调参'!$D$3="配方有效",'03_全链计算'!AH16*$D17/'01_数值调参'!AH9,"待修正")</x:f>
        <x:v>0</x:v>
      </x:c>
      <x:c r="AI17" s="103" t="n">
        <x:f>IF('01_数值调参'!$D$3="配方有效",'03_全链计算'!AI16*$D17/'01_数值调参'!AI9,"待修正")</x:f>
        <x:v>0</x:v>
      </x:c>
      <x:c r="AJ17" s="103" t="n">
        <x:f>IF('01_数值调参'!$D$3="配方有效",'03_全链计算'!AJ16*$D17/'01_数值调参'!AJ9,"待修正")</x:f>
        <x:v>0</x:v>
      </x:c>
      <x:c r="AK17" s="103" t="n">
        <x:f>IF('01_数值调参'!$D$3="配方有效",'03_全链计算'!AK16*$D17/'01_数值调参'!AK9,"待修正")</x:f>
        <x:v>0</x:v>
      </x:c>
      <x:c r="AL17" s="103" t="n">
        <x:f>IF('01_数值调参'!$D$3="配方有效",'03_全链计算'!AL16*$D17/'01_数值调参'!AL9,"待修正")</x:f>
        <x:v>0.03333333333333333</x:v>
      </x:c>
      <x:c r="AM17" s="103" t="n">
        <x:f>IF('01_数值调参'!$D$3="配方有效",'03_全链计算'!AM16*$D17/'01_数值调参'!AM9,"待修正")</x:f>
        <x:v>0</x:v>
      </x:c>
    </x:row>
    <x:row r="18" ht="22" customHeight="1">
      <x:c r="A18" s="43" t="n">
        <x:v>4</x:v>
      </x:c>
      <x:c r="B18" s="43" t="str">
        <x:v>棉绒团</x:v>
      </x:c>
      <x:c r="C18" s="43" t="str">
        <x:v>研磨机</x:v>
      </x:c>
      <x:c r="D18" s="43" t="n">
        <x:f>'01_数值调参'!O9</x:f>
        <x:v>10</x:v>
      </x:c>
      <x:c r="E18" s="101" t="n">
        <x:f>IF('01_数值调参'!$D$3="配方有效",'03_全链计算'!E17*$D18/'01_数值调参'!E9,"待修正")</x:f>
        <x:v>0</x:v>
      </x:c>
      <x:c r="F18" s="101" t="n">
        <x:f>IF('01_数值调参'!$D$3="配方有效",'03_全链计算'!F17*$D18/'01_数值调参'!F9,"待修正")</x:f>
        <x:v>0</x:v>
      </x:c>
      <x:c r="G18" s="101" t="n">
        <x:f>IF('01_数值调参'!$D$3="配方有效",'03_全链计算'!G17*$D18/'01_数值调参'!G9,"待修正")</x:f>
        <x:v>0</x:v>
      </x:c>
      <x:c r="H18" s="101" t="n">
        <x:f>IF('01_数值调参'!$D$3="配方有效",'03_全链计算'!H17*$D18/'01_数值调参'!H9,"待修正")</x:f>
        <x:v>0</x:v>
      </x:c>
      <x:c r="I18" s="101" t="n">
        <x:f>IF('01_数值调参'!$D$3="配方有效",'03_全链计算'!I17*$D18/'01_数值调参'!I9,"待修正")</x:f>
        <x:v>0</x:v>
      </x:c>
      <x:c r="J18" s="101" t="n">
        <x:f>IF('01_数值调参'!$D$3="配方有效",'03_全链计算'!J17*$D18/'01_数值调参'!J9,"待修正")</x:f>
        <x:v>0</x:v>
      </x:c>
      <x:c r="K18" s="101" t="n">
        <x:f>IF('01_数值调参'!$D$3="配方有效",'03_全链计算'!K17*$D18/'01_数值调参'!K9,"待修正")</x:f>
        <x:v>0</x:v>
      </x:c>
      <x:c r="L18" s="101" t="n">
        <x:f>IF('01_数值调参'!$D$3="配方有效",'03_全链计算'!L17*$D18/'01_数值调参'!L9,"待修正")</x:f>
        <x:v>0</x:v>
      </x:c>
      <x:c r="M18" s="101" t="n">
        <x:f>IF('01_数值调参'!$D$3="配方有效",'03_全链计算'!M17*$D18/'01_数值调参'!M9,"待修正")</x:f>
        <x:v>0</x:v>
      </x:c>
      <x:c r="N18" s="102" t="n">
        <x:f>IF('01_数值调参'!$D$3="配方有效",'03_全链计算'!N17*$D18/'01_数值调参'!N9,"待修正")</x:f>
        <x:v>0</x:v>
      </x:c>
      <x:c r="O18" s="101" t="n">
        <x:f>IF('01_数值调参'!$D$3="配方有效",'03_全链计算'!O17*$D18/'01_数值调参'!O9,"待修正")</x:f>
        <x:v>1</x:v>
      </x:c>
      <x:c r="P18" s="101" t="n">
        <x:f>IF('01_数值调参'!$D$3="配方有效",'03_全链计算'!P17*$D18/'01_数值调参'!P9,"待修正")</x:f>
        <x:v>0</x:v>
      </x:c>
      <x:c r="Q18" s="101" t="n">
        <x:f>IF('01_数值调参'!$D$3="配方有效",'03_全链计算'!Q17*$D18/'01_数值调参'!Q9,"待修正")</x:f>
        <x:v>0</x:v>
      </x:c>
      <x:c r="R18" s="101" t="n">
        <x:f>IF('01_数值调参'!$D$3="配方有效",'03_全链计算'!R17*$D18/'01_数值调参'!R9,"待修正")</x:f>
        <x:v>0</x:v>
      </x:c>
      <x:c r="S18" s="102" t="n">
        <x:f>IF('01_数值调参'!$D$3="配方有效",'03_全链计算'!S17*$D18/'01_数值调参'!S9,"待修正")</x:f>
        <x:v>0</x:v>
      </x:c>
      <x:c r="T18" s="101" t="n">
        <x:f>IF('01_数值调参'!$D$3="配方有效",'03_全链计算'!T17*$D18/'01_数值调参'!T9,"待修正")</x:f>
        <x:v>0</x:v>
      </x:c>
      <x:c r="U18" s="101" t="n">
        <x:f>IF('01_数值调参'!$D$3="配方有效",'03_全链计算'!U17*$D18/'01_数值调参'!U9,"待修正")</x:f>
        <x:v>0</x:v>
      </x:c>
      <x:c r="V18" s="101" t="n">
        <x:f>IF('01_数值调参'!$D$3="配方有效",'03_全链计算'!V17*$D18/'01_数值调参'!V9,"待修正")</x:f>
        <x:v>0</x:v>
      </x:c>
      <x:c r="W18" s="101" t="n">
        <x:f>IF('01_数值调参'!$D$3="配方有效",'03_全链计算'!W17*$D18/'01_数值调参'!W9,"待修正")</x:f>
        <x:v>0</x:v>
      </x:c>
      <x:c r="X18" s="102" t="n">
        <x:f>IF('01_数值调参'!$D$3="配方有效",'03_全链计算'!X17*$D18/'01_数值调参'!X9,"待修正")</x:f>
        <x:v>0</x:v>
      </x:c>
      <x:c r="Y18" s="101" t="n">
        <x:f>IF('01_数值调参'!$D$3="配方有效",'03_全链计算'!Y17*$D18/'01_数值调参'!Y9,"待修正")</x:f>
        <x:v>0.2222222222222222</x:v>
      </x:c>
      <x:c r="Z18" s="101" t="n">
        <x:f>IF('01_数值调参'!$D$3="配方有效",'03_全链计算'!Z17*$D18/'01_数值调参'!Z9,"待修正")</x:f>
        <x:v>0</x:v>
      </x:c>
      <x:c r="AA18" s="101" t="n">
        <x:f>IF('01_数值调参'!$D$3="配方有效",'03_全链计算'!AA17*$D18/'01_数值调参'!AA9,"待修正")</x:f>
        <x:v>0.08333333333333333</x:v>
      </x:c>
      <x:c r="AB18" s="101" t="n">
        <x:f>IF('01_数值调参'!$D$3="配方有效",'03_全链计算'!AB17*$D18/'01_数值调参'!AB9,"待修正")</x:f>
        <x:v>0</x:v>
      </x:c>
      <x:c r="AC18" s="101" t="n">
        <x:f>IF('01_数值调参'!$D$3="配方有效",'03_全链计算'!AC17*$D18/'01_数值调参'!AC9,"待修正")</x:f>
        <x:v>0</x:v>
      </x:c>
      <x:c r="AD18" s="102" t="n">
        <x:f>IF('01_数值调参'!$D$3="配方有效",'03_全链计算'!AD17*$D18/'01_数值调参'!AD9,"待修正")</x:f>
        <x:v>0</x:v>
      </x:c>
      <x:c r="AE18" s="101" t="n">
        <x:f>IF('01_数值调参'!$D$3="配方有效",'03_全链计算'!AE17*$D18/'01_数值调参'!AE9,"待修正")</x:f>
        <x:v>0</x:v>
      </x:c>
      <x:c r="AF18" s="101" t="n">
        <x:f>IF('01_数值调参'!$D$3="配方有效",'03_全链计算'!AF17*$D18/'01_数值调参'!AF9,"待修正")</x:f>
        <x:v>0</x:v>
      </x:c>
      <x:c r="AG18" s="101" t="n">
        <x:f>IF('01_数值调参'!$D$3="配方有效",'03_全链计算'!AG17*$D18/'01_数值调参'!AG9,"待修正")</x:f>
        <x:v>0</x:v>
      </x:c>
      <x:c r="AH18" s="102" t="n">
        <x:f>IF('01_数值调参'!$D$3="配方有效",'03_全链计算'!AH17*$D18/'01_数值调参'!AH9,"待修正")</x:f>
        <x:v>0</x:v>
      </x:c>
      <x:c r="AI18" s="101" t="n">
        <x:f>IF('01_数值调参'!$D$3="配方有效",'03_全链计算'!AI17*$D18/'01_数值调参'!AI9,"待修正")</x:f>
        <x:v>0</x:v>
      </x:c>
      <x:c r="AJ18" s="101" t="n">
        <x:f>IF('01_数值调参'!$D$3="配方有效",'03_全链计算'!AJ17*$D18/'01_数值调参'!AJ9,"待修正")</x:f>
        <x:v>0</x:v>
      </x:c>
      <x:c r="AK18" s="101" t="n">
        <x:f>IF('01_数值调参'!$D$3="配方有效",'03_全链计算'!AK17*$D18/'01_数值调参'!AK9,"待修正")</x:f>
        <x:v>0</x:v>
      </x:c>
      <x:c r="AL18" s="101" t="n">
        <x:f>IF('01_数值调参'!$D$3="配方有效",'03_全链计算'!AL17*$D18/'01_数值调参'!AL9,"待修正")</x:f>
        <x:v>0</x:v>
      </x:c>
      <x:c r="AM18" s="101" t="n">
        <x:f>IF('01_数值调参'!$D$3="配方有效",'03_全链计算'!AM17*$D18/'01_数值调参'!AM9,"待修正")</x:f>
        <x:v>0.05555555555555555</x:v>
      </x:c>
    </x:row>
    <x:row r="19" ht="22" customHeight="1">
      <x:c r="A19" s="43" t="n">
        <x:v>12</x:v>
      </x:c>
      <x:c r="B19" s="43" t="str">
        <x:v>绒香粉</x:v>
      </x:c>
      <x:c r="C19" s="43" t="str">
        <x:v>研磨机</x:v>
      </x:c>
      <x:c r="D19" s="43" t="n">
        <x:f>'01_数值调参'!P9</x:f>
        <x:v>20</x:v>
      </x:c>
      <x:c r="E19" s="101" t="n">
        <x:f>IF('01_数值调参'!$D$3="配方有效",'03_全链计算'!E18*$D19/'01_数值调参'!E9,"待修正")</x:f>
        <x:v>0</x:v>
      </x:c>
      <x:c r="F19" s="101" t="n">
        <x:f>IF('01_数值调参'!$D$3="配方有效",'03_全链计算'!F18*$D19/'01_数值调参'!F9,"待修正")</x:f>
        <x:v>0</x:v>
      </x:c>
      <x:c r="G19" s="101" t="n">
        <x:f>IF('01_数值调参'!$D$3="配方有效",'03_全链计算'!G18*$D19/'01_数值调参'!G9,"待修正")</x:f>
        <x:v>0</x:v>
      </x:c>
      <x:c r="H19" s="101" t="n">
        <x:f>IF('01_数值调参'!$D$3="配方有效",'03_全链计算'!H18*$D19/'01_数值调参'!H9,"待修正")</x:f>
        <x:v>0</x:v>
      </x:c>
      <x:c r="I19" s="101" t="n">
        <x:f>IF('01_数值调参'!$D$3="配方有效",'03_全链计算'!I18*$D19/'01_数值调参'!I9,"待修正")</x:f>
        <x:v>0</x:v>
      </x:c>
      <x:c r="J19" s="101" t="n">
        <x:f>IF('01_数值调参'!$D$3="配方有效",'03_全链计算'!J18*$D19/'01_数值调参'!J9,"待修正")</x:f>
        <x:v>0</x:v>
      </x:c>
      <x:c r="K19" s="101" t="n">
        <x:f>IF('01_数值调参'!$D$3="配方有效",'03_全链计算'!K18*$D19/'01_数值调参'!K9,"待修正")</x:f>
        <x:v>0</x:v>
      </x:c>
      <x:c r="L19" s="101" t="n">
        <x:f>IF('01_数值调参'!$D$3="配方有效",'03_全链计算'!L18*$D19/'01_数值调参'!L9,"待修正")</x:f>
        <x:v>0</x:v>
      </x:c>
      <x:c r="M19" s="101" t="n">
        <x:f>IF('01_数值调参'!$D$3="配方有效",'03_全链计算'!M18*$D19/'01_数值调参'!M9,"待修正")</x:f>
        <x:v>0</x:v>
      </x:c>
      <x:c r="N19" s="102" t="n">
        <x:f>IF('01_数值调参'!$D$3="配方有效",'03_全链计算'!N18*$D19/'01_数值调参'!N9,"待修正")</x:f>
        <x:v>0</x:v>
      </x:c>
      <x:c r="O19" s="101" t="n">
        <x:f>IF('01_数值调参'!$D$3="配方有效",'03_全链计算'!O18*$D19/'01_数值调参'!O9,"待修正")</x:f>
        <x:v>0</x:v>
      </x:c>
      <x:c r="P19" s="101" t="n">
        <x:f>IF('01_数值调参'!$D$3="配方有效",'03_全链计算'!P18*$D19/'01_数值调参'!P9,"待修正")</x:f>
        <x:v>1</x:v>
      </x:c>
      <x:c r="Q19" s="101" t="n">
        <x:f>IF('01_数值调参'!$D$3="配方有效",'03_全链计算'!Q18*$D19/'01_数值调参'!Q9,"待修正")</x:f>
        <x:v>0</x:v>
      </x:c>
      <x:c r="R19" s="101" t="n">
        <x:f>IF('01_数值调参'!$D$3="配方有效",'03_全链计算'!R18*$D19/'01_数值调参'!R9,"待修正")</x:f>
        <x:v>0</x:v>
      </x:c>
      <x:c r="S19" s="102" t="n">
        <x:f>IF('01_数值调参'!$D$3="配方有效",'03_全链计算'!S18*$D19/'01_数值调参'!S9,"待修正")</x:f>
        <x:v>0</x:v>
      </x:c>
      <x:c r="T19" s="101" t="n">
        <x:f>IF('01_数值调参'!$D$3="配方有效",'03_全链计算'!T18*$D19/'01_数值调参'!T9,"待修正")</x:f>
        <x:v>0</x:v>
      </x:c>
      <x:c r="U19" s="101" t="n">
        <x:f>IF('01_数值调参'!$D$3="配方有效",'03_全链计算'!U18*$D19/'01_数值调参'!U9,"待修正")</x:f>
        <x:v>0</x:v>
      </x:c>
      <x:c r="V19" s="101" t="n">
        <x:f>IF('01_数值调参'!$D$3="配方有效",'03_全链计算'!V18*$D19/'01_数值调参'!V9,"待修正")</x:f>
        <x:v>0</x:v>
      </x:c>
      <x:c r="W19" s="101" t="n">
        <x:f>IF('01_数值调参'!$D$3="配方有效",'03_全链计算'!W18*$D19/'01_数值调参'!W9,"待修正")</x:f>
        <x:v>0</x:v>
      </x:c>
      <x:c r="X19" s="102" t="n">
        <x:f>IF('01_数值调参'!$D$3="配方有效",'03_全链计算'!X18*$D19/'01_数值调参'!X9,"待修正")</x:f>
        <x:v>0</x:v>
      </x:c>
      <x:c r="Y19" s="101" t="n">
        <x:f>IF('01_数值调参'!$D$3="配方有效",'03_全链计算'!Y18*$D19/'01_数值调参'!Y9,"待修正")</x:f>
        <x:v>0</x:v>
      </x:c>
      <x:c r="Z19" s="101" t="n">
        <x:f>IF('01_数值调参'!$D$3="配方有效",'03_全链计算'!Z18*$D19/'01_数值调参'!Z9,"待修正")</x:f>
        <x:v>0</x:v>
      </x:c>
      <x:c r="AA19" s="101" t="n">
        <x:f>IF('01_数值调参'!$D$3="配方有效",'03_全链计算'!AA18*$D19/'01_数值调参'!AA9,"待修正")</x:f>
        <x:v>0</x:v>
      </x:c>
      <x:c r="AB19" s="101" t="n">
        <x:f>IF('01_数值调参'!$D$3="配方有效",'03_全链计算'!AB18*$D19/'01_数值调参'!AB9,"待修正")</x:f>
        <x:v>0</x:v>
      </x:c>
      <x:c r="AC19" s="101" t="n">
        <x:f>IF('01_数值调参'!$D$3="配方有效",'03_全链计算'!AC18*$D19/'01_数值调参'!AC9,"待修正")</x:f>
        <x:v>0</x:v>
      </x:c>
      <x:c r="AD19" s="102" t="n">
        <x:f>IF('01_数值调参'!$D$3="配方有效",'03_全链计算'!AD18*$D19/'01_数值调参'!AD9,"待修正")</x:f>
        <x:v>0</x:v>
      </x:c>
      <x:c r="AE19" s="101" t="n">
        <x:f>IF('01_数值调参'!$D$3="配方有效",'03_全链计算'!AE18*$D19/'01_数值调参'!AE9,"待修正")</x:f>
        <x:v>0</x:v>
      </x:c>
      <x:c r="AF19" s="101" t="n">
        <x:f>IF('01_数值调参'!$D$3="配方有效",'03_全链计算'!AF18*$D19/'01_数值调参'!AF9,"待修正")</x:f>
        <x:v>0</x:v>
      </x:c>
      <x:c r="AG19" s="101" t="n">
        <x:f>IF('01_数值调参'!$D$3="配方有效",'03_全链计算'!AG18*$D19/'01_数值调参'!AG9,"待修正")</x:f>
        <x:v>0</x:v>
      </x:c>
      <x:c r="AH19" s="102" t="n">
        <x:f>IF('01_数值调参'!$D$3="配方有效",'03_全链计算'!AH18*$D19/'01_数值调参'!AH9,"待修正")</x:f>
        <x:v>0.4444444444444444</x:v>
      </x:c>
      <x:c r="AI19" s="101" t="n">
        <x:f>IF('01_数值调参'!$D$3="配方有效",'03_全链计算'!AI18*$D19/'01_数值调参'!AI9,"待修正")</x:f>
        <x:v>0.3333333333333333</x:v>
      </x:c>
      <x:c r="AJ19" s="101" t="n">
        <x:f>IF('01_数值调参'!$D$3="配方有效",'03_全链计算'!AJ18*$D19/'01_数值调参'!AJ9,"待修正")</x:f>
        <x:v>0</x:v>
      </x:c>
      <x:c r="AK19" s="101" t="n">
        <x:f>IF('01_数值调参'!$D$3="配方有效",'03_全链计算'!AK18*$D19/'01_数值调参'!AK9,"待修正")</x:f>
        <x:v>0</x:v>
      </x:c>
      <x:c r="AL19" s="101" t="n">
        <x:f>IF('01_数值调参'!$D$3="配方有效",'03_全链计算'!AL18*$D19/'01_数值调参'!AL9,"待修正")</x:f>
        <x:v>0.13333333333333333</x:v>
      </x:c>
      <x:c r="AM19" s="101" t="n">
        <x:f>IF('01_数值调参'!$D$3="配方有效",'03_全链计算'!AM18*$D19/'01_数值调参'!AM9,"待修正")</x:f>
        <x:v>0</x:v>
      </x:c>
    </x:row>
    <x:row r="20" ht="22" customHeight="1">
      <x:c r="A20" s="43" t="n">
        <x:v>22</x:v>
      </x:c>
      <x:c r="B20" s="43" t="str">
        <x:v>云朵香粉</x:v>
      </x:c>
      <x:c r="C20" s="43" t="str">
        <x:v>研磨机</x:v>
      </x:c>
      <x:c r="D20" s="43" t="n">
        <x:f>'01_数值调参'!Q9</x:f>
        <x:v>30</x:v>
      </x:c>
      <x:c r="E20" s="101" t="n">
        <x:f>IF('01_数值调参'!$D$3="配方有效",'03_全链计算'!E19*$D20/'01_数值调参'!E9,"待修正")</x:f>
        <x:v>0</x:v>
      </x:c>
      <x:c r="F20" s="101" t="n">
        <x:f>IF('01_数值调参'!$D$3="配方有效",'03_全链计算'!F19*$D20/'01_数值调参'!F9,"待修正")</x:f>
        <x:v>0</x:v>
      </x:c>
      <x:c r="G20" s="101" t="n">
        <x:f>IF('01_数值调参'!$D$3="配方有效",'03_全链计算'!G19*$D20/'01_数值调参'!G9,"待修正")</x:f>
        <x:v>0</x:v>
      </x:c>
      <x:c r="H20" s="101" t="n">
        <x:f>IF('01_数值调参'!$D$3="配方有效",'03_全链计算'!H19*$D20/'01_数值调参'!H9,"待修正")</x:f>
        <x:v>0</x:v>
      </x:c>
      <x:c r="I20" s="101" t="n">
        <x:f>IF('01_数值调参'!$D$3="配方有效",'03_全链计算'!I19*$D20/'01_数值调参'!I9,"待修正")</x:f>
        <x:v>0</x:v>
      </x:c>
      <x:c r="J20" s="101" t="n">
        <x:f>IF('01_数值调参'!$D$3="配方有效",'03_全链计算'!J19*$D20/'01_数值调参'!J9,"待修正")</x:f>
        <x:v>0</x:v>
      </x:c>
      <x:c r="K20" s="101" t="n">
        <x:f>IF('01_数值调参'!$D$3="配方有效",'03_全链计算'!K19*$D20/'01_数值调参'!K9,"待修正")</x:f>
        <x:v>0</x:v>
      </x:c>
      <x:c r="L20" s="101" t="n">
        <x:f>IF('01_数值调参'!$D$3="配方有效",'03_全链计算'!L19*$D20/'01_数值调参'!L9,"待修正")</x:f>
        <x:v>0</x:v>
      </x:c>
      <x:c r="M20" s="101" t="n">
        <x:f>IF('01_数值调参'!$D$3="配方有效",'03_全链计算'!M19*$D20/'01_数值调参'!M9,"待修正")</x:f>
        <x:v>0</x:v>
      </x:c>
      <x:c r="N20" s="102" t="n">
        <x:f>IF('01_数值调参'!$D$3="配方有效",'03_全链计算'!N19*$D20/'01_数值调参'!N9,"待修正")</x:f>
        <x:v>0</x:v>
      </x:c>
      <x:c r="O20" s="101" t="n">
        <x:f>IF('01_数值调参'!$D$3="配方有效",'03_全链计算'!O19*$D20/'01_数值调参'!O9,"待修正")</x:f>
        <x:v>0</x:v>
      </x:c>
      <x:c r="P20" s="101" t="n">
        <x:f>IF('01_数值调参'!$D$3="配方有效",'03_全链计算'!P19*$D20/'01_数值调参'!P9,"待修正")</x:f>
        <x:v>0</x:v>
      </x:c>
      <x:c r="Q20" s="101" t="n">
        <x:f>IF('01_数值调参'!$D$3="配方有效",'03_全链计算'!Q19*$D20/'01_数值调参'!Q9,"待修正")</x:f>
        <x:v>1</x:v>
      </x:c>
      <x:c r="R20" s="101" t="n">
        <x:f>IF('01_数值调参'!$D$3="配方有效",'03_全链计算'!R19*$D20/'01_数值调参'!R9,"待修正")</x:f>
        <x:v>0</x:v>
      </x:c>
      <x:c r="S20" s="102" t="n">
        <x:f>IF('01_数值调参'!$D$3="配方有效",'03_全链计算'!S19*$D20/'01_数值调参'!S9,"待修正")</x:f>
        <x:v>0</x:v>
      </x:c>
      <x:c r="T20" s="101" t="n">
        <x:f>IF('01_数值调参'!$D$3="配方有效",'03_全链计算'!T19*$D20/'01_数值调参'!T9,"待修正")</x:f>
        <x:v>0</x:v>
      </x:c>
      <x:c r="U20" s="101" t="n">
        <x:f>IF('01_数值调参'!$D$3="配方有效",'03_全链计算'!U19*$D20/'01_数值调参'!U9,"待修正")</x:f>
        <x:v>0</x:v>
      </x:c>
      <x:c r="V20" s="101" t="n">
        <x:f>IF('01_数值调参'!$D$3="配方有效",'03_全链计算'!V19*$D20/'01_数值调参'!V9,"待修正")</x:f>
        <x:v>0</x:v>
      </x:c>
      <x:c r="W20" s="101" t="n">
        <x:f>IF('01_数值调参'!$D$3="配方有效",'03_全链计算'!W19*$D20/'01_数值调参'!W9,"待修正")</x:f>
        <x:v>0</x:v>
      </x:c>
      <x:c r="X20" s="102" t="n">
        <x:f>IF('01_数值调参'!$D$3="配方有效",'03_全链计算'!X19*$D20/'01_数值调参'!X9,"待修正")</x:f>
        <x:v>0</x:v>
      </x:c>
      <x:c r="Y20" s="101" t="n">
        <x:f>IF('01_数值调参'!$D$3="配方有效",'03_全链计算'!Y19*$D20/'01_数值调参'!Y9,"待修正")</x:f>
        <x:v>0</x:v>
      </x:c>
      <x:c r="Z20" s="101" t="n">
        <x:f>IF('01_数值调参'!$D$3="配方有效",'03_全链计算'!Z19*$D20/'01_数值调参'!Z9,"待修正")</x:f>
        <x:v>0</x:v>
      </x:c>
      <x:c r="AA20" s="101" t="n">
        <x:f>IF('01_数值调参'!$D$3="配方有效",'03_全链计算'!AA19*$D20/'01_数值调参'!AA9,"待修正")</x:f>
        <x:v>0</x:v>
      </x:c>
      <x:c r="AB20" s="101" t="n">
        <x:f>IF('01_数值调参'!$D$3="配方有效",'03_全链计算'!AB19*$D20/'01_数值调参'!AB9,"待修正")</x:f>
        <x:v>0</x:v>
      </x:c>
      <x:c r="AC20" s="101" t="n">
        <x:f>IF('01_数值调参'!$D$3="配方有效",'03_全链计算'!AC19*$D20/'01_数值调参'!AC9,"待修正")</x:f>
        <x:v>0</x:v>
      </x:c>
      <x:c r="AD20" s="102" t="n">
        <x:f>IF('01_数值调参'!$D$3="配方有效",'03_全链计算'!AD19*$D20/'01_数值调参'!AD9,"待修正")</x:f>
        <x:v>0</x:v>
      </x:c>
      <x:c r="AE20" s="101" t="n">
        <x:f>IF('01_数值调参'!$D$3="配方有效",'03_全链计算'!AE19*$D20/'01_数值调参'!AE9,"待修正")</x:f>
        <x:v>0</x:v>
      </x:c>
      <x:c r="AF20" s="101" t="n">
        <x:f>IF('01_数值调参'!$D$3="配方有效",'03_全链计算'!AF19*$D20/'01_数值调参'!AF9,"待修正")</x:f>
        <x:v>0</x:v>
      </x:c>
      <x:c r="AG20" s="101" t="n">
        <x:f>IF('01_数值调参'!$D$3="配方有效",'03_全链计算'!AG19*$D20/'01_数值调参'!AG9,"待修正")</x:f>
        <x:v>0</x:v>
      </x:c>
      <x:c r="AH20" s="102" t="n">
        <x:f>IF('01_数值调参'!$D$3="配方有效",'03_全链计算'!AH19*$D20/'01_数值调参'!AH9,"待修正")</x:f>
        <x:v>0</x:v>
      </x:c>
      <x:c r="AI20" s="101" t="n">
        <x:f>IF('01_数值调参'!$D$3="配方有效",'03_全链计算'!AI19*$D20/'01_数值调参'!AI9,"待修正")</x:f>
        <x:v>0</x:v>
      </x:c>
      <x:c r="AJ20" s="101" t="n">
        <x:f>IF('01_数值调参'!$D$3="配方有效",'03_全链计算'!AJ19*$D20/'01_数值调参'!AJ9,"待修正")</x:f>
        <x:v>0</x:v>
      </x:c>
      <x:c r="AK20" s="101" t="n">
        <x:f>IF('01_数值调参'!$D$3="配方有效",'03_全链计算'!AK19*$D20/'01_数值调参'!AK9,"待修正")</x:f>
        <x:v>0.25</x:v>
      </x:c>
      <x:c r="AL20" s="101" t="n">
        <x:f>IF('01_数值调参'!$D$3="配方有效",'03_全链计算'!AL19*$D20/'01_数值调参'!AL9,"待修正")</x:f>
        <x:v>0</x:v>
      </x:c>
      <x:c r="AM20" s="101" t="n">
        <x:f>IF('01_数值调参'!$D$3="配方有效",'03_全链计算'!AM19*$D20/'01_数值调参'!AM9,"待修正")</x:f>
        <x:v>0</x:v>
      </x:c>
    </x:row>
    <x:row r="21" ht="22" customHeight="1">
      <x:c r="A21" s="43" t="n">
        <x:v>33</x:v>
      </x:c>
      <x:c r="B21" s="43" t="str">
        <x:v>乌云绒团</x:v>
      </x:c>
      <x:c r="C21" s="43" t="str">
        <x:v>研磨机</x:v>
      </x:c>
      <x:c r="D21" s="43" t="n">
        <x:f>'01_数值调参'!R9</x:f>
        <x:v>60</x:v>
      </x:c>
      <x:c r="E21" s="101" t="n">
        <x:f>IF('01_数值调参'!$D$3="配方有效",'03_全链计算'!E20*$D21/'01_数值调参'!E9,"待修正")</x:f>
        <x:v>0</x:v>
      </x:c>
      <x:c r="F21" s="101" t="n">
        <x:f>IF('01_数值调参'!$D$3="配方有效",'03_全链计算'!F20*$D21/'01_数值调参'!F9,"待修正")</x:f>
        <x:v>0</x:v>
      </x:c>
      <x:c r="G21" s="101" t="n">
        <x:f>IF('01_数值调参'!$D$3="配方有效",'03_全链计算'!G20*$D21/'01_数值调参'!G9,"待修正")</x:f>
        <x:v>0</x:v>
      </x:c>
      <x:c r="H21" s="101" t="n">
        <x:f>IF('01_数值调参'!$D$3="配方有效",'03_全链计算'!H20*$D21/'01_数值调参'!H9,"待修正")</x:f>
        <x:v>0</x:v>
      </x:c>
      <x:c r="I21" s="101" t="n">
        <x:f>IF('01_数值调参'!$D$3="配方有效",'03_全链计算'!I20*$D21/'01_数值调参'!I9,"待修正")</x:f>
        <x:v>0</x:v>
      </x:c>
      <x:c r="J21" s="101" t="n">
        <x:f>IF('01_数值调参'!$D$3="配方有效",'03_全链计算'!J20*$D21/'01_数值调参'!J9,"待修正")</x:f>
        <x:v>0</x:v>
      </x:c>
      <x:c r="K21" s="101" t="n">
        <x:f>IF('01_数值调参'!$D$3="配方有效",'03_全链计算'!K20*$D21/'01_数值调参'!K9,"待修正")</x:f>
        <x:v>0</x:v>
      </x:c>
      <x:c r="L21" s="101" t="n">
        <x:f>IF('01_数值调参'!$D$3="配方有效",'03_全链计算'!L20*$D21/'01_数值调参'!L9,"待修正")</x:f>
        <x:v>0</x:v>
      </x:c>
      <x:c r="M21" s="101" t="n">
        <x:f>IF('01_数值调参'!$D$3="配方有效",'03_全链计算'!M20*$D21/'01_数值调参'!M9,"待修正")</x:f>
        <x:v>0</x:v>
      </x:c>
      <x:c r="N21" s="102" t="n">
        <x:f>IF('01_数值调参'!$D$3="配方有效",'03_全链计算'!N20*$D21/'01_数值调参'!N9,"待修正")</x:f>
        <x:v>0</x:v>
      </x:c>
      <x:c r="O21" s="101" t="n">
        <x:f>IF('01_数值调参'!$D$3="配方有效",'03_全链计算'!O20*$D21/'01_数值调参'!O9,"待修正")</x:f>
        <x:v>0</x:v>
      </x:c>
      <x:c r="P21" s="101" t="n">
        <x:f>IF('01_数值调参'!$D$3="配方有效",'03_全链计算'!P20*$D21/'01_数值调参'!P9,"待修正")</x:f>
        <x:v>0</x:v>
      </x:c>
      <x:c r="Q21" s="101" t="n">
        <x:f>IF('01_数值调参'!$D$3="配方有效",'03_全链计算'!Q20*$D21/'01_数值调参'!Q9,"待修正")</x:f>
        <x:v>0</x:v>
      </x:c>
      <x:c r="R21" s="101" t="n">
        <x:f>IF('01_数值调参'!$D$3="配方有效",'03_全链计算'!R20*$D21/'01_数值调参'!R9,"待修正")</x:f>
        <x:v>1</x:v>
      </x:c>
      <x:c r="S21" s="102" t="n">
        <x:f>IF('01_数值调参'!$D$3="配方有效",'03_全链计算'!S20*$D21/'01_数值调参'!S9,"待修正")</x:f>
        <x:v>0</x:v>
      </x:c>
      <x:c r="T21" s="101" t="n">
        <x:f>IF('01_数值调参'!$D$3="配方有效",'03_全链计算'!T20*$D21/'01_数值调参'!T9,"待修正")</x:f>
        <x:v>0</x:v>
      </x:c>
      <x:c r="U21" s="101" t="n">
        <x:f>IF('01_数值调参'!$D$3="配方有效",'03_全链计算'!U20*$D21/'01_数值调参'!U9,"待修正")</x:f>
        <x:v>0</x:v>
      </x:c>
      <x:c r="V21" s="101" t="n">
        <x:f>IF('01_数值调参'!$D$3="配方有效",'03_全链计算'!V20*$D21/'01_数值调参'!V9,"待修正")</x:f>
        <x:v>0</x:v>
      </x:c>
      <x:c r="W21" s="101" t="n">
        <x:f>IF('01_数值调参'!$D$3="配方有效",'03_全链计算'!W20*$D21/'01_数值调参'!W9,"待修正")</x:f>
        <x:v>0</x:v>
      </x:c>
      <x:c r="X21" s="102" t="n">
        <x:f>IF('01_数值调参'!$D$3="配方有效",'03_全链计算'!X20*$D21/'01_数值调参'!X9,"待修正")</x:f>
        <x:v>0</x:v>
      </x:c>
      <x:c r="Y21" s="101" t="n">
        <x:f>IF('01_数值调参'!$D$3="配方有效",'03_全链计算'!Y20*$D21/'01_数值调参'!Y9,"待修正")</x:f>
        <x:v>0</x:v>
      </x:c>
      <x:c r="Z21" s="101" t="n">
        <x:f>IF('01_数值调参'!$D$3="配方有效",'03_全链计算'!Z20*$D21/'01_数值调参'!Z9,"待修正")</x:f>
        <x:v>0</x:v>
      </x:c>
      <x:c r="AA21" s="101" t="n">
        <x:f>IF('01_数值调参'!$D$3="配方有效",'03_全链计算'!AA20*$D21/'01_数值调参'!AA9,"待修正")</x:f>
        <x:v>0</x:v>
      </x:c>
      <x:c r="AB21" s="101" t="n">
        <x:f>IF('01_数值调参'!$D$3="配方有效",'03_全链计算'!AB20*$D21/'01_数值调参'!AB9,"待修正")</x:f>
        <x:v>0</x:v>
      </x:c>
      <x:c r="AC21" s="101" t="n">
        <x:f>IF('01_数值调参'!$D$3="配方有效",'03_全链计算'!AC20*$D21/'01_数值调参'!AC9,"待修正")</x:f>
        <x:v>0</x:v>
      </x:c>
      <x:c r="AD21" s="102" t="n">
        <x:f>IF('01_数值调参'!$D$3="配方有效",'03_全链计算'!AD20*$D21/'01_数值调参'!AD9,"待修正")</x:f>
        <x:v>0</x:v>
      </x:c>
      <x:c r="AE21" s="101" t="n">
        <x:f>IF('01_数值调参'!$D$3="配方有效",'03_全链计算'!AE20*$D21/'01_数值调参'!AE9,"待修正")</x:f>
        <x:v>0</x:v>
      </x:c>
      <x:c r="AF21" s="101" t="n">
        <x:f>IF('01_数值调参'!$D$3="配方有效",'03_全链计算'!AF20*$D21/'01_数值调参'!AF9,"待修正")</x:f>
        <x:v>0</x:v>
      </x:c>
      <x:c r="AG21" s="101" t="n">
        <x:f>IF('01_数值调参'!$D$3="配方有效",'03_全链计算'!AG20*$D21/'01_数值调参'!AG9,"待修正")</x:f>
        <x:v>0</x:v>
      </x:c>
      <x:c r="AH21" s="102" t="n">
        <x:f>IF('01_数值调参'!$D$3="配方有效",'03_全链计算'!AH20*$D21/'01_数值调参'!AH9,"待修正")</x:f>
        <x:v>0</x:v>
      </x:c>
      <x:c r="AI21" s="101" t="n">
        <x:f>IF('01_数值调参'!$D$3="配方有效",'03_全链计算'!AI20*$D21/'01_数值调参'!AI9,"待修正")</x:f>
        <x:v>0</x:v>
      </x:c>
      <x:c r="AJ21" s="101" t="n">
        <x:f>IF('01_数值调参'!$D$3="配方有效",'03_全链计算'!AJ20*$D21/'01_数值调参'!AJ9,"待修正")</x:f>
        <x:v>0</x:v>
      </x:c>
      <x:c r="AK21" s="101" t="n">
        <x:f>IF('01_数值调参'!$D$3="配方有效",'03_全链计算'!AK20*$D21/'01_数值调参'!AK9,"待修正")</x:f>
        <x:v>0</x:v>
      </x:c>
      <x:c r="AL21" s="101" t="n">
        <x:f>IF('01_数值调参'!$D$3="配方有效",'03_全链计算'!AL20*$D21/'01_数值调参'!AL9,"待修正")</x:f>
        <x:v>0</x:v>
      </x:c>
      <x:c r="AM21" s="101" t="n">
        <x:f>IF('01_数值调参'!$D$3="配方有效",'03_全链计算'!AM20*$D21/'01_数值调参'!AM9,"待修正")</x:f>
        <x:v>0</x:v>
      </x:c>
    </x:row>
    <x:row r="22" ht="22" customHeight="1">
      <x:c r="A22" s="67" t="n">
        <x:v>6</x:v>
      </x:c>
      <x:c r="B22" s="67" t="str">
        <x:v>竹条</x:v>
      </x:c>
      <x:c r="C22" s="67" t="str">
        <x:v>切割机</x:v>
      </x:c>
      <x:c r="D22" s="67" t="n">
        <x:f>'01_数值调参'!S9</x:f>
        <x:v>10</x:v>
      </x:c>
      <x:c r="E22" s="103" t="n">
        <x:f>IF('01_数值调参'!$D$3="配方有效",'03_全链计算'!E21*$D22/'01_数值调参'!E9,"待修正")</x:f>
        <x:v>0</x:v>
      </x:c>
      <x:c r="F22" s="103" t="n">
        <x:f>IF('01_数值调参'!$D$3="配方有效",'03_全链计算'!F21*$D22/'01_数值调参'!F9,"待修正")</x:f>
        <x:v>0</x:v>
      </x:c>
      <x:c r="G22" s="103" t="n">
        <x:f>IF('01_数值调参'!$D$3="配方有效",'03_全链计算'!G21*$D22/'01_数值调参'!G9,"待修正")</x:f>
        <x:v>0</x:v>
      </x:c>
      <x:c r="H22" s="103" t="n">
        <x:f>IF('01_数值调参'!$D$3="配方有效",'03_全链计算'!H21*$D22/'01_数值调参'!H9,"待修正")</x:f>
        <x:v>0</x:v>
      </x:c>
      <x:c r="I22" s="103" t="n">
        <x:f>IF('01_数值调参'!$D$3="配方有效",'03_全链计算'!I21*$D22/'01_数值调参'!I9,"待修正")</x:f>
        <x:v>0</x:v>
      </x:c>
      <x:c r="J22" s="103" t="n">
        <x:f>IF('01_数值调参'!$D$3="配方有效",'03_全链计算'!J21*$D22/'01_数值调参'!J9,"待修正")</x:f>
        <x:v>0</x:v>
      </x:c>
      <x:c r="K22" s="103" t="n">
        <x:f>IF('01_数值调参'!$D$3="配方有效",'03_全链计算'!K21*$D22/'01_数值调参'!K9,"待修正")</x:f>
        <x:v>0</x:v>
      </x:c>
      <x:c r="L22" s="103" t="n">
        <x:f>IF('01_数值调参'!$D$3="配方有效",'03_全链计算'!L21*$D22/'01_数值调参'!L9,"待修正")</x:f>
        <x:v>0</x:v>
      </x:c>
      <x:c r="M22" s="103" t="n">
        <x:f>IF('01_数值调参'!$D$3="配方有效",'03_全链计算'!M21*$D22/'01_数值调参'!M9,"待修正")</x:f>
        <x:v>0</x:v>
      </x:c>
      <x:c r="N22" s="104" t="n">
        <x:f>IF('01_数值调参'!$D$3="配方有效",'03_全链计算'!N21*$D22/'01_数值调参'!N9,"待修正")</x:f>
        <x:v>0</x:v>
      </x:c>
      <x:c r="O22" s="103" t="n">
        <x:f>IF('01_数值调参'!$D$3="配方有效",'03_全链计算'!O21*$D22/'01_数值调参'!O9,"待修正")</x:f>
        <x:v>0</x:v>
      </x:c>
      <x:c r="P22" s="103" t="n">
        <x:f>IF('01_数值调参'!$D$3="配方有效",'03_全链计算'!P21*$D22/'01_数值调参'!P9,"待修正")</x:f>
        <x:v>0</x:v>
      </x:c>
      <x:c r="Q22" s="103" t="n">
        <x:f>IF('01_数值调参'!$D$3="配方有效",'03_全链计算'!Q21*$D22/'01_数值调参'!Q9,"待修正")</x:f>
        <x:v>0</x:v>
      </x:c>
      <x:c r="R22" s="103" t="n">
        <x:f>IF('01_数值调参'!$D$3="配方有效",'03_全链计算'!R21*$D22/'01_数值调参'!R9,"待修正")</x:f>
        <x:v>0</x:v>
      </x:c>
      <x:c r="S22" s="104" t="n">
        <x:f>IF('01_数值调参'!$D$3="配方有效",'03_全链计算'!S21*$D22/'01_数值调参'!S9,"待修正")</x:f>
        <x:v>1</x:v>
      </x:c>
      <x:c r="T22" s="103" t="n">
        <x:f>IF('01_数值调参'!$D$3="配方有效",'03_全链计算'!T21*$D22/'01_数值调参'!T9,"待修正")</x:f>
        <x:v>0</x:v>
      </x:c>
      <x:c r="U22" s="103" t="n">
        <x:f>IF('01_数值调参'!$D$3="配方有效",'03_全链计算'!U21*$D22/'01_数值调参'!U9,"待修正")</x:f>
        <x:v>0</x:v>
      </x:c>
      <x:c r="V22" s="103" t="n">
        <x:f>IF('01_数值调参'!$D$3="配方有效",'03_全链计算'!V21*$D22/'01_数值调参'!V9,"待修正")</x:f>
        <x:v>0</x:v>
      </x:c>
      <x:c r="W22" s="103" t="n">
        <x:f>IF('01_数值调参'!$D$3="配方有效",'03_全链计算'!W21*$D22/'01_数值调参'!W9,"待修正")</x:f>
        <x:v>0</x:v>
      </x:c>
      <x:c r="X22" s="104" t="n">
        <x:f>IF('01_数值调参'!$D$3="配方有效",'03_全链计算'!X21*$D22/'01_数值调参'!X9,"待修正")</x:f>
        <x:v>0.3333333333333333</x:v>
      </x:c>
      <x:c r="Y22" s="103" t="n">
        <x:f>IF('01_数值调参'!$D$3="配方有效",'03_全链计算'!Y21*$D22/'01_数值调参'!Y9,"待修正")</x:f>
        <x:v>0</x:v>
      </x:c>
      <x:c r="Z22" s="103" t="n">
        <x:f>IF('01_数值调参'!$D$3="配方有效",'03_全链计算'!Z21*$D22/'01_数值调参'!Z9,"待修正")</x:f>
        <x:v>0</x:v>
      </x:c>
      <x:c r="AA22" s="103" t="n">
        <x:f>IF('01_数值调参'!$D$3="配方有效",'03_全链计算'!AA21*$D22/'01_数值调参'!AA9,"待修正")</x:f>
        <x:v>0</x:v>
      </x:c>
      <x:c r="AB22" s="103" t="n">
        <x:f>IF('01_数值调参'!$D$3="配方有效",'03_全链计算'!AB21*$D22/'01_数值调参'!AB9,"待修正")</x:f>
        <x:v>0</x:v>
      </x:c>
      <x:c r="AC22" s="103" t="n">
        <x:f>IF('01_数值调参'!$D$3="配方有效",'03_全链计算'!AC21*$D22/'01_数值调参'!AC9,"待修正")</x:f>
        <x:v>0</x:v>
      </x:c>
      <x:c r="AD22" s="104" t="n">
        <x:f>IF('01_数值调参'!$D$3="配方有效",'03_全链计算'!AD21*$D22/'01_数值调参'!AD9,"待修正")</x:f>
        <x:v>0</x:v>
      </x:c>
      <x:c r="AE22" s="103" t="n">
        <x:f>IF('01_数值调参'!$D$3="配方有效",'03_全链计算'!AE21*$D22/'01_数值调参'!AE9,"待修正")</x:f>
        <x:v>0</x:v>
      </x:c>
      <x:c r="AF22" s="103" t="n">
        <x:f>IF('01_数值调参'!$D$3="配方有效",'03_全链计算'!AF21*$D22/'01_数值调参'!AF9,"待修正")</x:f>
        <x:v>0</x:v>
      </x:c>
      <x:c r="AG22" s="103" t="n">
        <x:f>IF('01_数值调参'!$D$3="配方有效",'03_全链计算'!AG21*$D22/'01_数值调参'!AG9,"待修正")</x:f>
        <x:v>0</x:v>
      </x:c>
      <x:c r="AH22" s="104" t="n">
        <x:f>IF('01_数值调参'!$D$3="配方有效",'03_全链计算'!AH21*$D22/'01_数值调参'!AH9,"待修正")</x:f>
        <x:v>0.2222222222222222</x:v>
      </x:c>
      <x:c r="AI22" s="103" t="n">
        <x:f>IF('01_数值调参'!$D$3="配方有效",'03_全链计算'!AI21*$D22/'01_数值调参'!AI9,"待修正")</x:f>
        <x:v>0</x:v>
      </x:c>
      <x:c r="AJ22" s="103" t="n">
        <x:f>IF('01_数值调参'!$D$3="配方有效",'03_全链计算'!AJ21*$D22/'01_数值调参'!AJ9,"待修正")</x:f>
        <x:v>0.1111111111111111</x:v>
      </x:c>
      <x:c r="AK22" s="103" t="n">
        <x:f>IF('01_数值调参'!$D$3="配方有效",'03_全链计算'!AK21*$D22/'01_数值调参'!AK9,"待修正")</x:f>
        <x:v>0</x:v>
      </x:c>
      <x:c r="AL22" s="103" t="n">
        <x:f>IF('01_数值调参'!$D$3="配方有效",'03_全链计算'!AL21*$D22/'01_数值调参'!AL9,"待修正")</x:f>
        <x:v>0.06666666666666667</x:v>
      </x:c>
      <x:c r="AM22" s="103" t="n">
        <x:f>IF('01_数值调参'!$D$3="配方有效",'03_全链计算'!AM21*$D22/'01_数值调参'!AM9,"待修正")</x:f>
        <x:v>0</x:v>
      </x:c>
    </x:row>
    <x:row r="23" ht="22" customHeight="1">
      <x:c r="A23" s="66" t="n">
        <x:v>7</x:v>
      </x:c>
      <x:c r="B23" s="66" t="str">
        <x:v>薄竹片</x:v>
      </x:c>
      <x:c r="C23" s="66" t="str">
        <x:v>切割机</x:v>
      </x:c>
      <x:c r="D23" s="66" t="n">
        <x:f>'01_数值调参'!T9</x:f>
        <x:v>20</x:v>
      </x:c>
      <x:c r="E23" s="101" t="n">
        <x:f>IF('01_数值调参'!$D$3="配方有效",'03_全链计算'!E22*$D23/'01_数值调参'!E9,"待修正")</x:f>
        <x:v>0</x:v>
      </x:c>
      <x:c r="F23" s="101" t="n">
        <x:f>IF('01_数值调参'!$D$3="配方有效",'03_全链计算'!F22*$D23/'01_数值调参'!F9,"待修正")</x:f>
        <x:v>0</x:v>
      </x:c>
      <x:c r="G23" s="101" t="n">
        <x:f>IF('01_数值调参'!$D$3="配方有效",'03_全链计算'!G22*$D23/'01_数值调参'!G9,"待修正")</x:f>
        <x:v>0</x:v>
      </x:c>
      <x:c r="H23" s="101" t="n">
        <x:f>IF('01_数值调参'!$D$3="配方有效",'03_全链计算'!H22*$D23/'01_数值调参'!H9,"待修正")</x:f>
        <x:v>0</x:v>
      </x:c>
      <x:c r="I23" s="101" t="n">
        <x:f>IF('01_数值调参'!$D$3="配方有效",'03_全链计算'!I22*$D23/'01_数值调参'!I9,"待修正")</x:f>
        <x:v>0</x:v>
      </x:c>
      <x:c r="J23" s="101" t="n">
        <x:f>IF('01_数值调参'!$D$3="配方有效",'03_全链计算'!J22*$D23/'01_数值调参'!J9,"待修正")</x:f>
        <x:v>0</x:v>
      </x:c>
      <x:c r="K23" s="101" t="n">
        <x:f>IF('01_数值调参'!$D$3="配方有效",'03_全链计算'!K22*$D23/'01_数值调参'!K9,"待修正")</x:f>
        <x:v>0</x:v>
      </x:c>
      <x:c r="L23" s="101" t="n">
        <x:f>IF('01_数值调参'!$D$3="配方有效",'03_全链计算'!L22*$D23/'01_数值调参'!L9,"待修正")</x:f>
        <x:v>0</x:v>
      </x:c>
      <x:c r="M23" s="101" t="n">
        <x:f>IF('01_数值调参'!$D$3="配方有效",'03_全链计算'!M22*$D23/'01_数值调参'!M9,"待修正")</x:f>
        <x:v>0</x:v>
      </x:c>
      <x:c r="N23" s="102" t="n">
        <x:f>IF('01_数值调参'!$D$3="配方有效",'03_全链计算'!N22*$D23/'01_数值调参'!N9,"待修正")</x:f>
        <x:v>0</x:v>
      </x:c>
      <x:c r="O23" s="101" t="n">
        <x:f>IF('01_数值调参'!$D$3="配方有效",'03_全链计算'!O22*$D23/'01_数值调参'!O9,"待修正")</x:f>
        <x:v>0</x:v>
      </x:c>
      <x:c r="P23" s="101" t="n">
        <x:f>IF('01_数值调参'!$D$3="配方有效",'03_全链计算'!P22*$D23/'01_数值调参'!P9,"待修正")</x:f>
        <x:v>0</x:v>
      </x:c>
      <x:c r="Q23" s="101" t="n">
        <x:f>IF('01_数值调参'!$D$3="配方有效",'03_全链计算'!Q22*$D23/'01_数值调参'!Q9,"待修正")</x:f>
        <x:v>0</x:v>
      </x:c>
      <x:c r="R23" s="101" t="n">
        <x:f>IF('01_数值调参'!$D$3="配方有效",'03_全链计算'!R22*$D23/'01_数值调参'!R9,"待修正")</x:f>
        <x:v>0</x:v>
      </x:c>
      <x:c r="S23" s="102" t="n">
        <x:f>IF('01_数值调参'!$D$3="配方有效",'03_全链计算'!S22*$D23/'01_数值调参'!S9,"待修正")</x:f>
        <x:v>0</x:v>
      </x:c>
      <x:c r="T23" s="101" t="n">
        <x:f>IF('01_数值调参'!$D$3="配方有效",'03_全链计算'!T22*$D23/'01_数值调参'!T9,"待修正")</x:f>
        <x:v>1</x:v>
      </x:c>
      <x:c r="U23" s="101" t="n">
        <x:f>IF('01_数值调参'!$D$3="配方有效",'03_全链计算'!U22*$D23/'01_数值调参'!U9,"待修正")</x:f>
        <x:v>0</x:v>
      </x:c>
      <x:c r="V23" s="101" t="n">
        <x:f>IF('01_数值调参'!$D$3="配方有效",'03_全链计算'!V22*$D23/'01_数值调参'!V9,"待修正")</x:f>
        <x:v>0</x:v>
      </x:c>
      <x:c r="W23" s="101" t="n">
        <x:f>IF('01_数值调参'!$D$3="配方有效",'03_全链计算'!W22*$D23/'01_数值调参'!W9,"待修正")</x:f>
        <x:v>0</x:v>
      </x:c>
      <x:c r="X23" s="102" t="n">
        <x:f>IF('01_数值调参'!$D$3="配方有效",'03_全链计算'!X22*$D23/'01_数值调参'!X9,"待修正")</x:f>
        <x:v>0</x:v>
      </x:c>
      <x:c r="Y23" s="101" t="n">
        <x:f>IF('01_数值调参'!$D$3="配方有效",'03_全链计算'!Y22*$D23/'01_数值调参'!Y9,"待修正")</x:f>
        <x:v>0</x:v>
      </x:c>
      <x:c r="Z23" s="101" t="n">
        <x:f>IF('01_数值调参'!$D$3="配方有效",'03_全链计算'!Z22*$D23/'01_数值调参'!Z9,"待修正")</x:f>
        <x:v>0.3333333333333333</x:v>
      </x:c>
      <x:c r="AA23" s="101" t="n">
        <x:f>IF('01_数值调参'!$D$3="配方有效",'03_全链计算'!AA22*$D23/'01_数值调参'!AA9,"待修正")</x:f>
        <x:v>0</x:v>
      </x:c>
      <x:c r="AB23" s="101" t="n">
        <x:f>IF('01_数值调参'!$D$3="配方有效",'03_全链计算'!AB22*$D23/'01_数值调参'!AB9,"待修正")</x:f>
        <x:v>0.13333333333333333</x:v>
      </x:c>
      <x:c r="AC23" s="101" t="n">
        <x:f>IF('01_数值调参'!$D$3="配方有效",'03_全链计算'!AC22*$D23/'01_数值调参'!AC9,"待修正")</x:f>
        <x:v>0</x:v>
      </x:c>
      <x:c r="AD23" s="102" t="n">
        <x:f>IF('01_数值调参'!$D$3="配方有效",'03_全链计算'!AD22*$D23/'01_数值调参'!AD9,"待修正")</x:f>
        <x:v>0</x:v>
      </x:c>
      <x:c r="AE23" s="101" t="n">
        <x:f>IF('01_数值调参'!$D$3="配方有效",'03_全链计算'!AE22*$D23/'01_数值调参'!AE9,"待修正")</x:f>
        <x:v>0</x:v>
      </x:c>
      <x:c r="AF23" s="101" t="n">
        <x:f>IF('01_数值调参'!$D$3="配方有效",'03_全链计算'!AF22*$D23/'01_数值调参'!AF9,"待修正")</x:f>
        <x:v>0</x:v>
      </x:c>
      <x:c r="AG23" s="101" t="n">
        <x:f>IF('01_数值调参'!$D$3="配方有效",'03_全链计算'!AG22*$D23/'01_数值调参'!AG9,"待修正")</x:f>
        <x:v>0</x:v>
      </x:c>
      <x:c r="AH23" s="102" t="n">
        <x:f>IF('01_数值调参'!$D$3="配方有效",'03_全链计算'!AH22*$D23/'01_数值调参'!AH9,"待修正")</x:f>
        <x:v>0</x:v>
      </x:c>
      <x:c r="AI23" s="101" t="n">
        <x:f>IF('01_数值调参'!$D$3="配方有效",'03_全链计算'!AI22*$D23/'01_数值调参'!AI9,"待修正")</x:f>
        <x:v>0</x:v>
      </x:c>
      <x:c r="AJ23" s="101" t="n">
        <x:f>IF('01_数值调参'!$D$3="配方有效",'03_全链计算'!AJ22*$D23/'01_数值调参'!AJ9,"待修正")</x:f>
        <x:v>0</x:v>
      </x:c>
      <x:c r="AK23" s="101" t="n">
        <x:f>IF('01_数值调参'!$D$3="配方有效",'03_全链计算'!AK22*$D23/'01_数值调参'!AK9,"待修正")</x:f>
        <x:v>0</x:v>
      </x:c>
      <x:c r="AL23" s="101" t="n">
        <x:f>IF('01_数值调参'!$D$3="配方有效",'03_全链计算'!AL22*$D23/'01_数值调参'!AL9,"待修正")</x:f>
        <x:v>0</x:v>
      </x:c>
      <x:c r="AM23" s="101" t="n">
        <x:f>IF('01_数值调参'!$D$3="配方有效",'03_全链计算'!AM22*$D23/'01_数值调参'!AM9,"待修正")</x:f>
        <x:v>0</x:v>
      </x:c>
    </x:row>
    <x:row r="24" ht="22" customHeight="1">
      <x:c r="A24" s="66" t="n">
        <x:v>20</x:v>
      </x:c>
      <x:c r="B24" s="66" t="str">
        <x:v>小竹框</x:v>
      </x:c>
      <x:c r="C24" s="66" t="str">
        <x:v>切割机</x:v>
      </x:c>
      <x:c r="D24" s="66" t="n">
        <x:f>'01_数值调参'!U9</x:f>
        <x:v>30</x:v>
      </x:c>
      <x:c r="E24" s="101" t="n">
        <x:f>IF('01_数值调参'!$D$3="配方有效",'03_全链计算'!E23*$D24/'01_数值调参'!E9,"待修正")</x:f>
        <x:v>0</x:v>
      </x:c>
      <x:c r="F24" s="101" t="n">
        <x:f>IF('01_数值调参'!$D$3="配方有效",'03_全链计算'!F23*$D24/'01_数值调参'!F9,"待修正")</x:f>
        <x:v>0</x:v>
      </x:c>
      <x:c r="G24" s="101" t="n">
        <x:f>IF('01_数值调参'!$D$3="配方有效",'03_全链计算'!G23*$D24/'01_数值调参'!G9,"待修正")</x:f>
        <x:v>0</x:v>
      </x:c>
      <x:c r="H24" s="101" t="n">
        <x:f>IF('01_数值调参'!$D$3="配方有效",'03_全链计算'!H23*$D24/'01_数值调参'!H9,"待修正")</x:f>
        <x:v>0</x:v>
      </x:c>
      <x:c r="I24" s="101" t="n">
        <x:f>IF('01_数值调参'!$D$3="配方有效",'03_全链计算'!I23*$D24/'01_数值调参'!I9,"待修正")</x:f>
        <x:v>0</x:v>
      </x:c>
      <x:c r="J24" s="101" t="n">
        <x:f>IF('01_数值调参'!$D$3="配方有效",'03_全链计算'!J23*$D24/'01_数值调参'!J9,"待修正")</x:f>
        <x:v>0</x:v>
      </x:c>
      <x:c r="K24" s="101" t="n">
        <x:f>IF('01_数值调参'!$D$3="配方有效",'03_全链计算'!K23*$D24/'01_数值调参'!K9,"待修正")</x:f>
        <x:v>0</x:v>
      </x:c>
      <x:c r="L24" s="101" t="n">
        <x:f>IF('01_数值调参'!$D$3="配方有效",'03_全链计算'!L23*$D24/'01_数值调参'!L9,"待修正")</x:f>
        <x:v>0</x:v>
      </x:c>
      <x:c r="M24" s="101" t="n">
        <x:f>IF('01_数值调参'!$D$3="配方有效",'03_全链计算'!M23*$D24/'01_数值调参'!M9,"待修正")</x:f>
        <x:v>0</x:v>
      </x:c>
      <x:c r="N24" s="102" t="n">
        <x:f>IF('01_数值调参'!$D$3="配方有效",'03_全链计算'!N23*$D24/'01_数值调参'!N9,"待修正")</x:f>
        <x:v>0</x:v>
      </x:c>
      <x:c r="O24" s="101" t="n">
        <x:f>IF('01_数值调参'!$D$3="配方有效",'03_全链计算'!O23*$D24/'01_数值调参'!O9,"待修正")</x:f>
        <x:v>0</x:v>
      </x:c>
      <x:c r="P24" s="101" t="n">
        <x:f>IF('01_数值调参'!$D$3="配方有效",'03_全链计算'!P23*$D24/'01_数值调参'!P9,"待修正")</x:f>
        <x:v>0</x:v>
      </x:c>
      <x:c r="Q24" s="101" t="n">
        <x:f>IF('01_数值调参'!$D$3="配方有效",'03_全链计算'!Q23*$D24/'01_数值调参'!Q9,"待修正")</x:f>
        <x:v>0</x:v>
      </x:c>
      <x:c r="R24" s="101" t="n">
        <x:f>IF('01_数值调参'!$D$3="配方有效",'03_全链计算'!R23*$D24/'01_数值调参'!R9,"待修正")</x:f>
        <x:v>0</x:v>
      </x:c>
      <x:c r="S24" s="102" t="n">
        <x:f>IF('01_数值调参'!$D$3="配方有效",'03_全链计算'!S23*$D24/'01_数值调参'!S9,"待修正")</x:f>
        <x:v>0</x:v>
      </x:c>
      <x:c r="T24" s="101" t="n">
        <x:f>IF('01_数值调参'!$D$3="配方有效",'03_全链计算'!T23*$D24/'01_数值调参'!T9,"待修正")</x:f>
        <x:v>0</x:v>
      </x:c>
      <x:c r="U24" s="101" t="n">
        <x:f>IF('01_数值调参'!$D$3="配方有效",'03_全链计算'!U23*$D24/'01_数值调参'!U9,"待修正")</x:f>
        <x:v>1</x:v>
      </x:c>
      <x:c r="V24" s="101" t="n">
        <x:f>IF('01_数值调参'!$D$3="配方有效",'03_全链计算'!V23*$D24/'01_数值调参'!V9,"待修正")</x:f>
        <x:v>0</x:v>
      </x:c>
      <x:c r="W24" s="101" t="n">
        <x:f>IF('01_数值调参'!$D$3="配方有效",'03_全链计算'!W23*$D24/'01_数值调参'!W9,"待修正")</x:f>
        <x:v>0</x:v>
      </x:c>
      <x:c r="X24" s="102" t="n">
        <x:f>IF('01_数值调参'!$D$3="配方有效",'03_全链计算'!X23*$D24/'01_数值调参'!X9,"待修正")</x:f>
        <x:v>0</x:v>
      </x:c>
      <x:c r="Y24" s="101" t="n">
        <x:f>IF('01_数值调参'!$D$3="配方有效",'03_全链计算'!Y23*$D24/'01_数值调参'!Y9,"待修正")</x:f>
        <x:v>0</x:v>
      </x:c>
      <x:c r="Z24" s="101" t="n">
        <x:f>IF('01_数值调参'!$D$3="配方有效",'03_全链计算'!Z23*$D24/'01_数值调参'!Z9,"待修正")</x:f>
        <x:v>0</x:v>
      </x:c>
      <x:c r="AA24" s="101" t="n">
        <x:f>IF('01_数值调参'!$D$3="配方有效",'03_全链计算'!AA23*$D24/'01_数值调参'!AA9,"待修正")</x:f>
        <x:v>0.25</x:v>
      </x:c>
      <x:c r="AB24" s="101" t="n">
        <x:f>IF('01_数值调参'!$D$3="配方有效",'03_全链计算'!AB23*$D24/'01_数值调参'!AB9,"待修正")</x:f>
        <x:v>0</x:v>
      </x:c>
      <x:c r="AC24" s="101" t="n">
        <x:f>IF('01_数值调参'!$D$3="配方有效",'03_全链计算'!AC23*$D24/'01_数值调参'!AC9,"待修正")</x:f>
        <x:v>0</x:v>
      </x:c>
      <x:c r="AD24" s="102" t="n">
        <x:f>IF('01_数值调参'!$D$3="配方有效",'03_全链计算'!AD23*$D24/'01_数值调参'!AD9,"待修正")</x:f>
        <x:v>0</x:v>
      </x:c>
      <x:c r="AE24" s="101" t="n">
        <x:f>IF('01_数值调参'!$D$3="配方有效",'03_全链计算'!AE23*$D24/'01_数值调参'!AE9,"待修正")</x:f>
        <x:v>0</x:v>
      </x:c>
      <x:c r="AF24" s="101" t="n">
        <x:f>IF('01_数值调参'!$D$3="配方有效",'03_全链计算'!AF23*$D24/'01_数值调参'!AF9,"待修正")</x:f>
        <x:v>0</x:v>
      </x:c>
      <x:c r="AG24" s="101" t="n">
        <x:f>IF('01_数值调参'!$D$3="配方有效",'03_全链计算'!AG23*$D24/'01_数值调参'!AG9,"待修正")</x:f>
        <x:v>0</x:v>
      </x:c>
      <x:c r="AH24" s="102" t="n">
        <x:f>IF('01_数值调参'!$D$3="配方有效",'03_全链计算'!AH23*$D24/'01_数值调参'!AH9,"待修正")</x:f>
        <x:v>0</x:v>
      </x:c>
      <x:c r="AI24" s="101" t="n">
        <x:f>IF('01_数值调参'!$D$3="配方有效",'03_全链计算'!AI23*$D24/'01_数值调参'!AI9,"待修正")</x:f>
        <x:v>0</x:v>
      </x:c>
      <x:c r="AJ24" s="101" t="n">
        <x:f>IF('01_数值调参'!$D$3="配方有效",'03_全链计算'!AJ23*$D24/'01_数值调参'!AJ9,"待修正")</x:f>
        <x:v>0</x:v>
      </x:c>
      <x:c r="AK24" s="101" t="n">
        <x:f>IF('01_数值调参'!$D$3="配方有效",'03_全链计算'!AK23*$D24/'01_数值调参'!AK9,"待修正")</x:f>
        <x:v>0</x:v>
      </x:c>
      <x:c r="AL24" s="101" t="n">
        <x:f>IF('01_数值调参'!$D$3="配方有效",'03_全链计算'!AL23*$D24/'01_数值调参'!AL9,"待修正")</x:f>
        <x:v>0</x:v>
      </x:c>
      <x:c r="AM24" s="101" t="n">
        <x:f>IF('01_数值调参'!$D$3="配方有效",'03_全链计算'!AM23*$D24/'01_数值调参'!AM9,"待修正")</x:f>
        <x:v>0.16666666666666666</x:v>
      </x:c>
    </x:row>
    <x:row r="25" ht="22" customHeight="1">
      <x:c r="A25" s="66" t="n">
        <x:v>28</x:v>
      </x:c>
      <x:c r="B25" s="66" t="str">
        <x:v>花瓣竹板</x:v>
      </x:c>
      <x:c r="C25" s="66" t="str">
        <x:v>切割机</x:v>
      </x:c>
      <x:c r="D25" s="66" t="n">
        <x:f>'01_数值调参'!V9</x:f>
        <x:v>45</x:v>
      </x:c>
      <x:c r="E25" s="101" t="n">
        <x:f>IF('01_数值调参'!$D$3="配方有效",'03_全链计算'!E24*$D25/'01_数值调参'!E9,"待修正")</x:f>
        <x:v>0</x:v>
      </x:c>
      <x:c r="F25" s="101" t="n">
        <x:f>IF('01_数值调参'!$D$3="配方有效",'03_全链计算'!F24*$D25/'01_数值调参'!F9,"待修正")</x:f>
        <x:v>0</x:v>
      </x:c>
      <x:c r="G25" s="101" t="n">
        <x:f>IF('01_数值调参'!$D$3="配方有效",'03_全链计算'!G24*$D25/'01_数值调参'!G9,"待修正")</x:f>
        <x:v>0</x:v>
      </x:c>
      <x:c r="H25" s="101" t="n">
        <x:f>IF('01_数值调参'!$D$3="配方有效",'03_全链计算'!H24*$D25/'01_数值调参'!H9,"待修正")</x:f>
        <x:v>0</x:v>
      </x:c>
      <x:c r="I25" s="101" t="n">
        <x:f>IF('01_数值调参'!$D$3="配方有效",'03_全链计算'!I24*$D25/'01_数值调参'!I9,"待修正")</x:f>
        <x:v>0</x:v>
      </x:c>
      <x:c r="J25" s="101" t="n">
        <x:f>IF('01_数值调参'!$D$3="配方有效",'03_全链计算'!J24*$D25/'01_数值调参'!J9,"待修正")</x:f>
        <x:v>0</x:v>
      </x:c>
      <x:c r="K25" s="101" t="n">
        <x:f>IF('01_数值调参'!$D$3="配方有效",'03_全链计算'!K24*$D25/'01_数值调参'!K9,"待修正")</x:f>
        <x:v>0</x:v>
      </x:c>
      <x:c r="L25" s="101" t="n">
        <x:f>IF('01_数值调参'!$D$3="配方有效",'03_全链计算'!L24*$D25/'01_数值调参'!L9,"待修正")</x:f>
        <x:v>0</x:v>
      </x:c>
      <x:c r="M25" s="101" t="n">
        <x:f>IF('01_数值调参'!$D$3="配方有效",'03_全链计算'!M24*$D25/'01_数值调参'!M9,"待修正")</x:f>
        <x:v>0</x:v>
      </x:c>
      <x:c r="N25" s="102" t="n">
        <x:f>IF('01_数值调参'!$D$3="配方有效",'03_全链计算'!N24*$D25/'01_数值调参'!N9,"待修正")</x:f>
        <x:v>0</x:v>
      </x:c>
      <x:c r="O25" s="101" t="n">
        <x:f>IF('01_数值调参'!$D$3="配方有效",'03_全链计算'!O24*$D25/'01_数值调参'!O9,"待修正")</x:f>
        <x:v>0</x:v>
      </x:c>
      <x:c r="P25" s="101" t="n">
        <x:f>IF('01_数值调参'!$D$3="配方有效",'03_全链计算'!P24*$D25/'01_数值调参'!P9,"待修正")</x:f>
        <x:v>0</x:v>
      </x:c>
      <x:c r="Q25" s="101" t="n">
        <x:f>IF('01_数值调参'!$D$3="配方有效",'03_全链计算'!Q24*$D25/'01_数值调参'!Q9,"待修正")</x:f>
        <x:v>0</x:v>
      </x:c>
      <x:c r="R25" s="101" t="n">
        <x:f>IF('01_数值调参'!$D$3="配方有效",'03_全链计算'!R24*$D25/'01_数值调参'!R9,"待修正")</x:f>
        <x:v>0</x:v>
      </x:c>
      <x:c r="S25" s="102" t="n">
        <x:f>IF('01_数值调参'!$D$3="配方有效",'03_全链计算'!S24*$D25/'01_数值调参'!S9,"待修正")</x:f>
        <x:v>0</x:v>
      </x:c>
      <x:c r="T25" s="101" t="n">
        <x:f>IF('01_数值调参'!$D$3="配方有效",'03_全链计算'!T24*$D25/'01_数值调参'!T9,"待修正")</x:f>
        <x:v>0</x:v>
      </x:c>
      <x:c r="U25" s="101" t="n">
        <x:f>IF('01_数值调参'!$D$3="配方有效",'03_全链计算'!U24*$D25/'01_数值调参'!U9,"待修正")</x:f>
        <x:v>0</x:v>
      </x:c>
      <x:c r="V25" s="101" t="n">
        <x:f>IF('01_数值调参'!$D$3="配方有效",'03_全链计算'!V24*$D25/'01_数值调参'!V9,"待修正")</x:f>
        <x:v>1</x:v>
      </x:c>
      <x:c r="W25" s="101" t="n">
        <x:f>IF('01_数值调参'!$D$3="配方有效",'03_全链计算'!W24*$D25/'01_数值调参'!W9,"待修正")</x:f>
        <x:v>0</x:v>
      </x:c>
      <x:c r="X25" s="102" t="n">
        <x:f>IF('01_数值调参'!$D$3="配方有效",'03_全链计算'!X24*$D25/'01_数值调参'!X9,"待修正")</x:f>
        <x:v>0</x:v>
      </x:c>
      <x:c r="Y25" s="101" t="n">
        <x:f>IF('01_数值调参'!$D$3="配方有效",'03_全链计算'!Y24*$D25/'01_数值调参'!Y9,"待修正")</x:f>
        <x:v>0</x:v>
      </x:c>
      <x:c r="Z25" s="101" t="n">
        <x:f>IF('01_数值调参'!$D$3="配方有效",'03_全链计算'!Z24*$D25/'01_数值调参'!Z9,"待修正")</x:f>
        <x:v>0</x:v>
      </x:c>
      <x:c r="AA25" s="101" t="n">
        <x:f>IF('01_数值调参'!$D$3="配方有效",'03_全链计算'!AA24*$D25/'01_数值调参'!AA9,"待修正")</x:f>
        <x:v>0</x:v>
      </x:c>
      <x:c r="AB25" s="101" t="n">
        <x:f>IF('01_数值调参'!$D$3="配方有效",'03_全链计算'!AB24*$D25/'01_数值调参'!AB9,"待修正")</x:f>
        <x:v>0</x:v>
      </x:c>
      <x:c r="AC25" s="101" t="n">
        <x:f>IF('01_数值调参'!$D$3="配方有效",'03_全链计算'!AC24*$D25/'01_数值调参'!AC9,"待修正")</x:f>
        <x:v>0</x:v>
      </x:c>
      <x:c r="AD25" s="102" t="n">
        <x:f>IF('01_数值调参'!$D$3="配方有效",'03_全链计算'!AD24*$D25/'01_数值调参'!AD9,"待修正")</x:f>
        <x:v>0</x:v>
      </x:c>
      <x:c r="AE25" s="101" t="n">
        <x:f>IF('01_数值调参'!$D$3="配方有效",'03_全链计算'!AE24*$D25/'01_数值调参'!AE9,"待修正")</x:f>
        <x:v>0</x:v>
      </x:c>
      <x:c r="AF25" s="101" t="n">
        <x:f>IF('01_数值调参'!$D$3="配方有效",'03_全链计算'!AF24*$D25/'01_数值调参'!AF9,"待修正")</x:f>
        <x:v>0</x:v>
      </x:c>
      <x:c r="AG25" s="101" t="n">
        <x:f>IF('01_数值调参'!$D$3="配方有效",'03_全链计算'!AG24*$D25/'01_数值调参'!AG9,"待修正")</x:f>
        <x:v>0</x:v>
      </x:c>
      <x:c r="AH25" s="102" t="n">
        <x:f>IF('01_数值调参'!$D$3="配方有效",'03_全链计算'!AH24*$D25/'01_数值调参'!AH9,"待修正")</x:f>
        <x:v>0</x:v>
      </x:c>
      <x:c r="AI25" s="101" t="n">
        <x:f>IF('01_数值调参'!$D$3="配方有效",'03_全链计算'!AI24*$D25/'01_数值调参'!AI9,"待修正")</x:f>
        <x:v>0</x:v>
      </x:c>
      <x:c r="AJ25" s="101" t="n">
        <x:f>IF('01_数值调参'!$D$3="配方有效",'03_全链计算'!AJ24*$D25/'01_数值调参'!AJ9,"待修正")</x:f>
        <x:v>0</x:v>
      </x:c>
      <x:c r="AK25" s="101" t="n">
        <x:f>IF('01_数值调参'!$D$3="配方有效",'03_全链计算'!AK24*$D25/'01_数值调参'!AK9,"待修正")</x:f>
        <x:v>0</x:v>
      </x:c>
      <x:c r="AL25" s="101" t="n">
        <x:f>IF('01_数值调参'!$D$3="配方有效",'03_全链计算'!AL24*$D25/'01_数值调参'!AL9,"待修正")</x:f>
        <x:v>0</x:v>
      </x:c>
      <x:c r="AM25" s="101" t="n">
        <x:f>IF('01_数值调参'!$D$3="配方有效",'03_全链计算'!AM24*$D25/'01_数值调参'!AM9,"待修正")</x:f>
        <x:v>0.25</x:v>
      </x:c>
    </x:row>
    <x:row r="26" ht="22" customHeight="1">
      <x:c r="A26" s="66" t="n">
        <x:v>36</x:v>
      </x:c>
      <x:c r="B26" s="66" t="str">
        <x:v>珍珠衣帽架</x:v>
      </x:c>
      <x:c r="C26" s="66" t="str">
        <x:v>切割机</x:v>
      </x:c>
      <x:c r="D26" s="66" t="n">
        <x:f>'01_数值调参'!W9</x:f>
        <x:v>60</x:v>
      </x:c>
      <x:c r="E26" s="101" t="n">
        <x:f>IF('01_数值调参'!$D$3="配方有效",'03_全链计算'!E25*$D26/'01_数值调参'!E9,"待修正")</x:f>
        <x:v>0</x:v>
      </x:c>
      <x:c r="F26" s="101" t="n">
        <x:f>IF('01_数值调参'!$D$3="配方有效",'03_全链计算'!F25*$D26/'01_数值调参'!F9,"待修正")</x:f>
        <x:v>0</x:v>
      </x:c>
      <x:c r="G26" s="101" t="n">
        <x:f>IF('01_数值调参'!$D$3="配方有效",'03_全链计算'!G25*$D26/'01_数值调参'!G9,"待修正")</x:f>
        <x:v>0</x:v>
      </x:c>
      <x:c r="H26" s="101" t="n">
        <x:f>IF('01_数值调参'!$D$3="配方有效",'03_全链计算'!H25*$D26/'01_数值调参'!H9,"待修正")</x:f>
        <x:v>0</x:v>
      </x:c>
      <x:c r="I26" s="101" t="n">
        <x:f>IF('01_数值调参'!$D$3="配方有效",'03_全链计算'!I25*$D26/'01_数值调参'!I9,"待修正")</x:f>
        <x:v>0</x:v>
      </x:c>
      <x:c r="J26" s="101" t="n">
        <x:f>IF('01_数值调参'!$D$3="配方有效",'03_全链计算'!J25*$D26/'01_数值调参'!J9,"待修正")</x:f>
        <x:v>0</x:v>
      </x:c>
      <x:c r="K26" s="101" t="n">
        <x:f>IF('01_数值调参'!$D$3="配方有效",'03_全链计算'!K25*$D26/'01_数值调参'!K9,"待修正")</x:f>
        <x:v>0</x:v>
      </x:c>
      <x:c r="L26" s="101" t="n">
        <x:f>IF('01_数值调参'!$D$3="配方有效",'03_全链计算'!L25*$D26/'01_数值调参'!L9,"待修正")</x:f>
        <x:v>0</x:v>
      </x:c>
      <x:c r="M26" s="101" t="n">
        <x:f>IF('01_数值调参'!$D$3="配方有效",'03_全链计算'!M25*$D26/'01_数值调参'!M9,"待修正")</x:f>
        <x:v>0</x:v>
      </x:c>
      <x:c r="N26" s="102" t="n">
        <x:f>IF('01_数值调参'!$D$3="配方有效",'03_全链计算'!N25*$D26/'01_数值调参'!N9,"待修正")</x:f>
        <x:v>0</x:v>
      </x:c>
      <x:c r="O26" s="101" t="n">
        <x:f>IF('01_数值调参'!$D$3="配方有效",'03_全链计算'!O25*$D26/'01_数值调参'!O9,"待修正")</x:f>
        <x:v>0</x:v>
      </x:c>
      <x:c r="P26" s="101" t="n">
        <x:f>IF('01_数值调参'!$D$3="配方有效",'03_全链计算'!P25*$D26/'01_数值调参'!P9,"待修正")</x:f>
        <x:v>0</x:v>
      </x:c>
      <x:c r="Q26" s="101" t="n">
        <x:f>IF('01_数值调参'!$D$3="配方有效",'03_全链计算'!Q25*$D26/'01_数值调参'!Q9,"待修正")</x:f>
        <x:v>0</x:v>
      </x:c>
      <x:c r="R26" s="101" t="n">
        <x:f>IF('01_数值调参'!$D$3="配方有效",'03_全链计算'!R25*$D26/'01_数值调参'!R9,"待修正")</x:f>
        <x:v>0</x:v>
      </x:c>
      <x:c r="S26" s="102" t="n">
        <x:f>IF('01_数值调参'!$D$3="配方有效",'03_全链计算'!S25*$D26/'01_数值调参'!S9,"待修正")</x:f>
        <x:v>0</x:v>
      </x:c>
      <x:c r="T26" s="101" t="n">
        <x:f>IF('01_数值调参'!$D$3="配方有效",'03_全链计算'!T25*$D26/'01_数值调参'!T9,"待修正")</x:f>
        <x:v>0</x:v>
      </x:c>
      <x:c r="U26" s="101" t="n">
        <x:f>IF('01_数值调参'!$D$3="配方有效",'03_全链计算'!U25*$D26/'01_数值调参'!U9,"待修正")</x:f>
        <x:v>0</x:v>
      </x:c>
      <x:c r="V26" s="101" t="n">
        <x:f>IF('01_数值调参'!$D$3="配方有效",'03_全链计算'!V25*$D26/'01_数值调参'!V9,"待修正")</x:f>
        <x:v>0</x:v>
      </x:c>
      <x:c r="W26" s="101" t="n">
        <x:f>IF('01_数值调参'!$D$3="配方有效",'03_全链计算'!W25*$D26/'01_数值调参'!W9,"待修正")</x:f>
        <x:v>1</x:v>
      </x:c>
      <x:c r="X26" s="102" t="n">
        <x:f>IF('01_数值调参'!$D$3="配方有效",'03_全链计算'!X25*$D26/'01_数值调参'!X9,"待修正")</x:f>
        <x:v>0</x:v>
      </x:c>
      <x:c r="Y26" s="101" t="n">
        <x:f>IF('01_数值调参'!$D$3="配方有效",'03_全链计算'!Y25*$D26/'01_数值调参'!Y9,"待修正")</x:f>
        <x:v>0</x:v>
      </x:c>
      <x:c r="Z26" s="101" t="n">
        <x:f>IF('01_数值调参'!$D$3="配方有效",'03_全链计算'!Z25*$D26/'01_数值调参'!Z9,"待修正")</x:f>
        <x:v>0</x:v>
      </x:c>
      <x:c r="AA26" s="101" t="n">
        <x:f>IF('01_数值调参'!$D$3="配方有效",'03_全链计算'!AA25*$D26/'01_数值调参'!AA9,"待修正")</x:f>
        <x:v>0</x:v>
      </x:c>
      <x:c r="AB26" s="101" t="n">
        <x:f>IF('01_数值调参'!$D$3="配方有效",'03_全链计算'!AB25*$D26/'01_数值调参'!AB9,"待修正")</x:f>
        <x:v>0</x:v>
      </x:c>
      <x:c r="AC26" s="101" t="n">
        <x:f>IF('01_数值调参'!$D$3="配方有效",'03_全链计算'!AC25*$D26/'01_数值调参'!AC9,"待修正")</x:f>
        <x:v>0</x:v>
      </x:c>
      <x:c r="AD26" s="102" t="n">
        <x:f>IF('01_数值调参'!$D$3="配方有效",'03_全链计算'!AD25*$D26/'01_数值调参'!AD9,"待修正")</x:f>
        <x:v>0</x:v>
      </x:c>
      <x:c r="AE26" s="101" t="n">
        <x:f>IF('01_数值调参'!$D$3="配方有效",'03_全链计算'!AE25*$D26/'01_数值调参'!AE9,"待修正")</x:f>
        <x:v>0</x:v>
      </x:c>
      <x:c r="AF26" s="101" t="n">
        <x:f>IF('01_数值调参'!$D$3="配方有效",'03_全链计算'!AF25*$D26/'01_数值调参'!AF9,"待修正")</x:f>
        <x:v>0</x:v>
      </x:c>
      <x:c r="AG26" s="101" t="n">
        <x:f>IF('01_数值调参'!$D$3="配方有效",'03_全链计算'!AG25*$D26/'01_数值调参'!AG9,"待修正")</x:f>
        <x:v>0</x:v>
      </x:c>
      <x:c r="AH26" s="102" t="n">
        <x:f>IF('01_数值调参'!$D$3="配方有效",'03_全链计算'!AH25*$D26/'01_数值调参'!AH9,"待修正")</x:f>
        <x:v>0</x:v>
      </x:c>
      <x:c r="AI26" s="101" t="n">
        <x:f>IF('01_数值调参'!$D$3="配方有效",'03_全链计算'!AI25*$D26/'01_数值调参'!AI9,"待修正")</x:f>
        <x:v>0</x:v>
      </x:c>
      <x:c r="AJ26" s="101" t="n">
        <x:f>IF('01_数值调参'!$D$3="配方有效",'03_全链计算'!AJ25*$D26/'01_数值调参'!AJ9,"待修正")</x:f>
        <x:v>0</x:v>
      </x:c>
      <x:c r="AK26" s="101" t="n">
        <x:f>IF('01_数值调参'!$D$3="配方有效",'03_全链计算'!AK25*$D26/'01_数值调参'!AK9,"待修正")</x:f>
        <x:v>0</x:v>
      </x:c>
      <x:c r="AL26" s="101" t="n">
        <x:f>IF('01_数值调参'!$D$3="配方有效",'03_全链计算'!AL25*$D26/'01_数值调参'!AL9,"待修正")</x:f>
        <x:v>0</x:v>
      </x:c>
      <x:c r="AM26" s="101" t="n">
        <x:f>IF('01_数值调参'!$D$3="配方有效",'03_全链计算'!AM25*$D26/'01_数值调参'!AM9,"待修正")</x:f>
        <x:v>0</x:v>
      </x:c>
    </x:row>
    <x:row r="27" ht="22" customHeight="1">
      <x:c r="A27" s="77" t="n">
        <x:v>14</x:v>
      </x:c>
      <x:c r="B27" s="77" t="str">
        <x:v>竹编小垫</x:v>
      </x:c>
      <x:c r="C27" s="77" t="str">
        <x:v>纺织机</x:v>
      </x:c>
      <x:c r="D27" s="77" t="n">
        <x:f>'01_数值调参'!X9</x:f>
        <x:v>30</x:v>
      </x:c>
      <x:c r="E27" s="103" t="n">
        <x:f>IF('01_数值调参'!$D$3="配方有效",'03_全链计算'!E26*$D27/'01_数值调参'!E9,"待修正")</x:f>
        <x:v>0</x:v>
      </x:c>
      <x:c r="F27" s="103" t="n">
        <x:f>IF('01_数值调参'!$D$3="配方有效",'03_全链计算'!F26*$D27/'01_数值调参'!F9,"待修正")</x:f>
        <x:v>0</x:v>
      </x:c>
      <x:c r="G27" s="103" t="n">
        <x:f>IF('01_数值调参'!$D$3="配方有效",'03_全链计算'!G26*$D27/'01_数值调参'!G9,"待修正")</x:f>
        <x:v>0</x:v>
      </x:c>
      <x:c r="H27" s="103" t="n">
        <x:f>IF('01_数值调参'!$D$3="配方有效",'03_全链计算'!H26*$D27/'01_数值调参'!H9,"待修正")</x:f>
        <x:v>0</x:v>
      </x:c>
      <x:c r="I27" s="103" t="n">
        <x:f>IF('01_数值调参'!$D$3="配方有效",'03_全链计算'!I26*$D27/'01_数值调参'!I9,"待修正")</x:f>
        <x:v>0</x:v>
      </x:c>
      <x:c r="J27" s="103" t="n">
        <x:f>IF('01_数值调参'!$D$3="配方有效",'03_全链计算'!J26*$D27/'01_数值调参'!J9,"待修正")</x:f>
        <x:v>0</x:v>
      </x:c>
      <x:c r="K27" s="103" t="n">
        <x:f>IF('01_数值调参'!$D$3="配方有效",'03_全链计算'!K26*$D27/'01_数值调参'!K9,"待修正")</x:f>
        <x:v>0</x:v>
      </x:c>
      <x:c r="L27" s="103" t="n">
        <x:f>IF('01_数值调参'!$D$3="配方有效",'03_全链计算'!L26*$D27/'01_数值调参'!L9,"待修正")</x:f>
        <x:v>0</x:v>
      </x:c>
      <x:c r="M27" s="103" t="n">
        <x:f>IF('01_数值调参'!$D$3="配方有效",'03_全链计算'!M26*$D27/'01_数值调参'!M9,"待修正")</x:f>
        <x:v>0</x:v>
      </x:c>
      <x:c r="N27" s="104" t="n">
        <x:f>IF('01_数值调参'!$D$3="配方有效",'03_全链计算'!N26*$D27/'01_数值调参'!N9,"待修正")</x:f>
        <x:v>0</x:v>
      </x:c>
      <x:c r="O27" s="103" t="n">
        <x:f>IF('01_数值调参'!$D$3="配方有效",'03_全链计算'!O26*$D27/'01_数值调参'!O9,"待修正")</x:f>
        <x:v>0</x:v>
      </x:c>
      <x:c r="P27" s="103" t="n">
        <x:f>IF('01_数值调参'!$D$3="配方有效",'03_全链计算'!P26*$D27/'01_数值调参'!P9,"待修正")</x:f>
        <x:v>0</x:v>
      </x:c>
      <x:c r="Q27" s="103" t="n">
        <x:f>IF('01_数值调参'!$D$3="配方有效",'03_全链计算'!Q26*$D27/'01_数值调参'!Q9,"待修正")</x:f>
        <x:v>0</x:v>
      </x:c>
      <x:c r="R27" s="103" t="n">
        <x:f>IF('01_数值调参'!$D$3="配方有效",'03_全链计算'!R26*$D27/'01_数值调参'!R9,"待修正")</x:f>
        <x:v>0</x:v>
      </x:c>
      <x:c r="S27" s="104" t="n">
        <x:f>IF('01_数值调参'!$D$3="配方有效",'03_全链计算'!S26*$D27/'01_数值调参'!S9,"待修正")</x:f>
        <x:v>0</x:v>
      </x:c>
      <x:c r="T27" s="103" t="n">
        <x:f>IF('01_数值调参'!$D$3="配方有效",'03_全链计算'!T26*$D27/'01_数值调参'!T9,"待修正")</x:f>
        <x:v>0</x:v>
      </x:c>
      <x:c r="U27" s="103" t="n">
        <x:f>IF('01_数值调参'!$D$3="配方有效",'03_全链计算'!U26*$D27/'01_数值调参'!U9,"待修正")</x:f>
        <x:v>0</x:v>
      </x:c>
      <x:c r="V27" s="103" t="n">
        <x:f>IF('01_数值调参'!$D$3="配方有效",'03_全链计算'!V26*$D27/'01_数值调参'!V9,"待修正")</x:f>
        <x:v>0</x:v>
      </x:c>
      <x:c r="W27" s="103" t="n">
        <x:f>IF('01_数值调参'!$D$3="配方有效",'03_全链计算'!W26*$D27/'01_数值调参'!W9,"待修正")</x:f>
        <x:v>0</x:v>
      </x:c>
      <x:c r="X27" s="104" t="n">
        <x:f>IF('01_数值调参'!$D$3="配方有效",'03_全链计算'!X26*$D27/'01_数值调参'!X9,"待修正")</x:f>
        <x:v>1</x:v>
      </x:c>
      <x:c r="Y27" s="103" t="n">
        <x:f>IF('01_数值调参'!$D$3="配方有效",'03_全链计算'!Y26*$D27/'01_数值调参'!Y9,"待修正")</x:f>
        <x:v>0</x:v>
      </x:c>
      <x:c r="Z27" s="103" t="n">
        <x:f>IF('01_数值调参'!$D$3="配方有效",'03_全链计算'!Z26*$D27/'01_数值调参'!Z9,"待修正")</x:f>
        <x:v>0</x:v>
      </x:c>
      <x:c r="AA27" s="103" t="n">
        <x:f>IF('01_数值调参'!$D$3="配方有效",'03_全链计算'!AA26*$D27/'01_数值调参'!AA9,"待修正")</x:f>
        <x:v>0</x:v>
      </x:c>
      <x:c r="AB27" s="103" t="n">
        <x:f>IF('01_数值调参'!$D$3="配方有效",'03_全链计算'!AB26*$D27/'01_数值调参'!AB9,"待修正")</x:f>
        <x:v>0</x:v>
      </x:c>
      <x:c r="AC27" s="103" t="n">
        <x:f>IF('01_数值调参'!$D$3="配方有效",'03_全链计算'!AC26*$D27/'01_数值调参'!AC9,"待修正")</x:f>
        <x:v>0</x:v>
      </x:c>
      <x:c r="AD27" s="104" t="n">
        <x:f>IF('01_数值调参'!$D$3="配方有效",'03_全链计算'!AD26*$D27/'01_数值调参'!AD9,"待修正")</x:f>
        <x:v>0</x:v>
      </x:c>
      <x:c r="AE27" s="103" t="n">
        <x:f>IF('01_数值调参'!$D$3="配方有效",'03_全链计算'!AE26*$D27/'01_数值调参'!AE9,"待修正")</x:f>
        <x:v>0</x:v>
      </x:c>
      <x:c r="AF27" s="103" t="n">
        <x:f>IF('01_数值调参'!$D$3="配方有效",'03_全链计算'!AF26*$D27/'01_数值调参'!AF9,"待修正")</x:f>
        <x:v>0</x:v>
      </x:c>
      <x:c r="AG27" s="103" t="n">
        <x:f>IF('01_数值调参'!$D$3="配方有效",'03_全链计算'!AG26*$D27/'01_数值调参'!AG9,"待修正")</x:f>
        <x:v>0</x:v>
      </x:c>
      <x:c r="AH27" s="104" t="n">
        <x:f>IF('01_数值调参'!$D$3="配方有效",'03_全链计算'!AH26*$D27/'01_数值调参'!AH9,"待修正")</x:f>
        <x:v>0</x:v>
      </x:c>
      <x:c r="AI27" s="103" t="n">
        <x:f>IF('01_数值调参'!$D$3="配方有效",'03_全链计算'!AI26*$D27/'01_数值调参'!AI9,"待修正")</x:f>
        <x:v>0</x:v>
      </x:c>
      <x:c r="AJ27" s="103" t="n">
        <x:f>IF('01_数值调参'!$D$3="配方有效",'03_全链计算'!AJ26*$D27/'01_数值调参'!AJ9,"待修正")</x:f>
        <x:v>0</x:v>
      </x:c>
      <x:c r="AK27" s="103" t="n">
        <x:f>IF('01_数值调参'!$D$3="配方有效",'03_全链计算'!AK26*$D27/'01_数值调参'!AK9,"待修正")</x:f>
        <x:v>0</x:v>
      </x:c>
      <x:c r="AL27" s="103" t="n">
        <x:f>IF('01_数值调参'!$D$3="配方有效",'03_全链计算'!AL26*$D27/'01_数值调参'!AL9,"待修正")</x:f>
        <x:v>0.2</x:v>
      </x:c>
      <x:c r="AM27" s="103" t="n">
        <x:f>IF('01_数值调参'!$D$3="配方有效",'03_全链计算'!AM26*$D27/'01_数值调参'!AM9,"待修正")</x:f>
        <x:v>0</x:v>
      </x:c>
    </x:row>
    <x:row r="28" ht="22" customHeight="1">
      <x:c r="A28" s="76" t="n">
        <x:v>16</x:v>
      </x:c>
      <x:c r="B28" s="76" t="str">
        <x:v>软棉布</x:v>
      </x:c>
      <x:c r="C28" s="76" t="str">
        <x:v>纺织机</x:v>
      </x:c>
      <x:c r="D28" s="76" t="n">
        <x:f>'01_数值调参'!Y9</x:f>
        <x:v>45</x:v>
      </x:c>
      <x:c r="E28" s="101" t="n">
        <x:f>IF('01_数值调参'!$D$3="配方有效",'03_全链计算'!E27*$D28/'01_数值调参'!E9,"待修正")</x:f>
        <x:v>0</x:v>
      </x:c>
      <x:c r="F28" s="101" t="n">
        <x:f>IF('01_数值调参'!$D$3="配方有效",'03_全链计算'!F27*$D28/'01_数值调参'!F9,"待修正")</x:f>
        <x:v>0</x:v>
      </x:c>
      <x:c r="G28" s="101" t="n">
        <x:f>IF('01_数值调参'!$D$3="配方有效",'03_全链计算'!G27*$D28/'01_数值调参'!G9,"待修正")</x:f>
        <x:v>0</x:v>
      </x:c>
      <x:c r="H28" s="101" t="n">
        <x:f>IF('01_数值调参'!$D$3="配方有效",'03_全链计算'!H27*$D28/'01_数值调参'!H9,"待修正")</x:f>
        <x:v>0</x:v>
      </x:c>
      <x:c r="I28" s="101" t="n">
        <x:f>IF('01_数值调参'!$D$3="配方有效",'03_全链计算'!I27*$D28/'01_数值调参'!I9,"待修正")</x:f>
        <x:v>0</x:v>
      </x:c>
      <x:c r="J28" s="101" t="n">
        <x:f>IF('01_数值调参'!$D$3="配方有效",'03_全链计算'!J27*$D28/'01_数值调参'!J9,"待修正")</x:f>
        <x:v>0</x:v>
      </x:c>
      <x:c r="K28" s="101" t="n">
        <x:f>IF('01_数值调参'!$D$3="配方有效",'03_全链计算'!K27*$D28/'01_数值调参'!K9,"待修正")</x:f>
        <x:v>0</x:v>
      </x:c>
      <x:c r="L28" s="101" t="n">
        <x:f>IF('01_数值调参'!$D$3="配方有效",'03_全链计算'!L27*$D28/'01_数值调参'!L9,"待修正")</x:f>
        <x:v>0</x:v>
      </x:c>
      <x:c r="M28" s="101" t="n">
        <x:f>IF('01_数值调参'!$D$3="配方有效",'03_全链计算'!M27*$D28/'01_数值调参'!M9,"待修正")</x:f>
        <x:v>0</x:v>
      </x:c>
      <x:c r="N28" s="102" t="n">
        <x:f>IF('01_数值调参'!$D$3="配方有效",'03_全链计算'!N27*$D28/'01_数值调参'!N9,"待修正")</x:f>
        <x:v>0</x:v>
      </x:c>
      <x:c r="O28" s="101" t="n">
        <x:f>IF('01_数值调参'!$D$3="配方有效",'03_全链计算'!O27*$D28/'01_数值调参'!O9,"待修正")</x:f>
        <x:v>0</x:v>
      </x:c>
      <x:c r="P28" s="101" t="n">
        <x:f>IF('01_数值调参'!$D$3="配方有效",'03_全链计算'!P27*$D28/'01_数值调参'!P9,"待修正")</x:f>
        <x:v>0</x:v>
      </x:c>
      <x:c r="Q28" s="101" t="n">
        <x:f>IF('01_数值调参'!$D$3="配方有效",'03_全链计算'!Q27*$D28/'01_数值调参'!Q9,"待修正")</x:f>
        <x:v>0</x:v>
      </x:c>
      <x:c r="R28" s="101" t="n">
        <x:f>IF('01_数值调参'!$D$3="配方有效",'03_全链计算'!R27*$D28/'01_数值调参'!R9,"待修正")</x:f>
        <x:v>0</x:v>
      </x:c>
      <x:c r="S28" s="102" t="n">
        <x:f>IF('01_数值调参'!$D$3="配方有效",'03_全链计算'!S27*$D28/'01_数值调参'!S9,"待修正")</x:f>
        <x:v>0</x:v>
      </x:c>
      <x:c r="T28" s="101" t="n">
        <x:f>IF('01_数值调参'!$D$3="配方有效",'03_全链计算'!T27*$D28/'01_数值调参'!T9,"待修正")</x:f>
        <x:v>0</x:v>
      </x:c>
      <x:c r="U28" s="101" t="n">
        <x:f>IF('01_数值调参'!$D$3="配方有效",'03_全链计算'!U27*$D28/'01_数值调参'!U9,"待修正")</x:f>
        <x:v>0</x:v>
      </x:c>
      <x:c r="V28" s="101" t="n">
        <x:f>IF('01_数值调参'!$D$3="配方有效",'03_全链计算'!V27*$D28/'01_数值调参'!V9,"待修正")</x:f>
        <x:v>0</x:v>
      </x:c>
      <x:c r="W28" s="101" t="n">
        <x:f>IF('01_数值调参'!$D$3="配方有效",'03_全链计算'!W27*$D28/'01_数值调参'!W9,"待修正")</x:f>
        <x:v>0</x:v>
      </x:c>
      <x:c r="X28" s="102" t="n">
        <x:f>IF('01_数值调参'!$D$3="配方有效",'03_全链计算'!X27*$D28/'01_数值调参'!X9,"待修正")</x:f>
        <x:v>0</x:v>
      </x:c>
      <x:c r="Y28" s="101" t="n">
        <x:f>IF('01_数值调参'!$D$3="配方有效",'03_全链计算'!Y27*$D28/'01_数值调参'!Y9,"待修正")</x:f>
        <x:v>1</x:v>
      </x:c>
      <x:c r="Z28" s="101" t="n">
        <x:f>IF('01_数值调参'!$D$3="配方有效",'03_全链计算'!Z27*$D28/'01_数值调参'!Z9,"待修正")</x:f>
        <x:v>0</x:v>
      </x:c>
      <x:c r="AA28" s="101" t="n">
        <x:f>IF('01_数值调参'!$D$3="配方有效",'03_全链计算'!AA27*$D28/'01_数值调参'!AA9,"待修正")</x:f>
        <x:v>0</x:v>
      </x:c>
      <x:c r="AB28" s="101" t="n">
        <x:f>IF('01_数值调参'!$D$3="配方有效",'03_全链计算'!AB27*$D28/'01_数值调参'!AB9,"待修正")</x:f>
        <x:v>0</x:v>
      </x:c>
      <x:c r="AC28" s="101" t="n">
        <x:f>IF('01_数值调参'!$D$3="配方有效",'03_全链计算'!AC27*$D28/'01_数值调参'!AC9,"待修正")</x:f>
        <x:v>0</x:v>
      </x:c>
      <x:c r="AD28" s="102" t="n">
        <x:f>IF('01_数值调参'!$D$3="配方有效",'03_全链计算'!AD27*$D28/'01_数值调参'!AD9,"待修正")</x:f>
        <x:v>0</x:v>
      </x:c>
      <x:c r="AE28" s="101" t="n">
        <x:f>IF('01_数值调参'!$D$3="配方有效",'03_全链计算'!AE27*$D28/'01_数值调参'!AE9,"待修正")</x:f>
        <x:v>0</x:v>
      </x:c>
      <x:c r="AF28" s="101" t="n">
        <x:f>IF('01_数值调参'!$D$3="配方有效",'03_全链计算'!AF27*$D28/'01_数值调参'!AF9,"待修正")</x:f>
        <x:v>0</x:v>
      </x:c>
      <x:c r="AG28" s="101" t="n">
        <x:f>IF('01_数值调参'!$D$3="配方有效",'03_全链计算'!AG27*$D28/'01_数值调参'!AG9,"待修正")</x:f>
        <x:v>0</x:v>
      </x:c>
      <x:c r="AH28" s="102" t="n">
        <x:f>IF('01_数值调参'!$D$3="配方有效",'03_全链计算'!AH27*$D28/'01_数值调参'!AH9,"待修正")</x:f>
        <x:v>0</x:v>
      </x:c>
      <x:c r="AI28" s="101" t="n">
        <x:f>IF('01_数值调参'!$D$3="配方有效",'03_全链计算'!AI27*$D28/'01_数值调参'!AI9,"待修正")</x:f>
        <x:v>0</x:v>
      </x:c>
      <x:c r="AJ28" s="101" t="n">
        <x:f>IF('01_数值调参'!$D$3="配方有效",'03_全链计算'!AJ27*$D28/'01_数值调参'!AJ9,"待修正")</x:f>
        <x:v>0</x:v>
      </x:c>
      <x:c r="AK28" s="101" t="n">
        <x:f>IF('01_数值调参'!$D$3="配方有效",'03_全链计算'!AK27*$D28/'01_数值调参'!AK9,"待修正")</x:f>
        <x:v>0</x:v>
      </x:c>
      <x:c r="AL28" s="101" t="n">
        <x:f>IF('01_数值调参'!$D$3="配方有效",'03_全链计算'!AL27*$D28/'01_数值调参'!AL9,"待修正")</x:f>
        <x:v>0</x:v>
      </x:c>
      <x:c r="AM28" s="101" t="n">
        <x:f>IF('01_数值调参'!$D$3="配方有效",'03_全链计算'!AM27*$D28/'01_数值调参'!AM9,"待修正")</x:f>
        <x:v>0</x:v>
      </x:c>
    </x:row>
    <x:row r="29" ht="22" customHeight="1">
      <x:c r="A29" s="76" t="n">
        <x:v>21</x:v>
      </x:c>
      <x:c r="B29" s="76" t="str">
        <x:v>竹帘</x:v>
      </x:c>
      <x:c r="C29" s="76" t="str">
        <x:v>纺织机</x:v>
      </x:c>
      <x:c r="D29" s="76" t="n">
        <x:f>'01_数值调参'!Z9</x:f>
        <x:v>60</x:v>
      </x:c>
      <x:c r="E29" s="101" t="n">
        <x:f>IF('01_数值调参'!$D$3="配方有效",'03_全链计算'!E28*$D29/'01_数值调参'!E9,"待修正")</x:f>
        <x:v>0</x:v>
      </x:c>
      <x:c r="F29" s="101" t="n">
        <x:f>IF('01_数值调参'!$D$3="配方有效",'03_全链计算'!F28*$D29/'01_数值调参'!F9,"待修正")</x:f>
        <x:v>0</x:v>
      </x:c>
      <x:c r="G29" s="101" t="n">
        <x:f>IF('01_数值调参'!$D$3="配方有效",'03_全链计算'!G28*$D29/'01_数值调参'!G9,"待修正")</x:f>
        <x:v>0</x:v>
      </x:c>
      <x:c r="H29" s="101" t="n">
        <x:f>IF('01_数值调参'!$D$3="配方有效",'03_全链计算'!H28*$D29/'01_数值调参'!H9,"待修正")</x:f>
        <x:v>0</x:v>
      </x:c>
      <x:c r="I29" s="101" t="n">
        <x:f>IF('01_数值调参'!$D$3="配方有效",'03_全链计算'!I28*$D29/'01_数值调参'!I9,"待修正")</x:f>
        <x:v>0</x:v>
      </x:c>
      <x:c r="J29" s="101" t="n">
        <x:f>IF('01_数值调参'!$D$3="配方有效",'03_全链计算'!J28*$D29/'01_数值调参'!J9,"待修正")</x:f>
        <x:v>0</x:v>
      </x:c>
      <x:c r="K29" s="101" t="n">
        <x:f>IF('01_数值调参'!$D$3="配方有效",'03_全链计算'!K28*$D29/'01_数值调参'!K9,"待修正")</x:f>
        <x:v>0</x:v>
      </x:c>
      <x:c r="L29" s="101" t="n">
        <x:f>IF('01_数值调参'!$D$3="配方有效",'03_全链计算'!L28*$D29/'01_数值调参'!L9,"待修正")</x:f>
        <x:v>0</x:v>
      </x:c>
      <x:c r="M29" s="101" t="n">
        <x:f>IF('01_数值调参'!$D$3="配方有效",'03_全链计算'!M28*$D29/'01_数值调参'!M9,"待修正")</x:f>
        <x:v>0</x:v>
      </x:c>
      <x:c r="N29" s="102" t="n">
        <x:f>IF('01_数值调参'!$D$3="配方有效",'03_全链计算'!N28*$D29/'01_数值调参'!N9,"待修正")</x:f>
        <x:v>0</x:v>
      </x:c>
      <x:c r="O29" s="101" t="n">
        <x:f>IF('01_数值调参'!$D$3="配方有效",'03_全链计算'!O28*$D29/'01_数值调参'!O9,"待修正")</x:f>
        <x:v>0</x:v>
      </x:c>
      <x:c r="P29" s="101" t="n">
        <x:f>IF('01_数值调参'!$D$3="配方有效",'03_全链计算'!P28*$D29/'01_数值调参'!P9,"待修正")</x:f>
        <x:v>0</x:v>
      </x:c>
      <x:c r="Q29" s="101" t="n">
        <x:f>IF('01_数值调参'!$D$3="配方有效",'03_全链计算'!Q28*$D29/'01_数值调参'!Q9,"待修正")</x:f>
        <x:v>0</x:v>
      </x:c>
      <x:c r="R29" s="101" t="n">
        <x:f>IF('01_数值调参'!$D$3="配方有效",'03_全链计算'!R28*$D29/'01_数值调参'!R9,"待修正")</x:f>
        <x:v>0</x:v>
      </x:c>
      <x:c r="S29" s="102" t="n">
        <x:f>IF('01_数值调参'!$D$3="配方有效",'03_全链计算'!S28*$D29/'01_数值调参'!S9,"待修正")</x:f>
        <x:v>0</x:v>
      </x:c>
      <x:c r="T29" s="101" t="n">
        <x:f>IF('01_数值调参'!$D$3="配方有效",'03_全链计算'!T28*$D29/'01_数值调参'!T9,"待修正")</x:f>
        <x:v>0</x:v>
      </x:c>
      <x:c r="U29" s="101" t="n">
        <x:f>IF('01_数值调参'!$D$3="配方有效",'03_全链计算'!U28*$D29/'01_数值调参'!U9,"待修正")</x:f>
        <x:v>0</x:v>
      </x:c>
      <x:c r="V29" s="101" t="n">
        <x:f>IF('01_数值调参'!$D$3="配方有效",'03_全链计算'!V28*$D29/'01_数值调参'!V9,"待修正")</x:f>
        <x:v>0</x:v>
      </x:c>
      <x:c r="W29" s="101" t="n">
        <x:f>IF('01_数值调参'!$D$3="配方有效",'03_全链计算'!W28*$D29/'01_数值调参'!W9,"待修正")</x:f>
        <x:v>0</x:v>
      </x:c>
      <x:c r="X29" s="102" t="n">
        <x:f>IF('01_数值调参'!$D$3="配方有效",'03_全链计算'!X28*$D29/'01_数值调参'!X9,"待修正")</x:f>
        <x:v>0</x:v>
      </x:c>
      <x:c r="Y29" s="101" t="n">
        <x:f>IF('01_数值调参'!$D$3="配方有效",'03_全链计算'!Y28*$D29/'01_数值调参'!Y9,"待修正")</x:f>
        <x:v>0</x:v>
      </x:c>
      <x:c r="Z29" s="101" t="n">
        <x:f>IF('01_数值调参'!$D$3="配方有效",'03_全链计算'!Z28*$D29/'01_数值调参'!Z9,"待修正")</x:f>
        <x:v>1</x:v>
      </x:c>
      <x:c r="AA29" s="101" t="n">
        <x:f>IF('01_数值调参'!$D$3="配方有效",'03_全链计算'!AA28*$D29/'01_数值调参'!AA9,"待修正")</x:f>
        <x:v>0</x:v>
      </x:c>
      <x:c r="AB29" s="101" t="n">
        <x:f>IF('01_数值调参'!$D$3="配方有效",'03_全链计算'!AB28*$D29/'01_数值调参'!AB9,"待修正")</x:f>
        <x:v>0</x:v>
      </x:c>
      <x:c r="AC29" s="101" t="n">
        <x:f>IF('01_数值调参'!$D$3="配方有效",'03_全链计算'!AC28*$D29/'01_数值调参'!AC9,"待修正")</x:f>
        <x:v>0</x:v>
      </x:c>
      <x:c r="AD29" s="102" t="n">
        <x:f>IF('01_数值调参'!$D$3="配方有效",'03_全链计算'!AD28*$D29/'01_数值调参'!AD9,"待修正")</x:f>
        <x:v>0</x:v>
      </x:c>
      <x:c r="AE29" s="101" t="n">
        <x:f>IF('01_数值调参'!$D$3="配方有效",'03_全链计算'!AE28*$D29/'01_数值调参'!AE9,"待修正")</x:f>
        <x:v>0</x:v>
      </x:c>
      <x:c r="AF29" s="101" t="n">
        <x:f>IF('01_数值调参'!$D$3="配方有效",'03_全链计算'!AF28*$D29/'01_数值调参'!AF9,"待修正")</x:f>
        <x:v>0</x:v>
      </x:c>
      <x:c r="AG29" s="101" t="n">
        <x:f>IF('01_数值调参'!$D$3="配方有效",'03_全链计算'!AG28*$D29/'01_数值调参'!AG9,"待修正")</x:f>
        <x:v>0</x:v>
      </x:c>
      <x:c r="AH29" s="102" t="n">
        <x:f>IF('01_数值调参'!$D$3="配方有效",'03_全链计算'!AH28*$D29/'01_数值调参'!AH9,"待修正")</x:f>
        <x:v>0</x:v>
      </x:c>
      <x:c r="AI29" s="101" t="n">
        <x:f>IF('01_数值调参'!$D$3="配方有效",'03_全链计算'!AI28*$D29/'01_数值调参'!AI9,"待修正")</x:f>
        <x:v>0</x:v>
      </x:c>
      <x:c r="AJ29" s="101" t="n">
        <x:f>IF('01_数值调参'!$D$3="配方有效",'03_全链计算'!AJ28*$D29/'01_数值调参'!AJ9,"待修正")</x:f>
        <x:v>0</x:v>
      </x:c>
      <x:c r="AK29" s="101" t="n">
        <x:f>IF('01_数值调参'!$D$3="配方有效",'03_全链计算'!AK28*$D29/'01_数值调参'!AK9,"待修正")</x:f>
        <x:v>0</x:v>
      </x:c>
      <x:c r="AL29" s="101" t="n">
        <x:f>IF('01_数值调参'!$D$3="配方有效",'03_全链计算'!AL28*$D29/'01_数值调参'!AL9,"待修正")</x:f>
        <x:v>0</x:v>
      </x:c>
      <x:c r="AM29" s="101" t="n">
        <x:f>IF('01_数值调参'!$D$3="配方有效",'03_全链计算'!AM28*$D29/'01_数值调参'!AM9,"待修正")</x:f>
        <x:v>0</x:v>
      </x:c>
    </x:row>
    <x:row r="30" ht="22" customHeight="1">
      <x:c r="A30" s="76" t="n">
        <x:v>27</x:v>
      </x:c>
      <x:c r="B30" s="76" t="str">
        <x:v>绒绒灯罩</x:v>
      </x:c>
      <x:c r="C30" s="76" t="str">
        <x:v>纺织机</x:v>
      </x:c>
      <x:c r="D30" s="76" t="n">
        <x:f>'01_数值调参'!AA9</x:f>
        <x:v>120</x:v>
      </x:c>
      <x:c r="E30" s="101" t="n">
        <x:f>IF('01_数值调参'!$D$3="配方有效",'03_全链计算'!E29*$D30/'01_数值调参'!E9,"待修正")</x:f>
        <x:v>0</x:v>
      </x:c>
      <x:c r="F30" s="101" t="n">
        <x:f>IF('01_数值调参'!$D$3="配方有效",'03_全链计算'!F29*$D30/'01_数值调参'!F9,"待修正")</x:f>
        <x:v>0</x:v>
      </x:c>
      <x:c r="G30" s="101" t="n">
        <x:f>IF('01_数值调参'!$D$3="配方有效",'03_全链计算'!G29*$D30/'01_数值调参'!G9,"待修正")</x:f>
        <x:v>0</x:v>
      </x:c>
      <x:c r="H30" s="101" t="n">
        <x:f>IF('01_数值调参'!$D$3="配方有效",'03_全链计算'!H29*$D30/'01_数值调参'!H9,"待修正")</x:f>
        <x:v>0</x:v>
      </x:c>
      <x:c r="I30" s="101" t="n">
        <x:f>IF('01_数值调参'!$D$3="配方有效",'03_全链计算'!I29*$D30/'01_数值调参'!I9,"待修正")</x:f>
        <x:v>0</x:v>
      </x:c>
      <x:c r="J30" s="101" t="n">
        <x:f>IF('01_数值调参'!$D$3="配方有效",'03_全链计算'!J29*$D30/'01_数值调参'!J9,"待修正")</x:f>
        <x:v>0</x:v>
      </x:c>
      <x:c r="K30" s="101" t="n">
        <x:f>IF('01_数值调参'!$D$3="配方有效",'03_全链计算'!K29*$D30/'01_数值调参'!K9,"待修正")</x:f>
        <x:v>0</x:v>
      </x:c>
      <x:c r="L30" s="101" t="n">
        <x:f>IF('01_数值调参'!$D$3="配方有效",'03_全链计算'!L29*$D30/'01_数值调参'!L9,"待修正")</x:f>
        <x:v>0</x:v>
      </x:c>
      <x:c r="M30" s="101" t="n">
        <x:f>IF('01_数值调参'!$D$3="配方有效",'03_全链计算'!M29*$D30/'01_数值调参'!M9,"待修正")</x:f>
        <x:v>0</x:v>
      </x:c>
      <x:c r="N30" s="102" t="n">
        <x:f>IF('01_数值调参'!$D$3="配方有效",'03_全链计算'!N29*$D30/'01_数值调参'!N9,"待修正")</x:f>
        <x:v>0</x:v>
      </x:c>
      <x:c r="O30" s="101" t="n">
        <x:f>IF('01_数值调参'!$D$3="配方有效",'03_全链计算'!O29*$D30/'01_数值调参'!O9,"待修正")</x:f>
        <x:v>0</x:v>
      </x:c>
      <x:c r="P30" s="101" t="n">
        <x:f>IF('01_数值调参'!$D$3="配方有效",'03_全链计算'!P29*$D30/'01_数值调参'!P9,"待修正")</x:f>
        <x:v>0</x:v>
      </x:c>
      <x:c r="Q30" s="101" t="n">
        <x:f>IF('01_数值调参'!$D$3="配方有效",'03_全链计算'!Q29*$D30/'01_数值调参'!Q9,"待修正")</x:f>
        <x:v>0</x:v>
      </x:c>
      <x:c r="R30" s="101" t="n">
        <x:f>IF('01_数值调参'!$D$3="配方有效",'03_全链计算'!R29*$D30/'01_数值调参'!R9,"待修正")</x:f>
        <x:v>0</x:v>
      </x:c>
      <x:c r="S30" s="102" t="n">
        <x:f>IF('01_数值调参'!$D$3="配方有效",'03_全链计算'!S29*$D30/'01_数值调参'!S9,"待修正")</x:f>
        <x:v>0</x:v>
      </x:c>
      <x:c r="T30" s="101" t="n">
        <x:f>IF('01_数值调参'!$D$3="配方有效",'03_全链计算'!T29*$D30/'01_数值调参'!T9,"待修正")</x:f>
        <x:v>0</x:v>
      </x:c>
      <x:c r="U30" s="101" t="n">
        <x:f>IF('01_数值调参'!$D$3="配方有效",'03_全链计算'!U29*$D30/'01_数值调参'!U9,"待修正")</x:f>
        <x:v>0</x:v>
      </x:c>
      <x:c r="V30" s="101" t="n">
        <x:f>IF('01_数值调参'!$D$3="配方有效",'03_全链计算'!V29*$D30/'01_数值调参'!V9,"待修正")</x:f>
        <x:v>0</x:v>
      </x:c>
      <x:c r="W30" s="101" t="n">
        <x:f>IF('01_数值调参'!$D$3="配方有效",'03_全链计算'!W29*$D30/'01_数值调参'!W9,"待修正")</x:f>
        <x:v>0</x:v>
      </x:c>
      <x:c r="X30" s="102" t="n">
        <x:f>IF('01_数值调参'!$D$3="配方有效",'03_全链计算'!X29*$D30/'01_数值调参'!X9,"待修正")</x:f>
        <x:v>0</x:v>
      </x:c>
      <x:c r="Y30" s="101" t="n">
        <x:f>IF('01_数值调参'!$D$3="配方有效",'03_全链计算'!Y29*$D30/'01_数值调参'!Y9,"待修正")</x:f>
        <x:v>0</x:v>
      </x:c>
      <x:c r="Z30" s="101" t="n">
        <x:f>IF('01_数值调参'!$D$3="配方有效",'03_全链计算'!Z29*$D30/'01_数值调参'!Z9,"待修正")</x:f>
        <x:v>0</x:v>
      </x:c>
      <x:c r="AA30" s="101" t="n">
        <x:f>IF('01_数值调参'!$D$3="配方有效",'03_全链计算'!AA29*$D30/'01_数值调参'!AA9,"待修正")</x:f>
        <x:v>1</x:v>
      </x:c>
      <x:c r="AB30" s="101" t="n">
        <x:f>IF('01_数值调参'!$D$3="配方有效",'03_全链计算'!AB29*$D30/'01_数值调参'!AB9,"待修正")</x:f>
        <x:v>0</x:v>
      </x:c>
      <x:c r="AC30" s="101" t="n">
        <x:f>IF('01_数值调参'!$D$3="配方有效",'03_全链计算'!AC29*$D30/'01_数值调参'!AC9,"待修正")</x:f>
        <x:v>0</x:v>
      </x:c>
      <x:c r="AD30" s="102" t="n">
        <x:f>IF('01_数值调参'!$D$3="配方有效",'03_全链计算'!AD29*$D30/'01_数值调参'!AD9,"待修正")</x:f>
        <x:v>0</x:v>
      </x:c>
      <x:c r="AE30" s="101" t="n">
        <x:f>IF('01_数值调参'!$D$3="配方有效",'03_全链计算'!AE29*$D30/'01_数值调参'!AE9,"待修正")</x:f>
        <x:v>0</x:v>
      </x:c>
      <x:c r="AF30" s="101" t="n">
        <x:f>IF('01_数值调参'!$D$3="配方有效",'03_全链计算'!AF29*$D30/'01_数值调参'!AF9,"待修正")</x:f>
        <x:v>0</x:v>
      </x:c>
      <x:c r="AG30" s="101" t="n">
        <x:f>IF('01_数值调参'!$D$3="配方有效",'03_全链计算'!AG29*$D30/'01_数值调参'!AG9,"待修正")</x:f>
        <x:v>0</x:v>
      </x:c>
      <x:c r="AH30" s="102" t="n">
        <x:f>IF('01_数值调参'!$D$3="配方有效",'03_全链计算'!AH29*$D30/'01_数值调参'!AH9,"待修正")</x:f>
        <x:v>0</x:v>
      </x:c>
      <x:c r="AI30" s="101" t="n">
        <x:f>IF('01_数值调参'!$D$3="配方有效",'03_全链计算'!AI29*$D30/'01_数值调参'!AI9,"待修正")</x:f>
        <x:v>0</x:v>
      </x:c>
      <x:c r="AJ30" s="101" t="n">
        <x:f>IF('01_数值调参'!$D$3="配方有效",'03_全链计算'!AJ29*$D30/'01_数值调参'!AJ9,"待修正")</x:f>
        <x:v>0</x:v>
      </x:c>
      <x:c r="AK30" s="101" t="n">
        <x:f>IF('01_数值调参'!$D$3="配方有效",'03_全链计算'!AK29*$D30/'01_数值调参'!AK9,"待修正")</x:f>
        <x:v>0</x:v>
      </x:c>
      <x:c r="AL30" s="101" t="n">
        <x:f>IF('01_数值调参'!$D$3="配方有效",'03_全链计算'!AL29*$D30/'01_数值调参'!AL9,"待修正")</x:f>
        <x:v>0</x:v>
      </x:c>
      <x:c r="AM30" s="101" t="n">
        <x:f>IF('01_数值调参'!$D$3="配方有效",'03_全链计算'!AM29*$D30/'01_数值调参'!AM9,"待修正")</x:f>
        <x:v>0.6666666666666666</x:v>
      </x:c>
    </x:row>
    <x:row r="31" ht="22" customHeight="1">
      <x:c r="A31" s="76" t="n">
        <x:v>32</x:v>
      </x:c>
      <x:c r="B31" s="76" t="str">
        <x:v>软边小席</x:v>
      </x:c>
      <x:c r="C31" s="76" t="str">
        <x:v>纺织机</x:v>
      </x:c>
      <x:c r="D31" s="76" t="n">
        <x:f>'01_数值调参'!AB9</x:f>
        <x:v>150</x:v>
      </x:c>
      <x:c r="E31" s="101" t="n">
        <x:f>IF('01_数值调参'!$D$3="配方有效",'03_全链计算'!E30*$D31/'01_数值调参'!E9,"待修正")</x:f>
        <x:v>0</x:v>
      </x:c>
      <x:c r="F31" s="101" t="n">
        <x:f>IF('01_数值调参'!$D$3="配方有效",'03_全链计算'!F30*$D31/'01_数值调参'!F9,"待修正")</x:f>
        <x:v>0</x:v>
      </x:c>
      <x:c r="G31" s="101" t="n">
        <x:f>IF('01_数值调参'!$D$3="配方有效",'03_全链计算'!G30*$D31/'01_数值调参'!G9,"待修正")</x:f>
        <x:v>0</x:v>
      </x:c>
      <x:c r="H31" s="101" t="n">
        <x:f>IF('01_数值调参'!$D$3="配方有效",'03_全链计算'!H30*$D31/'01_数值调参'!H9,"待修正")</x:f>
        <x:v>0</x:v>
      </x:c>
      <x:c r="I31" s="101" t="n">
        <x:f>IF('01_数值调参'!$D$3="配方有效",'03_全链计算'!I30*$D31/'01_数值调参'!I9,"待修正")</x:f>
        <x:v>0</x:v>
      </x:c>
      <x:c r="J31" s="101" t="n">
        <x:f>IF('01_数值调参'!$D$3="配方有效",'03_全链计算'!J30*$D31/'01_数值调参'!J9,"待修正")</x:f>
        <x:v>0</x:v>
      </x:c>
      <x:c r="K31" s="101" t="n">
        <x:f>IF('01_数值调参'!$D$3="配方有效",'03_全链计算'!K30*$D31/'01_数值调参'!K9,"待修正")</x:f>
        <x:v>0</x:v>
      </x:c>
      <x:c r="L31" s="101" t="n">
        <x:f>IF('01_数值调参'!$D$3="配方有效",'03_全链计算'!L30*$D31/'01_数值调参'!L9,"待修正")</x:f>
        <x:v>0</x:v>
      </x:c>
      <x:c r="M31" s="101" t="n">
        <x:f>IF('01_数值调参'!$D$3="配方有效",'03_全链计算'!M30*$D31/'01_数值调参'!M9,"待修正")</x:f>
        <x:v>0</x:v>
      </x:c>
      <x:c r="N31" s="102" t="n">
        <x:f>IF('01_数值调参'!$D$3="配方有效",'03_全链计算'!N30*$D31/'01_数值调参'!N9,"待修正")</x:f>
        <x:v>0</x:v>
      </x:c>
      <x:c r="O31" s="101" t="n">
        <x:f>IF('01_数值调参'!$D$3="配方有效",'03_全链计算'!O30*$D31/'01_数值调参'!O9,"待修正")</x:f>
        <x:v>0</x:v>
      </x:c>
      <x:c r="P31" s="101" t="n">
        <x:f>IF('01_数值调参'!$D$3="配方有效",'03_全链计算'!P30*$D31/'01_数值调参'!P9,"待修正")</x:f>
        <x:v>0</x:v>
      </x:c>
      <x:c r="Q31" s="101" t="n">
        <x:f>IF('01_数值调参'!$D$3="配方有效",'03_全链计算'!Q30*$D31/'01_数值调参'!Q9,"待修正")</x:f>
        <x:v>0</x:v>
      </x:c>
      <x:c r="R31" s="101" t="n">
        <x:f>IF('01_数值调参'!$D$3="配方有效",'03_全链计算'!R30*$D31/'01_数值调参'!R9,"待修正")</x:f>
        <x:v>0</x:v>
      </x:c>
      <x:c r="S31" s="102" t="n">
        <x:f>IF('01_数值调参'!$D$3="配方有效",'03_全链计算'!S30*$D31/'01_数值调参'!S9,"待修正")</x:f>
        <x:v>0</x:v>
      </x:c>
      <x:c r="T31" s="101" t="n">
        <x:f>IF('01_数值调参'!$D$3="配方有效",'03_全链计算'!T30*$D31/'01_数值调参'!T9,"待修正")</x:f>
        <x:v>0</x:v>
      </x:c>
      <x:c r="U31" s="101" t="n">
        <x:f>IF('01_数值调参'!$D$3="配方有效",'03_全链计算'!U30*$D31/'01_数值调参'!U9,"待修正")</x:f>
        <x:v>0</x:v>
      </x:c>
      <x:c r="V31" s="101" t="n">
        <x:f>IF('01_数值调参'!$D$3="配方有效",'03_全链计算'!V30*$D31/'01_数值调参'!V9,"待修正")</x:f>
        <x:v>0</x:v>
      </x:c>
      <x:c r="W31" s="101" t="n">
        <x:f>IF('01_数值调参'!$D$3="配方有效",'03_全链计算'!W30*$D31/'01_数值调参'!W9,"待修正")</x:f>
        <x:v>0</x:v>
      </x:c>
      <x:c r="X31" s="102" t="n">
        <x:f>IF('01_数值调参'!$D$3="配方有效",'03_全链计算'!X30*$D31/'01_数值调参'!X9,"待修正")</x:f>
        <x:v>0</x:v>
      </x:c>
      <x:c r="Y31" s="101" t="n">
        <x:f>IF('01_数值调参'!$D$3="配方有效",'03_全链计算'!Y30*$D31/'01_数值调参'!Y9,"待修正")</x:f>
        <x:v>0</x:v>
      </x:c>
      <x:c r="Z31" s="101" t="n">
        <x:f>IF('01_数值调参'!$D$3="配方有效",'03_全链计算'!Z30*$D31/'01_数值调参'!Z9,"待修正")</x:f>
        <x:v>0</x:v>
      </x:c>
      <x:c r="AA31" s="101" t="n">
        <x:f>IF('01_数值调参'!$D$3="配方有效",'03_全链计算'!AA30*$D31/'01_数值调参'!AA9,"待修正")</x:f>
        <x:v>0</x:v>
      </x:c>
      <x:c r="AB31" s="101" t="n">
        <x:f>IF('01_数值调参'!$D$3="配方有效",'03_全链计算'!AB30*$D31/'01_数值调参'!AB9,"待修正")</x:f>
        <x:v>1</x:v>
      </x:c>
      <x:c r="AC31" s="101" t="n">
        <x:f>IF('01_数值调参'!$D$3="配方有效",'03_全链计算'!AC30*$D31/'01_数值调参'!AC9,"待修正")</x:f>
        <x:v>0</x:v>
      </x:c>
      <x:c r="AD31" s="102" t="n">
        <x:f>IF('01_数值调参'!$D$3="配方有效",'03_全链计算'!AD30*$D31/'01_数值调参'!AD9,"待修正")</x:f>
        <x:v>0</x:v>
      </x:c>
      <x:c r="AE31" s="101" t="n">
        <x:f>IF('01_数值调参'!$D$3="配方有效",'03_全链计算'!AE30*$D31/'01_数值调参'!AE9,"待修正")</x:f>
        <x:v>0</x:v>
      </x:c>
      <x:c r="AF31" s="101" t="n">
        <x:f>IF('01_数值调参'!$D$3="配方有效",'03_全链计算'!AF30*$D31/'01_数值调参'!AF9,"待修正")</x:f>
        <x:v>0</x:v>
      </x:c>
      <x:c r="AG31" s="101" t="n">
        <x:f>IF('01_数值调参'!$D$3="配方有效",'03_全链计算'!AG30*$D31/'01_数值调参'!AG9,"待修正")</x:f>
        <x:v>0</x:v>
      </x:c>
      <x:c r="AH31" s="102" t="n">
        <x:f>IF('01_数值调参'!$D$3="配方有效",'03_全链计算'!AH30*$D31/'01_数值调参'!AH9,"待修正")</x:f>
        <x:v>0</x:v>
      </x:c>
      <x:c r="AI31" s="101" t="n">
        <x:f>IF('01_数值调参'!$D$3="配方有效",'03_全链计算'!AI30*$D31/'01_数值调参'!AI9,"待修正")</x:f>
        <x:v>0</x:v>
      </x:c>
      <x:c r="AJ31" s="101" t="n">
        <x:f>IF('01_数值调参'!$D$3="配方有效",'03_全链计算'!AJ30*$D31/'01_数值调参'!AJ9,"待修正")</x:f>
        <x:v>0</x:v>
      </x:c>
      <x:c r="AK31" s="101" t="n">
        <x:f>IF('01_数值调参'!$D$3="配方有效",'03_全链计算'!AK30*$D31/'01_数值调参'!AK9,"待修正")</x:f>
        <x:v>0</x:v>
      </x:c>
      <x:c r="AL31" s="101" t="n">
        <x:f>IF('01_数值调参'!$D$3="配方有效",'03_全链计算'!AL30*$D31/'01_数值调参'!AL9,"待修正")</x:f>
        <x:v>0</x:v>
      </x:c>
      <x:c r="AM31" s="101" t="n">
        <x:f>IF('01_数值调参'!$D$3="配方有效",'03_全链计算'!AM30*$D31/'01_数值调参'!AM9,"待修正")</x:f>
        <x:v>0</x:v>
      </x:c>
    </x:row>
    <x:row r="32" ht="22" customHeight="1">
      <x:c r="A32" s="76" t="n">
        <x:v>37</x:v>
      </x:c>
      <x:c r="B32" s="76" t="str">
        <x:v>雨滴篮子</x:v>
      </x:c>
      <x:c r="C32" s="76" t="str">
        <x:v>纺织机</x:v>
      </x:c>
      <x:c r="D32" s="76" t="n">
        <x:f>'01_数值调参'!AC9</x:f>
        <x:v>180</x:v>
      </x:c>
      <x:c r="E32" s="101" t="n">
        <x:f>IF('01_数值调参'!$D$3="配方有效",'03_全链计算'!E31*$D32/'01_数值调参'!E9,"待修正")</x:f>
        <x:v>0</x:v>
      </x:c>
      <x:c r="F32" s="101" t="n">
        <x:f>IF('01_数值调参'!$D$3="配方有效",'03_全链计算'!F31*$D32/'01_数值调参'!F9,"待修正")</x:f>
        <x:v>0</x:v>
      </x:c>
      <x:c r="G32" s="101" t="n">
        <x:f>IF('01_数值调参'!$D$3="配方有效",'03_全链计算'!G31*$D32/'01_数值调参'!G9,"待修正")</x:f>
        <x:v>0</x:v>
      </x:c>
      <x:c r="H32" s="101" t="n">
        <x:f>IF('01_数值调参'!$D$3="配方有效",'03_全链计算'!H31*$D32/'01_数值调参'!H9,"待修正")</x:f>
        <x:v>0</x:v>
      </x:c>
      <x:c r="I32" s="101" t="n">
        <x:f>IF('01_数值调参'!$D$3="配方有效",'03_全链计算'!I31*$D32/'01_数值调参'!I9,"待修正")</x:f>
        <x:v>0</x:v>
      </x:c>
      <x:c r="J32" s="101" t="n">
        <x:f>IF('01_数值调参'!$D$3="配方有效",'03_全链计算'!J31*$D32/'01_数值调参'!J9,"待修正")</x:f>
        <x:v>0</x:v>
      </x:c>
      <x:c r="K32" s="101" t="n">
        <x:f>IF('01_数值调参'!$D$3="配方有效",'03_全链计算'!K31*$D32/'01_数值调参'!K9,"待修正")</x:f>
        <x:v>0</x:v>
      </x:c>
      <x:c r="L32" s="101" t="n">
        <x:f>IF('01_数值调参'!$D$3="配方有效",'03_全链计算'!L31*$D32/'01_数值调参'!L9,"待修正")</x:f>
        <x:v>0</x:v>
      </x:c>
      <x:c r="M32" s="101" t="n">
        <x:f>IF('01_数值调参'!$D$3="配方有效",'03_全链计算'!M31*$D32/'01_数值调参'!M9,"待修正")</x:f>
        <x:v>0</x:v>
      </x:c>
      <x:c r="N32" s="102" t="n">
        <x:f>IF('01_数值调参'!$D$3="配方有效",'03_全链计算'!N31*$D32/'01_数值调参'!N9,"待修正")</x:f>
        <x:v>0</x:v>
      </x:c>
      <x:c r="O32" s="101" t="n">
        <x:f>IF('01_数值调参'!$D$3="配方有效",'03_全链计算'!O31*$D32/'01_数值调参'!O9,"待修正")</x:f>
        <x:v>0</x:v>
      </x:c>
      <x:c r="P32" s="101" t="n">
        <x:f>IF('01_数值调参'!$D$3="配方有效",'03_全链计算'!P31*$D32/'01_数值调参'!P9,"待修正")</x:f>
        <x:v>0</x:v>
      </x:c>
      <x:c r="Q32" s="101" t="n">
        <x:f>IF('01_数值调参'!$D$3="配方有效",'03_全链计算'!Q31*$D32/'01_数值调参'!Q9,"待修正")</x:f>
        <x:v>0</x:v>
      </x:c>
      <x:c r="R32" s="101" t="n">
        <x:f>IF('01_数值调参'!$D$3="配方有效",'03_全链计算'!R31*$D32/'01_数值调参'!R9,"待修正")</x:f>
        <x:v>0</x:v>
      </x:c>
      <x:c r="S32" s="102" t="n">
        <x:f>IF('01_数值调参'!$D$3="配方有效",'03_全链计算'!S31*$D32/'01_数值调参'!S9,"待修正")</x:f>
        <x:v>0</x:v>
      </x:c>
      <x:c r="T32" s="101" t="n">
        <x:f>IF('01_数值调参'!$D$3="配方有效",'03_全链计算'!T31*$D32/'01_数值调参'!T9,"待修正")</x:f>
        <x:v>0</x:v>
      </x:c>
      <x:c r="U32" s="101" t="n">
        <x:f>IF('01_数值调参'!$D$3="配方有效",'03_全链计算'!U31*$D32/'01_数值调参'!U9,"待修正")</x:f>
        <x:v>0</x:v>
      </x:c>
      <x:c r="V32" s="101" t="n">
        <x:f>IF('01_数值调参'!$D$3="配方有效",'03_全链计算'!V31*$D32/'01_数值调参'!V9,"待修正")</x:f>
        <x:v>0</x:v>
      </x:c>
      <x:c r="W32" s="101" t="n">
        <x:f>IF('01_数值调参'!$D$3="配方有效",'03_全链计算'!W31*$D32/'01_数值调参'!W9,"待修正")</x:f>
        <x:v>0</x:v>
      </x:c>
      <x:c r="X32" s="102" t="n">
        <x:f>IF('01_数值调参'!$D$3="配方有效",'03_全链计算'!X31*$D32/'01_数值调参'!X9,"待修正")</x:f>
        <x:v>0</x:v>
      </x:c>
      <x:c r="Y32" s="101" t="n">
        <x:f>IF('01_数值调参'!$D$3="配方有效",'03_全链计算'!Y31*$D32/'01_数值调参'!Y9,"待修正")</x:f>
        <x:v>0</x:v>
      </x:c>
      <x:c r="Z32" s="101" t="n">
        <x:f>IF('01_数值调参'!$D$3="配方有效",'03_全链计算'!Z31*$D32/'01_数值调参'!Z9,"待修正")</x:f>
        <x:v>0</x:v>
      </x:c>
      <x:c r="AA32" s="101" t="n">
        <x:f>IF('01_数值调参'!$D$3="配方有效",'03_全链计算'!AA31*$D32/'01_数值调参'!AA9,"待修正")</x:f>
        <x:v>0</x:v>
      </x:c>
      <x:c r="AB32" s="101" t="n">
        <x:f>IF('01_数值调参'!$D$3="配方有效",'03_全链计算'!AB31*$D32/'01_数值调参'!AB9,"待修正")</x:f>
        <x:v>0</x:v>
      </x:c>
      <x:c r="AC32" s="101" t="n">
        <x:f>IF('01_数值调参'!$D$3="配方有效",'03_全链计算'!AC31*$D32/'01_数值调参'!AC9,"待修正")</x:f>
        <x:v>1</x:v>
      </x:c>
      <x:c r="AD32" s="102" t="n">
        <x:f>IF('01_数值调参'!$D$3="配方有效",'03_全链计算'!AD31*$D32/'01_数值调参'!AD9,"待修正")</x:f>
        <x:v>0</x:v>
      </x:c>
      <x:c r="AE32" s="101" t="n">
        <x:f>IF('01_数值调参'!$D$3="配方有效",'03_全链计算'!AE31*$D32/'01_数值调参'!AE9,"待修正")</x:f>
        <x:v>0</x:v>
      </x:c>
      <x:c r="AF32" s="101" t="n">
        <x:f>IF('01_数值调参'!$D$3="配方有效",'03_全链计算'!AF31*$D32/'01_数值调参'!AF9,"待修正")</x:f>
        <x:v>0</x:v>
      </x:c>
      <x:c r="AG32" s="101" t="n">
        <x:f>IF('01_数值调参'!$D$3="配方有效",'03_全链计算'!AG31*$D32/'01_数值调参'!AG9,"待修正")</x:f>
        <x:v>0</x:v>
      </x:c>
      <x:c r="AH32" s="102" t="n">
        <x:f>IF('01_数值调参'!$D$3="配方有效",'03_全链计算'!AH31*$D32/'01_数值调参'!AH9,"待修正")</x:f>
        <x:v>0</x:v>
      </x:c>
      <x:c r="AI32" s="101" t="n">
        <x:f>IF('01_数值调参'!$D$3="配方有效",'03_全链计算'!AI31*$D32/'01_数值调参'!AI9,"待修正")</x:f>
        <x:v>0</x:v>
      </x:c>
      <x:c r="AJ32" s="101" t="n">
        <x:f>IF('01_数值调参'!$D$3="配方有效",'03_全链计算'!AJ31*$D32/'01_数值调参'!AJ9,"待修正")</x:f>
        <x:v>0</x:v>
      </x:c>
      <x:c r="AK32" s="101" t="n">
        <x:f>IF('01_数值调参'!$D$3="配方有效",'03_全链计算'!AK31*$D32/'01_数值调参'!AK9,"待修正")</x:f>
        <x:v>0</x:v>
      </x:c>
      <x:c r="AL32" s="101" t="n">
        <x:f>IF('01_数值调参'!$D$3="配方有效",'03_全链计算'!AL31*$D32/'01_数值调参'!AL9,"待修正")</x:f>
        <x:v>0</x:v>
      </x:c>
      <x:c r="AM32" s="101" t="n">
        <x:f>IF('01_数值调参'!$D$3="配方有效",'03_全链计算'!AM31*$D32/'01_数值调参'!AM9,"待修正")</x:f>
        <x:v>0</x:v>
      </x:c>
    </x:row>
    <x:row r="33" ht="22" customHeight="1">
      <x:c r="A33" s="85" t="n">
        <x:v>13</x:v>
      </x:c>
      <x:c r="B33" s="85" t="str">
        <x:v>薰衣草精油</x:v>
      </x:c>
      <x:c r="C33" s="85" t="str">
        <x:v>萃取机</x:v>
      </x:c>
      <x:c r="D33" s="85" t="n">
        <x:f>'01_数值调参'!AD9</x:f>
        <x:v>20</x:v>
      </x:c>
      <x:c r="E33" s="103" t="n">
        <x:f>IF('01_数值调参'!$D$3="配方有效",'03_全链计算'!E32*$D33/'01_数值调参'!E9,"待修正")</x:f>
        <x:v>0</x:v>
      </x:c>
      <x:c r="F33" s="103" t="n">
        <x:f>IF('01_数值调参'!$D$3="配方有效",'03_全链计算'!F32*$D33/'01_数值调参'!F9,"待修正")</x:f>
        <x:v>0</x:v>
      </x:c>
      <x:c r="G33" s="103" t="n">
        <x:f>IF('01_数值调参'!$D$3="配方有效",'03_全链计算'!G32*$D33/'01_数值调参'!G9,"待修正")</x:f>
        <x:v>0</x:v>
      </x:c>
      <x:c r="H33" s="103" t="n">
        <x:f>IF('01_数值调参'!$D$3="配方有效",'03_全链计算'!H32*$D33/'01_数值调参'!H9,"待修正")</x:f>
        <x:v>0</x:v>
      </x:c>
      <x:c r="I33" s="103" t="n">
        <x:f>IF('01_数值调参'!$D$3="配方有效",'03_全链计算'!I32*$D33/'01_数值调参'!I9,"待修正")</x:f>
        <x:v>0</x:v>
      </x:c>
      <x:c r="J33" s="103" t="n">
        <x:f>IF('01_数值调参'!$D$3="配方有效",'03_全链计算'!J32*$D33/'01_数值调参'!J9,"待修正")</x:f>
        <x:v>0</x:v>
      </x:c>
      <x:c r="K33" s="103" t="n">
        <x:f>IF('01_数值调参'!$D$3="配方有效",'03_全链计算'!K32*$D33/'01_数值调参'!K9,"待修正")</x:f>
        <x:v>0</x:v>
      </x:c>
      <x:c r="L33" s="103" t="n">
        <x:f>IF('01_数值调参'!$D$3="配方有效",'03_全链计算'!L32*$D33/'01_数值调参'!L9,"待修正")</x:f>
        <x:v>0</x:v>
      </x:c>
      <x:c r="M33" s="103" t="n">
        <x:f>IF('01_数值调参'!$D$3="配方有效",'03_全链计算'!M32*$D33/'01_数值调参'!M9,"待修正")</x:f>
        <x:v>0</x:v>
      </x:c>
      <x:c r="N33" s="104" t="n">
        <x:f>IF('01_数值调参'!$D$3="配方有效",'03_全链计算'!N32*$D33/'01_数值调参'!N9,"待修正")</x:f>
        <x:v>0</x:v>
      </x:c>
      <x:c r="O33" s="103" t="n">
        <x:f>IF('01_数值调参'!$D$3="配方有效",'03_全链计算'!O32*$D33/'01_数值调参'!O9,"待修正")</x:f>
        <x:v>0</x:v>
      </x:c>
      <x:c r="P33" s="103" t="n">
        <x:f>IF('01_数值调参'!$D$3="配方有效",'03_全链计算'!P32*$D33/'01_数值调参'!P9,"待修正")</x:f>
        <x:v>0</x:v>
      </x:c>
      <x:c r="Q33" s="103" t="n">
        <x:f>IF('01_数值调参'!$D$3="配方有效",'03_全链计算'!Q32*$D33/'01_数值调参'!Q9,"待修正")</x:f>
        <x:v>0</x:v>
      </x:c>
      <x:c r="R33" s="103" t="n">
        <x:f>IF('01_数值调参'!$D$3="配方有效",'03_全链计算'!R32*$D33/'01_数值调参'!R9,"待修正")</x:f>
        <x:v>0</x:v>
      </x:c>
      <x:c r="S33" s="104" t="n">
        <x:f>IF('01_数值调参'!$D$3="配方有效",'03_全链计算'!S32*$D33/'01_数值调参'!S9,"待修正")</x:f>
        <x:v>0</x:v>
      </x:c>
      <x:c r="T33" s="103" t="n">
        <x:f>IF('01_数值调参'!$D$3="配方有效",'03_全链计算'!T32*$D33/'01_数值调参'!T9,"待修正")</x:f>
        <x:v>0</x:v>
      </x:c>
      <x:c r="U33" s="103" t="n">
        <x:f>IF('01_数值调参'!$D$3="配方有效",'03_全链计算'!U32*$D33/'01_数值调参'!U9,"待修正")</x:f>
        <x:v>0</x:v>
      </x:c>
      <x:c r="V33" s="103" t="n">
        <x:f>IF('01_数值调参'!$D$3="配方有效",'03_全链计算'!V32*$D33/'01_数值调参'!V9,"待修正")</x:f>
        <x:v>0</x:v>
      </x:c>
      <x:c r="W33" s="103" t="n">
        <x:f>IF('01_数值调参'!$D$3="配方有效",'03_全链计算'!W32*$D33/'01_数值调参'!W9,"待修正")</x:f>
        <x:v>0</x:v>
      </x:c>
      <x:c r="X33" s="104" t="n">
        <x:f>IF('01_数值调参'!$D$3="配方有效",'03_全链计算'!X32*$D33/'01_数值调参'!X9,"待修正")</x:f>
        <x:v>0</x:v>
      </x:c>
      <x:c r="Y33" s="103" t="n">
        <x:f>IF('01_数值调参'!$D$3="配方有效",'03_全链计算'!Y32*$D33/'01_数值调参'!Y9,"待修正")</x:f>
        <x:v>0</x:v>
      </x:c>
      <x:c r="Z33" s="103" t="n">
        <x:f>IF('01_数值调参'!$D$3="配方有效",'03_全链计算'!Z32*$D33/'01_数值调参'!Z9,"待修正")</x:f>
        <x:v>0</x:v>
      </x:c>
      <x:c r="AA33" s="103" t="n">
        <x:f>IF('01_数值调参'!$D$3="配方有效",'03_全链计算'!AA32*$D33/'01_数值调参'!AA9,"待修正")</x:f>
        <x:v>0</x:v>
      </x:c>
      <x:c r="AB33" s="103" t="n">
        <x:f>IF('01_数值调参'!$D$3="配方有效",'03_全链计算'!AB32*$D33/'01_数值调参'!AB9,"待修正")</x:f>
        <x:v>0</x:v>
      </x:c>
      <x:c r="AC33" s="103" t="n">
        <x:f>IF('01_数值调参'!$D$3="配方有效",'03_全链计算'!AC32*$D33/'01_数值调参'!AC9,"待修正")</x:f>
        <x:v>0</x:v>
      </x:c>
      <x:c r="AD33" s="104" t="n">
        <x:f>IF('01_数值调参'!$D$3="配方有效",'03_全链计算'!AD32*$D33/'01_数值调参'!AD9,"待修正")</x:f>
        <x:v>1</x:v>
      </x:c>
      <x:c r="AE33" s="103" t="n">
        <x:f>IF('01_数值调参'!$D$3="配方有效",'03_全链计算'!AE32*$D33/'01_数值调参'!AE9,"待修正")</x:f>
        <x:v>0</x:v>
      </x:c>
      <x:c r="AF33" s="103" t="n">
        <x:f>IF('01_数值调参'!$D$3="配方有效",'03_全链计算'!AF32*$D33/'01_数值调参'!AF9,"待修正")</x:f>
        <x:v>0</x:v>
      </x:c>
      <x:c r="AG33" s="103" t="n">
        <x:f>IF('01_数值调参'!$D$3="配方有效",'03_全链计算'!AG32*$D33/'01_数值调参'!AG9,"待修正")</x:f>
        <x:v>0</x:v>
      </x:c>
      <x:c r="AH33" s="104" t="n">
        <x:f>IF('01_数值调参'!$D$3="配方有效",'03_全链计算'!AH32*$D33/'01_数值调参'!AH9,"待修正")</x:f>
        <x:v>0</x:v>
      </x:c>
      <x:c r="AI33" s="103" t="n">
        <x:f>IF('01_数值调参'!$D$3="配方有效",'03_全链计算'!AI32*$D33/'01_数值调参'!AI9,"待修正")</x:f>
        <x:v>0.3333333333333333</x:v>
      </x:c>
      <x:c r="AJ33" s="103" t="n">
        <x:f>IF('01_数值调参'!$D$3="配方有效",'03_全链计算'!AJ32*$D33/'01_数值调参'!AJ9,"待修正")</x:f>
        <x:v>0</x:v>
      </x:c>
      <x:c r="AK33" s="103" t="n">
        <x:f>IF('01_数值调参'!$D$3="配方有效",'03_全链计算'!AK32*$D33/'01_数值调参'!AK9,"待修正")</x:f>
        <x:v>0</x:v>
      </x:c>
      <x:c r="AL33" s="103" t="n">
        <x:f>IF('01_数值调参'!$D$3="配方有效",'03_全链计算'!AL32*$D33/'01_数值调参'!AL9,"待修正")</x:f>
        <x:v>0</x:v>
      </x:c>
      <x:c r="AM33" s="103" t="n">
        <x:f>IF('01_数值调参'!$D$3="配方有效",'03_全链计算'!AM32*$D33/'01_数值调参'!AM9,"待修正")</x:f>
        <x:v>0</x:v>
      </x:c>
    </x:row>
    <x:row r="34" ht="22" customHeight="1">
      <x:c r="A34" s="84" t="n">
        <x:v>18</x:v>
      </x:c>
      <x:c r="B34" s="84" t="str">
        <x:v>花瓣香水</x:v>
      </x:c>
      <x:c r="C34" s="84" t="str">
        <x:v>萃取机</x:v>
      </x:c>
      <x:c r="D34" s="84" t="n">
        <x:f>'01_数值调参'!AE9</x:f>
        <x:v>45</x:v>
      </x:c>
      <x:c r="E34" s="101" t="n">
        <x:f>IF('01_数值调参'!$D$3="配方有效",'03_全链计算'!E33*$D34/'01_数值调参'!E9,"待修正")</x:f>
        <x:v>0</x:v>
      </x:c>
      <x:c r="F34" s="101" t="n">
        <x:f>IF('01_数值调参'!$D$3="配方有效",'03_全链计算'!F33*$D34/'01_数值调参'!F9,"待修正")</x:f>
        <x:v>0</x:v>
      </x:c>
      <x:c r="G34" s="101" t="n">
        <x:f>IF('01_数值调参'!$D$3="配方有效",'03_全链计算'!G33*$D34/'01_数值调参'!G9,"待修正")</x:f>
        <x:v>0</x:v>
      </x:c>
      <x:c r="H34" s="101" t="n">
        <x:f>IF('01_数值调参'!$D$3="配方有效",'03_全链计算'!H33*$D34/'01_数值调参'!H9,"待修正")</x:f>
        <x:v>0</x:v>
      </x:c>
      <x:c r="I34" s="101" t="n">
        <x:f>IF('01_数值调参'!$D$3="配方有效",'03_全链计算'!I33*$D34/'01_数值调参'!I9,"待修正")</x:f>
        <x:v>0</x:v>
      </x:c>
      <x:c r="J34" s="101" t="n">
        <x:f>IF('01_数值调参'!$D$3="配方有效",'03_全链计算'!J33*$D34/'01_数值调参'!J9,"待修正")</x:f>
        <x:v>0</x:v>
      </x:c>
      <x:c r="K34" s="101" t="n">
        <x:f>IF('01_数值调参'!$D$3="配方有效",'03_全链计算'!K33*$D34/'01_数值调参'!K9,"待修正")</x:f>
        <x:v>0</x:v>
      </x:c>
      <x:c r="L34" s="101" t="n">
        <x:f>IF('01_数值调参'!$D$3="配方有效",'03_全链计算'!L33*$D34/'01_数值调参'!L9,"待修正")</x:f>
        <x:v>0</x:v>
      </x:c>
      <x:c r="M34" s="101" t="n">
        <x:f>IF('01_数值调参'!$D$3="配方有效",'03_全链计算'!M33*$D34/'01_数值调参'!M9,"待修正")</x:f>
        <x:v>0</x:v>
      </x:c>
      <x:c r="N34" s="102" t="n">
        <x:f>IF('01_数值调参'!$D$3="配方有效",'03_全链计算'!N33*$D34/'01_数值调参'!N9,"待修正")</x:f>
        <x:v>0</x:v>
      </x:c>
      <x:c r="O34" s="101" t="n">
        <x:f>IF('01_数值调参'!$D$3="配方有效",'03_全链计算'!O33*$D34/'01_数值调参'!O9,"待修正")</x:f>
        <x:v>0</x:v>
      </x:c>
      <x:c r="P34" s="101" t="n">
        <x:f>IF('01_数值调参'!$D$3="配方有效",'03_全链计算'!P33*$D34/'01_数值调参'!P9,"待修正")</x:f>
        <x:v>0</x:v>
      </x:c>
      <x:c r="Q34" s="101" t="n">
        <x:f>IF('01_数值调参'!$D$3="配方有效",'03_全链计算'!Q33*$D34/'01_数值调参'!Q9,"待修正")</x:f>
        <x:v>0</x:v>
      </x:c>
      <x:c r="R34" s="101" t="n">
        <x:f>IF('01_数值调参'!$D$3="配方有效",'03_全链计算'!R33*$D34/'01_数值调参'!R9,"待修正")</x:f>
        <x:v>0</x:v>
      </x:c>
      <x:c r="S34" s="102" t="n">
        <x:f>IF('01_数值调参'!$D$3="配方有效",'03_全链计算'!S33*$D34/'01_数值调参'!S9,"待修正")</x:f>
        <x:v>0</x:v>
      </x:c>
      <x:c r="T34" s="101" t="n">
        <x:f>IF('01_数值调参'!$D$3="配方有效",'03_全链计算'!T33*$D34/'01_数值调参'!T9,"待修正")</x:f>
        <x:v>0</x:v>
      </x:c>
      <x:c r="U34" s="101" t="n">
        <x:f>IF('01_数值调参'!$D$3="配方有效",'03_全链计算'!U33*$D34/'01_数值调参'!U9,"待修正")</x:f>
        <x:v>0</x:v>
      </x:c>
      <x:c r="V34" s="101" t="n">
        <x:f>IF('01_数值调参'!$D$3="配方有效",'03_全链计算'!V33*$D34/'01_数值调参'!V9,"待修正")</x:f>
        <x:v>0</x:v>
      </x:c>
      <x:c r="W34" s="101" t="n">
        <x:f>IF('01_数值调参'!$D$3="配方有效",'03_全链计算'!W33*$D34/'01_数值调参'!W9,"待修正")</x:f>
        <x:v>0</x:v>
      </x:c>
      <x:c r="X34" s="102" t="n">
        <x:f>IF('01_数值调参'!$D$3="配方有效",'03_全链计算'!X33*$D34/'01_数值调参'!X9,"待修正")</x:f>
        <x:v>0</x:v>
      </x:c>
      <x:c r="Y34" s="101" t="n">
        <x:f>IF('01_数值调参'!$D$3="配方有效",'03_全链计算'!Y33*$D34/'01_数值调参'!Y9,"待修正")</x:f>
        <x:v>0</x:v>
      </x:c>
      <x:c r="Z34" s="101" t="n">
        <x:f>IF('01_数值调参'!$D$3="配方有效",'03_全链计算'!Z33*$D34/'01_数值调参'!Z9,"待修正")</x:f>
        <x:v>0</x:v>
      </x:c>
      <x:c r="AA34" s="101" t="n">
        <x:f>IF('01_数值调参'!$D$3="配方有效",'03_全链计算'!AA33*$D34/'01_数值调参'!AA9,"待修正")</x:f>
        <x:v>0</x:v>
      </x:c>
      <x:c r="AB34" s="101" t="n">
        <x:f>IF('01_数值调参'!$D$3="配方有效",'03_全链计算'!AB33*$D34/'01_数值调参'!AB9,"待修正")</x:f>
        <x:v>0</x:v>
      </x:c>
      <x:c r="AC34" s="101" t="n">
        <x:f>IF('01_数值调参'!$D$3="配方有效",'03_全链计算'!AC33*$D34/'01_数值调参'!AC9,"待修正")</x:f>
        <x:v>0</x:v>
      </x:c>
      <x:c r="AD34" s="102" t="n">
        <x:f>IF('01_数值调参'!$D$3="配方有效",'03_全链计算'!AD33*$D34/'01_数值调参'!AD9,"待修正")</x:f>
        <x:v>0</x:v>
      </x:c>
      <x:c r="AE34" s="101" t="n">
        <x:f>IF('01_数值调参'!$D$3="配方有效",'03_全链计算'!AE33*$D34/'01_数值调参'!AE9,"待修正")</x:f>
        <x:v>1</x:v>
      </x:c>
      <x:c r="AF34" s="101" t="n">
        <x:f>IF('01_数值调参'!$D$3="配方有效",'03_全链计算'!AF33*$D34/'01_数值调参'!AF9,"待修正")</x:f>
        <x:v>0</x:v>
      </x:c>
      <x:c r="AG34" s="101" t="n">
        <x:f>IF('01_数值调参'!$D$3="配方有效",'03_全链计算'!AG33*$D34/'01_数值调参'!AG9,"待修正")</x:f>
        <x:v>0</x:v>
      </x:c>
      <x:c r="AH34" s="102" t="n">
        <x:f>IF('01_数值调参'!$D$3="配方有效",'03_全链计算'!AH33*$D34/'01_数值调参'!AH9,"待修正")</x:f>
        <x:v>0</x:v>
      </x:c>
      <x:c r="AI34" s="101" t="n">
        <x:f>IF('01_数值调参'!$D$3="配方有效",'03_全链计算'!AI33*$D34/'01_数值调参'!AI9,"待修正")</x:f>
        <x:v>0</x:v>
      </x:c>
      <x:c r="AJ34" s="101" t="n">
        <x:f>IF('01_数值调参'!$D$3="配方有效",'03_全链计算'!AJ33*$D34/'01_数值调参'!AJ9,"待修正")</x:f>
        <x:v>0.5</x:v>
      </x:c>
      <x:c r="AK34" s="101" t="n">
        <x:f>IF('01_数值调参'!$D$3="配方有效",'03_全链计算'!AK33*$D34/'01_数值调参'!AK9,"待修正")</x:f>
        <x:v>0</x:v>
      </x:c>
      <x:c r="AL34" s="101" t="n">
        <x:f>IF('01_数值调参'!$D$3="配方有效",'03_全链计算'!AL33*$D34/'01_数值调参'!AL9,"待修正")</x:f>
        <x:v>0</x:v>
      </x:c>
      <x:c r="AM34" s="101" t="n">
        <x:f>IF('01_数值调参'!$D$3="配方有效",'03_全链计算'!AM33*$D34/'01_数值调参'!AM9,"待修正")</x:f>
        <x:v>0</x:v>
      </x:c>
    </x:row>
    <x:row r="35" ht="22" customHeight="1">
      <x:c r="A35" s="84" t="n">
        <x:v>25</x:v>
      </x:c>
      <x:c r="B35" s="84" t="str">
        <x:v>墨汁</x:v>
      </x:c>
      <x:c r="C35" s="84" t="str">
        <x:v>萃取机</x:v>
      </x:c>
      <x:c r="D35" s="84" t="n">
        <x:f>'01_数值调参'!AF9</x:f>
        <x:v>60</x:v>
      </x:c>
      <x:c r="E35" s="101" t="n">
        <x:f>IF('01_数值调参'!$D$3="配方有效",'03_全链计算'!E34*$D35/'01_数值调参'!E9,"待修正")</x:f>
        <x:v>0</x:v>
      </x:c>
      <x:c r="F35" s="101" t="n">
        <x:f>IF('01_数值调参'!$D$3="配方有效",'03_全链计算'!F34*$D35/'01_数值调参'!F9,"待修正")</x:f>
        <x:v>0</x:v>
      </x:c>
      <x:c r="G35" s="101" t="n">
        <x:f>IF('01_数值调参'!$D$3="配方有效",'03_全链计算'!G34*$D35/'01_数值调参'!G9,"待修正")</x:f>
        <x:v>0</x:v>
      </x:c>
      <x:c r="H35" s="101" t="n">
        <x:f>IF('01_数值调参'!$D$3="配方有效",'03_全链计算'!H34*$D35/'01_数值调参'!H9,"待修正")</x:f>
        <x:v>0</x:v>
      </x:c>
      <x:c r="I35" s="101" t="n">
        <x:f>IF('01_数值调参'!$D$3="配方有效",'03_全链计算'!I34*$D35/'01_数值调参'!I9,"待修正")</x:f>
        <x:v>0</x:v>
      </x:c>
      <x:c r="J35" s="101" t="n">
        <x:f>IF('01_数值调参'!$D$3="配方有效",'03_全链计算'!J34*$D35/'01_数值调参'!J9,"待修正")</x:f>
        <x:v>0</x:v>
      </x:c>
      <x:c r="K35" s="101" t="n">
        <x:f>IF('01_数值调参'!$D$3="配方有效",'03_全链计算'!K34*$D35/'01_数值调参'!K9,"待修正")</x:f>
        <x:v>0</x:v>
      </x:c>
      <x:c r="L35" s="101" t="n">
        <x:f>IF('01_数值调参'!$D$3="配方有效",'03_全链计算'!L34*$D35/'01_数值调参'!L9,"待修正")</x:f>
        <x:v>0</x:v>
      </x:c>
      <x:c r="M35" s="101" t="n">
        <x:f>IF('01_数值调参'!$D$3="配方有效",'03_全链计算'!M34*$D35/'01_数值调参'!M9,"待修正")</x:f>
        <x:v>0</x:v>
      </x:c>
      <x:c r="N35" s="102" t="n">
        <x:f>IF('01_数值调参'!$D$3="配方有效",'03_全链计算'!N34*$D35/'01_数值调参'!N9,"待修正")</x:f>
        <x:v>0</x:v>
      </x:c>
      <x:c r="O35" s="101" t="n">
        <x:f>IF('01_数值调参'!$D$3="配方有效",'03_全链计算'!O34*$D35/'01_数值调参'!O9,"待修正")</x:f>
        <x:v>0</x:v>
      </x:c>
      <x:c r="P35" s="101" t="n">
        <x:f>IF('01_数值调参'!$D$3="配方有效",'03_全链计算'!P34*$D35/'01_数值调参'!P9,"待修正")</x:f>
        <x:v>0</x:v>
      </x:c>
      <x:c r="Q35" s="101" t="n">
        <x:f>IF('01_数值调参'!$D$3="配方有效",'03_全链计算'!Q34*$D35/'01_数值调参'!Q9,"待修正")</x:f>
        <x:v>0</x:v>
      </x:c>
      <x:c r="R35" s="101" t="n">
        <x:f>IF('01_数值调参'!$D$3="配方有效",'03_全链计算'!R34*$D35/'01_数值调参'!R9,"待修正")</x:f>
        <x:v>0</x:v>
      </x:c>
      <x:c r="S35" s="102" t="n">
        <x:f>IF('01_数值调参'!$D$3="配方有效",'03_全链计算'!S34*$D35/'01_数值调参'!S9,"待修正")</x:f>
        <x:v>0</x:v>
      </x:c>
      <x:c r="T35" s="101" t="n">
        <x:f>IF('01_数值调参'!$D$3="配方有效",'03_全链计算'!T34*$D35/'01_数值调参'!T9,"待修正")</x:f>
        <x:v>0</x:v>
      </x:c>
      <x:c r="U35" s="101" t="n">
        <x:f>IF('01_数值调参'!$D$3="配方有效",'03_全链计算'!U34*$D35/'01_数值调参'!U9,"待修正")</x:f>
        <x:v>0</x:v>
      </x:c>
      <x:c r="V35" s="101" t="n">
        <x:f>IF('01_数值调参'!$D$3="配方有效",'03_全链计算'!V34*$D35/'01_数值调参'!V9,"待修正")</x:f>
        <x:v>0</x:v>
      </x:c>
      <x:c r="W35" s="101" t="n">
        <x:f>IF('01_数值调参'!$D$3="配方有效",'03_全链计算'!W34*$D35/'01_数值调参'!W9,"待修正")</x:f>
        <x:v>0</x:v>
      </x:c>
      <x:c r="X35" s="102" t="n">
        <x:f>IF('01_数值调参'!$D$3="配方有效",'03_全链计算'!X34*$D35/'01_数值调参'!X9,"待修正")</x:f>
        <x:v>0</x:v>
      </x:c>
      <x:c r="Y35" s="101" t="n">
        <x:f>IF('01_数值调参'!$D$3="配方有效",'03_全链计算'!Y34*$D35/'01_数值调参'!Y9,"待修正")</x:f>
        <x:v>0</x:v>
      </x:c>
      <x:c r="Z35" s="101" t="n">
        <x:f>IF('01_数值调参'!$D$3="配方有效",'03_全链计算'!Z34*$D35/'01_数值调参'!Z9,"待修正")</x:f>
        <x:v>0</x:v>
      </x:c>
      <x:c r="AA35" s="101" t="n">
        <x:f>IF('01_数值调参'!$D$3="配方有效",'03_全链计算'!AA34*$D35/'01_数值调参'!AA9,"待修正")</x:f>
        <x:v>0</x:v>
      </x:c>
      <x:c r="AB35" s="101" t="n">
        <x:f>IF('01_数值调参'!$D$3="配方有效",'03_全链计算'!AB34*$D35/'01_数值调参'!AB9,"待修正")</x:f>
        <x:v>0</x:v>
      </x:c>
      <x:c r="AC35" s="101" t="n">
        <x:f>IF('01_数值调参'!$D$3="配方有效",'03_全链计算'!AC34*$D35/'01_数值调参'!AC9,"待修正")</x:f>
        <x:v>0</x:v>
      </x:c>
      <x:c r="AD35" s="102" t="n">
        <x:f>IF('01_数值调参'!$D$3="配方有效",'03_全链计算'!AD34*$D35/'01_数值调参'!AD9,"待修正")</x:f>
        <x:v>0</x:v>
      </x:c>
      <x:c r="AE35" s="101" t="n">
        <x:f>IF('01_数值调参'!$D$3="配方有效",'03_全链计算'!AE34*$D35/'01_数值调参'!AE9,"待修正")</x:f>
        <x:v>0</x:v>
      </x:c>
      <x:c r="AF35" s="101" t="n">
        <x:f>IF('01_数值调参'!$D$3="配方有效",'03_全链计算'!AF34*$D35/'01_数值调参'!AF9,"待修正")</x:f>
        <x:v>1</x:v>
      </x:c>
      <x:c r="AG35" s="101" t="n">
        <x:f>IF('01_数值调参'!$D$3="配方有效",'03_全链计算'!AG34*$D35/'01_数值调参'!AG9,"待修正")</x:f>
        <x:v>0</x:v>
      </x:c>
      <x:c r="AH35" s="102" t="n">
        <x:f>IF('01_数值调参'!$D$3="配方有效",'03_全链计算'!AH34*$D35/'01_数值调参'!AH9,"待修正")</x:f>
        <x:v>0</x:v>
      </x:c>
      <x:c r="AI35" s="101" t="n">
        <x:f>IF('01_数值调参'!$D$3="配方有效",'03_全链计算'!AI34*$D35/'01_数值调参'!AI9,"待修正")</x:f>
        <x:v>0</x:v>
      </x:c>
      <x:c r="AJ35" s="101" t="n">
        <x:f>IF('01_数值调参'!$D$3="配方有效",'03_全链计算'!AJ34*$D35/'01_数值调参'!AJ9,"待修正")</x:f>
        <x:v>0</x:v>
      </x:c>
      <x:c r="AK35" s="101" t="n">
        <x:f>IF('01_数值调参'!$D$3="配方有效",'03_全链计算'!AK34*$D35/'01_数值调参'!AK9,"待修正")</x:f>
        <x:v>0.5</x:v>
      </x:c>
      <x:c r="AL35" s="101" t="n">
        <x:f>IF('01_数值调参'!$D$3="配方有效",'03_全链计算'!AL34*$D35/'01_数值调参'!AL9,"待修正")</x:f>
        <x:v>0</x:v>
      </x:c>
      <x:c r="AM35" s="101" t="n">
        <x:f>IF('01_数值调参'!$D$3="配方有效",'03_全链计算'!AM34*$D35/'01_数值调参'!AM9,"待修正")</x:f>
        <x:v>0</x:v>
      </x:c>
    </x:row>
    <x:row r="36" ht="22" customHeight="1">
      <x:c r="A36" s="84" t="n">
        <x:v>31</x:v>
      </x:c>
      <x:c r="B36" s="84" t="str">
        <x:v>花蜡</x:v>
      </x:c>
      <x:c r="C36" s="84" t="str">
        <x:v>萃取机</x:v>
      </x:c>
      <x:c r="D36" s="84" t="n">
        <x:f>'01_数值调参'!AG9</x:f>
        <x:v>90</x:v>
      </x:c>
      <x:c r="E36" s="101" t="n">
        <x:f>IF('01_数值调参'!$D$3="配方有效",'03_全链计算'!E35*$D36/'01_数值调参'!E9,"待修正")</x:f>
        <x:v>0</x:v>
      </x:c>
      <x:c r="F36" s="101" t="n">
        <x:f>IF('01_数值调参'!$D$3="配方有效",'03_全链计算'!F35*$D36/'01_数值调参'!F9,"待修正")</x:f>
        <x:v>0</x:v>
      </x:c>
      <x:c r="G36" s="101" t="n">
        <x:f>IF('01_数值调参'!$D$3="配方有效",'03_全链计算'!G35*$D36/'01_数值调参'!G9,"待修正")</x:f>
        <x:v>0</x:v>
      </x:c>
      <x:c r="H36" s="101" t="n">
        <x:f>IF('01_数值调参'!$D$3="配方有效",'03_全链计算'!H35*$D36/'01_数值调参'!H9,"待修正")</x:f>
        <x:v>0</x:v>
      </x:c>
      <x:c r="I36" s="101" t="n">
        <x:f>IF('01_数值调参'!$D$3="配方有效",'03_全链计算'!I35*$D36/'01_数值调参'!I9,"待修正")</x:f>
        <x:v>0</x:v>
      </x:c>
      <x:c r="J36" s="101" t="n">
        <x:f>IF('01_数值调参'!$D$3="配方有效",'03_全链计算'!J35*$D36/'01_数值调参'!J9,"待修正")</x:f>
        <x:v>0</x:v>
      </x:c>
      <x:c r="K36" s="101" t="n">
        <x:f>IF('01_数值调参'!$D$3="配方有效",'03_全链计算'!K35*$D36/'01_数值调参'!K9,"待修正")</x:f>
        <x:v>0</x:v>
      </x:c>
      <x:c r="L36" s="101" t="n">
        <x:f>IF('01_数值调参'!$D$3="配方有效",'03_全链计算'!L35*$D36/'01_数值调参'!L9,"待修正")</x:f>
        <x:v>0</x:v>
      </x:c>
      <x:c r="M36" s="101" t="n">
        <x:f>IF('01_数值调参'!$D$3="配方有效",'03_全链计算'!M35*$D36/'01_数值调参'!M9,"待修正")</x:f>
        <x:v>0</x:v>
      </x:c>
      <x:c r="N36" s="102" t="n">
        <x:f>IF('01_数值调参'!$D$3="配方有效",'03_全链计算'!N35*$D36/'01_数值调参'!N9,"待修正")</x:f>
        <x:v>0</x:v>
      </x:c>
      <x:c r="O36" s="101" t="n">
        <x:f>IF('01_数值调参'!$D$3="配方有效",'03_全链计算'!O35*$D36/'01_数值调参'!O9,"待修正")</x:f>
        <x:v>0</x:v>
      </x:c>
      <x:c r="P36" s="101" t="n">
        <x:f>IF('01_数值调参'!$D$3="配方有效",'03_全链计算'!P35*$D36/'01_数值调参'!P9,"待修正")</x:f>
        <x:v>0</x:v>
      </x:c>
      <x:c r="Q36" s="101" t="n">
        <x:f>IF('01_数值调参'!$D$3="配方有效",'03_全链计算'!Q35*$D36/'01_数值调参'!Q9,"待修正")</x:f>
        <x:v>0</x:v>
      </x:c>
      <x:c r="R36" s="101" t="n">
        <x:f>IF('01_数值调参'!$D$3="配方有效",'03_全链计算'!R35*$D36/'01_数值调参'!R9,"待修正")</x:f>
        <x:v>0</x:v>
      </x:c>
      <x:c r="S36" s="102" t="n">
        <x:f>IF('01_数值调参'!$D$3="配方有效",'03_全链计算'!S35*$D36/'01_数值调参'!S9,"待修正")</x:f>
        <x:v>0</x:v>
      </x:c>
      <x:c r="T36" s="101" t="n">
        <x:f>IF('01_数值调参'!$D$3="配方有效",'03_全链计算'!T35*$D36/'01_数值调参'!T9,"待修正")</x:f>
        <x:v>0</x:v>
      </x:c>
      <x:c r="U36" s="101" t="n">
        <x:f>IF('01_数值调参'!$D$3="配方有效",'03_全链计算'!U35*$D36/'01_数值调参'!U9,"待修正")</x:f>
        <x:v>0</x:v>
      </x:c>
      <x:c r="V36" s="101" t="n">
        <x:f>IF('01_数值调参'!$D$3="配方有效",'03_全链计算'!V35*$D36/'01_数值调参'!V9,"待修正")</x:f>
        <x:v>0</x:v>
      </x:c>
      <x:c r="W36" s="101" t="n">
        <x:f>IF('01_数值调参'!$D$3="配方有效",'03_全链计算'!W35*$D36/'01_数值调参'!W9,"待修正")</x:f>
        <x:v>0</x:v>
      </x:c>
      <x:c r="X36" s="102" t="n">
        <x:f>IF('01_数值调参'!$D$3="配方有效",'03_全链计算'!X35*$D36/'01_数值调参'!X9,"待修正")</x:f>
        <x:v>0</x:v>
      </x:c>
      <x:c r="Y36" s="101" t="n">
        <x:f>IF('01_数值调参'!$D$3="配方有效",'03_全链计算'!Y35*$D36/'01_数值调参'!Y9,"待修正")</x:f>
        <x:v>0</x:v>
      </x:c>
      <x:c r="Z36" s="101" t="n">
        <x:f>IF('01_数值调参'!$D$3="配方有效",'03_全链计算'!Z35*$D36/'01_数值调参'!Z9,"待修正")</x:f>
        <x:v>0</x:v>
      </x:c>
      <x:c r="AA36" s="101" t="n">
        <x:f>IF('01_数值调参'!$D$3="配方有效",'03_全链计算'!AA35*$D36/'01_数值调参'!AA9,"待修正")</x:f>
        <x:v>0</x:v>
      </x:c>
      <x:c r="AB36" s="101" t="n">
        <x:f>IF('01_数值调参'!$D$3="配方有效",'03_全链计算'!AB35*$D36/'01_数值调参'!AB9,"待修正")</x:f>
        <x:v>0</x:v>
      </x:c>
      <x:c r="AC36" s="101" t="n">
        <x:f>IF('01_数值调参'!$D$3="配方有效",'03_全链计算'!AC35*$D36/'01_数值调参'!AC9,"待修正")</x:f>
        <x:v>0.5</x:v>
      </x:c>
      <x:c r="AD36" s="102" t="n">
        <x:f>IF('01_数值调参'!$D$3="配方有效",'03_全链计算'!AD35*$D36/'01_数值调参'!AD9,"待修正")</x:f>
        <x:v>0</x:v>
      </x:c>
      <x:c r="AE36" s="101" t="n">
        <x:f>IF('01_数值调参'!$D$3="配方有效",'03_全链计算'!AE35*$D36/'01_数值调参'!AE9,"待修正")</x:f>
        <x:v>0</x:v>
      </x:c>
      <x:c r="AF36" s="101" t="n">
        <x:f>IF('01_数值调参'!$D$3="配方有效",'03_全链计算'!AF35*$D36/'01_数值调参'!AF9,"待修正")</x:f>
        <x:v>0</x:v>
      </x:c>
      <x:c r="AG36" s="101" t="n">
        <x:f>IF('01_数值调参'!$D$3="配方有效",'03_全链计算'!AG35*$D36/'01_数值调参'!AG9,"待修正")</x:f>
        <x:v>1</x:v>
      </x:c>
      <x:c r="AH36" s="102" t="n">
        <x:f>IF('01_数值调参'!$D$3="配方有效",'03_全链计算'!AH35*$D36/'01_数值调参'!AH9,"待修正")</x:f>
        <x:v>0</x:v>
      </x:c>
      <x:c r="AI36" s="101" t="n">
        <x:f>IF('01_数值调参'!$D$3="配方有效",'03_全链计算'!AI35*$D36/'01_数值调参'!AI9,"待修正")</x:f>
        <x:v>0</x:v>
      </x:c>
      <x:c r="AJ36" s="101" t="n">
        <x:f>IF('01_数值调参'!$D$3="配方有效",'03_全链计算'!AJ35*$D36/'01_数值调参'!AJ9,"待修正")</x:f>
        <x:v>0</x:v>
      </x:c>
      <x:c r="AK36" s="101" t="n">
        <x:f>IF('01_数值调参'!$D$3="配方有效",'03_全链计算'!AK35*$D36/'01_数值调参'!AK9,"待修正")</x:f>
        <x:v>0</x:v>
      </x:c>
      <x:c r="AL36" s="101" t="n">
        <x:f>IF('01_数值调参'!$D$3="配方有效",'03_全链计算'!AL35*$D36/'01_数值调参'!AL9,"待修正")</x:f>
        <x:v>0</x:v>
      </x:c>
      <x:c r="AM36" s="101" t="n">
        <x:f>IF('01_数值调参'!$D$3="配方有效",'03_全链计算'!AM35*$D36/'01_数值调参'!AM9,"待修正")</x:f>
        <x:v>0</x:v>
      </x:c>
    </x:row>
    <x:row r="37" ht="22" customHeight="1">
      <x:c r="A37" s="93" t="n">
        <x:v>19</x:v>
      </x:c>
      <x:c r="B37" s="93" t="str">
        <x:v>竹炭画笔</x:v>
      </x:c>
      <x:c r="C37" s="93" t="str">
        <x:v>窑炉</x:v>
      </x:c>
      <x:c r="D37" s="93" t="n">
        <x:f>'01_数值调参'!AH9</x:f>
        <x:v>45</x:v>
      </x:c>
      <x:c r="E37" s="103" t="n">
        <x:f>IF('01_数值调参'!$D$3="配方有效",'03_全链计算'!E36*$D37/'01_数值调参'!E9,"待修正")</x:f>
        <x:v>0</x:v>
      </x:c>
      <x:c r="F37" s="103" t="n">
        <x:f>IF('01_数值调参'!$D$3="配方有效",'03_全链计算'!F36*$D37/'01_数值调参'!F9,"待修正")</x:f>
        <x:v>0</x:v>
      </x:c>
      <x:c r="G37" s="103" t="n">
        <x:f>IF('01_数值调参'!$D$3="配方有效",'03_全链计算'!G36*$D37/'01_数值调参'!G9,"待修正")</x:f>
        <x:v>0</x:v>
      </x:c>
      <x:c r="H37" s="103" t="n">
        <x:f>IF('01_数值调参'!$D$3="配方有效",'03_全链计算'!H36*$D37/'01_数值调参'!H9,"待修正")</x:f>
        <x:v>0</x:v>
      </x:c>
      <x:c r="I37" s="103" t="n">
        <x:f>IF('01_数值调参'!$D$3="配方有效",'03_全链计算'!I36*$D37/'01_数值调参'!I9,"待修正")</x:f>
        <x:v>0</x:v>
      </x:c>
      <x:c r="J37" s="103" t="n">
        <x:f>IF('01_数值调参'!$D$3="配方有效",'03_全链计算'!J36*$D37/'01_数值调参'!J9,"待修正")</x:f>
        <x:v>0</x:v>
      </x:c>
      <x:c r="K37" s="103" t="n">
        <x:f>IF('01_数值调参'!$D$3="配方有效",'03_全链计算'!K36*$D37/'01_数值调参'!K9,"待修正")</x:f>
        <x:v>0</x:v>
      </x:c>
      <x:c r="L37" s="103" t="n">
        <x:f>IF('01_数值调参'!$D$3="配方有效",'03_全链计算'!L36*$D37/'01_数值调参'!L9,"待修正")</x:f>
        <x:v>0</x:v>
      </x:c>
      <x:c r="M37" s="103" t="n">
        <x:f>IF('01_数值调参'!$D$3="配方有效",'03_全链计算'!M36*$D37/'01_数值调参'!M9,"待修正")</x:f>
        <x:v>0</x:v>
      </x:c>
      <x:c r="N37" s="104" t="n">
        <x:f>IF('01_数值调参'!$D$3="配方有效",'03_全链计算'!N36*$D37/'01_数值调参'!N9,"待修正")</x:f>
        <x:v>0</x:v>
      </x:c>
      <x:c r="O37" s="103" t="n">
        <x:f>IF('01_数值调参'!$D$3="配方有效",'03_全链计算'!O36*$D37/'01_数值调参'!O9,"待修正")</x:f>
        <x:v>0</x:v>
      </x:c>
      <x:c r="P37" s="103" t="n">
        <x:f>IF('01_数值调参'!$D$3="配方有效",'03_全链计算'!P36*$D37/'01_数值调参'!P9,"待修正")</x:f>
        <x:v>0</x:v>
      </x:c>
      <x:c r="Q37" s="103" t="n">
        <x:f>IF('01_数值调参'!$D$3="配方有效",'03_全链计算'!Q36*$D37/'01_数值调参'!Q9,"待修正")</x:f>
        <x:v>0</x:v>
      </x:c>
      <x:c r="R37" s="103" t="n">
        <x:f>IF('01_数值调参'!$D$3="配方有效",'03_全链计算'!R36*$D37/'01_数值调参'!R9,"待修正")</x:f>
        <x:v>0</x:v>
      </x:c>
      <x:c r="S37" s="104" t="n">
        <x:f>IF('01_数值调参'!$D$3="配方有效",'03_全链计算'!S36*$D37/'01_数值调参'!S9,"待修正")</x:f>
        <x:v>0</x:v>
      </x:c>
      <x:c r="T37" s="103" t="n">
        <x:f>IF('01_数值调参'!$D$3="配方有效",'03_全链计算'!T36*$D37/'01_数值调参'!T9,"待修正")</x:f>
        <x:v>0</x:v>
      </x:c>
      <x:c r="U37" s="103" t="n">
        <x:f>IF('01_数值调参'!$D$3="配方有效",'03_全链计算'!U36*$D37/'01_数值调参'!U9,"待修正")</x:f>
        <x:v>0</x:v>
      </x:c>
      <x:c r="V37" s="103" t="n">
        <x:f>IF('01_数值调参'!$D$3="配方有效",'03_全链计算'!V36*$D37/'01_数值调参'!V9,"待修正")</x:f>
        <x:v>0</x:v>
      </x:c>
      <x:c r="W37" s="103" t="n">
        <x:f>IF('01_数值调参'!$D$3="配方有效",'03_全链计算'!W36*$D37/'01_数值调参'!W9,"待修正")</x:f>
        <x:v>0</x:v>
      </x:c>
      <x:c r="X37" s="104" t="n">
        <x:f>IF('01_数值调参'!$D$3="配方有效",'03_全链计算'!X36*$D37/'01_数值调参'!X9,"待修正")</x:f>
        <x:v>0</x:v>
      </x:c>
      <x:c r="Y37" s="103" t="n">
        <x:f>IF('01_数值调参'!$D$3="配方有效",'03_全链计算'!Y36*$D37/'01_数值调参'!Y9,"待修正")</x:f>
        <x:v>0</x:v>
      </x:c>
      <x:c r="Z37" s="103" t="n">
        <x:f>IF('01_数值调参'!$D$3="配方有效",'03_全链计算'!Z36*$D37/'01_数值调参'!Z9,"待修正")</x:f>
        <x:v>0</x:v>
      </x:c>
      <x:c r="AA37" s="103" t="n">
        <x:f>IF('01_数值调参'!$D$3="配方有效",'03_全链计算'!AA36*$D37/'01_数值调参'!AA9,"待修正")</x:f>
        <x:v>0</x:v>
      </x:c>
      <x:c r="AB37" s="103" t="n">
        <x:f>IF('01_数值调参'!$D$3="配方有效",'03_全链计算'!AB36*$D37/'01_数值调参'!AB9,"待修正")</x:f>
        <x:v>0</x:v>
      </x:c>
      <x:c r="AC37" s="103" t="n">
        <x:f>IF('01_数值调参'!$D$3="配方有效",'03_全链计算'!AC36*$D37/'01_数值调参'!AC9,"待修正")</x:f>
        <x:v>0</x:v>
      </x:c>
      <x:c r="AD37" s="104" t="n">
        <x:f>IF('01_数值调参'!$D$3="配方有效",'03_全链计算'!AD36*$D37/'01_数值调参'!AD9,"待修正")</x:f>
        <x:v>0</x:v>
      </x:c>
      <x:c r="AE37" s="103" t="n">
        <x:f>IF('01_数值调参'!$D$3="配方有效",'03_全链计算'!AE36*$D37/'01_数值调参'!AE9,"待修正")</x:f>
        <x:v>0</x:v>
      </x:c>
      <x:c r="AF37" s="103" t="n">
        <x:f>IF('01_数值调参'!$D$3="配方有效",'03_全链计算'!AF36*$D37/'01_数值调参'!AF9,"待修正")</x:f>
        <x:v>0</x:v>
      </x:c>
      <x:c r="AG37" s="103" t="n">
        <x:f>IF('01_数值调参'!$D$3="配方有效",'03_全链计算'!AG36*$D37/'01_数值调参'!AG9,"待修正")</x:f>
        <x:v>0</x:v>
      </x:c>
      <x:c r="AH37" s="104" t="n">
        <x:f>IF('01_数值调参'!$D$3="配方有效",'03_全链计算'!AH36*$D37/'01_数值调参'!AH9,"待修正")</x:f>
        <x:v>1</x:v>
      </x:c>
      <x:c r="AI37" s="103" t="n">
        <x:f>IF('01_数值调参'!$D$3="配方有效",'03_全链计算'!AI36*$D37/'01_数值调参'!AI9,"待修正")</x:f>
        <x:v>0</x:v>
      </x:c>
      <x:c r="AJ37" s="103" t="n">
        <x:f>IF('01_数值调参'!$D$3="配方有效",'03_全链计算'!AJ36*$D37/'01_数值调参'!AJ9,"待修正")</x:f>
        <x:v>0</x:v>
      </x:c>
      <x:c r="AK37" s="103" t="n">
        <x:f>IF('01_数值调参'!$D$3="配方有效",'03_全链计算'!AK36*$D37/'01_数值调参'!AK9,"待修正")</x:f>
        <x:v>0</x:v>
      </x:c>
      <x:c r="AL37" s="103" t="n">
        <x:f>IF('01_数值调参'!$D$3="配方有效",'03_全链计算'!AL36*$D37/'01_数值调参'!AL9,"待修正")</x:f>
        <x:v>0</x:v>
      </x:c>
      <x:c r="AM37" s="103" t="n">
        <x:f>IF('01_数值调参'!$D$3="配方有效",'03_全链计算'!AM36*$D37/'01_数值调参'!AM9,"待修正")</x:f>
        <x:v>0</x:v>
      </x:c>
    </x:row>
    <x:row r="38" ht="22" customHeight="1">
      <x:c r="A38" s="92" t="n">
        <x:v>23</x:v>
      </x:c>
      <x:c r="B38" s="92" t="str">
        <x:v>薰衣草香棒</x:v>
      </x:c>
      <x:c r="C38" s="92" t="str">
        <x:v>窑炉</x:v>
      </x:c>
      <x:c r="D38" s="92" t="n">
        <x:f>'01_数值调参'!AI9</x:f>
        <x:v>60</x:v>
      </x:c>
      <x:c r="E38" s="101" t="n">
        <x:f>IF('01_数值调参'!$D$3="配方有效",'03_全链计算'!E37*$D38/'01_数值调参'!E9,"待修正")</x:f>
        <x:v>0</x:v>
      </x:c>
      <x:c r="F38" s="101" t="n">
        <x:f>IF('01_数值调参'!$D$3="配方有效",'03_全链计算'!F37*$D38/'01_数值调参'!F9,"待修正")</x:f>
        <x:v>0</x:v>
      </x:c>
      <x:c r="G38" s="101" t="n">
        <x:f>IF('01_数值调参'!$D$3="配方有效",'03_全链计算'!G37*$D38/'01_数值调参'!G9,"待修正")</x:f>
        <x:v>0</x:v>
      </x:c>
      <x:c r="H38" s="101" t="n">
        <x:f>IF('01_数值调参'!$D$3="配方有效",'03_全链计算'!H37*$D38/'01_数值调参'!H9,"待修正")</x:f>
        <x:v>0</x:v>
      </x:c>
      <x:c r="I38" s="101" t="n">
        <x:f>IF('01_数值调参'!$D$3="配方有效",'03_全链计算'!I37*$D38/'01_数值调参'!I9,"待修正")</x:f>
        <x:v>0</x:v>
      </x:c>
      <x:c r="J38" s="101" t="n">
        <x:f>IF('01_数值调参'!$D$3="配方有效",'03_全链计算'!J37*$D38/'01_数值调参'!J9,"待修正")</x:f>
        <x:v>0</x:v>
      </x:c>
      <x:c r="K38" s="101" t="n">
        <x:f>IF('01_数值调参'!$D$3="配方有效",'03_全链计算'!K37*$D38/'01_数值调参'!K9,"待修正")</x:f>
        <x:v>0</x:v>
      </x:c>
      <x:c r="L38" s="101" t="n">
        <x:f>IF('01_数值调参'!$D$3="配方有效",'03_全链计算'!L37*$D38/'01_数值调参'!L9,"待修正")</x:f>
        <x:v>0</x:v>
      </x:c>
      <x:c r="M38" s="101" t="n">
        <x:f>IF('01_数值调参'!$D$3="配方有效",'03_全链计算'!M37*$D38/'01_数值调参'!M9,"待修正")</x:f>
        <x:v>0</x:v>
      </x:c>
      <x:c r="N38" s="102" t="n">
        <x:f>IF('01_数值调参'!$D$3="配方有效",'03_全链计算'!N37*$D38/'01_数值调参'!N9,"待修正")</x:f>
        <x:v>0</x:v>
      </x:c>
      <x:c r="O38" s="101" t="n">
        <x:f>IF('01_数值调参'!$D$3="配方有效",'03_全链计算'!O37*$D38/'01_数值调参'!O9,"待修正")</x:f>
        <x:v>0</x:v>
      </x:c>
      <x:c r="P38" s="101" t="n">
        <x:f>IF('01_数值调参'!$D$3="配方有效",'03_全链计算'!P37*$D38/'01_数值调参'!P9,"待修正")</x:f>
        <x:v>0</x:v>
      </x:c>
      <x:c r="Q38" s="101" t="n">
        <x:f>IF('01_数值调参'!$D$3="配方有效",'03_全链计算'!Q37*$D38/'01_数值调参'!Q9,"待修正")</x:f>
        <x:v>0</x:v>
      </x:c>
      <x:c r="R38" s="101" t="n">
        <x:f>IF('01_数值调参'!$D$3="配方有效",'03_全链计算'!R37*$D38/'01_数值调参'!R9,"待修正")</x:f>
        <x:v>0</x:v>
      </x:c>
      <x:c r="S38" s="102" t="n">
        <x:f>IF('01_数值调参'!$D$3="配方有效",'03_全链计算'!S37*$D38/'01_数值调参'!S9,"待修正")</x:f>
        <x:v>0</x:v>
      </x:c>
      <x:c r="T38" s="101" t="n">
        <x:f>IF('01_数值调参'!$D$3="配方有效",'03_全链计算'!T37*$D38/'01_数值调参'!T9,"待修正")</x:f>
        <x:v>0</x:v>
      </x:c>
      <x:c r="U38" s="101" t="n">
        <x:f>IF('01_数值调参'!$D$3="配方有效",'03_全链计算'!U37*$D38/'01_数值调参'!U9,"待修正")</x:f>
        <x:v>0</x:v>
      </x:c>
      <x:c r="V38" s="101" t="n">
        <x:f>IF('01_数值调参'!$D$3="配方有效",'03_全链计算'!V37*$D38/'01_数值调参'!V9,"待修正")</x:f>
        <x:v>0</x:v>
      </x:c>
      <x:c r="W38" s="101" t="n">
        <x:f>IF('01_数值调参'!$D$3="配方有效",'03_全链计算'!W37*$D38/'01_数值调参'!W9,"待修正")</x:f>
        <x:v>0</x:v>
      </x:c>
      <x:c r="X38" s="102" t="n">
        <x:f>IF('01_数值调参'!$D$3="配方有效",'03_全链计算'!X37*$D38/'01_数值调参'!X9,"待修正")</x:f>
        <x:v>0</x:v>
      </x:c>
      <x:c r="Y38" s="101" t="n">
        <x:f>IF('01_数值调参'!$D$3="配方有效",'03_全链计算'!Y37*$D38/'01_数值调参'!Y9,"待修正")</x:f>
        <x:v>0</x:v>
      </x:c>
      <x:c r="Z38" s="101" t="n">
        <x:f>IF('01_数值调参'!$D$3="配方有效",'03_全链计算'!Z37*$D38/'01_数值调参'!Z9,"待修正")</x:f>
        <x:v>0</x:v>
      </x:c>
      <x:c r="AA38" s="101" t="n">
        <x:f>IF('01_数值调参'!$D$3="配方有效",'03_全链计算'!AA37*$D38/'01_数值调参'!AA9,"待修正")</x:f>
        <x:v>0</x:v>
      </x:c>
      <x:c r="AB38" s="101" t="n">
        <x:f>IF('01_数值调参'!$D$3="配方有效",'03_全链计算'!AB37*$D38/'01_数值调参'!AB9,"待修正")</x:f>
        <x:v>0</x:v>
      </x:c>
      <x:c r="AC38" s="101" t="n">
        <x:f>IF('01_数值调参'!$D$3="配方有效",'03_全链计算'!AC37*$D38/'01_数值调参'!AC9,"待修正")</x:f>
        <x:v>0</x:v>
      </x:c>
      <x:c r="AD38" s="102" t="n">
        <x:f>IF('01_数值调参'!$D$3="配方有效",'03_全链计算'!AD37*$D38/'01_数值调参'!AD9,"待修正")</x:f>
        <x:v>0</x:v>
      </x:c>
      <x:c r="AE38" s="101" t="n">
        <x:f>IF('01_数值调参'!$D$3="配方有效",'03_全链计算'!AE37*$D38/'01_数值调参'!AE9,"待修正")</x:f>
        <x:v>0</x:v>
      </x:c>
      <x:c r="AF38" s="101" t="n">
        <x:f>IF('01_数值调参'!$D$3="配方有效",'03_全链计算'!AF37*$D38/'01_数值调参'!AF9,"待修正")</x:f>
        <x:v>0</x:v>
      </x:c>
      <x:c r="AG38" s="101" t="n">
        <x:f>IF('01_数值调参'!$D$3="配方有效",'03_全链计算'!AG37*$D38/'01_数值调参'!AG9,"待修正")</x:f>
        <x:v>0</x:v>
      </x:c>
      <x:c r="AH38" s="102" t="n">
        <x:f>IF('01_数值调参'!$D$3="配方有效",'03_全链计算'!AH37*$D38/'01_数值调参'!AH9,"待修正")</x:f>
        <x:v>0</x:v>
      </x:c>
      <x:c r="AI38" s="101" t="n">
        <x:f>IF('01_数值调参'!$D$3="配方有效",'03_全链计算'!AI37*$D38/'01_数值调参'!AI9,"待修正")</x:f>
        <x:v>1</x:v>
      </x:c>
      <x:c r="AJ38" s="101" t="n">
        <x:f>IF('01_数值调参'!$D$3="配方有效",'03_全链计算'!AJ37*$D38/'01_数值调参'!AJ9,"待修正")</x:f>
        <x:v>0</x:v>
      </x:c>
      <x:c r="AK38" s="101" t="n">
        <x:f>IF('01_数值调参'!$D$3="配方有效",'03_全链计算'!AK37*$D38/'01_数值调参'!AK9,"待修正")</x:f>
        <x:v>0</x:v>
      </x:c>
      <x:c r="AL38" s="101" t="n">
        <x:f>IF('01_数值调参'!$D$3="配方有效",'03_全链计算'!AL37*$D38/'01_数值调参'!AL9,"待修正")</x:f>
        <x:v>0</x:v>
      </x:c>
      <x:c r="AM38" s="101" t="n">
        <x:f>IF('01_数值调参'!$D$3="配方有效",'03_全链计算'!AM37*$D38/'01_数值调参'!AM9,"待修正")</x:f>
        <x:v>0</x:v>
      </x:c>
    </x:row>
    <x:row r="39" ht="22" customHeight="1">
      <x:c r="A39" s="92" t="n">
        <x:v>26</x:v>
      </x:c>
      <x:c r="B39" s="92" t="str">
        <x:v>竹制盆景</x:v>
      </x:c>
      <x:c r="C39" s="92" t="str">
        <x:v>窑炉</x:v>
      </x:c>
      <x:c r="D39" s="92" t="n">
        <x:f>'01_数值调参'!AJ9</x:f>
        <x:v>90</x:v>
      </x:c>
      <x:c r="E39" s="101" t="n">
        <x:f>IF('01_数值调参'!$D$3="配方有效",'03_全链计算'!E38*$D39/'01_数值调参'!E9,"待修正")</x:f>
        <x:v>0</x:v>
      </x:c>
      <x:c r="F39" s="101" t="n">
        <x:f>IF('01_数值调参'!$D$3="配方有效",'03_全链计算'!F38*$D39/'01_数值调参'!F9,"待修正")</x:f>
        <x:v>0</x:v>
      </x:c>
      <x:c r="G39" s="101" t="n">
        <x:f>IF('01_数值调参'!$D$3="配方有效",'03_全链计算'!G38*$D39/'01_数值调参'!G9,"待修正")</x:f>
        <x:v>0</x:v>
      </x:c>
      <x:c r="H39" s="101" t="n">
        <x:f>IF('01_数值调参'!$D$3="配方有效",'03_全链计算'!H38*$D39/'01_数值调参'!H9,"待修正")</x:f>
        <x:v>0</x:v>
      </x:c>
      <x:c r="I39" s="101" t="n">
        <x:f>IF('01_数值调参'!$D$3="配方有效",'03_全链计算'!I38*$D39/'01_数值调参'!I9,"待修正")</x:f>
        <x:v>0</x:v>
      </x:c>
      <x:c r="J39" s="101" t="n">
        <x:f>IF('01_数值调参'!$D$3="配方有效",'03_全链计算'!J38*$D39/'01_数值调参'!J9,"待修正")</x:f>
        <x:v>0</x:v>
      </x:c>
      <x:c r="K39" s="101" t="n">
        <x:f>IF('01_数值调参'!$D$3="配方有效",'03_全链计算'!K38*$D39/'01_数值调参'!K9,"待修正")</x:f>
        <x:v>0</x:v>
      </x:c>
      <x:c r="L39" s="101" t="n">
        <x:f>IF('01_数值调参'!$D$3="配方有效",'03_全链计算'!L38*$D39/'01_数值调参'!L9,"待修正")</x:f>
        <x:v>0</x:v>
      </x:c>
      <x:c r="M39" s="101" t="n">
        <x:f>IF('01_数值调参'!$D$3="配方有效",'03_全链计算'!M38*$D39/'01_数值调参'!M9,"待修正")</x:f>
        <x:v>0</x:v>
      </x:c>
      <x:c r="N39" s="102" t="n">
        <x:f>IF('01_数值调参'!$D$3="配方有效",'03_全链计算'!N38*$D39/'01_数值调参'!N9,"待修正")</x:f>
        <x:v>0</x:v>
      </x:c>
      <x:c r="O39" s="101" t="n">
        <x:f>IF('01_数值调参'!$D$3="配方有效",'03_全链计算'!O38*$D39/'01_数值调参'!O9,"待修正")</x:f>
        <x:v>0</x:v>
      </x:c>
      <x:c r="P39" s="101" t="n">
        <x:f>IF('01_数值调参'!$D$3="配方有效",'03_全链计算'!P38*$D39/'01_数值调参'!P9,"待修正")</x:f>
        <x:v>0</x:v>
      </x:c>
      <x:c r="Q39" s="101" t="n">
        <x:f>IF('01_数值调参'!$D$3="配方有效",'03_全链计算'!Q38*$D39/'01_数值调参'!Q9,"待修正")</x:f>
        <x:v>0</x:v>
      </x:c>
      <x:c r="R39" s="101" t="n">
        <x:f>IF('01_数值调参'!$D$3="配方有效",'03_全链计算'!R38*$D39/'01_数值调参'!R9,"待修正")</x:f>
        <x:v>0</x:v>
      </x:c>
      <x:c r="S39" s="102" t="n">
        <x:f>IF('01_数值调参'!$D$3="配方有效",'03_全链计算'!S38*$D39/'01_数值调参'!S9,"待修正")</x:f>
        <x:v>0</x:v>
      </x:c>
      <x:c r="T39" s="101" t="n">
        <x:f>IF('01_数值调参'!$D$3="配方有效",'03_全链计算'!T38*$D39/'01_数值调参'!T9,"待修正")</x:f>
        <x:v>0</x:v>
      </x:c>
      <x:c r="U39" s="101" t="n">
        <x:f>IF('01_数值调参'!$D$3="配方有效",'03_全链计算'!U38*$D39/'01_数值调参'!U9,"待修正")</x:f>
        <x:v>0</x:v>
      </x:c>
      <x:c r="V39" s="101" t="n">
        <x:f>IF('01_数值调参'!$D$3="配方有效",'03_全链计算'!V38*$D39/'01_数值调参'!V9,"待修正")</x:f>
        <x:v>0</x:v>
      </x:c>
      <x:c r="W39" s="101" t="n">
        <x:f>IF('01_数值调参'!$D$3="配方有效",'03_全链计算'!W38*$D39/'01_数值调参'!W9,"待修正")</x:f>
        <x:v>0</x:v>
      </x:c>
      <x:c r="X39" s="102" t="n">
        <x:f>IF('01_数值调参'!$D$3="配方有效",'03_全链计算'!X38*$D39/'01_数值调参'!X9,"待修正")</x:f>
        <x:v>0</x:v>
      </x:c>
      <x:c r="Y39" s="101" t="n">
        <x:f>IF('01_数值调参'!$D$3="配方有效",'03_全链计算'!Y38*$D39/'01_数值调参'!Y9,"待修正")</x:f>
        <x:v>0</x:v>
      </x:c>
      <x:c r="Z39" s="101" t="n">
        <x:f>IF('01_数值调参'!$D$3="配方有效",'03_全链计算'!Z38*$D39/'01_数值调参'!Z9,"待修正")</x:f>
        <x:v>0</x:v>
      </x:c>
      <x:c r="AA39" s="101" t="n">
        <x:f>IF('01_数值调参'!$D$3="配方有效",'03_全链计算'!AA38*$D39/'01_数值调参'!AA9,"待修正")</x:f>
        <x:v>0</x:v>
      </x:c>
      <x:c r="AB39" s="101" t="n">
        <x:f>IF('01_数值调参'!$D$3="配方有效",'03_全链计算'!AB38*$D39/'01_数值调参'!AB9,"待修正")</x:f>
        <x:v>0</x:v>
      </x:c>
      <x:c r="AC39" s="101" t="n">
        <x:f>IF('01_数值调参'!$D$3="配方有效",'03_全链计算'!AC38*$D39/'01_数值调参'!AC9,"待修正")</x:f>
        <x:v>0</x:v>
      </x:c>
      <x:c r="AD39" s="102" t="n">
        <x:f>IF('01_数值调参'!$D$3="配方有效",'03_全链计算'!AD38*$D39/'01_数值调参'!AD9,"待修正")</x:f>
        <x:v>0</x:v>
      </x:c>
      <x:c r="AE39" s="101" t="n">
        <x:f>IF('01_数值调参'!$D$3="配方有效",'03_全链计算'!AE38*$D39/'01_数值调参'!AE9,"待修正")</x:f>
        <x:v>0</x:v>
      </x:c>
      <x:c r="AF39" s="101" t="n">
        <x:f>IF('01_数值调参'!$D$3="配方有效",'03_全链计算'!AF38*$D39/'01_数值调参'!AF9,"待修正")</x:f>
        <x:v>0</x:v>
      </x:c>
      <x:c r="AG39" s="101" t="n">
        <x:f>IF('01_数值调参'!$D$3="配方有效",'03_全链计算'!AG38*$D39/'01_数值调参'!AG9,"待修正")</x:f>
        <x:v>0</x:v>
      </x:c>
      <x:c r="AH39" s="102" t="n">
        <x:f>IF('01_数值调参'!$D$3="配方有效",'03_全链计算'!AH38*$D39/'01_数值调参'!AH9,"待修正")</x:f>
        <x:v>0</x:v>
      </x:c>
      <x:c r="AI39" s="101" t="n">
        <x:f>IF('01_数值调参'!$D$3="配方有效",'03_全链计算'!AI38*$D39/'01_数值调参'!AI9,"待修正")</x:f>
        <x:v>0</x:v>
      </x:c>
      <x:c r="AJ39" s="101" t="n">
        <x:f>IF('01_数值调参'!$D$3="配方有效",'03_全链计算'!AJ38*$D39/'01_数值调参'!AJ9,"待修正")</x:f>
        <x:v>1</x:v>
      </x:c>
      <x:c r="AK39" s="101" t="n">
        <x:f>IF('01_数值调参'!$D$3="配方有效",'03_全链计算'!AK38*$D39/'01_数值调参'!AK9,"待修正")</x:f>
        <x:v>0</x:v>
      </x:c>
      <x:c r="AL39" s="101" t="n">
        <x:f>IF('01_数值调参'!$D$3="配方有效",'03_全链计算'!AL38*$D39/'01_数值调参'!AL9,"待修正")</x:f>
        <x:v>0</x:v>
      </x:c>
      <x:c r="AM39" s="101" t="n">
        <x:f>IF('01_数值调参'!$D$3="配方有效",'03_全链计算'!AM38*$D39/'01_数值调参'!AM9,"待修正")</x:f>
        <x:v>0</x:v>
      </x:c>
    </x:row>
    <x:row r="40" ht="22" customHeight="1">
      <x:c r="A40" s="92" t="n">
        <x:v>29</x:v>
      </x:c>
      <x:c r="B40" s="92" t="str">
        <x:v>圈圈蚊香</x:v>
      </x:c>
      <x:c r="C40" s="92" t="str">
        <x:v>窑炉</x:v>
      </x:c>
      <x:c r="D40" s="92" t="n">
        <x:f>'01_数值调参'!AK9</x:f>
        <x:v>120</x:v>
      </x:c>
      <x:c r="E40" s="101" t="n">
        <x:f>IF('01_数值调参'!$D$3="配方有效",'03_全链计算'!E39*$D40/'01_数值调参'!E9,"待修正")</x:f>
        <x:v>0</x:v>
      </x:c>
      <x:c r="F40" s="101" t="n">
        <x:f>IF('01_数值调参'!$D$3="配方有效",'03_全链计算'!F39*$D40/'01_数值调参'!F9,"待修正")</x:f>
        <x:v>0</x:v>
      </x:c>
      <x:c r="G40" s="101" t="n">
        <x:f>IF('01_数值调参'!$D$3="配方有效",'03_全链计算'!G39*$D40/'01_数值调参'!G9,"待修正")</x:f>
        <x:v>0</x:v>
      </x:c>
      <x:c r="H40" s="101" t="n">
        <x:f>IF('01_数值调参'!$D$3="配方有效",'03_全链计算'!H39*$D40/'01_数值调参'!H9,"待修正")</x:f>
        <x:v>0</x:v>
      </x:c>
      <x:c r="I40" s="101" t="n">
        <x:f>IF('01_数值调参'!$D$3="配方有效",'03_全链计算'!I39*$D40/'01_数值调参'!I9,"待修正")</x:f>
        <x:v>0</x:v>
      </x:c>
      <x:c r="J40" s="101" t="n">
        <x:f>IF('01_数值调参'!$D$3="配方有效",'03_全链计算'!J39*$D40/'01_数值调参'!J9,"待修正")</x:f>
        <x:v>0</x:v>
      </x:c>
      <x:c r="K40" s="101" t="n">
        <x:f>IF('01_数值调参'!$D$3="配方有效",'03_全链计算'!K39*$D40/'01_数值调参'!K9,"待修正")</x:f>
        <x:v>0</x:v>
      </x:c>
      <x:c r="L40" s="101" t="n">
        <x:f>IF('01_数值调参'!$D$3="配方有效",'03_全链计算'!L39*$D40/'01_数值调参'!L9,"待修正")</x:f>
        <x:v>0</x:v>
      </x:c>
      <x:c r="M40" s="101" t="n">
        <x:f>IF('01_数值调参'!$D$3="配方有效",'03_全链计算'!M39*$D40/'01_数值调参'!M9,"待修正")</x:f>
        <x:v>0</x:v>
      </x:c>
      <x:c r="N40" s="102" t="n">
        <x:f>IF('01_数值调参'!$D$3="配方有效",'03_全链计算'!N39*$D40/'01_数值调参'!N9,"待修正")</x:f>
        <x:v>0</x:v>
      </x:c>
      <x:c r="O40" s="101" t="n">
        <x:f>IF('01_数值调参'!$D$3="配方有效",'03_全链计算'!O39*$D40/'01_数值调参'!O9,"待修正")</x:f>
        <x:v>0</x:v>
      </x:c>
      <x:c r="P40" s="101" t="n">
        <x:f>IF('01_数值调参'!$D$3="配方有效",'03_全链计算'!P39*$D40/'01_数值调参'!P9,"待修正")</x:f>
        <x:v>0</x:v>
      </x:c>
      <x:c r="Q40" s="101" t="n">
        <x:f>IF('01_数值调参'!$D$3="配方有效",'03_全链计算'!Q39*$D40/'01_数值调参'!Q9,"待修正")</x:f>
        <x:v>0</x:v>
      </x:c>
      <x:c r="R40" s="101" t="n">
        <x:f>IF('01_数值调参'!$D$3="配方有效",'03_全链计算'!R39*$D40/'01_数值调参'!R9,"待修正")</x:f>
        <x:v>0</x:v>
      </x:c>
      <x:c r="S40" s="102" t="n">
        <x:f>IF('01_数值调参'!$D$3="配方有效",'03_全链计算'!S39*$D40/'01_数值调参'!S9,"待修正")</x:f>
        <x:v>0</x:v>
      </x:c>
      <x:c r="T40" s="101" t="n">
        <x:f>IF('01_数值调参'!$D$3="配方有效",'03_全链计算'!T39*$D40/'01_数值调参'!T9,"待修正")</x:f>
        <x:v>0</x:v>
      </x:c>
      <x:c r="U40" s="101" t="n">
        <x:f>IF('01_数值调参'!$D$3="配方有效",'03_全链计算'!U39*$D40/'01_数值调参'!U9,"待修正")</x:f>
        <x:v>0</x:v>
      </x:c>
      <x:c r="V40" s="101" t="n">
        <x:f>IF('01_数值调参'!$D$3="配方有效",'03_全链计算'!V39*$D40/'01_数值调参'!V9,"待修正")</x:f>
        <x:v>0</x:v>
      </x:c>
      <x:c r="W40" s="101" t="n">
        <x:f>IF('01_数值调参'!$D$3="配方有效",'03_全链计算'!W39*$D40/'01_数值调参'!W9,"待修正")</x:f>
        <x:v>0</x:v>
      </x:c>
      <x:c r="X40" s="102" t="n">
        <x:f>IF('01_数值调参'!$D$3="配方有效",'03_全链计算'!X39*$D40/'01_数值调参'!X9,"待修正")</x:f>
        <x:v>0</x:v>
      </x:c>
      <x:c r="Y40" s="101" t="n">
        <x:f>IF('01_数值调参'!$D$3="配方有效",'03_全链计算'!Y39*$D40/'01_数值调参'!Y9,"待修正")</x:f>
        <x:v>0</x:v>
      </x:c>
      <x:c r="Z40" s="101" t="n">
        <x:f>IF('01_数值调参'!$D$3="配方有效",'03_全链计算'!Z39*$D40/'01_数值调参'!Z9,"待修正")</x:f>
        <x:v>0</x:v>
      </x:c>
      <x:c r="AA40" s="101" t="n">
        <x:f>IF('01_数值调参'!$D$3="配方有效",'03_全链计算'!AA39*$D40/'01_数值调参'!AA9,"待修正")</x:f>
        <x:v>0</x:v>
      </x:c>
      <x:c r="AB40" s="101" t="n">
        <x:f>IF('01_数值调参'!$D$3="配方有效",'03_全链计算'!AB39*$D40/'01_数值调参'!AB9,"待修正")</x:f>
        <x:v>0</x:v>
      </x:c>
      <x:c r="AC40" s="101" t="n">
        <x:f>IF('01_数值调参'!$D$3="配方有效",'03_全链计算'!AC39*$D40/'01_数值调参'!AC9,"待修正")</x:f>
        <x:v>0</x:v>
      </x:c>
      <x:c r="AD40" s="102" t="n">
        <x:f>IF('01_数值调参'!$D$3="配方有效",'03_全链计算'!AD39*$D40/'01_数值调参'!AD9,"待修正")</x:f>
        <x:v>0</x:v>
      </x:c>
      <x:c r="AE40" s="101" t="n">
        <x:f>IF('01_数值调参'!$D$3="配方有效",'03_全链计算'!AE39*$D40/'01_数值调参'!AE9,"待修正")</x:f>
        <x:v>0</x:v>
      </x:c>
      <x:c r="AF40" s="101" t="n">
        <x:f>IF('01_数值调参'!$D$3="配方有效",'03_全链计算'!AF39*$D40/'01_数值调参'!AF9,"待修正")</x:f>
        <x:v>0</x:v>
      </x:c>
      <x:c r="AG40" s="101" t="n">
        <x:f>IF('01_数值调参'!$D$3="配方有效",'03_全链计算'!AG39*$D40/'01_数值调参'!AG9,"待修正")</x:f>
        <x:v>0</x:v>
      </x:c>
      <x:c r="AH40" s="102" t="n">
        <x:f>IF('01_数值调参'!$D$3="配方有效",'03_全链计算'!AH39*$D40/'01_数值调参'!AH9,"待修正")</x:f>
        <x:v>0</x:v>
      </x:c>
      <x:c r="AI40" s="101" t="n">
        <x:f>IF('01_数值调参'!$D$3="配方有效",'03_全链计算'!AI39*$D40/'01_数值调参'!AI9,"待修正")</x:f>
        <x:v>0</x:v>
      </x:c>
      <x:c r="AJ40" s="101" t="n">
        <x:f>IF('01_数值调参'!$D$3="配方有效",'03_全链计算'!AJ39*$D40/'01_数值调参'!AJ9,"待修正")</x:f>
        <x:v>0</x:v>
      </x:c>
      <x:c r="AK40" s="101" t="n">
        <x:f>IF('01_数值调参'!$D$3="配方有效",'03_全链计算'!AK39*$D40/'01_数值调参'!AK9,"待修正")</x:f>
        <x:v>1</x:v>
      </x:c>
      <x:c r="AL40" s="101" t="n">
        <x:f>IF('01_数值调参'!$D$3="配方有效",'03_全链计算'!AL39*$D40/'01_数值调参'!AL9,"待修正")</x:f>
        <x:v>0</x:v>
      </x:c>
      <x:c r="AM40" s="101" t="n">
        <x:f>IF('01_数值调参'!$D$3="配方有效",'03_全链计算'!AM39*$D40/'01_数值调参'!AM9,"待修正")</x:f>
        <x:v>0</x:v>
      </x:c>
    </x:row>
    <x:row r="41" ht="22" customHeight="1">
      <x:c r="A41" s="92" t="n">
        <x:v>34</x:v>
      </x:c>
      <x:c r="B41" s="92" t="str">
        <x:v>薰衣草软垫</x:v>
      </x:c>
      <x:c r="C41" s="92" t="str">
        <x:v>窑炉</x:v>
      </x:c>
      <x:c r="D41" s="92" t="n">
        <x:f>'01_数值调参'!AL9</x:f>
        <x:v>150</x:v>
      </x:c>
      <x:c r="E41" s="101" t="n">
        <x:f>IF('01_数值调参'!$D$3="配方有效",'03_全链计算'!E40*$D41/'01_数值调参'!E9,"待修正")</x:f>
        <x:v>0</x:v>
      </x:c>
      <x:c r="F41" s="101" t="n">
        <x:f>IF('01_数值调参'!$D$3="配方有效",'03_全链计算'!F40*$D41/'01_数值调参'!F9,"待修正")</x:f>
        <x:v>0</x:v>
      </x:c>
      <x:c r="G41" s="101" t="n">
        <x:f>IF('01_数值调参'!$D$3="配方有效",'03_全链计算'!G40*$D41/'01_数值调参'!G9,"待修正")</x:f>
        <x:v>0</x:v>
      </x:c>
      <x:c r="H41" s="101" t="n">
        <x:f>IF('01_数值调参'!$D$3="配方有效",'03_全链计算'!H40*$D41/'01_数值调参'!H9,"待修正")</x:f>
        <x:v>0</x:v>
      </x:c>
      <x:c r="I41" s="101" t="n">
        <x:f>IF('01_数值调参'!$D$3="配方有效",'03_全链计算'!I40*$D41/'01_数值调参'!I9,"待修正")</x:f>
        <x:v>0</x:v>
      </x:c>
      <x:c r="J41" s="101" t="n">
        <x:f>IF('01_数值调参'!$D$3="配方有效",'03_全链计算'!J40*$D41/'01_数值调参'!J9,"待修正")</x:f>
        <x:v>0</x:v>
      </x:c>
      <x:c r="K41" s="101" t="n">
        <x:f>IF('01_数值调参'!$D$3="配方有效",'03_全链计算'!K40*$D41/'01_数值调参'!K9,"待修正")</x:f>
        <x:v>0</x:v>
      </x:c>
      <x:c r="L41" s="101" t="n">
        <x:f>IF('01_数值调参'!$D$3="配方有效",'03_全链计算'!L40*$D41/'01_数值调参'!L9,"待修正")</x:f>
        <x:v>0</x:v>
      </x:c>
      <x:c r="M41" s="101" t="n">
        <x:f>IF('01_数值调参'!$D$3="配方有效",'03_全链计算'!M40*$D41/'01_数值调参'!M9,"待修正")</x:f>
        <x:v>0</x:v>
      </x:c>
      <x:c r="N41" s="102" t="n">
        <x:f>IF('01_数值调参'!$D$3="配方有效",'03_全链计算'!N40*$D41/'01_数值调参'!N9,"待修正")</x:f>
        <x:v>0</x:v>
      </x:c>
      <x:c r="O41" s="101" t="n">
        <x:f>IF('01_数值调参'!$D$3="配方有效",'03_全链计算'!O40*$D41/'01_数值调参'!O9,"待修正")</x:f>
        <x:v>0</x:v>
      </x:c>
      <x:c r="P41" s="101" t="n">
        <x:f>IF('01_数值调参'!$D$3="配方有效",'03_全链计算'!P40*$D41/'01_数值调参'!P9,"待修正")</x:f>
        <x:v>0</x:v>
      </x:c>
      <x:c r="Q41" s="101" t="n">
        <x:f>IF('01_数值调参'!$D$3="配方有效",'03_全链计算'!Q40*$D41/'01_数值调参'!Q9,"待修正")</x:f>
        <x:v>0</x:v>
      </x:c>
      <x:c r="R41" s="101" t="n">
        <x:f>IF('01_数值调参'!$D$3="配方有效",'03_全链计算'!R40*$D41/'01_数值调参'!R9,"待修正")</x:f>
        <x:v>0</x:v>
      </x:c>
      <x:c r="S41" s="102" t="n">
        <x:f>IF('01_数值调参'!$D$3="配方有效",'03_全链计算'!S40*$D41/'01_数值调参'!S9,"待修正")</x:f>
        <x:v>0</x:v>
      </x:c>
      <x:c r="T41" s="101" t="n">
        <x:f>IF('01_数值调参'!$D$3="配方有效",'03_全链计算'!T40*$D41/'01_数值调参'!T9,"待修正")</x:f>
        <x:v>0</x:v>
      </x:c>
      <x:c r="U41" s="101" t="n">
        <x:f>IF('01_数值调参'!$D$3="配方有效",'03_全链计算'!U40*$D41/'01_数值调参'!U9,"待修正")</x:f>
        <x:v>0</x:v>
      </x:c>
      <x:c r="V41" s="101" t="n">
        <x:f>IF('01_数值调参'!$D$3="配方有效",'03_全链计算'!V40*$D41/'01_数值调参'!V9,"待修正")</x:f>
        <x:v>0</x:v>
      </x:c>
      <x:c r="W41" s="101" t="n">
        <x:f>IF('01_数值调参'!$D$3="配方有效",'03_全链计算'!W40*$D41/'01_数值调参'!W9,"待修正")</x:f>
        <x:v>0</x:v>
      </x:c>
      <x:c r="X41" s="102" t="n">
        <x:f>IF('01_数值调参'!$D$3="配方有效",'03_全链计算'!X40*$D41/'01_数值调参'!X9,"待修正")</x:f>
        <x:v>0</x:v>
      </x:c>
      <x:c r="Y41" s="101" t="n">
        <x:f>IF('01_数值调参'!$D$3="配方有效",'03_全链计算'!Y40*$D41/'01_数值调参'!Y9,"待修正")</x:f>
        <x:v>0</x:v>
      </x:c>
      <x:c r="Z41" s="101" t="n">
        <x:f>IF('01_数值调参'!$D$3="配方有效",'03_全链计算'!Z40*$D41/'01_数值调参'!Z9,"待修正")</x:f>
        <x:v>0</x:v>
      </x:c>
      <x:c r="AA41" s="101" t="n">
        <x:f>IF('01_数值调参'!$D$3="配方有效",'03_全链计算'!AA40*$D41/'01_数值调参'!AA9,"待修正")</x:f>
        <x:v>0</x:v>
      </x:c>
      <x:c r="AB41" s="101" t="n">
        <x:f>IF('01_数值调参'!$D$3="配方有效",'03_全链计算'!AB40*$D41/'01_数值调参'!AB9,"待修正")</x:f>
        <x:v>0</x:v>
      </x:c>
      <x:c r="AC41" s="101" t="n">
        <x:f>IF('01_数值调参'!$D$3="配方有效",'03_全链计算'!AC40*$D41/'01_数值调参'!AC9,"待修正")</x:f>
        <x:v>0</x:v>
      </x:c>
      <x:c r="AD41" s="102" t="n">
        <x:f>IF('01_数值调参'!$D$3="配方有效",'03_全链计算'!AD40*$D41/'01_数值调参'!AD9,"待修正")</x:f>
        <x:v>0</x:v>
      </x:c>
      <x:c r="AE41" s="101" t="n">
        <x:f>IF('01_数值调参'!$D$3="配方有效",'03_全链计算'!AE40*$D41/'01_数值调参'!AE9,"待修正")</x:f>
        <x:v>0</x:v>
      </x:c>
      <x:c r="AF41" s="101" t="n">
        <x:f>IF('01_数值调参'!$D$3="配方有效",'03_全链计算'!AF40*$D41/'01_数值调参'!AF9,"待修正")</x:f>
        <x:v>0</x:v>
      </x:c>
      <x:c r="AG41" s="101" t="n">
        <x:f>IF('01_数值调参'!$D$3="配方有效",'03_全链计算'!AG40*$D41/'01_数值调参'!AG9,"待修正")</x:f>
        <x:v>0</x:v>
      </x:c>
      <x:c r="AH41" s="102" t="n">
        <x:f>IF('01_数值调参'!$D$3="配方有效",'03_全链计算'!AH40*$D41/'01_数值调参'!AH9,"待修正")</x:f>
        <x:v>0</x:v>
      </x:c>
      <x:c r="AI41" s="101" t="n">
        <x:f>IF('01_数值调参'!$D$3="配方有效",'03_全链计算'!AI40*$D41/'01_数值调参'!AI9,"待修正")</x:f>
        <x:v>0</x:v>
      </x:c>
      <x:c r="AJ41" s="101" t="n">
        <x:f>IF('01_数值调参'!$D$3="配方有效",'03_全链计算'!AJ40*$D41/'01_数值调参'!AJ9,"待修正")</x:f>
        <x:v>0</x:v>
      </x:c>
      <x:c r="AK41" s="101" t="n">
        <x:f>IF('01_数值调参'!$D$3="配方有效",'03_全链计算'!AK40*$D41/'01_数值调参'!AK9,"待修正")</x:f>
        <x:v>0</x:v>
      </x:c>
      <x:c r="AL41" s="101" t="n">
        <x:f>IF('01_数值调参'!$D$3="配方有效",'03_全链计算'!AL40*$D41/'01_数值调参'!AL9,"待修正")</x:f>
        <x:v>1</x:v>
      </x:c>
      <x:c r="AM41" s="101" t="n">
        <x:f>IF('01_数值调参'!$D$3="配方有效",'03_全链计算'!AM40*$D41/'01_数值调参'!AM9,"待修正")</x:f>
        <x:v>0</x:v>
      </x:c>
    </x:row>
    <x:row r="42" ht="22" customHeight="1">
      <x:c r="A42" s="92" t="n">
        <x:v>38</x:v>
      </x:c>
      <x:c r="B42" s="92" t="str">
        <x:v>花瓣小灯</x:v>
      </x:c>
      <x:c r="C42" s="92" t="str">
        <x:v>窑炉</x:v>
      </x:c>
      <x:c r="D42" s="92" t="n">
        <x:f>'01_数值调参'!AM9</x:f>
        <x:v>180</x:v>
      </x:c>
      <x:c r="E42" s="101" t="n">
        <x:f>IF('01_数值调参'!$D$3="配方有效",'03_全链计算'!E41*$D42/'01_数值调参'!E9,"待修正")</x:f>
        <x:v>0</x:v>
      </x:c>
      <x:c r="F42" s="101" t="n">
        <x:f>IF('01_数值调参'!$D$3="配方有效",'03_全链计算'!F41*$D42/'01_数值调参'!F9,"待修正")</x:f>
        <x:v>0</x:v>
      </x:c>
      <x:c r="G42" s="101" t="n">
        <x:f>IF('01_数值调参'!$D$3="配方有效",'03_全链计算'!G41*$D42/'01_数值调参'!G9,"待修正")</x:f>
        <x:v>0</x:v>
      </x:c>
      <x:c r="H42" s="101" t="n">
        <x:f>IF('01_数值调参'!$D$3="配方有效",'03_全链计算'!H41*$D42/'01_数值调参'!H9,"待修正")</x:f>
        <x:v>0</x:v>
      </x:c>
      <x:c r="I42" s="101" t="n">
        <x:f>IF('01_数值调参'!$D$3="配方有效",'03_全链计算'!I41*$D42/'01_数值调参'!I9,"待修正")</x:f>
        <x:v>0</x:v>
      </x:c>
      <x:c r="J42" s="101" t="n">
        <x:f>IF('01_数值调参'!$D$3="配方有效",'03_全链计算'!J41*$D42/'01_数值调参'!J9,"待修正")</x:f>
        <x:v>0</x:v>
      </x:c>
      <x:c r="K42" s="101" t="n">
        <x:f>IF('01_数值调参'!$D$3="配方有效",'03_全链计算'!K41*$D42/'01_数值调参'!K9,"待修正")</x:f>
        <x:v>0</x:v>
      </x:c>
      <x:c r="L42" s="101" t="n">
        <x:f>IF('01_数值调参'!$D$3="配方有效",'03_全链计算'!L41*$D42/'01_数值调参'!L9,"待修正")</x:f>
        <x:v>0</x:v>
      </x:c>
      <x:c r="M42" s="101" t="n">
        <x:f>IF('01_数值调参'!$D$3="配方有效",'03_全链计算'!M41*$D42/'01_数值调参'!M9,"待修正")</x:f>
        <x:v>0</x:v>
      </x:c>
      <x:c r="N42" s="102" t="n">
        <x:f>IF('01_数值调参'!$D$3="配方有效",'03_全链计算'!N41*$D42/'01_数值调参'!N9,"待修正")</x:f>
        <x:v>0</x:v>
      </x:c>
      <x:c r="O42" s="101" t="n">
        <x:f>IF('01_数值调参'!$D$3="配方有效",'03_全链计算'!O41*$D42/'01_数值调参'!O9,"待修正")</x:f>
        <x:v>0</x:v>
      </x:c>
      <x:c r="P42" s="101" t="n">
        <x:f>IF('01_数值调参'!$D$3="配方有效",'03_全链计算'!P41*$D42/'01_数值调参'!P9,"待修正")</x:f>
        <x:v>0</x:v>
      </x:c>
      <x:c r="Q42" s="101" t="n">
        <x:f>IF('01_数值调参'!$D$3="配方有效",'03_全链计算'!Q41*$D42/'01_数值调参'!Q9,"待修正")</x:f>
        <x:v>0</x:v>
      </x:c>
      <x:c r="R42" s="101" t="n">
        <x:f>IF('01_数值调参'!$D$3="配方有效",'03_全链计算'!R41*$D42/'01_数值调参'!R9,"待修正")</x:f>
        <x:v>0</x:v>
      </x:c>
      <x:c r="S42" s="102" t="n">
        <x:f>IF('01_数值调参'!$D$3="配方有效",'03_全链计算'!S41*$D42/'01_数值调参'!S9,"待修正")</x:f>
        <x:v>0</x:v>
      </x:c>
      <x:c r="T42" s="101" t="n">
        <x:f>IF('01_数值调参'!$D$3="配方有效",'03_全链计算'!T41*$D42/'01_数值调参'!T9,"待修正")</x:f>
        <x:v>0</x:v>
      </x:c>
      <x:c r="U42" s="101" t="n">
        <x:f>IF('01_数值调参'!$D$3="配方有效",'03_全链计算'!U41*$D42/'01_数值调参'!U9,"待修正")</x:f>
        <x:v>0</x:v>
      </x:c>
      <x:c r="V42" s="101" t="n">
        <x:f>IF('01_数值调参'!$D$3="配方有效",'03_全链计算'!V41*$D42/'01_数值调参'!V9,"待修正")</x:f>
        <x:v>0</x:v>
      </x:c>
      <x:c r="W42" s="101" t="n">
        <x:f>IF('01_数值调参'!$D$3="配方有效",'03_全链计算'!W41*$D42/'01_数值调参'!W9,"待修正")</x:f>
        <x:v>0</x:v>
      </x:c>
      <x:c r="X42" s="102" t="n">
        <x:f>IF('01_数值调参'!$D$3="配方有效",'03_全链计算'!X41*$D42/'01_数值调参'!X9,"待修正")</x:f>
        <x:v>0</x:v>
      </x:c>
      <x:c r="Y42" s="101" t="n">
        <x:f>IF('01_数值调参'!$D$3="配方有效",'03_全链计算'!Y41*$D42/'01_数值调参'!Y9,"待修正")</x:f>
        <x:v>0</x:v>
      </x:c>
      <x:c r="Z42" s="101" t="n">
        <x:f>IF('01_数值调参'!$D$3="配方有效",'03_全链计算'!Z41*$D42/'01_数值调参'!Z9,"待修正")</x:f>
        <x:v>0</x:v>
      </x:c>
      <x:c r="AA42" s="101" t="n">
        <x:f>IF('01_数值调参'!$D$3="配方有效",'03_全链计算'!AA41*$D42/'01_数值调参'!AA9,"待修正")</x:f>
        <x:v>0</x:v>
      </x:c>
      <x:c r="AB42" s="101" t="n">
        <x:f>IF('01_数值调参'!$D$3="配方有效",'03_全链计算'!AB41*$D42/'01_数值调参'!AB9,"待修正")</x:f>
        <x:v>0</x:v>
      </x:c>
      <x:c r="AC42" s="101" t="n">
        <x:f>IF('01_数值调参'!$D$3="配方有效",'03_全链计算'!AC41*$D42/'01_数值调参'!AC9,"待修正")</x:f>
        <x:v>0</x:v>
      </x:c>
      <x:c r="AD42" s="102" t="n">
        <x:f>IF('01_数值调参'!$D$3="配方有效",'03_全链计算'!AD41*$D42/'01_数值调参'!AD9,"待修正")</x:f>
        <x:v>0</x:v>
      </x:c>
      <x:c r="AE42" s="101" t="n">
        <x:f>IF('01_数值调参'!$D$3="配方有效",'03_全链计算'!AE41*$D42/'01_数值调参'!AE9,"待修正")</x:f>
        <x:v>0</x:v>
      </x:c>
      <x:c r="AF42" s="101" t="n">
        <x:f>IF('01_数值调参'!$D$3="配方有效",'03_全链计算'!AF41*$D42/'01_数值调参'!AF9,"待修正")</x:f>
        <x:v>0</x:v>
      </x:c>
      <x:c r="AG42" s="101" t="n">
        <x:f>IF('01_数值调参'!$D$3="配方有效",'03_全链计算'!AG41*$D42/'01_数值调参'!AG9,"待修正")</x:f>
        <x:v>0</x:v>
      </x:c>
      <x:c r="AH42" s="102" t="n">
        <x:f>IF('01_数值调参'!$D$3="配方有效",'03_全链计算'!AH41*$D42/'01_数值调参'!AH9,"待修正")</x:f>
        <x:v>0</x:v>
      </x:c>
      <x:c r="AI42" s="101" t="n">
        <x:f>IF('01_数值调参'!$D$3="配方有效",'03_全链计算'!AI41*$D42/'01_数值调参'!AI9,"待修正")</x:f>
        <x:v>0</x:v>
      </x:c>
      <x:c r="AJ42" s="101" t="n">
        <x:f>IF('01_数值调参'!$D$3="配方有效",'03_全链计算'!AJ41*$D42/'01_数值调参'!AJ9,"待修正")</x:f>
        <x:v>0</x:v>
      </x:c>
      <x:c r="AK42" s="101" t="n">
        <x:f>IF('01_数值调参'!$D$3="配方有效",'03_全链计算'!AK41*$D42/'01_数值调参'!AK9,"待修正")</x:f>
        <x:v>0</x:v>
      </x:c>
      <x:c r="AL42" s="101" t="n">
        <x:f>IF('01_数值调参'!$D$3="配方有效",'03_全链计算'!AL41*$D42/'01_数值调参'!AL9,"待修正")</x:f>
        <x:v>0</x:v>
      </x:c>
      <x:c r="AM42" s="101" t="n">
        <x:f>IF('01_数值调参'!$D$3="配方有效",'03_全链计算'!AM41*$D42/'01_数值调参'!AM9,"待修正")</x:f>
        <x:v>1</x:v>
      </x:c>
    </x:row>
    <x:row r="43" ht="22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</x:row>
    <x:row r="44" ht="22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</x:row>
    <x:row r="45" ht="32" customHeight="1">
      <x:c r="A45" s="21" t="str">
        <x:v>资源合计</x:v>
      </x:c>
      <x:c r="B45" s="21" t="str">
        <x:v>资源</x:v>
      </x:c>
      <x:c r="C45" s="21" t="str">
        <x:v>口径</x:v>
      </x:c>
      <x:c r="D45" s="21" t="str"/>
      <x:c r="E45" s="21" t="str">
        <x:v>芦苇草</x:v>
      </x:c>
      <x:c r="F45" s="21" t="str">
        <x:v>棉花</x:v>
      </x:c>
      <x:c r="G45" s="21" t="str">
        <x:v>竹子</x:v>
      </x:c>
      <x:c r="H45" s="21" t="str">
        <x:v>香绒草</x:v>
      </x:c>
      <x:c r="I45" s="21" t="str">
        <x:v>薰衣草</x:v>
      </x:c>
      <x:c r="J45" s="21" t="str">
        <x:v>芍药花</x:v>
      </x:c>
      <x:c r="K45" s="21" t="str">
        <x:v>墨水花</x:v>
      </x:c>
      <x:c r="L45" s="21" t="str">
        <x:v>蜡烛花</x:v>
      </x:c>
      <x:c r="M45" s="21" t="str">
        <x:v>浆果珍珠</x:v>
      </x:c>
      <x:c r="N45" s="21" t="str">
        <x:v>芦苇丝</x:v>
      </x:c>
      <x:c r="O45" s="21" t="str">
        <x:v>棉绒团</x:v>
      </x:c>
      <x:c r="P45" s="21" t="str">
        <x:v>绒香粉</x:v>
      </x:c>
      <x:c r="Q45" s="21" t="str">
        <x:v>云朵香粉</x:v>
      </x:c>
      <x:c r="R45" s="21" t="str">
        <x:v>乌云绒团</x:v>
      </x:c>
      <x:c r="S45" s="21" t="str">
        <x:v>竹条</x:v>
      </x:c>
      <x:c r="T45" s="21" t="str">
        <x:v>薄竹片</x:v>
      </x:c>
      <x:c r="U45" s="21" t="str">
        <x:v>小竹框</x:v>
      </x:c>
      <x:c r="V45" s="21" t="str">
        <x:v>花瓣竹板</x:v>
      </x:c>
      <x:c r="W45" s="21" t="str">
        <x:v>珍珠衣帽架</x:v>
      </x:c>
      <x:c r="X45" s="21" t="str">
        <x:v>竹编小垫</x:v>
      </x:c>
      <x:c r="Y45" s="21" t="str">
        <x:v>软棉布</x:v>
      </x:c>
      <x:c r="Z45" s="21" t="str">
        <x:v>竹帘</x:v>
      </x:c>
      <x:c r="AA45" s="21" t="str">
        <x:v>绒绒灯罩</x:v>
      </x:c>
      <x:c r="AB45" s="21" t="str">
        <x:v>软边小席</x:v>
      </x:c>
      <x:c r="AC45" s="21" t="str">
        <x:v>雨滴篮子</x:v>
      </x:c>
      <x:c r="AD45" s="21" t="str">
        <x:v>薰衣草精油</x:v>
      </x:c>
      <x:c r="AE45" s="21" t="str">
        <x:v>花瓣香水</x:v>
      </x:c>
      <x:c r="AF45" s="21" t="str">
        <x:v>墨汁</x:v>
      </x:c>
      <x:c r="AG45" s="21" t="str">
        <x:v>花蜡</x:v>
      </x:c>
      <x:c r="AH45" s="21" t="str">
        <x:v>竹炭画笔</x:v>
      </x:c>
      <x:c r="AI45" s="21" t="str">
        <x:v>薰衣草香棒</x:v>
      </x:c>
      <x:c r="AJ45" s="21" t="str">
        <x:v>竹制盆景</x:v>
      </x:c>
      <x:c r="AK45" s="21" t="str">
        <x:v>圈圈蚊香</x:v>
      </x:c>
      <x:c r="AL45" s="21" t="str">
        <x:v>薰衣草软垫</x:v>
      </x:c>
      <x:c r="AM45" s="21" t="str">
        <x:v>花瓣小灯</x:v>
      </x:c>
    </x:row>
    <x:row r="46" ht="22" customHeight="1">
      <x:c r="A46" s="17" t="str">
        <x:v>种植</x:v>
      </x:c>
      <x:c r="B46" s="17" t="str">
        <x:v>农田</x:v>
      </x:c>
      <x:c r="C46" s="17" t="str">
        <x:v>同建筑合计</x:v>
      </x:c>
      <x:c r="D46" s="17"/>
      <x:c r="E46" s="105" t="n">
        <x:f>IF('01_数值调参'!$D$3="配方有效",SUM('09b_工序负载'!E8,'09b_工序负载'!E9,'09b_工序负载'!E10,'09b_工序负载'!E11,'09b_工序负载'!E12,'09b_工序负载'!E13,'09b_工序负载'!E14,'09b_工序负载'!E15,'09b_工序负载'!E16),"待修正")</x:f>
        <x:v>1</x:v>
      </x:c>
      <x:c r="F46" s="105" t="n">
        <x:f>IF('01_数值调参'!$D$3="配方有效",SUM('09b_工序负载'!F8,'09b_工序负载'!F9,'09b_工序负载'!F10,'09b_工序负载'!F11,'09b_工序负载'!F12,'09b_工序负载'!F13,'09b_工序负载'!F14,'09b_工序负载'!F15,'09b_工序负载'!F16),"待修正")</x:f>
        <x:v>1</x:v>
      </x:c>
      <x:c r="G46" s="105" t="n">
        <x:f>IF('01_数值调参'!$D$3="配方有效",SUM('09b_工序负载'!G8,'09b_工序负载'!G9,'09b_工序负载'!G10,'09b_工序负载'!G11,'09b_工序负载'!G12,'09b_工序负载'!G13,'09b_工序负载'!G14,'09b_工序负载'!G15,'09b_工序负载'!G16),"待修正")</x:f>
        <x:v>1</x:v>
      </x:c>
      <x:c r="H46" s="105" t="n">
        <x:f>IF('01_数值调参'!$D$3="配方有效",SUM('09b_工序负载'!H8,'09b_工序负载'!H9,'09b_工序负载'!H10,'09b_工序负载'!H11,'09b_工序负载'!H12,'09b_工序负载'!H13,'09b_工序负载'!H14,'09b_工序负载'!H15,'09b_工序负载'!H16),"待修正")</x:f>
        <x:v>1</x:v>
      </x:c>
      <x:c r="I46" s="105" t="n">
        <x:f>IF('01_数值调参'!$D$3="配方有效",SUM('09b_工序负载'!I8,'09b_工序负载'!I9,'09b_工序负载'!I10,'09b_工序负载'!I11,'09b_工序负载'!I12,'09b_工序负载'!I13,'09b_工序负载'!I14,'09b_工序负载'!I15,'09b_工序负载'!I16),"待修正")</x:f>
        <x:v>1</x:v>
      </x:c>
      <x:c r="J46" s="105" t="n">
        <x:f>IF('01_数值调参'!$D$3="配方有效",SUM('09b_工序负载'!J8,'09b_工序负载'!J9,'09b_工序负载'!J10,'09b_工序负载'!J11,'09b_工序负载'!J12,'09b_工序负载'!J13,'09b_工序负载'!J14,'09b_工序负载'!J15,'09b_工序负载'!J16),"待修正")</x:f>
        <x:v>1</x:v>
      </x:c>
      <x:c r="K46" s="105" t="n">
        <x:f>IF('01_数值调参'!$D$3="配方有效",SUM('09b_工序负载'!K8,'09b_工序负载'!K9,'09b_工序负载'!K10,'09b_工序负载'!K11,'09b_工序负载'!K12,'09b_工序负载'!K13,'09b_工序负载'!K14,'09b_工序负载'!K15,'09b_工序负载'!K16),"待修正")</x:f>
        <x:v>1</x:v>
      </x:c>
      <x:c r="L46" s="105" t="n">
        <x:f>IF('01_数值调参'!$D$3="配方有效",SUM('09b_工序负载'!L8,'09b_工序负载'!L9,'09b_工序负载'!L10,'09b_工序负载'!L11,'09b_工序负载'!L12,'09b_工序负载'!L13,'09b_工序负载'!L14,'09b_工序负载'!L15,'09b_工序负载'!L16),"待修正")</x:f>
        <x:v>1</x:v>
      </x:c>
      <x:c r="M46" s="105" t="n">
        <x:f>IF('01_数值调参'!$D$3="配方有效",SUM('09b_工序负载'!M8,'09b_工序负载'!M9,'09b_工序负载'!M10,'09b_工序负载'!M11,'09b_工序负载'!M12,'09b_工序负载'!M13,'09b_工序负载'!M14,'09b_工序负载'!M15,'09b_工序负载'!M16),"待修正")</x:f>
        <x:v>1</x:v>
      </x:c>
      <x:c r="N46" s="105" t="n">
        <x:f>IF('01_数值调参'!$D$3="配方有效",SUM('09b_工序负载'!N8,'09b_工序负载'!N9,'09b_工序负载'!N10,'09b_工序负载'!N11,'09b_工序负载'!N12,'09b_工序负载'!N13,'09b_工序负载'!N14,'09b_工序负载'!N15,'09b_工序负载'!N16),"待修正")</x:f>
        <x:v>0.8</x:v>
      </x:c>
      <x:c r="O46" s="105" t="n">
        <x:f>IF('01_数值调参'!$D$3="配方有效",SUM('09b_工序负载'!O8,'09b_工序负载'!O9,'09b_工序负载'!O10,'09b_工序负载'!O11,'09b_工序负载'!O12,'09b_工序负载'!O13,'09b_工序负载'!O14,'09b_工序负载'!O15,'09b_工序负载'!O16),"待修正")</x:f>
        <x:v>0.7</x:v>
      </x:c>
      <x:c r="P46" s="105" t="n">
        <x:f>IF('01_数值调参'!$D$3="配方有效",SUM('09b_工序负载'!P8,'09b_工序负载'!P9,'09b_工序负载'!P10,'09b_工序负载'!P11,'09b_工序负载'!P12,'09b_工序负载'!P13,'09b_工序负载'!P14,'09b_工序负载'!P15,'09b_工序负载'!P16),"待修正")</x:f>
        <x:v>1.5</x:v>
      </x:c>
      <x:c r="Q46" s="105" t="n">
        <x:f>IF('01_数值调参'!$D$3="配方有效",SUM('09b_工序负载'!Q8,'09b_工序负载'!Q9,'09b_工序负载'!Q10,'09b_工序负载'!Q11,'09b_工序负载'!Q12,'09b_工序负载'!Q13,'09b_工序负载'!Q14,'09b_工序负载'!Q15,'09b_工序负载'!Q16),"待修正")</x:f>
        <x:v>1.3333333333333333</x:v>
      </x:c>
      <x:c r="R46" s="105" t="n">
        <x:f>IF('01_数值调参'!$D$3="配方有效",SUM('09b_工序负载'!R8,'09b_工序负载'!R9,'09b_工序负载'!R10,'09b_工序负载'!R11,'09b_工序负载'!R12,'09b_工序负载'!R13,'09b_工序负载'!R14,'09b_工序负载'!R15,'09b_工序负载'!R16),"待修正")</x:f>
        <x:v>2.066666666666667</x:v>
      </x:c>
      <x:c r="S46" s="105" t="n">
        <x:f>IF('01_数值调参'!$D$3="配方有效",SUM('09b_工序负载'!S8,'09b_工序负载'!S9,'09b_工序负载'!S10,'09b_工序负载'!S11,'09b_工序负载'!S12,'09b_工序负载'!S13,'09b_工序负载'!S14,'09b_工序负载'!S15,'09b_工序负载'!S16),"待修正")</x:f>
        <x:v>2</x:v>
      </x:c>
      <x:c r="T46" s="105" t="n">
        <x:f>IF('01_数值调参'!$D$3="配方有效",SUM('09b_工序负载'!T8,'09b_工序负载'!T9,'09b_工序负载'!T10,'09b_工序负载'!T11,'09b_工序负载'!T12,'09b_工序负载'!T13,'09b_工序负载'!T14,'09b_工序负载'!T15,'09b_工序负载'!T16),"待修正")</x:f>
        <x:v>1.5</x:v>
      </x:c>
      <x:c r="U46" s="105" t="n">
        <x:f>IF('01_数值调参'!$D$3="配方有效",SUM('09b_工序负载'!U8,'09b_工序负载'!U9,'09b_工序负载'!U10,'09b_工序负载'!U11,'09b_工序负载'!U12,'09b_工序负载'!U13,'09b_工序负载'!U14,'09b_工序负载'!U15,'09b_工序负载'!U16),"待修正")</x:f>
        <x:v>1.3333333333333333</x:v>
      </x:c>
      <x:c r="V46" s="105" t="n">
        <x:f>IF('01_数值调参'!$D$3="配方有效",SUM('09b_工序负载'!V8,'09b_工序负载'!V9,'09b_工序负载'!V10,'09b_工序负载'!V11,'09b_工序负载'!V12,'09b_工序负载'!V13,'09b_工序负载'!V14,'09b_工序负载'!V15,'09b_工序负载'!V16),"待修正")</x:f>
        <x:v>1.7777777777777777</x:v>
      </x:c>
      <x:c r="W46" s="105" t="n">
        <x:f>IF('01_数值调参'!$D$3="配方有效",SUM('09b_工序负载'!W8,'09b_工序负载'!W9,'09b_工序负载'!W10,'09b_工序负载'!W11,'09b_工序负载'!W12,'09b_工序负载'!W13,'09b_工序负载'!W14,'09b_工序负载'!W15,'09b_工序负载'!W16),"待修正")</x:f>
        <x:v>4.166666666666667</x:v>
      </x:c>
      <x:c r="X46" s="105" t="n">
        <x:f>IF('01_数值调参'!$D$3="配方有效",SUM('09b_工序负载'!X8,'09b_工序负载'!X9,'09b_工序负载'!X10,'09b_工序负载'!X11,'09b_工序负载'!X12,'09b_工序负载'!X13,'09b_工序负载'!X14,'09b_工序负载'!X15,'09b_工序负载'!X16),"待修正")</x:f>
        <x:v>0.7999999999999999</x:v>
      </x:c>
      <x:c r="Y46" s="105" t="n">
        <x:f>IF('01_数值调参'!$D$3="配方有效",SUM('09b_工序负载'!Y8,'09b_工序负载'!Y9,'09b_工序负载'!Y10,'09b_工序负载'!Y11,'09b_工序负载'!Y12,'09b_工序负载'!Y13,'09b_工序负载'!Y14,'09b_工序负载'!Y15,'09b_工序负载'!Y16),"待修正")</x:f>
        <x:v>0.24444444444444444</x:v>
      </x:c>
      <x:c r="Z46" s="105" t="n">
        <x:f>IF('01_数值调参'!$D$3="配方有效",SUM('09b_工序负载'!Z8,'09b_工序负载'!Z9,'09b_工序负载'!Z10,'09b_工序负载'!Z11,'09b_工序负载'!Z12,'09b_工序负载'!Z13,'09b_工序负载'!Z14,'09b_工序负载'!Z15,'09b_工序负载'!Z16),"待修正")</x:f>
        <x:v>0.6666666666666666</x:v>
      </x:c>
      <x:c r="AA46" s="105" t="n">
        <x:f>IF('01_数值调参'!$D$3="配方有效",SUM('09b_工序负载'!AA8,'09b_工序负载'!AA9,'09b_工序负载'!AA10,'09b_工序负载'!AA11,'09b_工序负载'!AA12,'09b_工序负载'!AA13,'09b_工序负载'!AA14,'09b_工序负载'!AA15,'09b_工序负载'!AA16),"待修正")</x:f>
        <x:v>0.39166666666666666</x:v>
      </x:c>
      <x:c r="AB46" s="105" t="n">
        <x:f>IF('01_数值调参'!$D$3="配方有效",SUM('09b_工序负载'!AB8,'09b_工序负载'!AB9,'09b_工序负载'!AB10,'09b_工序负载'!AB11,'09b_工序负载'!AB12,'09b_工序负载'!AB13,'09b_工序负载'!AB14,'09b_工序负载'!AB15,'09b_工序负载'!AB16),"待修正")</x:f>
        <x:v>0.29333333333333333</x:v>
      </x:c>
      <x:c r="AC46" s="105" t="n">
        <x:f>IF('01_数值调参'!$D$3="配方有效",SUM('09b_工序负载'!AC8,'09b_工序负载'!AC9,'09b_工序负载'!AC10,'09b_工序负载'!AC11,'09b_工序负载'!AC12,'09b_工序负载'!AC13,'09b_工序负载'!AC14,'09b_工序负载'!AC15,'09b_工序负载'!AC16),"待修正")</x:f>
        <x:v>1.5333333333333334</x:v>
      </x:c>
      <x:c r="AD46" s="105" t="n">
        <x:f>IF('01_数值调参'!$D$3="配方有效",SUM('09b_工序负载'!AD8,'09b_工序负载'!AD9,'09b_工序负载'!AD10,'09b_工序负载'!AD11,'09b_工序负载'!AD12,'09b_工序负载'!AD13,'09b_工序负载'!AD14,'09b_工序负载'!AD15,'09b_工序负载'!AD16),"待修正")</x:f>
        <x:v>2</x:v>
      </x:c>
      <x:c r="AE46" s="105" t="n">
        <x:f>IF('01_数值调参'!$D$3="配方有效",SUM('09b_工序负载'!AE8,'09b_工序负载'!AE9,'09b_工序负载'!AE10,'09b_工序负载'!AE11,'09b_工序负载'!AE12,'09b_工序负载'!AE13,'09b_工序负载'!AE14,'09b_工序负载'!AE15,'09b_工序负载'!AE16),"待修正")</x:f>
        <x:v>2</x:v>
      </x:c>
      <x:c r="AF46" s="105" t="n">
        <x:f>IF('01_数值调参'!$D$3="配方有效",SUM('09b_工序负载'!AF8,'09b_工序负载'!AF9,'09b_工序负载'!AF10,'09b_工序负载'!AF11,'09b_工序负载'!AF12,'09b_工序负载'!AF13,'09b_工序负载'!AF14,'09b_工序负载'!AF15,'09b_工序负载'!AF16),"待修正")</x:f>
        <x:v>3</x:v>
      </x:c>
      <x:c r="AG46" s="105" t="n">
        <x:f>IF('01_数值调参'!$D$3="配方有效",SUM('09b_工序负载'!AG8,'09b_工序负载'!AG9,'09b_工序负载'!AG10,'09b_工序负载'!AG11,'09b_工序负载'!AG12,'09b_工序负载'!AG13,'09b_工序负载'!AG14,'09b_工序负载'!AG15,'09b_工序负载'!AG16),"待修正")</x:f>
        <x:v>3</x:v>
      </x:c>
      <x:c r="AH46" s="105" t="n">
        <x:f>IF('01_数值调参'!$D$3="配方有效",SUM('09b_工序负载'!AH8,'09b_工序负载'!AH9,'09b_工序负载'!AH10,'09b_工序负载'!AH11,'09b_工序负载'!AH12,'09b_工序负载'!AH13,'09b_工序负载'!AH14,'09b_工序负载'!AH15,'09b_工序负载'!AH16),"待修正")</x:f>
        <x:v>1.1111111111111112</x:v>
      </x:c>
      <x:c r="AI46" s="105" t="n">
        <x:f>IF('01_数值调参'!$D$3="配方有效",SUM('09b_工序负载'!AI8,'09b_工序负载'!AI9,'09b_工序负载'!AI10,'09b_工序负载'!AI11,'09b_工序负载'!AI12,'09b_工序负载'!AI13,'09b_工序负载'!AI14,'09b_工序负载'!AI15,'09b_工序负载'!AI16),"待修正")</x:f>
        <x:v>1.1666666666666665</x:v>
      </x:c>
      <x:c r="AJ46" s="105" t="n">
        <x:f>IF('01_数值调参'!$D$3="配方有效",SUM('09b_工序负载'!AJ8,'09b_工序负载'!AJ9,'09b_工序负载'!AJ10,'09b_工序负载'!AJ11,'09b_工序负载'!AJ12,'09b_工序负载'!AJ13,'09b_工序负载'!AJ14,'09b_工序负载'!AJ15,'09b_工序负载'!AJ16),"待修正")</x:f>
        <x:v>1.6666666666666665</x:v>
      </x:c>
      <x:c r="AK46" s="105" t="n">
        <x:f>IF('01_数值调参'!$D$3="配方有效",SUM('09b_工序负载'!AK8,'09b_工序负载'!AK9,'09b_工序负载'!AK10,'09b_工序负载'!AK11,'09b_工序负载'!AK12,'09b_工序负载'!AK13,'09b_工序负载'!AK14,'09b_工序负载'!AK15,'09b_工序负载'!AK16),"待修正")</x:f>
        <x:v>2.0833333333333335</x:v>
      </x:c>
      <x:c r="AL46" s="105" t="n">
        <x:f>IF('01_数值调参'!$D$3="配方有效",SUM('09b_工序负载'!AL8,'09b_工序负载'!AL9,'09b_工序负载'!AL10,'09b_工序负载'!AL11,'09b_工序负载'!AL12,'09b_工序负载'!AL13,'09b_工序负载'!AL14,'09b_工序负载'!AL15,'09b_工序负载'!AL16),"待修正")</x:f>
        <x:v>0.6266666666666667</x:v>
      </x:c>
      <x:c r="AM46" s="105" t="n">
        <x:f>IF('01_数值调参'!$D$3="配方有效",SUM('09b_工序负载'!AM8,'09b_工序负载'!AM9,'09b_工序负载'!AM10,'09b_工序负载'!AM11,'09b_工序负载'!AM12,'09b_工序负载'!AM13,'09b_工序负载'!AM14,'09b_工序负载'!AM15,'09b_工序负载'!AM16),"待修正")</x:f>
        <x:v>1.7055555555555555</x:v>
      </x:c>
    </x:row>
    <x:row r="47" ht="22" customHeight="1">
      <x:c r="A47" s="17" t="str">
        <x:v>加工</x:v>
      </x:c>
      <x:c r="B47" s="17" t="str">
        <x:v>研磨机</x:v>
      </x:c>
      <x:c r="C47" s="17" t="str">
        <x:v>同建筑合计</x:v>
      </x:c>
      <x:c r="D47" s="17"/>
      <x:c r="E47" s="105" t="n">
        <x:f>IF('01_数值调参'!$D$3="配方有效",SUM('09b_工序负载'!E17,'09b_工序负载'!E18,'09b_工序负载'!E19,'09b_工序负载'!E20,'09b_工序负载'!E21),"待修正")</x:f>
        <x:v>0</x:v>
      </x:c>
      <x:c r="F47" s="105" t="n">
        <x:f>IF('01_数值调参'!$D$3="配方有效",SUM('09b_工序负载'!F17,'09b_工序负载'!F18,'09b_工序负载'!F19,'09b_工序负载'!F20,'09b_工序负载'!F21),"待修正")</x:f>
        <x:v>0</x:v>
      </x:c>
      <x:c r="G47" s="105" t="n">
        <x:f>IF('01_数值调参'!$D$3="配方有效",SUM('09b_工序负载'!G17,'09b_工序负载'!G18,'09b_工序负载'!G19,'09b_工序负载'!G20,'09b_工序负载'!G21),"待修正")</x:f>
        <x:v>0</x:v>
      </x:c>
      <x:c r="H47" s="105" t="n">
        <x:f>IF('01_数值调参'!$D$3="配方有效",SUM('09b_工序负载'!H17,'09b_工序负载'!H18,'09b_工序负载'!H19,'09b_工序负载'!H20,'09b_工序负载'!H21),"待修正")</x:f>
        <x:v>0</x:v>
      </x:c>
      <x:c r="I47" s="105" t="n">
        <x:f>IF('01_数值调参'!$D$3="配方有效",SUM('09b_工序负载'!I17,'09b_工序负载'!I18,'09b_工序负载'!I19,'09b_工序负载'!I20,'09b_工序负载'!I21),"待修正")</x:f>
        <x:v>0</x:v>
      </x:c>
      <x:c r="J47" s="105" t="n">
        <x:f>IF('01_数值调参'!$D$3="配方有效",SUM('09b_工序负载'!J17,'09b_工序负载'!J18,'09b_工序负载'!J19,'09b_工序负载'!J20,'09b_工序负载'!J21),"待修正")</x:f>
        <x:v>0</x:v>
      </x:c>
      <x:c r="K47" s="105" t="n">
        <x:f>IF('01_数值调参'!$D$3="配方有效",SUM('09b_工序负载'!K17,'09b_工序负载'!K18,'09b_工序负载'!K19,'09b_工序负载'!K20,'09b_工序负载'!K21),"待修正")</x:f>
        <x:v>0</x:v>
      </x:c>
      <x:c r="L47" s="105" t="n">
        <x:f>IF('01_数值调参'!$D$3="配方有效",SUM('09b_工序负载'!L17,'09b_工序负载'!L18,'09b_工序负载'!L19,'09b_工序负载'!L20,'09b_工序负载'!L21),"待修正")</x:f>
        <x:v>0</x:v>
      </x:c>
      <x:c r="M47" s="105" t="n">
        <x:f>IF('01_数值调参'!$D$3="配方有效",SUM('09b_工序负载'!M17,'09b_工序负载'!M18,'09b_工序负载'!M19,'09b_工序负载'!M20,'09b_工序负载'!M21),"待修正")</x:f>
        <x:v>0</x:v>
      </x:c>
      <x:c r="N47" s="105" t="n">
        <x:f>IF('01_数值调参'!$D$3="配方有效",SUM('09b_工序负载'!N17,'09b_工序负载'!N18,'09b_工序负载'!N19,'09b_工序负载'!N20,'09b_工序负载'!N21),"待修正")</x:f>
        <x:v>1</x:v>
      </x:c>
      <x:c r="O47" s="105" t="n">
        <x:f>IF('01_数值调参'!$D$3="配方有效",SUM('09b_工序负载'!O17,'09b_工序负载'!O18,'09b_工序负载'!O19,'09b_工序负载'!O20,'09b_工序负载'!O21),"待修正")</x:f>
        <x:v>1</x:v>
      </x:c>
      <x:c r="P47" s="105" t="n">
        <x:f>IF('01_数值调参'!$D$3="配方有效",SUM('09b_工序负载'!P17,'09b_工序负载'!P18,'09b_工序负载'!P19,'09b_工序负载'!P20,'09b_工序负载'!P21),"待修正")</x:f>
        <x:v>1</x:v>
      </x:c>
      <x:c r="Q47" s="105" t="n">
        <x:f>IF('01_数值调参'!$D$3="配方有效",SUM('09b_工序负载'!Q17,'09b_工序负载'!Q18,'09b_工序负载'!Q19,'09b_工序负载'!Q20,'09b_工序负载'!Q21),"待修正")</x:f>
        <x:v>1</x:v>
      </x:c>
      <x:c r="R47" s="105" t="n">
        <x:f>IF('01_数值调参'!$D$3="配方有效",SUM('09b_工序负载'!R17,'09b_工序负载'!R18,'09b_工序负载'!R19,'09b_工序负载'!R20,'09b_工序负载'!R21),"待修正")</x:f>
        <x:v>1</x:v>
      </x:c>
      <x:c r="S47" s="105" t="n">
        <x:f>IF('01_数值调参'!$D$3="配方有效",SUM('09b_工序负载'!S17,'09b_工序负载'!S18,'09b_工序负载'!S19,'09b_工序负载'!S20,'09b_工序负载'!S21),"待修正")</x:f>
        <x:v>0</x:v>
      </x:c>
      <x:c r="T47" s="105" t="n">
        <x:f>IF('01_数值调参'!$D$3="配方有效",SUM('09b_工序负载'!T17,'09b_工序负载'!T18,'09b_工序负载'!T19,'09b_工序负载'!T20,'09b_工序负载'!T21),"待修正")</x:f>
        <x:v>0</x:v>
      </x:c>
      <x:c r="U47" s="105" t="n">
        <x:f>IF('01_数值调参'!$D$3="配方有效",SUM('09b_工序负载'!U17,'09b_工序负载'!U18,'09b_工序负载'!U19,'09b_工序负载'!U20,'09b_工序负载'!U21),"待修正")</x:f>
        <x:v>0</x:v>
      </x:c>
      <x:c r="V47" s="105" t="n">
        <x:f>IF('01_数值调参'!$D$3="配方有效",SUM('09b_工序负载'!V17,'09b_工序负载'!V18,'09b_工序负载'!V19,'09b_工序负载'!V20,'09b_工序负载'!V21),"待修正")</x:f>
        <x:v>0</x:v>
      </x:c>
      <x:c r="W47" s="105" t="n">
        <x:f>IF('01_数值调参'!$D$3="配方有效",SUM('09b_工序负载'!W17,'09b_工序负载'!W18,'09b_工序负载'!W19,'09b_工序负载'!W20,'09b_工序负载'!W21),"待修正")</x:f>
        <x:v>0</x:v>
      </x:c>
      <x:c r="X47" s="105" t="n">
        <x:f>IF('01_数值调参'!$D$3="配方有效",SUM('09b_工序负载'!X17,'09b_工序负载'!X18,'09b_工序负载'!X19,'09b_工序负载'!X20,'09b_工序负载'!X21),"待修正")</x:f>
        <x:v>0.16666666666666666</x:v>
      </x:c>
      <x:c r="Y47" s="105" t="n">
        <x:f>IF('01_数值调参'!$D$3="配方有效",SUM('09b_工序负载'!Y17,'09b_工序负载'!Y18,'09b_工序负载'!Y19,'09b_工序负载'!Y20,'09b_工序负载'!Y21),"待修正")</x:f>
        <x:v>0.2222222222222222</x:v>
      </x:c>
      <x:c r="Z47" s="105" t="n">
        <x:f>IF('01_数值调参'!$D$3="配方有效",SUM('09b_工序负载'!Z17,'09b_工序负载'!Z18,'09b_工序负载'!Z19,'09b_工序负载'!Z20,'09b_工序负载'!Z21),"待修正")</x:f>
        <x:v>0</x:v>
      </x:c>
      <x:c r="AA47" s="105" t="n">
        <x:f>IF('01_数值调参'!$D$3="配方有效",SUM('09b_工序负载'!AA17,'09b_工序负载'!AA18,'09b_工序负载'!AA19,'09b_工序负载'!AA20,'09b_工序负载'!AA21),"待修正")</x:f>
        <x:v>0.08333333333333333</x:v>
      </x:c>
      <x:c r="AB47" s="105" t="n">
        <x:f>IF('01_数值调参'!$D$3="配方有效",SUM('09b_工序负载'!AB17,'09b_工序负载'!AB18,'09b_工序负载'!AB19,'09b_工序负载'!AB20,'09b_工序负载'!AB21),"待修正")</x:f>
        <x:v>0.03333333333333333</x:v>
      </x:c>
      <x:c r="AC47" s="105" t="n">
        <x:f>IF('01_数值调参'!$D$3="配方有效",SUM('09b_工序负载'!AC17,'09b_工序负载'!AC18,'09b_工序负载'!AC19,'09b_工序负载'!AC20,'09b_工序负载'!AC21),"待修正")</x:f>
        <x:v>0.027777777777777776</x:v>
      </x:c>
      <x:c r="AD47" s="105" t="n">
        <x:f>IF('01_数值调参'!$D$3="配方有效",SUM('09b_工序负载'!AD17,'09b_工序负载'!AD18,'09b_工序负载'!AD19,'09b_工序负载'!AD20,'09b_工序负载'!AD21),"待修正")</x:f>
        <x:v>0</x:v>
      </x:c>
      <x:c r="AE47" s="105" t="n">
        <x:f>IF('01_数值调参'!$D$3="配方有效",SUM('09b_工序负载'!AE17,'09b_工序负载'!AE18,'09b_工序负载'!AE19,'09b_工序负载'!AE20,'09b_工序负载'!AE21),"待修正")</x:f>
        <x:v>0</x:v>
      </x:c>
      <x:c r="AF47" s="105" t="n">
        <x:f>IF('01_数值调参'!$D$3="配方有效",SUM('09b_工序负载'!AF17,'09b_工序负载'!AF18,'09b_工序负载'!AF19,'09b_工序负载'!AF20,'09b_工序负载'!AF21),"待修正")</x:f>
        <x:v>0</x:v>
      </x:c>
      <x:c r="AG47" s="105" t="n">
        <x:f>IF('01_数值调参'!$D$3="配方有效",SUM('09b_工序负载'!AG17,'09b_工序负载'!AG18,'09b_工序负载'!AG19,'09b_工序负载'!AG20,'09b_工序负载'!AG21),"待修正")</x:f>
        <x:v>0</x:v>
      </x:c>
      <x:c r="AH47" s="105" t="n">
        <x:f>IF('01_数值调参'!$D$3="配方有效",SUM('09b_工序负载'!AH17,'09b_工序负载'!AH18,'09b_工序负载'!AH19,'09b_工序负载'!AH20,'09b_工序负载'!AH21),"待修正")</x:f>
        <x:v>0.4444444444444444</x:v>
      </x:c>
      <x:c r="AI47" s="105" t="n">
        <x:f>IF('01_数值调参'!$D$3="配方有效",SUM('09b_工序负载'!AI17,'09b_工序负载'!AI18,'09b_工序负载'!AI19,'09b_工序负载'!AI20,'09b_工序负载'!AI21),"待修正")</x:f>
        <x:v>0.3333333333333333</x:v>
      </x:c>
      <x:c r="AJ47" s="105" t="n">
        <x:f>IF('01_数值调参'!$D$3="配方有效",SUM('09b_工序负载'!AJ17,'09b_工序负载'!AJ18,'09b_工序负载'!AJ19,'09b_工序负载'!AJ20,'09b_工序负载'!AJ21),"待修正")</x:f>
        <x:v>0</x:v>
      </x:c>
      <x:c r="AK47" s="105" t="n">
        <x:f>IF('01_数值调参'!$D$3="配方有效",SUM('09b_工序负载'!AK17,'09b_工序负载'!AK18,'09b_工序负载'!AK19,'09b_工序负载'!AK20,'09b_工序负载'!AK21),"待修正")</x:f>
        <x:v>0.25</x:v>
      </x:c>
      <x:c r="AL47" s="105" t="n">
        <x:f>IF('01_数值调参'!$D$3="配方有效",SUM('09b_工序负载'!AL17,'09b_工序负载'!AL18,'09b_工序负载'!AL19,'09b_工序负载'!AL20,'09b_工序负载'!AL21),"待修正")</x:f>
        <x:v>0.16666666666666666</x:v>
      </x:c>
      <x:c r="AM47" s="105" t="n">
        <x:f>IF('01_数值调参'!$D$3="配方有效",SUM('09b_工序负载'!AM17,'09b_工序负载'!AM18,'09b_工序负载'!AM19,'09b_工序负载'!AM20,'09b_工序负载'!AM21),"待修正")</x:f>
        <x:v>0.05555555555555555</x:v>
      </x:c>
    </x:row>
    <x:row r="48" ht="22" customHeight="1">
      <x:c r="A48" s="17" t="str">
        <x:v>加工</x:v>
      </x:c>
      <x:c r="B48" s="17" t="str">
        <x:v>切割机</x:v>
      </x:c>
      <x:c r="C48" s="17" t="str">
        <x:v>同建筑合计</x:v>
      </x:c>
      <x:c r="D48" s="17"/>
      <x:c r="E48" s="105" t="n">
        <x:f>IF('01_数值调参'!$D$3="配方有效",SUM('09b_工序负载'!E22,'09b_工序负载'!E23,'09b_工序负载'!E24,'09b_工序负载'!E25,'09b_工序负载'!E26),"待修正")</x:f>
        <x:v>0</x:v>
      </x:c>
      <x:c r="F48" s="105" t="n">
        <x:f>IF('01_数值调参'!$D$3="配方有效",SUM('09b_工序负载'!F22,'09b_工序负载'!F23,'09b_工序负载'!F24,'09b_工序负载'!F25,'09b_工序负载'!F26),"待修正")</x:f>
        <x:v>0</x:v>
      </x:c>
      <x:c r="G48" s="105" t="n">
        <x:f>IF('01_数值调参'!$D$3="配方有效",SUM('09b_工序负载'!G22,'09b_工序负载'!G23,'09b_工序负载'!G24,'09b_工序负载'!G25,'09b_工序负载'!G26),"待修正")</x:f>
        <x:v>0</x:v>
      </x:c>
      <x:c r="H48" s="105" t="n">
        <x:f>IF('01_数值调参'!$D$3="配方有效",SUM('09b_工序负载'!H22,'09b_工序负载'!H23,'09b_工序负载'!H24,'09b_工序负载'!H25,'09b_工序负载'!H26),"待修正")</x:f>
        <x:v>0</x:v>
      </x:c>
      <x:c r="I48" s="105" t="n">
        <x:f>IF('01_数值调参'!$D$3="配方有效",SUM('09b_工序负载'!I22,'09b_工序负载'!I23,'09b_工序负载'!I24,'09b_工序负载'!I25,'09b_工序负载'!I26),"待修正")</x:f>
        <x:v>0</x:v>
      </x:c>
      <x:c r="J48" s="105" t="n">
        <x:f>IF('01_数值调参'!$D$3="配方有效",SUM('09b_工序负载'!J22,'09b_工序负载'!J23,'09b_工序负载'!J24,'09b_工序负载'!J25,'09b_工序负载'!J26),"待修正")</x:f>
        <x:v>0</x:v>
      </x:c>
      <x:c r="K48" s="105" t="n">
        <x:f>IF('01_数值调参'!$D$3="配方有效",SUM('09b_工序负载'!K22,'09b_工序负载'!K23,'09b_工序负载'!K24,'09b_工序负载'!K25,'09b_工序负载'!K26),"待修正")</x:f>
        <x:v>0</x:v>
      </x:c>
      <x:c r="L48" s="105" t="n">
        <x:f>IF('01_数值调参'!$D$3="配方有效",SUM('09b_工序负载'!L22,'09b_工序负载'!L23,'09b_工序负载'!L24,'09b_工序负载'!L25,'09b_工序负载'!L26),"待修正")</x:f>
        <x:v>0</x:v>
      </x:c>
      <x:c r="M48" s="105" t="n">
        <x:f>IF('01_数值调参'!$D$3="配方有效",SUM('09b_工序负载'!M22,'09b_工序负载'!M23,'09b_工序负载'!M24,'09b_工序负载'!M25,'09b_工序负载'!M26),"待修正")</x:f>
        <x:v>0</x:v>
      </x:c>
      <x:c r="N48" s="105" t="n">
        <x:f>IF('01_数值调参'!$D$3="配方有效",SUM('09b_工序负载'!N22,'09b_工序负载'!N23,'09b_工序负载'!N24,'09b_工序负载'!N25,'09b_工序负载'!N26),"待修正")</x:f>
        <x:v>0</x:v>
      </x:c>
      <x:c r="O48" s="105" t="n">
        <x:f>IF('01_数值调参'!$D$3="配方有效",SUM('09b_工序负载'!O22,'09b_工序负载'!O23,'09b_工序负载'!O24,'09b_工序负载'!O25,'09b_工序负载'!O26),"待修正")</x:f>
        <x:v>0</x:v>
      </x:c>
      <x:c r="P48" s="105" t="n">
        <x:f>IF('01_数值调参'!$D$3="配方有效",SUM('09b_工序负载'!P22,'09b_工序负载'!P23,'09b_工序负载'!P24,'09b_工序负载'!P25,'09b_工序负载'!P26),"待修正")</x:f>
        <x:v>0</x:v>
      </x:c>
      <x:c r="Q48" s="105" t="n">
        <x:f>IF('01_数值调参'!$D$3="配方有效",SUM('09b_工序负载'!Q22,'09b_工序负载'!Q23,'09b_工序负载'!Q24,'09b_工序负载'!Q25,'09b_工序负载'!Q26),"待修正")</x:f>
        <x:v>0</x:v>
      </x:c>
      <x:c r="R48" s="105" t="n">
        <x:f>IF('01_数值调参'!$D$3="配方有效",SUM('09b_工序负载'!R22,'09b_工序负载'!R23,'09b_工序负载'!R24,'09b_工序负载'!R25,'09b_工序负载'!R26),"待修正")</x:f>
        <x:v>0</x:v>
      </x:c>
      <x:c r="S48" s="105" t="n">
        <x:f>IF('01_数值调参'!$D$3="配方有效",SUM('09b_工序负载'!S22,'09b_工序负载'!S23,'09b_工序负载'!S24,'09b_工序负载'!S25,'09b_工序负载'!S26),"待修正")</x:f>
        <x:v>1</x:v>
      </x:c>
      <x:c r="T48" s="105" t="n">
        <x:f>IF('01_数值调参'!$D$3="配方有效",SUM('09b_工序负载'!T22,'09b_工序负载'!T23,'09b_工序负载'!T24,'09b_工序负载'!T25,'09b_工序负载'!T26),"待修正")</x:f>
        <x:v>1</x:v>
      </x:c>
      <x:c r="U48" s="105" t="n">
        <x:f>IF('01_数值调参'!$D$3="配方有效",SUM('09b_工序负载'!U22,'09b_工序负载'!U23,'09b_工序负载'!U24,'09b_工序负载'!U25,'09b_工序负载'!U26),"待修正")</x:f>
        <x:v>1</x:v>
      </x:c>
      <x:c r="V48" s="105" t="n">
        <x:f>IF('01_数值调参'!$D$3="配方有效",SUM('09b_工序负载'!V22,'09b_工序负载'!V23,'09b_工序负载'!V24,'09b_工序负载'!V25,'09b_工序负载'!V26),"待修正")</x:f>
        <x:v>1</x:v>
      </x:c>
      <x:c r="W48" s="105" t="n">
        <x:f>IF('01_数值调参'!$D$3="配方有效",SUM('09b_工序负载'!W22,'09b_工序负载'!W23,'09b_工序负载'!W24,'09b_工序负载'!W25,'09b_工序负载'!W26),"待修正")</x:f>
        <x:v>1</x:v>
      </x:c>
      <x:c r="X48" s="105" t="n">
        <x:f>IF('01_数值调参'!$D$3="配方有效",SUM('09b_工序负载'!X22,'09b_工序负载'!X23,'09b_工序负载'!X24,'09b_工序负载'!X25,'09b_工序负载'!X26),"待修正")</x:f>
        <x:v>0.3333333333333333</x:v>
      </x:c>
      <x:c r="Y48" s="105" t="n">
        <x:f>IF('01_数值调参'!$D$3="配方有效",SUM('09b_工序负载'!Y22,'09b_工序负载'!Y23,'09b_工序负载'!Y24,'09b_工序负载'!Y25,'09b_工序负载'!Y26),"待修正")</x:f>
        <x:v>0</x:v>
      </x:c>
      <x:c r="Z48" s="105" t="n">
        <x:f>IF('01_数值调参'!$D$3="配方有效",SUM('09b_工序负载'!Z22,'09b_工序负载'!Z23,'09b_工序负载'!Z24,'09b_工序负载'!Z25,'09b_工序负载'!Z26),"待修正")</x:f>
        <x:v>0.3333333333333333</x:v>
      </x:c>
      <x:c r="AA48" s="105" t="n">
        <x:f>IF('01_数值调参'!$D$3="配方有效",SUM('09b_工序负载'!AA22,'09b_工序负载'!AA23,'09b_工序负载'!AA24,'09b_工序负载'!AA25,'09b_工序负载'!AA26),"待修正")</x:f>
        <x:v>0.25</x:v>
      </x:c>
      <x:c r="AB48" s="105" t="n">
        <x:f>IF('01_数值调参'!$D$3="配方有效",SUM('09b_工序负载'!AB22,'09b_工序负载'!AB23,'09b_工序负载'!AB24,'09b_工序负载'!AB25,'09b_工序负载'!AB26),"待修正")</x:f>
        <x:v>0.13333333333333333</x:v>
      </x:c>
      <x:c r="AC48" s="105" t="n">
        <x:f>IF('01_数值调参'!$D$3="配方有效",SUM('09b_工序负载'!AC22,'09b_工序负载'!AC23,'09b_工序负载'!AC24,'09b_工序负载'!AC25,'09b_工序负载'!AC26),"待修正")</x:f>
        <x:v>0</x:v>
      </x:c>
      <x:c r="AD48" s="105" t="n">
        <x:f>IF('01_数值调参'!$D$3="配方有效",SUM('09b_工序负载'!AD22,'09b_工序负载'!AD23,'09b_工序负载'!AD24,'09b_工序负载'!AD25,'09b_工序负载'!AD26),"待修正")</x:f>
        <x:v>0</x:v>
      </x:c>
      <x:c r="AE48" s="105" t="n">
        <x:f>IF('01_数值调参'!$D$3="配方有效",SUM('09b_工序负载'!AE22,'09b_工序负载'!AE23,'09b_工序负载'!AE24,'09b_工序负载'!AE25,'09b_工序负载'!AE26),"待修正")</x:f>
        <x:v>0</x:v>
      </x:c>
      <x:c r="AF48" s="105" t="n">
        <x:f>IF('01_数值调参'!$D$3="配方有效",SUM('09b_工序负载'!AF22,'09b_工序负载'!AF23,'09b_工序负载'!AF24,'09b_工序负载'!AF25,'09b_工序负载'!AF26),"待修正")</x:f>
        <x:v>0</x:v>
      </x:c>
      <x:c r="AG48" s="105" t="n">
        <x:f>IF('01_数值调参'!$D$3="配方有效",SUM('09b_工序负载'!AG22,'09b_工序负载'!AG23,'09b_工序负载'!AG24,'09b_工序负载'!AG25,'09b_工序负载'!AG26),"待修正")</x:f>
        <x:v>0</x:v>
      </x:c>
      <x:c r="AH48" s="105" t="n">
        <x:f>IF('01_数值调参'!$D$3="配方有效",SUM('09b_工序负载'!AH22,'09b_工序负载'!AH23,'09b_工序负载'!AH24,'09b_工序负载'!AH25,'09b_工序负载'!AH26),"待修正")</x:f>
        <x:v>0.2222222222222222</x:v>
      </x:c>
      <x:c r="AI48" s="105" t="n">
        <x:f>IF('01_数值调参'!$D$3="配方有效",SUM('09b_工序负载'!AI22,'09b_工序负载'!AI23,'09b_工序负载'!AI24,'09b_工序负载'!AI25,'09b_工序负载'!AI26),"待修正")</x:f>
        <x:v>0</x:v>
      </x:c>
      <x:c r="AJ48" s="105" t="n">
        <x:f>IF('01_数值调参'!$D$3="配方有效",SUM('09b_工序负载'!AJ22,'09b_工序负载'!AJ23,'09b_工序负载'!AJ24,'09b_工序负载'!AJ25,'09b_工序负载'!AJ26),"待修正")</x:f>
        <x:v>0.1111111111111111</x:v>
      </x:c>
      <x:c r="AK48" s="105" t="n">
        <x:f>IF('01_数值调参'!$D$3="配方有效",SUM('09b_工序负载'!AK22,'09b_工序负载'!AK23,'09b_工序负载'!AK24,'09b_工序负载'!AK25,'09b_工序负载'!AK26),"待修正")</x:f>
        <x:v>0</x:v>
      </x:c>
      <x:c r="AL48" s="105" t="n">
        <x:f>IF('01_数值调参'!$D$3="配方有效",SUM('09b_工序负载'!AL22,'09b_工序负载'!AL23,'09b_工序负载'!AL24,'09b_工序负载'!AL25,'09b_工序负载'!AL26),"待修正")</x:f>
        <x:v>0.06666666666666667</x:v>
      </x:c>
      <x:c r="AM48" s="105" t="n">
        <x:f>IF('01_数值调参'!$D$3="配方有效",SUM('09b_工序负载'!AM22,'09b_工序负载'!AM23,'09b_工序负载'!AM24,'09b_工序负载'!AM25,'09b_工序负载'!AM26),"待修正")</x:f>
        <x:v>0.41666666666666663</x:v>
      </x:c>
    </x:row>
    <x:row r="49" ht="22" customHeight="1">
      <x:c r="A49" s="17" t="str">
        <x:v>加工</x:v>
      </x:c>
      <x:c r="B49" s="17" t="str">
        <x:v>纺织机</x:v>
      </x:c>
      <x:c r="C49" s="17" t="str">
        <x:v>同建筑合计</x:v>
      </x:c>
      <x:c r="D49" s="17"/>
      <x:c r="E49" s="105" t="n">
        <x:f>IF('01_数值调参'!$D$3="配方有效",SUM('09b_工序负载'!E27,'09b_工序负载'!E28,'09b_工序负载'!E29,'09b_工序负载'!E30,'09b_工序负载'!E31,'09b_工序负载'!E32),"待修正")</x:f>
        <x:v>0</x:v>
      </x:c>
      <x:c r="F49" s="105" t="n">
        <x:f>IF('01_数值调参'!$D$3="配方有效",SUM('09b_工序负载'!F27,'09b_工序负载'!F28,'09b_工序负载'!F29,'09b_工序负载'!F30,'09b_工序负载'!F31,'09b_工序负载'!F32),"待修正")</x:f>
        <x:v>0</x:v>
      </x:c>
      <x:c r="G49" s="105" t="n">
        <x:f>IF('01_数值调参'!$D$3="配方有效",SUM('09b_工序负载'!G27,'09b_工序负载'!G28,'09b_工序负载'!G29,'09b_工序负载'!G30,'09b_工序负载'!G31,'09b_工序负载'!G32),"待修正")</x:f>
        <x:v>0</x:v>
      </x:c>
      <x:c r="H49" s="105" t="n">
        <x:f>IF('01_数值调参'!$D$3="配方有效",SUM('09b_工序负载'!H27,'09b_工序负载'!H28,'09b_工序负载'!H29,'09b_工序负载'!H30,'09b_工序负载'!H31,'09b_工序负载'!H32),"待修正")</x:f>
        <x:v>0</x:v>
      </x:c>
      <x:c r="I49" s="105" t="n">
        <x:f>IF('01_数值调参'!$D$3="配方有效",SUM('09b_工序负载'!I27,'09b_工序负载'!I28,'09b_工序负载'!I29,'09b_工序负载'!I30,'09b_工序负载'!I31,'09b_工序负载'!I32),"待修正")</x:f>
        <x:v>0</x:v>
      </x:c>
      <x:c r="J49" s="105" t="n">
        <x:f>IF('01_数值调参'!$D$3="配方有效",SUM('09b_工序负载'!J27,'09b_工序负载'!J28,'09b_工序负载'!J29,'09b_工序负载'!J30,'09b_工序负载'!J31,'09b_工序负载'!J32),"待修正")</x:f>
        <x:v>0</x:v>
      </x:c>
      <x:c r="K49" s="105" t="n">
        <x:f>IF('01_数值调参'!$D$3="配方有效",SUM('09b_工序负载'!K27,'09b_工序负载'!K28,'09b_工序负载'!K29,'09b_工序负载'!K30,'09b_工序负载'!K31,'09b_工序负载'!K32),"待修正")</x:f>
        <x:v>0</x:v>
      </x:c>
      <x:c r="L49" s="105" t="n">
        <x:f>IF('01_数值调参'!$D$3="配方有效",SUM('09b_工序负载'!L27,'09b_工序负载'!L28,'09b_工序负载'!L29,'09b_工序负载'!L30,'09b_工序负载'!L31,'09b_工序负载'!L32),"待修正")</x:f>
        <x:v>0</x:v>
      </x:c>
      <x:c r="M49" s="105" t="n">
        <x:f>IF('01_数值调参'!$D$3="配方有效",SUM('09b_工序负载'!M27,'09b_工序负载'!M28,'09b_工序负载'!M29,'09b_工序负载'!M30,'09b_工序负载'!M31,'09b_工序负载'!M32),"待修正")</x:f>
        <x:v>0</x:v>
      </x:c>
      <x:c r="N49" s="105" t="n">
        <x:f>IF('01_数值调参'!$D$3="配方有效",SUM('09b_工序负载'!N27,'09b_工序负载'!N28,'09b_工序负载'!N29,'09b_工序负载'!N30,'09b_工序负载'!N31,'09b_工序负载'!N32),"待修正")</x:f>
        <x:v>0</x:v>
      </x:c>
      <x:c r="O49" s="105" t="n">
        <x:f>IF('01_数值调参'!$D$3="配方有效",SUM('09b_工序负载'!O27,'09b_工序负载'!O28,'09b_工序负载'!O29,'09b_工序负载'!O30,'09b_工序负载'!O31,'09b_工序负载'!O32),"待修正")</x:f>
        <x:v>0</x:v>
      </x:c>
      <x:c r="P49" s="105" t="n">
        <x:f>IF('01_数值调参'!$D$3="配方有效",SUM('09b_工序负载'!P27,'09b_工序负载'!P28,'09b_工序负载'!P29,'09b_工序负载'!P30,'09b_工序负载'!P31,'09b_工序负载'!P32),"待修正")</x:f>
        <x:v>0</x:v>
      </x:c>
      <x:c r="Q49" s="105" t="n">
        <x:f>IF('01_数值调参'!$D$3="配方有效",SUM('09b_工序负载'!Q27,'09b_工序负载'!Q28,'09b_工序负载'!Q29,'09b_工序负载'!Q30,'09b_工序负载'!Q31,'09b_工序负载'!Q32),"待修正")</x:f>
        <x:v>0</x:v>
      </x:c>
      <x:c r="R49" s="105" t="n">
        <x:f>IF('01_数值调参'!$D$3="配方有效",SUM('09b_工序负载'!R27,'09b_工序负载'!R28,'09b_工序负载'!R29,'09b_工序负载'!R30,'09b_工序负载'!R31,'09b_工序负载'!R32),"待修正")</x:f>
        <x:v>0</x:v>
      </x:c>
      <x:c r="S49" s="105" t="n">
        <x:f>IF('01_数值调参'!$D$3="配方有效",SUM('09b_工序负载'!S27,'09b_工序负载'!S28,'09b_工序负载'!S29,'09b_工序负载'!S30,'09b_工序负载'!S31,'09b_工序负载'!S32),"待修正")</x:f>
        <x:v>0</x:v>
      </x:c>
      <x:c r="T49" s="105" t="n">
        <x:f>IF('01_数值调参'!$D$3="配方有效",SUM('09b_工序负载'!T27,'09b_工序负载'!T28,'09b_工序负载'!T29,'09b_工序负载'!T30,'09b_工序负载'!T31,'09b_工序负载'!T32),"待修正")</x:f>
        <x:v>0</x:v>
      </x:c>
      <x:c r="U49" s="105" t="n">
        <x:f>IF('01_数值调参'!$D$3="配方有效",SUM('09b_工序负载'!U27,'09b_工序负载'!U28,'09b_工序负载'!U29,'09b_工序负载'!U30,'09b_工序负载'!U31,'09b_工序负载'!U32),"待修正")</x:f>
        <x:v>0</x:v>
      </x:c>
      <x:c r="V49" s="105" t="n">
        <x:f>IF('01_数值调参'!$D$3="配方有效",SUM('09b_工序负载'!V27,'09b_工序负载'!V28,'09b_工序负载'!V29,'09b_工序负载'!V30,'09b_工序负载'!V31,'09b_工序负载'!V32),"待修正")</x:f>
        <x:v>0</x:v>
      </x:c>
      <x:c r="W49" s="105" t="n">
        <x:f>IF('01_数值调参'!$D$3="配方有效",SUM('09b_工序负载'!W27,'09b_工序负载'!W28,'09b_工序负载'!W29,'09b_工序负载'!W30,'09b_工序负载'!W31,'09b_工序负载'!W32),"待修正")</x:f>
        <x:v>0</x:v>
      </x:c>
      <x:c r="X49" s="105" t="n">
        <x:f>IF('01_数值调参'!$D$3="配方有效",SUM('09b_工序负载'!X27,'09b_工序负载'!X28,'09b_工序负载'!X29,'09b_工序负载'!X30,'09b_工序负载'!X31,'09b_工序负载'!X32),"待修正")</x:f>
        <x:v>1</x:v>
      </x:c>
      <x:c r="Y49" s="105" t="n">
        <x:f>IF('01_数值调参'!$D$3="配方有效",SUM('09b_工序负载'!Y27,'09b_工序负载'!Y28,'09b_工序负载'!Y29,'09b_工序负载'!Y30,'09b_工序负载'!Y31,'09b_工序负载'!Y32),"待修正")</x:f>
        <x:v>1</x:v>
      </x:c>
      <x:c r="Z49" s="105" t="n">
        <x:f>IF('01_数值调参'!$D$3="配方有效",SUM('09b_工序负载'!Z27,'09b_工序负载'!Z28,'09b_工序负载'!Z29,'09b_工序负载'!Z30,'09b_工序负载'!Z31,'09b_工序负载'!Z32),"待修正")</x:f>
        <x:v>1</x:v>
      </x:c>
      <x:c r="AA49" s="105" t="n">
        <x:f>IF('01_数值调参'!$D$3="配方有效",SUM('09b_工序负载'!AA27,'09b_工序负载'!AA28,'09b_工序负载'!AA29,'09b_工序负载'!AA30,'09b_工序负载'!AA31,'09b_工序负载'!AA32),"待修正")</x:f>
        <x:v>1</x:v>
      </x:c>
      <x:c r="AB49" s="105" t="n">
        <x:f>IF('01_数值调参'!$D$3="配方有效",SUM('09b_工序负载'!AB27,'09b_工序负载'!AB28,'09b_工序负载'!AB29,'09b_工序负载'!AB30,'09b_工序负载'!AB31,'09b_工序负载'!AB32),"待修正")</x:f>
        <x:v>1</x:v>
      </x:c>
      <x:c r="AC49" s="105" t="n">
        <x:f>IF('01_数值调参'!$D$3="配方有效",SUM('09b_工序负载'!AC27,'09b_工序负载'!AC28,'09b_工序负载'!AC29,'09b_工序负载'!AC30,'09b_工序负载'!AC31,'09b_工序负载'!AC32),"待修正")</x:f>
        <x:v>1</x:v>
      </x:c>
      <x:c r="AD49" s="105" t="n">
        <x:f>IF('01_数值调参'!$D$3="配方有效",SUM('09b_工序负载'!AD27,'09b_工序负载'!AD28,'09b_工序负载'!AD29,'09b_工序负载'!AD30,'09b_工序负载'!AD31,'09b_工序负载'!AD32),"待修正")</x:f>
        <x:v>0</x:v>
      </x:c>
      <x:c r="AE49" s="105" t="n">
        <x:f>IF('01_数值调参'!$D$3="配方有效",SUM('09b_工序负载'!AE27,'09b_工序负载'!AE28,'09b_工序负载'!AE29,'09b_工序负载'!AE30,'09b_工序负载'!AE31,'09b_工序负载'!AE32),"待修正")</x:f>
        <x:v>0</x:v>
      </x:c>
      <x:c r="AF49" s="105" t="n">
        <x:f>IF('01_数值调参'!$D$3="配方有效",SUM('09b_工序负载'!AF27,'09b_工序负载'!AF28,'09b_工序负载'!AF29,'09b_工序负载'!AF30,'09b_工序负载'!AF31,'09b_工序负载'!AF32),"待修正")</x:f>
        <x:v>0</x:v>
      </x:c>
      <x:c r="AG49" s="105" t="n">
        <x:f>IF('01_数值调参'!$D$3="配方有效",SUM('09b_工序负载'!AG27,'09b_工序负载'!AG28,'09b_工序负载'!AG29,'09b_工序负载'!AG30,'09b_工序负载'!AG31,'09b_工序负载'!AG32),"待修正")</x:f>
        <x:v>0</x:v>
      </x:c>
      <x:c r="AH49" s="105" t="n">
        <x:f>IF('01_数值调参'!$D$3="配方有效",SUM('09b_工序负载'!AH27,'09b_工序负载'!AH28,'09b_工序负载'!AH29,'09b_工序负载'!AH30,'09b_工序负载'!AH31,'09b_工序负载'!AH32),"待修正")</x:f>
        <x:v>0</x:v>
      </x:c>
      <x:c r="AI49" s="105" t="n">
        <x:f>IF('01_数值调参'!$D$3="配方有效",SUM('09b_工序负载'!AI27,'09b_工序负载'!AI28,'09b_工序负载'!AI29,'09b_工序负载'!AI30,'09b_工序负载'!AI31,'09b_工序负载'!AI32),"待修正")</x:f>
        <x:v>0</x:v>
      </x:c>
      <x:c r="AJ49" s="105" t="n">
        <x:f>IF('01_数值调参'!$D$3="配方有效",SUM('09b_工序负载'!AJ27,'09b_工序负载'!AJ28,'09b_工序负载'!AJ29,'09b_工序负载'!AJ30,'09b_工序负载'!AJ31,'09b_工序负载'!AJ32),"待修正")</x:f>
        <x:v>0</x:v>
      </x:c>
      <x:c r="AK49" s="105" t="n">
        <x:f>IF('01_数值调参'!$D$3="配方有效",SUM('09b_工序负载'!AK27,'09b_工序负载'!AK28,'09b_工序负载'!AK29,'09b_工序负载'!AK30,'09b_工序负载'!AK31,'09b_工序负载'!AK32),"待修正")</x:f>
        <x:v>0</x:v>
      </x:c>
      <x:c r="AL49" s="105" t="n">
        <x:f>IF('01_数值调参'!$D$3="配方有效",SUM('09b_工序负载'!AL27,'09b_工序负载'!AL28,'09b_工序负载'!AL29,'09b_工序负载'!AL30,'09b_工序负载'!AL31,'09b_工序负载'!AL32),"待修正")</x:f>
        <x:v>0.2</x:v>
      </x:c>
      <x:c r="AM49" s="105" t="n">
        <x:f>IF('01_数值调参'!$D$3="配方有效",SUM('09b_工序负载'!AM27,'09b_工序负载'!AM28,'09b_工序负载'!AM29,'09b_工序负载'!AM30,'09b_工序负载'!AM31,'09b_工序负载'!AM32),"待修正")</x:f>
        <x:v>0.6666666666666666</x:v>
      </x:c>
    </x:row>
    <x:row r="50" ht="22" customHeight="1">
      <x:c r="A50" s="17" t="str">
        <x:v>加工</x:v>
      </x:c>
      <x:c r="B50" s="17" t="str">
        <x:v>萃取机</x:v>
      </x:c>
      <x:c r="C50" s="17" t="str">
        <x:v>同建筑合计</x:v>
      </x:c>
      <x:c r="D50" s="17"/>
      <x:c r="E50" s="105" t="n">
        <x:f>IF('01_数值调参'!$D$3="配方有效",SUM('09b_工序负载'!E33,'09b_工序负载'!E34,'09b_工序负载'!E35,'09b_工序负载'!E36),"待修正")</x:f>
        <x:v>0</x:v>
      </x:c>
      <x:c r="F50" s="105" t="n">
        <x:f>IF('01_数值调参'!$D$3="配方有效",SUM('09b_工序负载'!F33,'09b_工序负载'!F34,'09b_工序负载'!F35,'09b_工序负载'!F36),"待修正")</x:f>
        <x:v>0</x:v>
      </x:c>
      <x:c r="G50" s="105" t="n">
        <x:f>IF('01_数值调参'!$D$3="配方有效",SUM('09b_工序负载'!G33,'09b_工序负载'!G34,'09b_工序负载'!G35,'09b_工序负载'!G36),"待修正")</x:f>
        <x:v>0</x:v>
      </x:c>
      <x:c r="H50" s="105" t="n">
        <x:f>IF('01_数值调参'!$D$3="配方有效",SUM('09b_工序负载'!H33,'09b_工序负载'!H34,'09b_工序负载'!H35,'09b_工序负载'!H36),"待修正")</x:f>
        <x:v>0</x:v>
      </x:c>
      <x:c r="I50" s="105" t="n">
        <x:f>IF('01_数值调参'!$D$3="配方有效",SUM('09b_工序负载'!I33,'09b_工序负载'!I34,'09b_工序负载'!I35,'09b_工序负载'!I36),"待修正")</x:f>
        <x:v>0</x:v>
      </x:c>
      <x:c r="J50" s="105" t="n">
        <x:f>IF('01_数值调参'!$D$3="配方有效",SUM('09b_工序负载'!J33,'09b_工序负载'!J34,'09b_工序负载'!J35,'09b_工序负载'!J36),"待修正")</x:f>
        <x:v>0</x:v>
      </x:c>
      <x:c r="K50" s="105" t="n">
        <x:f>IF('01_数值调参'!$D$3="配方有效",SUM('09b_工序负载'!K33,'09b_工序负载'!K34,'09b_工序负载'!K35,'09b_工序负载'!K36),"待修正")</x:f>
        <x:v>0</x:v>
      </x:c>
      <x:c r="L50" s="105" t="n">
        <x:f>IF('01_数值调参'!$D$3="配方有效",SUM('09b_工序负载'!L33,'09b_工序负载'!L34,'09b_工序负载'!L35,'09b_工序负载'!L36),"待修正")</x:f>
        <x:v>0</x:v>
      </x:c>
      <x:c r="M50" s="105" t="n">
        <x:f>IF('01_数值调参'!$D$3="配方有效",SUM('09b_工序负载'!M33,'09b_工序负载'!M34,'09b_工序负载'!M35,'09b_工序负载'!M36),"待修正")</x:f>
        <x:v>0</x:v>
      </x:c>
      <x:c r="N50" s="105" t="n">
        <x:f>IF('01_数值调参'!$D$3="配方有效",SUM('09b_工序负载'!N33,'09b_工序负载'!N34,'09b_工序负载'!N35,'09b_工序负载'!N36),"待修正")</x:f>
        <x:v>0</x:v>
      </x:c>
      <x:c r="O50" s="105" t="n">
        <x:f>IF('01_数值调参'!$D$3="配方有效",SUM('09b_工序负载'!O33,'09b_工序负载'!O34,'09b_工序负载'!O35,'09b_工序负载'!O36),"待修正")</x:f>
        <x:v>0</x:v>
      </x:c>
      <x:c r="P50" s="105" t="n">
        <x:f>IF('01_数值调参'!$D$3="配方有效",SUM('09b_工序负载'!P33,'09b_工序负载'!P34,'09b_工序负载'!P35,'09b_工序负载'!P36),"待修正")</x:f>
        <x:v>0</x:v>
      </x:c>
      <x:c r="Q50" s="105" t="n">
        <x:f>IF('01_数值调参'!$D$3="配方有效",SUM('09b_工序负载'!Q33,'09b_工序负载'!Q34,'09b_工序负载'!Q35,'09b_工序负载'!Q36),"待修正")</x:f>
        <x:v>0</x:v>
      </x:c>
      <x:c r="R50" s="105" t="n">
        <x:f>IF('01_数值调参'!$D$3="配方有效",SUM('09b_工序负载'!R33,'09b_工序负载'!R34,'09b_工序负载'!R35,'09b_工序负载'!R36),"待修正")</x:f>
        <x:v>0</x:v>
      </x:c>
      <x:c r="S50" s="105" t="n">
        <x:f>IF('01_数值调参'!$D$3="配方有效",SUM('09b_工序负载'!S33,'09b_工序负载'!S34,'09b_工序负载'!S35,'09b_工序负载'!S36),"待修正")</x:f>
        <x:v>0</x:v>
      </x:c>
      <x:c r="T50" s="105" t="n">
        <x:f>IF('01_数值调参'!$D$3="配方有效",SUM('09b_工序负载'!T33,'09b_工序负载'!T34,'09b_工序负载'!T35,'09b_工序负载'!T36),"待修正")</x:f>
        <x:v>0</x:v>
      </x:c>
      <x:c r="U50" s="105" t="n">
        <x:f>IF('01_数值调参'!$D$3="配方有效",SUM('09b_工序负载'!U33,'09b_工序负载'!U34,'09b_工序负载'!U35,'09b_工序负载'!U36),"待修正")</x:f>
        <x:v>0</x:v>
      </x:c>
      <x:c r="V50" s="105" t="n">
        <x:f>IF('01_数值调参'!$D$3="配方有效",SUM('09b_工序负载'!V33,'09b_工序负载'!V34,'09b_工序负载'!V35,'09b_工序负载'!V36),"待修正")</x:f>
        <x:v>0</x:v>
      </x:c>
      <x:c r="W50" s="105" t="n">
        <x:f>IF('01_数值调参'!$D$3="配方有效",SUM('09b_工序负载'!W33,'09b_工序负载'!W34,'09b_工序负载'!W35,'09b_工序负载'!W36),"待修正")</x:f>
        <x:v>0</x:v>
      </x:c>
      <x:c r="X50" s="105" t="n">
        <x:f>IF('01_数值调参'!$D$3="配方有效",SUM('09b_工序负载'!X33,'09b_工序负载'!X34,'09b_工序负载'!X35,'09b_工序负载'!X36),"待修正")</x:f>
        <x:v>0</x:v>
      </x:c>
      <x:c r="Y50" s="105" t="n">
        <x:f>IF('01_数值调参'!$D$3="配方有效",SUM('09b_工序负载'!Y33,'09b_工序负载'!Y34,'09b_工序负载'!Y35,'09b_工序负载'!Y36),"待修正")</x:f>
        <x:v>0</x:v>
      </x:c>
      <x:c r="Z50" s="105" t="n">
        <x:f>IF('01_数值调参'!$D$3="配方有效",SUM('09b_工序负载'!Z33,'09b_工序负载'!Z34,'09b_工序负载'!Z35,'09b_工序负载'!Z36),"待修正")</x:f>
        <x:v>0</x:v>
      </x:c>
      <x:c r="AA50" s="105" t="n">
        <x:f>IF('01_数值调参'!$D$3="配方有效",SUM('09b_工序负载'!AA33,'09b_工序负载'!AA34,'09b_工序负载'!AA35,'09b_工序负载'!AA36),"待修正")</x:f>
        <x:v>0</x:v>
      </x:c>
      <x:c r="AB50" s="105" t="n">
        <x:f>IF('01_数值调参'!$D$3="配方有效",SUM('09b_工序负载'!AB33,'09b_工序负载'!AB34,'09b_工序负载'!AB35,'09b_工序负载'!AB36),"待修正")</x:f>
        <x:v>0</x:v>
      </x:c>
      <x:c r="AC50" s="105" t="n">
        <x:f>IF('01_数值调参'!$D$3="配方有效",SUM('09b_工序负载'!AC33,'09b_工序负载'!AC34,'09b_工序负载'!AC35,'09b_工序负载'!AC36),"待修正")</x:f>
        <x:v>0.5</x:v>
      </x:c>
      <x:c r="AD50" s="105" t="n">
        <x:f>IF('01_数值调参'!$D$3="配方有效",SUM('09b_工序负载'!AD33,'09b_工序负载'!AD34,'09b_工序负载'!AD35,'09b_工序负载'!AD36),"待修正")</x:f>
        <x:v>1</x:v>
      </x:c>
      <x:c r="AE50" s="105" t="n">
        <x:f>IF('01_数值调参'!$D$3="配方有效",SUM('09b_工序负载'!AE33,'09b_工序负载'!AE34,'09b_工序负载'!AE35,'09b_工序负载'!AE36),"待修正")</x:f>
        <x:v>1</x:v>
      </x:c>
      <x:c r="AF50" s="105" t="n">
        <x:f>IF('01_数值调参'!$D$3="配方有效",SUM('09b_工序负载'!AF33,'09b_工序负载'!AF34,'09b_工序负载'!AF35,'09b_工序负载'!AF36),"待修正")</x:f>
        <x:v>1</x:v>
      </x:c>
      <x:c r="AG50" s="105" t="n">
        <x:f>IF('01_数值调参'!$D$3="配方有效",SUM('09b_工序负载'!AG33,'09b_工序负载'!AG34,'09b_工序负载'!AG35,'09b_工序负载'!AG36),"待修正")</x:f>
        <x:v>1</x:v>
      </x:c>
      <x:c r="AH50" s="105" t="n">
        <x:f>IF('01_数值调参'!$D$3="配方有效",SUM('09b_工序负载'!AH33,'09b_工序负载'!AH34,'09b_工序负载'!AH35,'09b_工序负载'!AH36),"待修正")</x:f>
        <x:v>0</x:v>
      </x:c>
      <x:c r="AI50" s="105" t="n">
        <x:f>IF('01_数值调参'!$D$3="配方有效",SUM('09b_工序负载'!AI33,'09b_工序负载'!AI34,'09b_工序负载'!AI35,'09b_工序负载'!AI36),"待修正")</x:f>
        <x:v>0.3333333333333333</x:v>
      </x:c>
      <x:c r="AJ50" s="105" t="n">
        <x:f>IF('01_数值调参'!$D$3="配方有效",SUM('09b_工序负载'!AJ33,'09b_工序负载'!AJ34,'09b_工序负载'!AJ35,'09b_工序负载'!AJ36),"待修正")</x:f>
        <x:v>0.5</x:v>
      </x:c>
      <x:c r="AK50" s="105" t="n">
        <x:f>IF('01_数值调参'!$D$3="配方有效",SUM('09b_工序负载'!AK33,'09b_工序负载'!AK34,'09b_工序负载'!AK35,'09b_工序负载'!AK36),"待修正")</x:f>
        <x:v>0.5</x:v>
      </x:c>
      <x:c r="AL50" s="105" t="n">
        <x:f>IF('01_数值调参'!$D$3="配方有效",SUM('09b_工序负载'!AL33,'09b_工序负载'!AL34,'09b_工序负载'!AL35,'09b_工序负载'!AL36),"待修正")</x:f>
        <x:v>0</x:v>
      </x:c>
      <x:c r="AM50" s="105" t="n">
        <x:f>IF('01_数值调参'!$D$3="配方有效",SUM('09b_工序负载'!AM33,'09b_工序负载'!AM34,'09b_工序负载'!AM35,'09b_工序负载'!AM36),"待修正")</x:f>
        <x:v>0</x:v>
      </x:c>
    </x:row>
    <x:row r="51" ht="22" customHeight="1">
      <x:c r="A51" s="17" t="str">
        <x:v>加工</x:v>
      </x:c>
      <x:c r="B51" s="17" t="str">
        <x:v>窑炉</x:v>
      </x:c>
      <x:c r="C51" s="17" t="str">
        <x:v>同建筑合计</x:v>
      </x:c>
      <x:c r="D51" s="17"/>
      <x:c r="E51" s="105" t="n">
        <x:f>IF('01_数值调参'!$D$3="配方有效",SUM('09b_工序负载'!E37,'09b_工序负载'!E38,'09b_工序负载'!E39,'09b_工序负载'!E40,'09b_工序负载'!E41,'09b_工序负载'!E42),"待修正")</x:f>
        <x:v>0</x:v>
      </x:c>
      <x:c r="F51" s="105" t="n">
        <x:f>IF('01_数值调参'!$D$3="配方有效",SUM('09b_工序负载'!F37,'09b_工序负载'!F38,'09b_工序负载'!F39,'09b_工序负载'!F40,'09b_工序负载'!F41,'09b_工序负载'!F42),"待修正")</x:f>
        <x:v>0</x:v>
      </x:c>
      <x:c r="G51" s="105" t="n">
        <x:f>IF('01_数值调参'!$D$3="配方有效",SUM('09b_工序负载'!G37,'09b_工序负载'!G38,'09b_工序负载'!G39,'09b_工序负载'!G40,'09b_工序负载'!G41,'09b_工序负载'!G42),"待修正")</x:f>
        <x:v>0</x:v>
      </x:c>
      <x:c r="H51" s="105" t="n">
        <x:f>IF('01_数值调参'!$D$3="配方有效",SUM('09b_工序负载'!H37,'09b_工序负载'!H38,'09b_工序负载'!H39,'09b_工序负载'!H40,'09b_工序负载'!H41,'09b_工序负载'!H42),"待修正")</x:f>
        <x:v>0</x:v>
      </x:c>
      <x:c r="I51" s="105" t="n">
        <x:f>IF('01_数值调参'!$D$3="配方有效",SUM('09b_工序负载'!I37,'09b_工序负载'!I38,'09b_工序负载'!I39,'09b_工序负载'!I40,'09b_工序负载'!I41,'09b_工序负载'!I42),"待修正")</x:f>
        <x:v>0</x:v>
      </x:c>
      <x:c r="J51" s="105" t="n">
        <x:f>IF('01_数值调参'!$D$3="配方有效",SUM('09b_工序负载'!J37,'09b_工序负载'!J38,'09b_工序负载'!J39,'09b_工序负载'!J40,'09b_工序负载'!J41,'09b_工序负载'!J42),"待修正")</x:f>
        <x:v>0</x:v>
      </x:c>
      <x:c r="K51" s="105" t="n">
        <x:f>IF('01_数值调参'!$D$3="配方有效",SUM('09b_工序负载'!K37,'09b_工序负载'!K38,'09b_工序负载'!K39,'09b_工序负载'!K40,'09b_工序负载'!K41,'09b_工序负载'!K42),"待修正")</x:f>
        <x:v>0</x:v>
      </x:c>
      <x:c r="L51" s="105" t="n">
        <x:f>IF('01_数值调参'!$D$3="配方有效",SUM('09b_工序负载'!L37,'09b_工序负载'!L38,'09b_工序负载'!L39,'09b_工序负载'!L40,'09b_工序负载'!L41,'09b_工序负载'!L42),"待修正")</x:f>
        <x:v>0</x:v>
      </x:c>
      <x:c r="M51" s="105" t="n">
        <x:f>IF('01_数值调参'!$D$3="配方有效",SUM('09b_工序负载'!M37,'09b_工序负载'!M38,'09b_工序负载'!M39,'09b_工序负载'!M40,'09b_工序负载'!M41,'09b_工序负载'!M42),"待修正")</x:f>
        <x:v>0</x:v>
      </x:c>
      <x:c r="N51" s="105" t="n">
        <x:f>IF('01_数值调参'!$D$3="配方有效",SUM('09b_工序负载'!N37,'09b_工序负载'!N38,'09b_工序负载'!N39,'09b_工序负载'!N40,'09b_工序负载'!N41,'09b_工序负载'!N42),"待修正")</x:f>
        <x:v>0</x:v>
      </x:c>
      <x:c r="O51" s="105" t="n">
        <x:f>IF('01_数值调参'!$D$3="配方有效",SUM('09b_工序负载'!O37,'09b_工序负载'!O38,'09b_工序负载'!O39,'09b_工序负载'!O40,'09b_工序负载'!O41,'09b_工序负载'!O42),"待修正")</x:f>
        <x:v>0</x:v>
      </x:c>
      <x:c r="P51" s="105" t="n">
        <x:f>IF('01_数值调参'!$D$3="配方有效",SUM('09b_工序负载'!P37,'09b_工序负载'!P38,'09b_工序负载'!P39,'09b_工序负载'!P40,'09b_工序负载'!P41,'09b_工序负载'!P42),"待修正")</x:f>
        <x:v>0</x:v>
      </x:c>
      <x:c r="Q51" s="105" t="n">
        <x:f>IF('01_数值调参'!$D$3="配方有效",SUM('09b_工序负载'!Q37,'09b_工序负载'!Q38,'09b_工序负载'!Q39,'09b_工序负载'!Q40,'09b_工序负载'!Q41,'09b_工序负载'!Q42),"待修正")</x:f>
        <x:v>0</x:v>
      </x:c>
      <x:c r="R51" s="105" t="n">
        <x:f>IF('01_数值调参'!$D$3="配方有效",SUM('09b_工序负载'!R37,'09b_工序负载'!R38,'09b_工序负载'!R39,'09b_工序负载'!R40,'09b_工序负载'!R41,'09b_工序负载'!R42),"待修正")</x:f>
        <x:v>0</x:v>
      </x:c>
      <x:c r="S51" s="105" t="n">
        <x:f>IF('01_数值调参'!$D$3="配方有效",SUM('09b_工序负载'!S37,'09b_工序负载'!S38,'09b_工序负载'!S39,'09b_工序负载'!S40,'09b_工序负载'!S41,'09b_工序负载'!S42),"待修正")</x:f>
        <x:v>0</x:v>
      </x:c>
      <x:c r="T51" s="105" t="n">
        <x:f>IF('01_数值调参'!$D$3="配方有效",SUM('09b_工序负载'!T37,'09b_工序负载'!T38,'09b_工序负载'!T39,'09b_工序负载'!T40,'09b_工序负载'!T41,'09b_工序负载'!T42),"待修正")</x:f>
        <x:v>0</x:v>
      </x:c>
      <x:c r="U51" s="105" t="n">
        <x:f>IF('01_数值调参'!$D$3="配方有效",SUM('09b_工序负载'!U37,'09b_工序负载'!U38,'09b_工序负载'!U39,'09b_工序负载'!U40,'09b_工序负载'!U41,'09b_工序负载'!U42),"待修正")</x:f>
        <x:v>0</x:v>
      </x:c>
      <x:c r="V51" s="105" t="n">
        <x:f>IF('01_数值调参'!$D$3="配方有效",SUM('09b_工序负载'!V37,'09b_工序负载'!V38,'09b_工序负载'!V39,'09b_工序负载'!V40,'09b_工序负载'!V41,'09b_工序负载'!V42),"待修正")</x:f>
        <x:v>0</x:v>
      </x:c>
      <x:c r="W51" s="105" t="n">
        <x:f>IF('01_数值调参'!$D$3="配方有效",SUM('09b_工序负载'!W37,'09b_工序负载'!W38,'09b_工序负载'!W39,'09b_工序负载'!W40,'09b_工序负载'!W41,'09b_工序负载'!W42),"待修正")</x:f>
        <x:v>0</x:v>
      </x:c>
      <x:c r="X51" s="105" t="n">
        <x:f>IF('01_数值调参'!$D$3="配方有效",SUM('09b_工序负载'!X37,'09b_工序负载'!X38,'09b_工序负载'!X39,'09b_工序负载'!X40,'09b_工序负载'!X41,'09b_工序负载'!X42),"待修正")</x:f>
        <x:v>0</x:v>
      </x:c>
      <x:c r="Y51" s="105" t="n">
        <x:f>IF('01_数值调参'!$D$3="配方有效",SUM('09b_工序负载'!Y37,'09b_工序负载'!Y38,'09b_工序负载'!Y39,'09b_工序负载'!Y40,'09b_工序负载'!Y41,'09b_工序负载'!Y42),"待修正")</x:f>
        <x:v>0</x:v>
      </x:c>
      <x:c r="Z51" s="105" t="n">
        <x:f>IF('01_数值调参'!$D$3="配方有效",SUM('09b_工序负载'!Z37,'09b_工序负载'!Z38,'09b_工序负载'!Z39,'09b_工序负载'!Z40,'09b_工序负载'!Z41,'09b_工序负载'!Z42),"待修正")</x:f>
        <x:v>0</x:v>
      </x:c>
      <x:c r="AA51" s="105" t="n">
        <x:f>IF('01_数值调参'!$D$3="配方有效",SUM('09b_工序负载'!AA37,'09b_工序负载'!AA38,'09b_工序负载'!AA39,'09b_工序负载'!AA40,'09b_工序负载'!AA41,'09b_工序负载'!AA42),"待修正")</x:f>
        <x:v>0</x:v>
      </x:c>
      <x:c r="AB51" s="105" t="n">
        <x:f>IF('01_数值调参'!$D$3="配方有效",SUM('09b_工序负载'!AB37,'09b_工序负载'!AB38,'09b_工序负载'!AB39,'09b_工序负载'!AB40,'09b_工序负载'!AB41,'09b_工序负载'!AB42),"待修正")</x:f>
        <x:v>0</x:v>
      </x:c>
      <x:c r="AC51" s="105" t="n">
        <x:f>IF('01_数值调参'!$D$3="配方有效",SUM('09b_工序负载'!AC37,'09b_工序负载'!AC38,'09b_工序负载'!AC39,'09b_工序负载'!AC40,'09b_工序负载'!AC41,'09b_工序负载'!AC42),"待修正")</x:f>
        <x:v>0</x:v>
      </x:c>
      <x:c r="AD51" s="105" t="n">
        <x:f>IF('01_数值调参'!$D$3="配方有效",SUM('09b_工序负载'!AD37,'09b_工序负载'!AD38,'09b_工序负载'!AD39,'09b_工序负载'!AD40,'09b_工序负载'!AD41,'09b_工序负载'!AD42),"待修正")</x:f>
        <x:v>0</x:v>
      </x:c>
      <x:c r="AE51" s="105" t="n">
        <x:f>IF('01_数值调参'!$D$3="配方有效",SUM('09b_工序负载'!AE37,'09b_工序负载'!AE38,'09b_工序负载'!AE39,'09b_工序负载'!AE40,'09b_工序负载'!AE41,'09b_工序负载'!AE42),"待修正")</x:f>
        <x:v>0</x:v>
      </x:c>
      <x:c r="AF51" s="105" t="n">
        <x:f>IF('01_数值调参'!$D$3="配方有效",SUM('09b_工序负载'!AF37,'09b_工序负载'!AF38,'09b_工序负载'!AF39,'09b_工序负载'!AF40,'09b_工序负载'!AF41,'09b_工序负载'!AF42),"待修正")</x:f>
        <x:v>0</x:v>
      </x:c>
      <x:c r="AG51" s="105" t="n">
        <x:f>IF('01_数值调参'!$D$3="配方有效",SUM('09b_工序负载'!AG37,'09b_工序负载'!AG38,'09b_工序负载'!AG39,'09b_工序负载'!AG40,'09b_工序负载'!AG41,'09b_工序负载'!AG42),"待修正")</x:f>
        <x:v>0</x:v>
      </x:c>
      <x:c r="AH51" s="105" t="n">
        <x:f>IF('01_数值调参'!$D$3="配方有效",SUM('09b_工序负载'!AH37,'09b_工序负载'!AH38,'09b_工序负载'!AH39,'09b_工序负载'!AH40,'09b_工序负载'!AH41,'09b_工序负载'!AH42),"待修正")</x:f>
        <x:v>1</x:v>
      </x:c>
      <x:c r="AI51" s="105" t="n">
        <x:f>IF('01_数值调参'!$D$3="配方有效",SUM('09b_工序负载'!AI37,'09b_工序负载'!AI38,'09b_工序负载'!AI39,'09b_工序负载'!AI40,'09b_工序负载'!AI41,'09b_工序负载'!AI42),"待修正")</x:f>
        <x:v>1</x:v>
      </x:c>
      <x:c r="AJ51" s="105" t="n">
        <x:f>IF('01_数值调参'!$D$3="配方有效",SUM('09b_工序负载'!AJ37,'09b_工序负载'!AJ38,'09b_工序负载'!AJ39,'09b_工序负载'!AJ40,'09b_工序负载'!AJ41,'09b_工序负载'!AJ42),"待修正")</x:f>
        <x:v>1</x:v>
      </x:c>
      <x:c r="AK51" s="105" t="n">
        <x:f>IF('01_数值调参'!$D$3="配方有效",SUM('09b_工序负载'!AK37,'09b_工序负载'!AK38,'09b_工序负载'!AK39,'09b_工序负载'!AK40,'09b_工序负载'!AK41,'09b_工序负载'!AK42),"待修正")</x:f>
        <x:v>1</x:v>
      </x:c>
      <x:c r="AL51" s="105" t="n">
        <x:f>IF('01_数值调参'!$D$3="配方有效",SUM('09b_工序负载'!AL37,'09b_工序负载'!AL38,'09b_工序负载'!AL39,'09b_工序负载'!AL40,'09b_工序负载'!AL41,'09b_工序负载'!AL42),"待修正")</x:f>
        <x:v>1</x:v>
      </x:c>
      <x:c r="AM51" s="105" t="n">
        <x:f>IF('01_数值调参'!$D$3="配方有效",SUM('09b_工序负载'!AM37,'09b_工序负载'!AM38,'09b_工序负载'!AM39,'09b_工序负载'!AM40,'09b_工序负载'!AM41,'09b_工序负载'!AM42),"待修正")</x:f>
        <x:v>1</x:v>
      </x:c>
    </x:row>
  </x:sheetData>
  <x:conditionalFormatting sqref="E8:AM42">
    <x:cfRule type="cellIs" dxfId="2" priority="1" operator="greaterThan">
      <x:formula>1.00000001</x:formula>
    </x:cfRule>
    <x:cfRule type="expression" dxfId="3" priority="2">
      <x:formula>$A8=E$5</x:formula>
    </x:cfRule>
  </x:conditionalFormatting>
  <x:conditionalFormatting sqref="E46:AM51">
    <x:cfRule type="cellIs" dxfId="4" priority="3" operator="greaterThan">
      <x:formula>1.00000001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7" hidden="0" customWidth="1"/>
    <x:col min="8" max="8" width="19" hidden="0" customWidth="1"/>
    <x:col min="9" max="9" width="24" hidden="0" customWidth="1"/>
    <x:col min="10" max="10" width="4" hidden="0" customWidth="1"/>
    <x:col min="11" max="11" width="4" hidden="0" customWidth="1"/>
    <x:col min="12" max="12" width="19" hidden="0" customWidth="1"/>
    <x:col min="13" max="13" width="21" hidden="0" customWidth="1"/>
  </x:cols>
  <x:sheetData>
    <x:row r="1" ht="30" customHeight="1">
      <x:c r="A1" s="11" t="str">
        <x:v>优化排程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4" customHeight="1">
      <x:c r="A2" s="12" t="str">
        <x:v>空库存、当级土地并行、每加工建筑1通道、即时操作；仅已证明最优的时间进入01表。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2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32" customHeight="1">
      <x:c r="A4" s="21" t="str">
        <x:v>商品ID</x:v>
      </x:c>
      <x:c r="B4" s="21" t="str">
        <x:v>商品</x:v>
      </x:c>
      <x:c r="C4" s="21" t="str">
        <x:v>固定等级</x:v>
      </x:c>
      <x:c r="D4" s="21" t="str">
        <x:v>当级土地</x:v>
      </x:c>
      <x:c r="E4" s="21" t="str">
        <x:v>严格下界min</x:v>
      </x:c>
      <x:c r="F4" s="21" t="str">
        <x:v>优化时间min</x:v>
      </x:c>
      <x:c r="G4" s="21" t="str">
        <x:v>输入状态</x:v>
      </x:c>
      <x:c r="H4" s="21" t="str">
        <x:v>可行完工min</x:v>
      </x:c>
      <x:c r="I4" s="21" t="str">
        <x:v>证明</x:v>
      </x:c>
      <x:c r="J4" s="9"/>
      <x:c r="K4" s="9"/>
      <x:c r="L4" s="9" t="str">
        <x:v>等级</x:v>
      </x:c>
      <x:c r="M4" s="9" t="str">
        <x:v>固定土地数量</x:v>
      </x:c>
    </x:row>
    <x:row r="5" ht="22" customHeight="1">
      <x:c r="A5" s="17" t="n">
        <x:v>1</x:v>
      </x:c>
      <x:c r="B5" s="17" t="str">
        <x:v>芦苇草</x:v>
      </x:c>
      <x:c r="C5" s="17" t="n">
        <x:v>1</x:v>
      </x:c>
      <x:c r="D5" s="17" t="n">
        <x:v>6</x:v>
      </x:c>
      <x:c r="E5" s="17" t="n">
        <x:v>2</x:v>
      </x:c>
      <x:c r="F5" s="17" t="n">
        <x:v>2</x:v>
      </x:c>
      <x:c r="G5" s="17" t="str">
        <x:f>IF('01_数值调参'!$D$3&lt;&gt;"配方有效","待修正",IF('03_全链计算'!E89,"最新","待重算"))</x:f>
        <x:v>最新</x:v>
      </x:c>
      <x:c r="H5" s="17" t="n">
        <x:v>2</x:v>
      </x:c>
      <x:c r="I5" s="17" t="str">
        <x:v>下界＝可行完工</x:v>
      </x:c>
      <x:c r="J5" s="9"/>
      <x:c r="K5" s="9"/>
      <x:c r="L5" s="9" t="n">
        <x:v>1</x:v>
      </x:c>
      <x:c r="M5" s="9" t="n">
        <x:v>6</x:v>
      </x:c>
    </x:row>
    <x:row r="6" ht="22" customHeight="1">
      <x:c r="A6" s="17" t="n">
        <x:v>2</x:v>
      </x:c>
      <x:c r="B6" s="17" t="str">
        <x:v>棉花</x:v>
      </x:c>
      <x:c r="C6" s="17" t="n">
        <x:v>2</x:v>
      </x:c>
      <x:c r="D6" s="17" t="n">
        <x:v>6</x:v>
      </x:c>
      <x:c r="E6" s="17" t="n">
        <x:v>5</x:v>
      </x:c>
      <x:c r="F6" s="17" t="n">
        <x:v>5</x:v>
      </x:c>
      <x:c r="G6" s="17" t="str">
        <x:f>IF('01_数值调参'!$D$3&lt;&gt;"配方有效","待修正",IF('03_全链计算'!F89,"最新","待重算"))</x:f>
        <x:v>最新</x:v>
      </x:c>
      <x:c r="H6" s="17" t="n">
        <x:v>5</x:v>
      </x:c>
      <x:c r="I6" s="17" t="str">
        <x:v>下界＝可行完工</x:v>
      </x:c>
      <x:c r="J6" s="9"/>
      <x:c r="K6" s="9"/>
      <x:c r="L6" s="9" t="n">
        <x:v>2</x:v>
      </x:c>
      <x:c r="M6" s="9" t="n">
        <x:v>6</x:v>
      </x:c>
    </x:row>
    <x:row r="7" ht="22" customHeight="1">
      <x:c r="A7" s="17" t="n">
        <x:v>5</x:v>
      </x:c>
      <x:c r="B7" s="17" t="str">
        <x:v>竹子</x:v>
      </x:c>
      <x:c r="C7" s="17" t="n">
        <x:v>4</x:v>
      </x:c>
      <x:c r="D7" s="17" t="n">
        <x:v>12</x:v>
      </x:c>
      <x:c r="E7" s="17" t="n">
        <x:v>10</x:v>
      </x:c>
      <x:c r="F7" s="17" t="n">
        <x:v>10</x:v>
      </x:c>
      <x:c r="G7" s="17" t="str">
        <x:f>IF('01_数值调参'!$D$3&lt;&gt;"配方有效","待修正",IF('03_全链计算'!G89,"最新","待重算"))</x:f>
        <x:v>最新</x:v>
      </x:c>
      <x:c r="H7" s="17" t="n">
        <x:v>10</x:v>
      </x:c>
      <x:c r="I7" s="17" t="str">
        <x:v>下界＝可行完工</x:v>
      </x:c>
      <x:c r="J7" s="9"/>
      <x:c r="K7" s="9"/>
      <x:c r="L7" s="9" t="n">
        <x:v>3</x:v>
      </x:c>
      <x:c r="M7" s="9" t="n">
        <x:v>6</x:v>
      </x:c>
    </x:row>
    <x:row r="8" ht="22" customHeight="1">
      <x:c r="A8" s="17" t="n">
        <x:v>10</x:v>
      </x:c>
      <x:c r="B8" s="17" t="str">
        <x:v>香绒草</x:v>
      </x:c>
      <x:c r="C8" s="17" t="n">
        <x:v>7</x:v>
      </x:c>
      <x:c r="D8" s="17" t="n">
        <x:v>18</x:v>
      </x:c>
      <x:c r="E8" s="17" t="n">
        <x:v>15</x:v>
      </x:c>
      <x:c r="F8" s="17" t="n">
        <x:v>15</x:v>
      </x:c>
      <x:c r="G8" s="17" t="str">
        <x:f>IF('01_数值调参'!$D$3&lt;&gt;"配方有效","待修正",IF('03_全链计算'!H89,"最新","待重算"))</x:f>
        <x:v>最新</x:v>
      </x:c>
      <x:c r="H8" s="17" t="n">
        <x:v>15</x:v>
      </x:c>
      <x:c r="I8" s="17" t="str">
        <x:v>下界＝可行完工</x:v>
      </x:c>
      <x:c r="J8" s="9"/>
      <x:c r="K8" s="9"/>
      <x:c r="L8" s="9" t="n">
        <x:v>4</x:v>
      </x:c>
      <x:c r="M8" s="9" t="n">
        <x:v>12</x:v>
      </x:c>
    </x:row>
    <x:row r="9" ht="22" customHeight="1">
      <x:c r="A9" s="17" t="n">
        <x:v>15</x:v>
      </x:c>
      <x:c r="B9" s="17" t="str">
        <x:v>薰衣草</x:v>
      </x:c>
      <x:c r="C9" s="17" t="n">
        <x:v>8</x:v>
      </x:c>
      <x:c r="D9" s="17" t="n">
        <x:v>18</x:v>
      </x:c>
      <x:c r="E9" s="17" t="n">
        <x:v>20</x:v>
      </x:c>
      <x:c r="F9" s="17" t="n">
        <x:v>20</x:v>
      </x:c>
      <x:c r="G9" s="17" t="str">
        <x:f>IF('01_数值调参'!$D$3&lt;&gt;"配方有效","待修正",IF('03_全链计算'!I89,"最新","待重算"))</x:f>
        <x:v>最新</x:v>
      </x:c>
      <x:c r="H9" s="17" t="n">
        <x:v>20</x:v>
      </x:c>
      <x:c r="I9" s="17" t="str">
        <x:v>下界＝可行完工</x:v>
      </x:c>
      <x:c r="J9" s="9"/>
      <x:c r="K9" s="9"/>
      <x:c r="L9" s="9" t="n">
        <x:v>5</x:v>
      </x:c>
      <x:c r="M9" s="9" t="n">
        <x:v>12</x:v>
      </x:c>
    </x:row>
    <x:row r="10" ht="22" customHeight="1">
      <x:c r="A10" s="17" t="n">
        <x:v>17</x:v>
      </x:c>
      <x:c r="B10" s="17" t="str">
        <x:v>芍药花</x:v>
      </x:c>
      <x:c r="C10" s="17" t="n">
        <x:v>10</x:v>
      </x:c>
      <x:c r="D10" s="17" t="n">
        <x:v>24</x:v>
      </x:c>
      <x:c r="E10" s="17" t="n">
        <x:v>30</x:v>
      </x:c>
      <x:c r="F10" s="17" t="n">
        <x:v>30</x:v>
      </x:c>
      <x:c r="G10" s="17" t="str">
        <x:f>IF('01_数值调参'!$D$3&lt;&gt;"配方有效","待修正",IF('03_全链计算'!J89,"最新","待重算"))</x:f>
        <x:v>最新</x:v>
      </x:c>
      <x:c r="H10" s="17" t="n">
        <x:v>30</x:v>
      </x:c>
      <x:c r="I10" s="17" t="str">
        <x:v>下界＝可行完工</x:v>
      </x:c>
      <x:c r="J10" s="9"/>
      <x:c r="K10" s="9"/>
      <x:c r="L10" s="9" t="n">
        <x:v>6</x:v>
      </x:c>
      <x:c r="M10" s="9" t="n">
        <x:v>12</x:v>
      </x:c>
    </x:row>
    <x:row r="11" ht="22" customHeight="1">
      <x:c r="A11" s="17" t="n">
        <x:v>24</x:v>
      </x:c>
      <x:c r="B11" s="17" t="str">
        <x:v>墨水花</x:v>
      </x:c>
      <x:c r="C11" s="17" t="n">
        <x:v>13</x:v>
      </x:c>
      <x:c r="D11" s="17" t="n">
        <x:v>24</x:v>
      </x:c>
      <x:c r="E11" s="17" t="n">
        <x:v>60</x:v>
      </x:c>
      <x:c r="F11" s="17" t="n">
        <x:v>60</x:v>
      </x:c>
      <x:c r="G11" s="17" t="str">
        <x:f>IF('01_数值调参'!$D$3&lt;&gt;"配方有效","待修正",IF('03_全链计算'!K89,"最新","待重算"))</x:f>
        <x:v>最新</x:v>
      </x:c>
      <x:c r="H11" s="17" t="n">
        <x:v>60</x:v>
      </x:c>
      <x:c r="I11" s="17" t="str">
        <x:v>下界＝可行完工</x:v>
      </x:c>
      <x:c r="J11" s="9"/>
      <x:c r="K11" s="9"/>
      <x:c r="L11" s="9" t="n">
        <x:v>7</x:v>
      </x:c>
      <x:c r="M11" s="9" t="n">
        <x:v>18</x:v>
      </x:c>
    </x:row>
    <x:row r="12" ht="22" customHeight="1">
      <x:c r="A12" s="17" t="n">
        <x:v>30</x:v>
      </x:c>
      <x:c r="B12" s="17" t="str">
        <x:v>蜡烛花</x:v>
      </x:c>
      <x:c r="C12" s="17" t="n">
        <x:v>16</x:v>
      </x:c>
      <x:c r="D12" s="17" t="n">
        <x:v>30</x:v>
      </x:c>
      <x:c r="E12" s="17" t="n">
        <x:v>90</x:v>
      </x:c>
      <x:c r="F12" s="17" t="n">
        <x:v>90</x:v>
      </x:c>
      <x:c r="G12" s="17" t="str">
        <x:f>IF('01_数值调参'!$D$3&lt;&gt;"配方有效","待修正",IF('03_全链计算'!L89,"最新","待重算"))</x:f>
        <x:v>最新</x:v>
      </x:c>
      <x:c r="H12" s="17" t="n">
        <x:v>90</x:v>
      </x:c>
      <x:c r="I12" s="17" t="str">
        <x:v>下界＝可行完工</x:v>
      </x:c>
      <x:c r="J12" s="9"/>
      <x:c r="K12" s="9"/>
      <x:c r="L12" s="9" t="n">
        <x:v>8</x:v>
      </x:c>
      <x:c r="M12" s="9" t="n">
        <x:v>18</x:v>
      </x:c>
    </x:row>
    <x:row r="13" ht="22" customHeight="1">
      <x:c r="A13" s="17" t="n">
        <x:v>35</x:v>
      </x:c>
      <x:c r="B13" s="17" t="str">
        <x:v>浆果珍珠</x:v>
      </x:c>
      <x:c r="C13" s="17" t="n">
        <x:v>19</x:v>
      </x:c>
      <x:c r="D13" s="17" t="n">
        <x:v>30</x:v>
      </x:c>
      <x:c r="E13" s="17" t="n">
        <x:v>120</x:v>
      </x:c>
      <x:c r="F13" s="17" t="n">
        <x:v>120</x:v>
      </x:c>
      <x:c r="G13" s="17" t="str">
        <x:f>IF('01_数值调参'!$D$3&lt;&gt;"配方有效","待修正",IF('03_全链计算'!M89,"最新","待重算"))</x:f>
        <x:v>最新</x:v>
      </x:c>
      <x:c r="H13" s="17" t="n">
        <x:v>120</x:v>
      </x:c>
      <x:c r="I13" s="17" t="str">
        <x:v>下界＝可行完工</x:v>
      </x:c>
      <x:c r="J13" s="9"/>
      <x:c r="K13" s="9"/>
      <x:c r="L13" s="9" t="n">
        <x:v>9</x:v>
      </x:c>
      <x:c r="M13" s="9" t="n">
        <x:v>18</x:v>
      </x:c>
    </x:row>
    <x:row r="14" ht="22" customHeight="1">
      <x:c r="A14" s="17" t="n">
        <x:v>3</x:v>
      </x:c>
      <x:c r="B14" s="17" t="str">
        <x:v>芦苇丝</x:v>
      </x:c>
      <x:c r="C14" s="17" t="n">
        <x:v>2</x:v>
      </x:c>
      <x:c r="D14" s="17" t="n">
        <x:v>6</x:v>
      </x:c>
      <x:c r="E14" s="17" t="n">
        <x:v>7</x:v>
      </x:c>
      <x:c r="F14" s="17" t="n">
        <x:v>7</x:v>
      </x:c>
      <x:c r="G14" s="17" t="str">
        <x:f>IF('01_数值调参'!$D$3&lt;&gt;"配方有效","待修正",IF('03_全链计算'!N89,"最新","待重算"))</x:f>
        <x:v>最新</x:v>
      </x:c>
      <x:c r="H14" s="17" t="n">
        <x:v>7</x:v>
      </x:c>
      <x:c r="I14" s="17" t="str">
        <x:v>下界＝可行完工</x:v>
      </x:c>
      <x:c r="J14" s="9"/>
      <x:c r="K14" s="9"/>
      <x:c r="L14" s="9" t="n">
        <x:v>10</x:v>
      </x:c>
      <x:c r="M14" s="9" t="n">
        <x:v>24</x:v>
      </x:c>
    </x:row>
    <x:row r="15" ht="22" customHeight="1">
      <x:c r="A15" s="17" t="n">
        <x:v>4</x:v>
      </x:c>
      <x:c r="B15" s="17" t="str">
        <x:v>棉绒团</x:v>
      </x:c>
      <x:c r="C15" s="17" t="n">
        <x:v>3</x:v>
      </x:c>
      <x:c r="D15" s="17" t="n">
        <x:v>6</x:v>
      </x:c>
      <x:c r="E15" s="17" t="n">
        <x:v>15</x:v>
      </x:c>
      <x:c r="F15" s="17" t="n">
        <x:v>15</x:v>
      </x:c>
      <x:c r="G15" s="17" t="str">
        <x:f>IF('01_数值调参'!$D$3&lt;&gt;"配方有效","待修正",IF('03_全链计算'!O89,"最新","待重算"))</x:f>
        <x:v>最新</x:v>
      </x:c>
      <x:c r="H15" s="17" t="n">
        <x:v>15</x:v>
      </x:c>
      <x:c r="I15" s="17" t="str">
        <x:v>下界＝可行完工</x:v>
      </x:c>
      <x:c r="J15" s="9"/>
      <x:c r="K15" s="9"/>
      <x:c r="L15" s="9" t="n">
        <x:v>11</x:v>
      </x:c>
      <x:c r="M15" s="9" t="n">
        <x:v>24</x:v>
      </x:c>
    </x:row>
    <x:row r="16" ht="22" customHeight="1">
      <x:c r="A16" s="17" t="n">
        <x:v>12</x:v>
      </x:c>
      <x:c r="B16" s="17" t="str">
        <x:v>绒香粉</x:v>
      </x:c>
      <x:c r="C16" s="17" t="n">
        <x:v>7</x:v>
      </x:c>
      <x:c r="D16" s="17" t="n">
        <x:v>18</x:v>
      </x:c>
      <x:c r="E16" s="17" t="n">
        <x:v>35</x:v>
      </x:c>
      <x:c r="F16" s="17" t="n">
        <x:v>35</x:v>
      </x:c>
      <x:c r="G16" s="17" t="str">
        <x:f>IF('01_数值调参'!$D$3&lt;&gt;"配方有效","待修正",IF('03_全链计算'!P89,"最新","待重算"))</x:f>
        <x:v>最新</x:v>
      </x:c>
      <x:c r="H16" s="17" t="n">
        <x:v>35</x:v>
      </x:c>
      <x:c r="I16" s="17" t="str">
        <x:v>下界＝可行完工</x:v>
      </x:c>
      <x:c r="J16" s="9"/>
      <x:c r="K16" s="9"/>
      <x:c r="L16" s="9" t="n">
        <x:v>12</x:v>
      </x:c>
      <x:c r="M16" s="9" t="n">
        <x:v>24</x:v>
      </x:c>
    </x:row>
    <x:row r="17" ht="22" customHeight="1">
      <x:c r="A17" s="17" t="n">
        <x:v>22</x:v>
      </x:c>
      <x:c r="B17" s="17" t="str">
        <x:v>云朵香粉</x:v>
      </x:c>
      <x:c r="C17" s="17" t="n">
        <x:v>13</x:v>
      </x:c>
      <x:c r="D17" s="17" t="n">
        <x:v>24</x:v>
      </x:c>
      <x:c r="E17" s="17" t="n">
        <x:v>45</x:v>
      </x:c>
      <x:c r="F17" s="17" t="n">
        <x:v>45</x:v>
      </x:c>
      <x:c r="G17" s="17" t="str">
        <x:f>IF('01_数值调参'!$D$3&lt;&gt;"配方有效","待修正",IF('03_全链计算'!Q89,"最新","待重算"))</x:f>
        <x:v>最新</x:v>
      </x:c>
      <x:c r="H17" s="17" t="n">
        <x:v>45</x:v>
      </x:c>
      <x:c r="I17" s="17" t="str">
        <x:v>下界＝可行完工</x:v>
      </x:c>
      <x:c r="J17" s="9"/>
      <x:c r="K17" s="9"/>
      <x:c r="L17" s="9" t="n">
        <x:v>13</x:v>
      </x:c>
      <x:c r="M17" s="9" t="n">
        <x:v>24</x:v>
      </x:c>
    </x:row>
    <x:row r="18" ht="22" customHeight="1">
      <x:c r="A18" s="17" t="n">
        <x:v>33</x:v>
      </x:c>
      <x:c r="B18" s="17" t="str">
        <x:v>乌云绒团</x:v>
      </x:c>
      <x:c r="C18" s="17" t="n">
        <x:v>18</x:v>
      </x:c>
      <x:c r="D18" s="17" t="n">
        <x:v>30</x:v>
      </x:c>
      <x:c r="E18" s="17" t="n">
        <x:v>120</x:v>
      </x:c>
      <x:c r="F18" s="17" t="n">
        <x:v>120</x:v>
      </x:c>
      <x:c r="G18" s="17" t="str">
        <x:f>IF('01_数值调参'!$D$3&lt;&gt;"配方有效","待修正",IF('03_全链计算'!R89,"最新","待重算"))</x:f>
        <x:v>最新</x:v>
      </x:c>
      <x:c r="H18" s="17" t="n">
        <x:v>120</x:v>
      </x:c>
      <x:c r="I18" s="17" t="str">
        <x:v>下界＝可行完工</x:v>
      </x:c>
      <x:c r="J18" s="9"/>
      <x:c r="K18" s="9"/>
      <x:c r="L18" s="9" t="n">
        <x:v>14</x:v>
      </x:c>
      <x:c r="M18" s="9" t="n">
        <x:v>24</x:v>
      </x:c>
    </x:row>
    <x:row r="19" ht="22" customHeight="1">
      <x:c r="A19" s="17" t="n">
        <x:v>6</x:v>
      </x:c>
      <x:c r="B19" s="17" t="str">
        <x:v>竹条</x:v>
      </x:c>
      <x:c r="C19" s="17" t="n">
        <x:v>4</x:v>
      </x:c>
      <x:c r="D19" s="17" t="n">
        <x:v>12</x:v>
      </x:c>
      <x:c r="E19" s="17" t="n">
        <x:v>20</x:v>
      </x:c>
      <x:c r="F19" s="17" t="n">
        <x:v>20</x:v>
      </x:c>
      <x:c r="G19" s="17" t="str">
        <x:f>IF('01_数值调参'!$D$3&lt;&gt;"配方有效","待修正",IF('03_全链计算'!S89,"最新","待重算"))</x:f>
        <x:v>最新</x:v>
      </x:c>
      <x:c r="H19" s="17" t="n">
        <x:v>20</x:v>
      </x:c>
      <x:c r="I19" s="17" t="str">
        <x:v>下界＝可行完工</x:v>
      </x:c>
      <x:c r="J19" s="9"/>
      <x:c r="K19" s="9"/>
      <x:c r="L19" s="9" t="n">
        <x:v>15</x:v>
      </x:c>
      <x:c r="M19" s="9" t="n">
        <x:v>30</x:v>
      </x:c>
    </x:row>
    <x:row r="20" ht="22" customHeight="1">
      <x:c r="A20" s="17" t="n">
        <x:v>7</x:v>
      </x:c>
      <x:c r="B20" s="17" t="str">
        <x:v>薄竹片</x:v>
      </x:c>
      <x:c r="C20" s="17" t="n">
        <x:v>5</x:v>
      </x:c>
      <x:c r="D20" s="17" t="n">
        <x:v>12</x:v>
      </x:c>
      <x:c r="E20" s="17" t="n">
        <x:v>30</x:v>
      </x:c>
      <x:c r="F20" s="17" t="n">
        <x:v>30</x:v>
      </x:c>
      <x:c r="G20" s="17" t="str">
        <x:f>IF('01_数值调参'!$D$3&lt;&gt;"配方有效","待修正",IF('03_全链计算'!T89,"最新","待重算"))</x:f>
        <x:v>最新</x:v>
      </x:c>
      <x:c r="H20" s="17" t="n">
        <x:v>30</x:v>
      </x:c>
      <x:c r="I20" s="17" t="str">
        <x:v>下界＝可行完工</x:v>
      </x:c>
      <x:c r="J20" s="9"/>
      <x:c r="K20" s="9"/>
      <x:c r="L20" s="9" t="n">
        <x:v>16</x:v>
      </x:c>
      <x:c r="M20" s="9" t="n">
        <x:v>30</x:v>
      </x:c>
    </x:row>
    <x:row r="21" ht="22" customHeight="1">
      <x:c r="A21" s="17" t="n">
        <x:v>20</x:v>
      </x:c>
      <x:c r="B21" s="17" t="str">
        <x:v>小竹框</x:v>
      </x:c>
      <x:c r="C21" s="17" t="n">
        <x:v>11</x:v>
      </x:c>
      <x:c r="D21" s="17" t="n">
        <x:v>24</x:v>
      </x:c>
      <x:c r="E21" s="17" t="n">
        <x:v>40</x:v>
      </x:c>
      <x:c r="F21" s="17" t="n">
        <x:v>40</x:v>
      </x:c>
      <x:c r="G21" s="17" t="str">
        <x:f>IF('01_数值调参'!$D$3&lt;&gt;"配方有效","待修正",IF('03_全链计算'!U89,"最新","待重算"))</x:f>
        <x:v>最新</x:v>
      </x:c>
      <x:c r="H21" s="17" t="n">
        <x:v>40</x:v>
      </x:c>
      <x:c r="I21" s="17" t="str">
        <x:v>下界＝可行完工</x:v>
      </x:c>
      <x:c r="J21" s="9"/>
      <x:c r="K21" s="9"/>
      <x:c r="L21" s="9" t="n">
        <x:v>17</x:v>
      </x:c>
      <x:c r="M21" s="9" t="n">
        <x:v>30</x:v>
      </x:c>
    </x:row>
    <x:row r="22" ht="22" customHeight="1">
      <x:c r="A22" s="17" t="n">
        <x:v>28</x:v>
      </x:c>
      <x:c r="B22" s="17" t="str">
        <x:v>花瓣竹板</x:v>
      </x:c>
      <x:c r="C22" s="17" t="n">
        <x:v>15</x:v>
      </x:c>
      <x:c r="D22" s="17" t="n">
        <x:v>30</x:v>
      </x:c>
      <x:c r="E22" s="17" t="n">
        <x:v>75</x:v>
      </x:c>
      <x:c r="F22" s="17" t="n">
        <x:v>75</x:v>
      </x:c>
      <x:c r="G22" s="17" t="str">
        <x:f>IF('01_数值调参'!$D$3&lt;&gt;"配方有效","待修正",IF('03_全链计算'!V89,"最新","待重算"))</x:f>
        <x:v>最新</x:v>
      </x:c>
      <x:c r="H22" s="17" t="n">
        <x:v>75</x:v>
      </x:c>
      <x:c r="I22" s="17" t="str">
        <x:v>下界＝可行完工</x:v>
      </x:c>
      <x:c r="J22" s="9"/>
      <x:c r="K22" s="9"/>
      <x:c r="L22" s="9" t="n">
        <x:v>18</x:v>
      </x:c>
      <x:c r="M22" s="9" t="n">
        <x:v>30</x:v>
      </x:c>
    </x:row>
    <x:row r="23" ht="22" customHeight="1">
      <x:c r="A23" s="17" t="n">
        <x:v>36</x:v>
      </x:c>
      <x:c r="B23" s="17" t="str">
        <x:v>珍珠衣帽架</x:v>
      </x:c>
      <x:c r="C23" s="17" t="n">
        <x:v>19</x:v>
      </x:c>
      <x:c r="D23" s="17" t="n">
        <x:v>30</x:v>
      </x:c>
      <x:c r="E23" s="17" t="n">
        <x:v>180</x:v>
      </x:c>
      <x:c r="F23" s="17" t="n">
        <x:v>180</x:v>
      </x:c>
      <x:c r="G23" s="17" t="str">
        <x:f>IF('01_数值调参'!$D$3&lt;&gt;"配方有效","待修正",IF('03_全链计算'!W89,"最新","待重算"))</x:f>
        <x:v>最新</x:v>
      </x:c>
      <x:c r="H23" s="17" t="n">
        <x:v>180</x:v>
      </x:c>
      <x:c r="I23" s="17" t="str">
        <x:v>下界＝可行完工</x:v>
      </x:c>
      <x:c r="J23" s="9"/>
      <x:c r="K23" s="9"/>
      <x:c r="L23" s="9" t="n">
        <x:v>19</x:v>
      </x:c>
      <x:c r="M23" s="9" t="n">
        <x:v>30</x:v>
      </x:c>
    </x:row>
    <x:row r="24" ht="22" customHeight="1">
      <x:c r="A24" s="17" t="n">
        <x:v>14</x:v>
      </x:c>
      <x:c r="B24" s="17" t="str">
        <x:v>竹编小垫</x:v>
      </x:c>
      <x:c r="C24" s="17" t="n">
        <x:v>6</x:v>
      </x:c>
      <x:c r="D24" s="17" t="n">
        <x:v>12</x:v>
      </x:c>
      <x:c r="E24" s="17" t="n">
        <x:v>50</x:v>
      </x:c>
      <x:c r="F24" s="17" t="n">
        <x:v>50</x:v>
      </x:c>
      <x:c r="G24" s="17" t="str">
        <x:f>IF('01_数值调参'!$D$3&lt;&gt;"配方有效","待修正",IF('03_全链计算'!X89,"最新","待重算"))</x:f>
        <x:v>最新</x:v>
      </x:c>
      <x:c r="H24" s="17" t="n">
        <x:v>50</x:v>
      </x:c>
      <x:c r="I24" s="17" t="str">
        <x:v>下界＝可行完工</x:v>
      </x:c>
      <x:c r="J24" s="9"/>
      <x:c r="K24" s="9"/>
      <x:c r="L24" s="9" t="n">
        <x:v>20</x:v>
      </x:c>
      <x:c r="M24" s="9" t="n">
        <x:v>30</x:v>
      </x:c>
    </x:row>
    <x:row r="25" ht="22" customHeight="1">
      <x:c r="A25" s="17" t="n">
        <x:v>16</x:v>
      </x:c>
      <x:c r="B25" s="17" t="str">
        <x:v>软棉布</x:v>
      </x:c>
      <x:c r="C25" s="17" t="n">
        <x:v>9</x:v>
      </x:c>
      <x:c r="D25" s="17" t="n">
        <x:v>18</x:v>
      </x:c>
      <x:c r="E25" s="17" t="n">
        <x:v>60</x:v>
      </x:c>
      <x:c r="F25" s="17" t="n">
        <x:v>60</x:v>
      </x:c>
      <x:c r="G25" s="17" t="str">
        <x:f>IF('01_数值调参'!$D$3&lt;&gt;"配方有效","待修正",IF('03_全链计算'!Y89,"最新","待重算"))</x:f>
        <x:v>最新</x:v>
      </x:c>
      <x:c r="H25" s="17" t="n">
        <x:v>60</x:v>
      </x:c>
      <x:c r="I25" s="17" t="str">
        <x:v>下界＝可行完工</x:v>
      </x:c>
      <x:c r="J25" s="9"/>
      <x:c r="K25" s="9"/>
      <x:c r="L25" s="9"/>
      <x:c r="M25" s="9"/>
    </x:row>
    <x:row r="26" ht="22" customHeight="1">
      <x:c r="A26" s="17" t="n">
        <x:v>21</x:v>
      </x:c>
      <x:c r="B26" s="17" t="str">
        <x:v>竹帘</x:v>
      </x:c>
      <x:c r="C26" s="17" t="n">
        <x:v>11</x:v>
      </x:c>
      <x:c r="D26" s="17" t="n">
        <x:v>24</x:v>
      </x:c>
      <x:c r="E26" s="17" t="n">
        <x:v>90</x:v>
      </x:c>
      <x:c r="F26" s="17" t="n">
        <x:v>90</x:v>
      </x:c>
      <x:c r="G26" s="17" t="str">
        <x:f>IF('01_数值调参'!$D$3&lt;&gt;"配方有效","待修正",IF('03_全链计算'!Z89,"最新","待重算"))</x:f>
        <x:v>最新</x:v>
      </x:c>
      <x:c r="H26" s="17" t="n">
        <x:v>90</x:v>
      </x:c>
      <x:c r="I26" s="17" t="str">
        <x:v>下界＝可行完工</x:v>
      </x:c>
      <x:c r="J26" s="9"/>
      <x:c r="K26" s="9"/>
      <x:c r="L26" s="9"/>
      <x:c r="M26" s="9"/>
    </x:row>
    <x:row r="27" ht="22" customHeight="1">
      <x:c r="A27" s="17" t="n">
        <x:v>27</x:v>
      </x:c>
      <x:c r="B27" s="17" t="str">
        <x:v>绒绒灯罩</x:v>
      </x:c>
      <x:c r="C27" s="17" t="n">
        <x:v>15</x:v>
      </x:c>
      <x:c r="D27" s="17" t="n">
        <x:v>30</x:v>
      </x:c>
      <x:c r="E27" s="17" t="n">
        <x:v>160</x:v>
      </x:c>
      <x:c r="F27" s="17" t="n">
        <x:v>160</x:v>
      </x:c>
      <x:c r="G27" s="17" t="str">
        <x:f>IF('01_数值调参'!$D$3&lt;&gt;"配方有效","待修正",IF('03_全链计算'!AA89,"最新","待重算"))</x:f>
        <x:v>最新</x:v>
      </x:c>
      <x:c r="H27" s="17" t="n">
        <x:v>160</x:v>
      </x:c>
      <x:c r="I27" s="17" t="str">
        <x:v>下界＝可行完工</x:v>
      </x:c>
      <x:c r="J27" s="9"/>
      <x:c r="K27" s="9"/>
      <x:c r="L27" s="9"/>
      <x:c r="M27" s="9"/>
    </x:row>
    <x:row r="28" ht="22" customHeight="1">
      <x:c r="A28" s="17" t="n">
        <x:v>32</x:v>
      </x:c>
      <x:c r="B28" s="17" t="str">
        <x:v>软边小席</x:v>
      </x:c>
      <x:c r="C28" s="17" t="n">
        <x:v>17</x:v>
      </x:c>
      <x:c r="D28" s="17" t="n">
        <x:v>30</x:v>
      </x:c>
      <x:c r="E28" s="17" t="n">
        <x:v>180</x:v>
      </x:c>
      <x:c r="F28" s="17" t="n">
        <x:v>180</x:v>
      </x:c>
      <x:c r="G28" s="17" t="str">
        <x:f>IF('01_数值调参'!$D$3&lt;&gt;"配方有效","待修正",IF('03_全链计算'!AB89,"最新","待重算"))</x:f>
        <x:v>最新</x:v>
      </x:c>
      <x:c r="H28" s="17" t="n">
        <x:v>180</x:v>
      </x:c>
      <x:c r="I28" s="17" t="str">
        <x:v>下界＝可行完工</x:v>
      </x:c>
      <x:c r="J28" s="9"/>
      <x:c r="K28" s="9"/>
      <x:c r="L28" s="9" t="str">
        <x:v>加工建筑</x:v>
      </x:c>
      <x:c r="M28" s="9" t="str">
        <x:v>固定并行通道</x:v>
      </x:c>
    </x:row>
    <x:row r="29" ht="22" customHeight="1">
      <x:c r="A29" s="17" t="n">
        <x:v>37</x:v>
      </x:c>
      <x:c r="B29" s="17" t="str">
        <x:v>雨滴篮子</x:v>
      </x:c>
      <x:c r="C29" s="17" t="n">
        <x:v>19</x:v>
      </x:c>
      <x:c r="D29" s="17" t="n">
        <x:v>30</x:v>
      </x:c>
      <x:c r="E29" s="17" t="n">
        <x:v>360</x:v>
      </x:c>
      <x:c r="F29" s="17" t="n">
        <x:v>360</x:v>
      </x:c>
      <x:c r="G29" s="17" t="str">
        <x:f>IF('01_数值调参'!$D$3&lt;&gt;"配方有效","待修正",IF('03_全链计算'!AC89,"最新","待重算"))</x:f>
        <x:v>最新</x:v>
      </x:c>
      <x:c r="H29" s="17" t="n">
        <x:v>360</x:v>
      </x:c>
      <x:c r="I29" s="17" t="str">
        <x:v>下界＝可行完工</x:v>
      </x:c>
      <x:c r="J29" s="9"/>
      <x:c r="K29" s="9"/>
      <x:c r="L29" s="9" t="str">
        <x:v>研磨机</x:v>
      </x:c>
      <x:c r="M29" s="9" t="n">
        <x:v>1</x:v>
      </x:c>
    </x:row>
    <x:row r="30" ht="22" customHeight="1">
      <x:c r="A30" s="17" t="n">
        <x:v>13</x:v>
      </x:c>
      <x:c r="B30" s="17" t="str">
        <x:v>薰衣草精油</x:v>
      </x:c>
      <x:c r="C30" s="17" t="n">
        <x:v>8</x:v>
      </x:c>
      <x:c r="D30" s="17" t="n">
        <x:v>18</x:v>
      </x:c>
      <x:c r="E30" s="17" t="n">
        <x:v>40</x:v>
      </x:c>
      <x:c r="F30" s="17" t="n">
        <x:v>40</x:v>
      </x:c>
      <x:c r="G30" s="17" t="str">
        <x:f>IF('01_数值调参'!$D$3&lt;&gt;"配方有效","待修正",IF('03_全链计算'!AD89,"最新","待重算"))</x:f>
        <x:v>最新</x:v>
      </x:c>
      <x:c r="H30" s="17" t="n">
        <x:v>40</x:v>
      </x:c>
      <x:c r="I30" s="17" t="str">
        <x:v>下界＝可行完工</x:v>
      </x:c>
      <x:c r="J30" s="9"/>
      <x:c r="K30" s="9"/>
      <x:c r="L30" s="9" t="str">
        <x:v>切割机</x:v>
      </x:c>
      <x:c r="M30" s="9" t="n">
        <x:v>1</x:v>
      </x:c>
    </x:row>
    <x:row r="31" ht="22" customHeight="1">
      <x:c r="A31" s="17" t="n">
        <x:v>18</x:v>
      </x:c>
      <x:c r="B31" s="17" t="str">
        <x:v>花瓣香水</x:v>
      </x:c>
      <x:c r="C31" s="17" t="n">
        <x:v>10</x:v>
      </x:c>
      <x:c r="D31" s="17" t="n">
        <x:v>24</x:v>
      </x:c>
      <x:c r="E31" s="17" t="n">
        <x:v>75</x:v>
      </x:c>
      <x:c r="F31" s="17" t="n">
        <x:v>75</x:v>
      </x:c>
      <x:c r="G31" s="17" t="str">
        <x:f>IF('01_数值调参'!$D$3&lt;&gt;"配方有效","待修正",IF('03_全链计算'!AE89,"最新","待重算"))</x:f>
        <x:v>最新</x:v>
      </x:c>
      <x:c r="H31" s="17" t="n">
        <x:v>75</x:v>
      </x:c>
      <x:c r="I31" s="17" t="str">
        <x:v>下界＝可行完工</x:v>
      </x:c>
      <x:c r="J31" s="9"/>
      <x:c r="K31" s="9"/>
      <x:c r="L31" s="9" t="str">
        <x:v>纺织机</x:v>
      </x:c>
      <x:c r="M31" s="9" t="n">
        <x:v>1</x:v>
      </x:c>
    </x:row>
    <x:row r="32" ht="22" customHeight="1">
      <x:c r="A32" s="17" t="n">
        <x:v>25</x:v>
      </x:c>
      <x:c r="B32" s="17" t="str">
        <x:v>墨汁</x:v>
      </x:c>
      <x:c r="C32" s="17" t="n">
        <x:v>13</x:v>
      </x:c>
      <x:c r="D32" s="17" t="n">
        <x:v>24</x:v>
      </x:c>
      <x:c r="E32" s="17" t="n">
        <x:v>120</x:v>
      </x:c>
      <x:c r="F32" s="17" t="n">
        <x:v>120</x:v>
      </x:c>
      <x:c r="G32" s="17" t="str">
        <x:f>IF('01_数值调参'!$D$3&lt;&gt;"配方有效","待修正",IF('03_全链计算'!AF89,"最新","待重算"))</x:f>
        <x:v>最新</x:v>
      </x:c>
      <x:c r="H32" s="17" t="n">
        <x:v>120</x:v>
      </x:c>
      <x:c r="I32" s="17" t="str">
        <x:v>下界＝可行完工</x:v>
      </x:c>
      <x:c r="J32" s="9"/>
      <x:c r="K32" s="9"/>
      <x:c r="L32" s="9" t="str">
        <x:v>萃取机</x:v>
      </x:c>
      <x:c r="M32" s="9" t="n">
        <x:v>1</x:v>
      </x:c>
    </x:row>
    <x:row r="33" ht="22" customHeight="1">
      <x:c r="A33" s="17" t="n">
        <x:v>31</x:v>
      </x:c>
      <x:c r="B33" s="17" t="str">
        <x:v>花蜡</x:v>
      </x:c>
      <x:c r="C33" s="17" t="n">
        <x:v>16</x:v>
      </x:c>
      <x:c r="D33" s="17" t="n">
        <x:v>30</x:v>
      </x:c>
      <x:c r="E33" s="17" t="n">
        <x:v>180</x:v>
      </x:c>
      <x:c r="F33" s="17" t="n">
        <x:v>180</x:v>
      </x:c>
      <x:c r="G33" s="17" t="str">
        <x:f>IF('01_数值调参'!$D$3&lt;&gt;"配方有效","待修正",IF('03_全链计算'!AG89,"最新","待重算"))</x:f>
        <x:v>最新</x:v>
      </x:c>
      <x:c r="H33" s="17" t="n">
        <x:v>180</x:v>
      </x:c>
      <x:c r="I33" s="17" t="str">
        <x:v>下界＝可行完工</x:v>
      </x:c>
      <x:c r="J33" s="9"/>
      <x:c r="K33" s="9"/>
      <x:c r="L33" s="9" t="str">
        <x:v>窑炉</x:v>
      </x:c>
      <x:c r="M33" s="9" t="n">
        <x:v>1</x:v>
      </x:c>
    </x:row>
    <x:row r="34" ht="22" customHeight="1">
      <x:c r="A34" s="17" t="n">
        <x:v>19</x:v>
      </x:c>
      <x:c r="B34" s="17" t="str">
        <x:v>竹炭画笔</x:v>
      </x:c>
      <x:c r="C34" s="17" t="n">
        <x:v>10</x:v>
      </x:c>
      <x:c r="D34" s="17" t="n">
        <x:v>24</x:v>
      </x:c>
      <x:c r="E34" s="17" t="n">
        <x:v>80</x:v>
      </x:c>
      <x:c r="F34" s="17" t="n">
        <x:v>80</x:v>
      </x:c>
      <x:c r="G34" s="17" t="str">
        <x:f>IF('01_数值调参'!$D$3&lt;&gt;"配方有效","待修正",IF('03_全链计算'!AH89,"最新","待重算"))</x:f>
        <x:v>最新</x:v>
      </x:c>
      <x:c r="H34" s="17" t="n">
        <x:v>80</x:v>
      </x:c>
      <x:c r="I34" s="17" t="str">
        <x:v>下界＝可行完工</x:v>
      </x:c>
      <x:c r="J34" s="9"/>
      <x:c r="K34" s="9"/>
      <x:c r="L34" s="9"/>
      <x:c r="M34" s="9"/>
    </x:row>
    <x:row r="35" ht="22" customHeight="1">
      <x:c r="A35" s="17" t="n">
        <x:v>23</x:v>
      </x:c>
      <x:c r="B35" s="17" t="str">
        <x:v>薰衣草香棒</x:v>
      </x:c>
      <x:c r="C35" s="17" t="n">
        <x:v>12</x:v>
      </x:c>
      <x:c r="D35" s="17" t="n">
        <x:v>24</x:v>
      </x:c>
      <x:c r="E35" s="17" t="n">
        <x:v>100</x:v>
      </x:c>
      <x:c r="F35" s="17" t="n">
        <x:v>100</x:v>
      </x:c>
      <x:c r="G35" s="17" t="str">
        <x:f>IF('01_数值调参'!$D$3&lt;&gt;"配方有效","待修正",IF('03_全链计算'!AI89,"最新","待重算"))</x:f>
        <x:v>最新</x:v>
      </x:c>
      <x:c r="H35" s="17" t="n">
        <x:v>100</x:v>
      </x:c>
      <x:c r="I35" s="17" t="str">
        <x:v>下界＝可行完工</x:v>
      </x:c>
      <x:c r="J35" s="9"/>
      <x:c r="K35" s="9"/>
      <x:c r="L35" s="9"/>
      <x:c r="M35" s="9"/>
    </x:row>
    <x:row r="36" ht="22" customHeight="1">
      <x:c r="A36" s="17" t="n">
        <x:v>26</x:v>
      </x:c>
      <x:c r="B36" s="17" t="str">
        <x:v>竹制盆景</x:v>
      </x:c>
      <x:c r="C36" s="17" t="n">
        <x:v>14</x:v>
      </x:c>
      <x:c r="D36" s="17" t="n">
        <x:v>24</x:v>
      </x:c>
      <x:c r="E36" s="17" t="n">
        <x:v>165</x:v>
      </x:c>
      <x:c r="F36" s="17" t="n">
        <x:v>165</x:v>
      </x:c>
      <x:c r="G36" s="17" t="str">
        <x:f>IF('01_数值调参'!$D$3&lt;&gt;"配方有效","待修正",IF('03_全链计算'!AJ89,"最新","待重算"))</x:f>
        <x:v>最新</x:v>
      </x:c>
      <x:c r="H36" s="17" t="n">
        <x:v>165</x:v>
      </x:c>
      <x:c r="I36" s="17" t="str">
        <x:v>下界＝可行完工</x:v>
      </x:c>
      <x:c r="J36" s="9"/>
      <x:c r="K36" s="9"/>
      <x:c r="L36" s="9"/>
      <x:c r="M36" s="9"/>
    </x:row>
    <x:row r="37" ht="22" customHeight="1">
      <x:c r="A37" s="17" t="n">
        <x:v>29</x:v>
      </x:c>
      <x:c r="B37" s="17" t="str">
        <x:v>圈圈蚊香</x:v>
      </x:c>
      <x:c r="C37" s="17" t="n">
        <x:v>16</x:v>
      </x:c>
      <x:c r="D37" s="17" t="n">
        <x:v>30</x:v>
      </x:c>
      <x:c r="E37" s="17" t="n">
        <x:v>240</x:v>
      </x:c>
      <x:c r="F37" s="17" t="n">
        <x:v>240</x:v>
      </x:c>
      <x:c r="G37" s="17" t="str">
        <x:f>IF('01_数值调参'!$D$3&lt;&gt;"配方有效","待修正",IF('03_全链计算'!AK89,"最新","待重算"))</x:f>
        <x:v>最新</x:v>
      </x:c>
      <x:c r="H37" s="17" t="n">
        <x:v>240</x:v>
      </x:c>
      <x:c r="I37" s="17" t="str">
        <x:v>下界＝可行完工</x:v>
      </x:c>
      <x:c r="J37" s="9"/>
      <x:c r="K37" s="9"/>
      <x:c r="L37" s="9"/>
      <x:c r="M37" s="9"/>
    </x:row>
    <x:row r="38" ht="22" customHeight="1">
      <x:c r="A38" s="17" t="n">
        <x:v>34</x:v>
      </x:c>
      <x:c r="B38" s="17" t="str">
        <x:v>薰衣草软垫</x:v>
      </x:c>
      <x:c r="C38" s="17" t="n">
        <x:v>18</x:v>
      </x:c>
      <x:c r="D38" s="17" t="n">
        <x:v>30</x:v>
      </x:c>
      <x:c r="E38" s="17" t="n">
        <x:v>200</x:v>
      </x:c>
      <x:c r="F38" s="17" t="n">
        <x:v>200</x:v>
      </x:c>
      <x:c r="G38" s="17" t="str">
        <x:f>IF('01_数值调参'!$D$3&lt;&gt;"配方有效","待修正",IF('03_全链计算'!AL89,"最新","待重算"))</x:f>
        <x:v>最新</x:v>
      </x:c>
      <x:c r="H38" s="17" t="n">
        <x:v>200</x:v>
      </x:c>
      <x:c r="I38" s="17" t="str">
        <x:v>下界＝可行完工</x:v>
      </x:c>
      <x:c r="J38" s="9"/>
      <x:c r="K38" s="9"/>
      <x:c r="L38" s="9"/>
      <x:c r="M38" s="9"/>
    </x:row>
    <x:row r="39" ht="22" customHeight="1">
      <x:c r="A39" s="17" t="n">
        <x:v>38</x:v>
      </x:c>
      <x:c r="B39" s="17" t="str">
        <x:v>花瓣小灯</x:v>
      </x:c>
      <x:c r="C39" s="17" t="n">
        <x:v>20</x:v>
      </x:c>
      <x:c r="D39" s="17" t="n">
        <x:v>30</x:v>
      </x:c>
      <x:c r="E39" s="17" t="n">
        <x:v>340</x:v>
      </x:c>
      <x:c r="F39" s="17" t="n">
        <x:v>340</x:v>
      </x:c>
      <x:c r="G39" s="17" t="str">
        <x:f>IF('01_数值调参'!$D$3&lt;&gt;"配方有效","待修正",IF('03_全链计算'!AM89,"最新","待重算"))</x:f>
        <x:v>最新</x:v>
      </x:c>
      <x:c r="H39" s="17" t="n">
        <x:v>340</x:v>
      </x:c>
      <x:c r="I39" s="17" t="str">
        <x:v>下界＝可行完工</x:v>
      </x:c>
      <x:c r="J39" s="9"/>
      <x:c r="K39" s="9"/>
      <x:c r="L39" s="9"/>
      <x:c r="M39" s="9"/>
    </x:row>
    <x:row r="40" ht="22" customHeight="1">
      <x:c r="A40" s="9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9"/>
      <x:c r="M40" s="9"/>
    </x:row>
    <x:row r="41" ht="22" customHeight="1">
      <x:c r="A41" s="9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9"/>
      <x:c r="M41" s="9"/>
    </x:row>
    <x:row r="42" ht="28" customHeight="1">
      <x:c r="A42" s="9" t="str">
        <x:v>网页导出已计算当前方案；修改Excel后可重新导入网页计算。</x:v>
      </x:c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</x:row>
    <x:row r="43" ht="22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</x:row>
    <x:row r="44" ht="22" customHeight="1">
      <x:c r="A44" s="9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</x:row>
    <x:row r="45" ht="32" customHeight="1">
      <x:c r="A45" s="21" t="str">
        <x:v>目标ID</x:v>
      </x:c>
      <x:c r="B45" s="21" t="str">
        <x:v>目标商品</x:v>
      </x:c>
      <x:c r="C45" s="21" t="str">
        <x:v>任务商品</x:v>
      </x:c>
      <x:c r="D45" s="21" t="str">
        <x:v>生产资源</x:v>
      </x:c>
      <x:c r="E45" s="21" t="str">
        <x:v>开始min</x:v>
      </x:c>
      <x:c r="F45" s="21" t="str">
        <x:v>结束min</x:v>
      </x:c>
      <x:c r="G45" s="21" t="str">
        <x:v>工序min</x:v>
      </x:c>
      <x:c r="H45" s="9"/>
      <x:c r="I45" s="9"/>
      <x:c r="J45" s="9"/>
      <x:c r="K45" s="9"/>
      <x:c r="L45" s="9"/>
      <x:c r="M45" s="9"/>
    </x:row>
    <x:row r="46" ht="22" customHeight="1">
      <x:c r="A46" s="17" t="n">
        <x:v>1</x:v>
      </x:c>
      <x:c r="B46" s="17" t="str">
        <x:v>芦苇草</x:v>
      </x:c>
      <x:c r="C46" s="17" t="str">
        <x:v>芦苇草</x:v>
      </x:c>
      <x:c r="D46" s="17" t="str">
        <x:v>农田</x:v>
      </x:c>
      <x:c r="E46" s="17" t="n">
        <x:v>0</x:v>
      </x:c>
      <x:c r="F46" s="17" t="n">
        <x:v>2</x:v>
      </x:c>
      <x:c r="G46" s="17" t="n">
        <x:v>2</x:v>
      </x:c>
      <x:c r="H46" s="9"/>
      <x:c r="I46" s="9"/>
      <x:c r="J46" s="9"/>
      <x:c r="K46" s="9"/>
      <x:c r="L46" s="9"/>
      <x:c r="M46" s="9"/>
    </x:row>
    <x:row r="47" ht="22" customHeight="1">
      <x:c r="A47" s="17" t="n">
        <x:v>2</x:v>
      </x:c>
      <x:c r="B47" s="17" t="str">
        <x:v>棉花</x:v>
      </x:c>
      <x:c r="C47" s="17" t="str">
        <x:v>棉花</x:v>
      </x:c>
      <x:c r="D47" s="17" t="str">
        <x:v>农田</x:v>
      </x:c>
      <x:c r="E47" s="17" t="n">
        <x:v>0</x:v>
      </x:c>
      <x:c r="F47" s="17" t="n">
        <x:v>5</x:v>
      </x:c>
      <x:c r="G47" s="17" t="n">
        <x:v>5</x:v>
      </x:c>
      <x:c r="H47" s="9"/>
      <x:c r="I47" s="9"/>
      <x:c r="J47" s="9"/>
      <x:c r="K47" s="9"/>
      <x:c r="L47" s="9"/>
      <x:c r="M47" s="9"/>
    </x:row>
    <x:row r="48" ht="22" customHeight="1">
      <x:c r="A48" s="17" t="n">
        <x:v>5</x:v>
      </x:c>
      <x:c r="B48" s="17" t="str">
        <x:v>竹子</x:v>
      </x:c>
      <x:c r="C48" s="17" t="str">
        <x:v>竹子</x:v>
      </x:c>
      <x:c r="D48" s="17" t="str">
        <x:v>农田</x:v>
      </x:c>
      <x:c r="E48" s="17" t="n">
        <x:v>0</x:v>
      </x:c>
      <x:c r="F48" s="17" t="n">
        <x:v>10</x:v>
      </x:c>
      <x:c r="G48" s="17" t="n">
        <x:v>10</x:v>
      </x:c>
      <x:c r="H48" s="9"/>
      <x:c r="I48" s="9"/>
      <x:c r="J48" s="9"/>
      <x:c r="K48" s="9"/>
      <x:c r="L48" s="9"/>
      <x:c r="M48" s="9"/>
    </x:row>
    <x:row r="49" ht="22" customHeight="1">
      <x:c r="A49" s="17" t="n">
        <x:v>10</x:v>
      </x:c>
      <x:c r="B49" s="17" t="str">
        <x:v>香绒草</x:v>
      </x:c>
      <x:c r="C49" s="17" t="str">
        <x:v>香绒草</x:v>
      </x:c>
      <x:c r="D49" s="17" t="str">
        <x:v>农田</x:v>
      </x:c>
      <x:c r="E49" s="17" t="n">
        <x:v>0</x:v>
      </x:c>
      <x:c r="F49" s="17" t="n">
        <x:v>15</x:v>
      </x:c>
      <x:c r="G49" s="17" t="n">
        <x:v>15</x:v>
      </x:c>
      <x:c r="H49" s="9"/>
      <x:c r="I49" s="9"/>
      <x:c r="J49" s="9"/>
      <x:c r="K49" s="9"/>
      <x:c r="L49" s="9"/>
      <x:c r="M49" s="9"/>
    </x:row>
    <x:row r="50" ht="22" customHeight="1">
      <x:c r="A50" s="17" t="n">
        <x:v>15</x:v>
      </x:c>
      <x:c r="B50" s="17" t="str">
        <x:v>薰衣草</x:v>
      </x:c>
      <x:c r="C50" s="17" t="str">
        <x:v>薰衣草</x:v>
      </x:c>
      <x:c r="D50" s="17" t="str">
        <x:v>农田</x:v>
      </x:c>
      <x:c r="E50" s="17" t="n">
        <x:v>0</x:v>
      </x:c>
      <x:c r="F50" s="17" t="n">
        <x:v>20</x:v>
      </x:c>
      <x:c r="G50" s="17" t="n">
        <x:v>20</x:v>
      </x:c>
      <x:c r="H50" s="9"/>
      <x:c r="I50" s="9"/>
      <x:c r="J50" s="9"/>
      <x:c r="K50" s="9"/>
      <x:c r="L50" s="9"/>
      <x:c r="M50" s="9"/>
    </x:row>
    <x:row r="51" ht="22" customHeight="1">
      <x:c r="A51" s="17" t="n">
        <x:v>17</x:v>
      </x:c>
      <x:c r="B51" s="17" t="str">
        <x:v>芍药花</x:v>
      </x:c>
      <x:c r="C51" s="17" t="str">
        <x:v>芍药花</x:v>
      </x:c>
      <x:c r="D51" s="17" t="str">
        <x:v>农田</x:v>
      </x:c>
      <x:c r="E51" s="17" t="n">
        <x:v>0</x:v>
      </x:c>
      <x:c r="F51" s="17" t="n">
        <x:v>30</x:v>
      </x:c>
      <x:c r="G51" s="17" t="n">
        <x:v>30</x:v>
      </x:c>
      <x:c r="H51" s="9"/>
      <x:c r="I51" s="9"/>
      <x:c r="J51" s="9"/>
      <x:c r="K51" s="9"/>
      <x:c r="L51" s="9"/>
      <x:c r="M51" s="9"/>
    </x:row>
    <x:row r="52" ht="22" customHeight="1">
      <x:c r="A52" s="17" t="n">
        <x:v>24</x:v>
      </x:c>
      <x:c r="B52" s="17" t="str">
        <x:v>墨水花</x:v>
      </x:c>
      <x:c r="C52" s="17" t="str">
        <x:v>墨水花</x:v>
      </x:c>
      <x:c r="D52" s="17" t="str">
        <x:v>农田</x:v>
      </x:c>
      <x:c r="E52" s="17" t="n">
        <x:v>0</x:v>
      </x:c>
      <x:c r="F52" s="17" t="n">
        <x:v>60</x:v>
      </x:c>
      <x:c r="G52" s="17" t="n">
        <x:v>60</x:v>
      </x:c>
      <x:c r="H52" s="9"/>
      <x:c r="I52" s="9"/>
      <x:c r="J52" s="9"/>
      <x:c r="K52" s="9"/>
      <x:c r="L52" s="9"/>
      <x:c r="M52" s="9"/>
    </x:row>
    <x:row r="53" ht="22" customHeight="1">
      <x:c r="A53" s="17" t="n">
        <x:v>30</x:v>
      </x:c>
      <x:c r="B53" s="17" t="str">
        <x:v>蜡烛花</x:v>
      </x:c>
      <x:c r="C53" s="17" t="str">
        <x:v>蜡烛花</x:v>
      </x:c>
      <x:c r="D53" s="17" t="str">
        <x:v>农田</x:v>
      </x:c>
      <x:c r="E53" s="17" t="n">
        <x:v>0</x:v>
      </x:c>
      <x:c r="F53" s="17" t="n">
        <x:v>90</x:v>
      </x:c>
      <x:c r="G53" s="17" t="n">
        <x:v>90</x:v>
      </x:c>
      <x:c r="H53" s="9"/>
      <x:c r="I53" s="9"/>
      <x:c r="J53" s="9"/>
      <x:c r="K53" s="9"/>
      <x:c r="L53" s="9"/>
      <x:c r="M53" s="9"/>
    </x:row>
    <x:row r="54" ht="22" customHeight="1">
      <x:c r="A54" s="17" t="n">
        <x:v>35</x:v>
      </x:c>
      <x:c r="B54" s="17" t="str">
        <x:v>浆果珍珠</x:v>
      </x:c>
      <x:c r="C54" s="17" t="str">
        <x:v>浆果珍珠</x:v>
      </x:c>
      <x:c r="D54" s="17" t="str">
        <x:v>农田</x:v>
      </x:c>
      <x:c r="E54" s="17" t="n">
        <x:v>0</x:v>
      </x:c>
      <x:c r="F54" s="17" t="n">
        <x:v>120</x:v>
      </x:c>
      <x:c r="G54" s="17" t="n">
        <x:v>120</x:v>
      </x:c>
      <x:c r="H54" s="9"/>
      <x:c r="I54" s="9"/>
      <x:c r="J54" s="9"/>
      <x:c r="K54" s="9"/>
      <x:c r="L54" s="9"/>
      <x:c r="M54" s="9"/>
    </x:row>
    <x:row r="55" ht="22" customHeight="1">
      <x:c r="A55" s="17" t="n">
        <x:v>3</x:v>
      </x:c>
      <x:c r="B55" s="17" t="str">
        <x:v>芦苇丝</x:v>
      </x:c>
      <x:c r="C55" s="17" t="str">
        <x:v>芦苇草</x:v>
      </x:c>
      <x:c r="D55" s="17" t="str">
        <x:v>农田</x:v>
      </x:c>
      <x:c r="E55" s="17" t="n">
        <x:v>0</x:v>
      </x:c>
      <x:c r="F55" s="17" t="n">
        <x:v>2</x:v>
      </x:c>
      <x:c r="G55" s="17" t="n">
        <x:v>2</x:v>
      </x:c>
      <x:c r="H55" s="9"/>
      <x:c r="I55" s="9"/>
      <x:c r="J55" s="9"/>
      <x:c r="K55" s="9"/>
      <x:c r="L55" s="9"/>
      <x:c r="M55" s="9"/>
    </x:row>
    <x:row r="56" ht="22" customHeight="1">
      <x:c r="A56" s="17" t="n">
        <x:v>3</x:v>
      </x:c>
      <x:c r="B56" s="17" t="str">
        <x:v>芦苇丝</x:v>
      </x:c>
      <x:c r="C56" s="17" t="str">
        <x:v>芦苇草</x:v>
      </x:c>
      <x:c r="D56" s="17" t="str">
        <x:v>农田</x:v>
      </x:c>
      <x:c r="E56" s="17" t="n">
        <x:v>0</x:v>
      </x:c>
      <x:c r="F56" s="17" t="n">
        <x:v>2</x:v>
      </x:c>
      <x:c r="G56" s="17" t="n">
        <x:v>2</x:v>
      </x:c>
      <x:c r="H56" s="9"/>
      <x:c r="I56" s="9"/>
      <x:c r="J56" s="9"/>
      <x:c r="K56" s="9"/>
      <x:c r="L56" s="9"/>
      <x:c r="M56" s="9"/>
    </x:row>
    <x:row r="57" ht="22" customHeight="1">
      <x:c r="A57" s="17" t="n">
        <x:v>3</x:v>
      </x:c>
      <x:c r="B57" s="17" t="str">
        <x:v>芦苇丝</x:v>
      </x:c>
      <x:c r="C57" s="17" t="str">
        <x:v>芦苇丝</x:v>
      </x:c>
      <x:c r="D57" s="17" t="str">
        <x:v>研磨机</x:v>
      </x:c>
      <x:c r="E57" s="17" t="n">
        <x:v>2</x:v>
      </x:c>
      <x:c r="F57" s="17" t="n">
        <x:v>7</x:v>
      </x:c>
      <x:c r="G57" s="17" t="n">
        <x:v>5</x:v>
      </x:c>
      <x:c r="H57" s="9"/>
      <x:c r="I57" s="9"/>
      <x:c r="J57" s="9"/>
      <x:c r="K57" s="9"/>
      <x:c r="L57" s="9"/>
      <x:c r="M57" s="9"/>
    </x:row>
    <x:row r="58" ht="22" customHeight="1">
      <x:c r="A58" s="17" t="n">
        <x:v>4</x:v>
      </x:c>
      <x:c r="B58" s="17" t="str">
        <x:v>棉绒团</x:v>
      </x:c>
      <x:c r="C58" s="17" t="str">
        <x:v>芦苇草</x:v>
      </x:c>
      <x:c r="D58" s="17" t="str">
        <x:v>农田</x:v>
      </x:c>
      <x:c r="E58" s="17" t="n">
        <x:v>0</x:v>
      </x:c>
      <x:c r="F58" s="17" t="n">
        <x:v>2</x:v>
      </x:c>
      <x:c r="G58" s="17" t="n">
        <x:v>2</x:v>
      </x:c>
      <x:c r="H58" s="9"/>
      <x:c r="I58" s="9"/>
      <x:c r="J58" s="9"/>
      <x:c r="K58" s="9"/>
      <x:c r="L58" s="9"/>
      <x:c r="M58" s="9"/>
    </x:row>
    <x:row r="59" ht="22" customHeight="1">
      <x:c r="A59" s="17" t="n">
        <x:v>4</x:v>
      </x:c>
      <x:c r="B59" s="17" t="str">
        <x:v>棉绒团</x:v>
      </x:c>
      <x:c r="C59" s="17" t="str">
        <x:v>棉花</x:v>
      </x:c>
      <x:c r="D59" s="17" t="str">
        <x:v>农田</x:v>
      </x:c>
      <x:c r="E59" s="17" t="n">
        <x:v>0</x:v>
      </x:c>
      <x:c r="F59" s="17" t="n">
        <x:v>5</x:v>
      </x:c>
      <x:c r="G59" s="17" t="n">
        <x:v>5</x:v>
      </x:c>
      <x:c r="H59" s="9"/>
      <x:c r="I59" s="9"/>
      <x:c r="J59" s="9"/>
      <x:c r="K59" s="9"/>
      <x:c r="L59" s="9"/>
      <x:c r="M59" s="9"/>
    </x:row>
    <x:row r="60" ht="22" customHeight="1">
      <x:c r="A60" s="17" t="n">
        <x:v>4</x:v>
      </x:c>
      <x:c r="B60" s="17" t="str">
        <x:v>棉绒团</x:v>
      </x:c>
      <x:c r="C60" s="17" t="str">
        <x:v>棉绒团</x:v>
      </x:c>
      <x:c r="D60" s="17" t="str">
        <x:v>研磨机</x:v>
      </x:c>
      <x:c r="E60" s="17" t="n">
        <x:v>5</x:v>
      </x:c>
      <x:c r="F60" s="17" t="n">
        <x:v>15</x:v>
      </x:c>
      <x:c r="G60" s="17" t="n">
        <x:v>10</x:v>
      </x:c>
      <x:c r="H60" s="9"/>
      <x:c r="I60" s="9"/>
      <x:c r="J60" s="9"/>
      <x:c r="K60" s="9"/>
      <x:c r="L60" s="9"/>
      <x:c r="M60" s="9"/>
    </x:row>
    <x:row r="61" ht="22" customHeight="1">
      <x:c r="A61" s="17" t="n">
        <x:v>12</x:v>
      </x:c>
      <x:c r="B61" s="17" t="str">
        <x:v>绒香粉</x:v>
      </x:c>
      <x:c r="C61" s="17" t="str">
        <x:v>香绒草</x:v>
      </x:c>
      <x:c r="D61" s="17" t="str">
        <x:v>农田</x:v>
      </x:c>
      <x:c r="E61" s="17" t="n">
        <x:v>0</x:v>
      </x:c>
      <x:c r="F61" s="17" t="n">
        <x:v>15</x:v>
      </x:c>
      <x:c r="G61" s="17" t="n">
        <x:v>15</x:v>
      </x:c>
      <x:c r="H61" s="9"/>
      <x:c r="I61" s="9"/>
      <x:c r="J61" s="9"/>
      <x:c r="K61" s="9"/>
      <x:c r="L61" s="9"/>
      <x:c r="M61" s="9"/>
    </x:row>
    <x:row r="62" ht="22" customHeight="1">
      <x:c r="A62" s="17" t="n">
        <x:v>12</x:v>
      </x:c>
      <x:c r="B62" s="17" t="str">
        <x:v>绒香粉</x:v>
      </x:c>
      <x:c r="C62" s="17" t="str">
        <x:v>香绒草</x:v>
      </x:c>
      <x:c r="D62" s="17" t="str">
        <x:v>农田</x:v>
      </x:c>
      <x:c r="E62" s="17" t="n">
        <x:v>0</x:v>
      </x:c>
      <x:c r="F62" s="17" t="n">
        <x:v>15</x:v>
      </x:c>
      <x:c r="G62" s="17" t="n">
        <x:v>15</x:v>
      </x:c>
      <x:c r="H62" s="9"/>
      <x:c r="I62" s="9"/>
      <x:c r="J62" s="9"/>
      <x:c r="K62" s="9"/>
      <x:c r="L62" s="9"/>
      <x:c r="M62" s="9"/>
    </x:row>
    <x:row r="63" ht="22" customHeight="1">
      <x:c r="A63" s="17" t="n">
        <x:v>12</x:v>
      </x:c>
      <x:c r="B63" s="17" t="str">
        <x:v>绒香粉</x:v>
      </x:c>
      <x:c r="C63" s="17" t="str">
        <x:v>绒香粉</x:v>
      </x:c>
      <x:c r="D63" s="17" t="str">
        <x:v>研磨机</x:v>
      </x:c>
      <x:c r="E63" s="17" t="n">
        <x:v>15</x:v>
      </x:c>
      <x:c r="F63" s="17" t="n">
        <x:v>35</x:v>
      </x:c>
      <x:c r="G63" s="17" t="n">
        <x:v>20</x:v>
      </x:c>
      <x:c r="H63" s="9"/>
      <x:c r="I63" s="9"/>
      <x:c r="J63" s="9"/>
      <x:c r="K63" s="9"/>
      <x:c r="L63" s="9"/>
      <x:c r="M63" s="9"/>
    </x:row>
    <x:row r="64" ht="22" customHeight="1">
      <x:c r="A64" s="17" t="n">
        <x:v>22</x:v>
      </x:c>
      <x:c r="B64" s="17" t="str">
        <x:v>云朵香粉</x:v>
      </x:c>
      <x:c r="C64" s="17" t="str">
        <x:v>棉花</x:v>
      </x:c>
      <x:c r="D64" s="17" t="str">
        <x:v>农田</x:v>
      </x:c>
      <x:c r="E64" s="17" t="n">
        <x:v>0</x:v>
      </x:c>
      <x:c r="F64" s="17" t="n">
        <x:v>5</x:v>
      </x:c>
      <x:c r="G64" s="17" t="n">
        <x:v>5</x:v>
      </x:c>
      <x:c r="H64" s="9"/>
      <x:c r="I64" s="9"/>
      <x:c r="J64" s="9"/>
      <x:c r="K64" s="9"/>
      <x:c r="L64" s="9"/>
      <x:c r="M64" s="9"/>
    </x:row>
    <x:row r="65" ht="22" customHeight="1">
      <x:c r="A65" s="17" t="n">
        <x:v>22</x:v>
      </x:c>
      <x:c r="B65" s="17" t="str">
        <x:v>云朵香粉</x:v>
      </x:c>
      <x:c r="C65" s="17" t="str">
        <x:v>棉花</x:v>
      </x:c>
      <x:c r="D65" s="17" t="str">
        <x:v>农田</x:v>
      </x:c>
      <x:c r="E65" s="17" t="n">
        <x:v>0</x:v>
      </x:c>
      <x:c r="F65" s="17" t="n">
        <x:v>5</x:v>
      </x:c>
      <x:c r="G65" s="17" t="n">
        <x:v>5</x:v>
      </x:c>
      <x:c r="H65" s="9"/>
      <x:c r="I65" s="9"/>
      <x:c r="J65" s="9"/>
      <x:c r="K65" s="9"/>
      <x:c r="L65" s="9"/>
      <x:c r="M65" s="9"/>
    </x:row>
    <x:row r="66" ht="22" customHeight="1">
      <x:c r="A66" s="17" t="n">
        <x:v>22</x:v>
      </x:c>
      <x:c r="B66" s="17" t="str">
        <x:v>云朵香粉</x:v>
      </x:c>
      <x:c r="C66" s="17" t="str">
        <x:v>香绒草</x:v>
      </x:c>
      <x:c r="D66" s="17" t="str">
        <x:v>农田</x:v>
      </x:c>
      <x:c r="E66" s="17" t="n">
        <x:v>0</x:v>
      </x:c>
      <x:c r="F66" s="17" t="n">
        <x:v>15</x:v>
      </x:c>
      <x:c r="G66" s="17" t="n">
        <x:v>15</x:v>
      </x:c>
      <x:c r="H66" s="9"/>
      <x:c r="I66" s="9"/>
      <x:c r="J66" s="9"/>
      <x:c r="K66" s="9"/>
      <x:c r="L66" s="9"/>
      <x:c r="M66" s="9"/>
    </x:row>
    <x:row r="67" ht="22" customHeight="1">
      <x:c r="A67" s="17" t="n">
        <x:v>22</x:v>
      </x:c>
      <x:c r="B67" s="17" t="str">
        <x:v>云朵香粉</x:v>
      </x:c>
      <x:c r="C67" s="17" t="str">
        <x:v>香绒草</x:v>
      </x:c>
      <x:c r="D67" s="17" t="str">
        <x:v>农田</x:v>
      </x:c>
      <x:c r="E67" s="17" t="n">
        <x:v>0</x:v>
      </x:c>
      <x:c r="F67" s="17" t="n">
        <x:v>15</x:v>
      </x:c>
      <x:c r="G67" s="17" t="n">
        <x:v>15</x:v>
      </x:c>
      <x:c r="H67" s="9"/>
      <x:c r="I67" s="9"/>
      <x:c r="J67" s="9"/>
      <x:c r="K67" s="9"/>
      <x:c r="L67" s="9"/>
      <x:c r="M67" s="9"/>
    </x:row>
    <x:row r="68" ht="22" customHeight="1">
      <x:c r="A68" s="17" t="n">
        <x:v>22</x:v>
      </x:c>
      <x:c r="B68" s="17" t="str">
        <x:v>云朵香粉</x:v>
      </x:c>
      <x:c r="C68" s="17" t="str">
        <x:v>云朵香粉</x:v>
      </x:c>
      <x:c r="D68" s="17" t="str">
        <x:v>研磨机</x:v>
      </x:c>
      <x:c r="E68" s="17" t="n">
        <x:v>15</x:v>
      </x:c>
      <x:c r="F68" s="17" t="n">
        <x:v>45</x:v>
      </x:c>
      <x:c r="G68" s="17" t="n">
        <x:v>30</x:v>
      </x:c>
      <x:c r="H68" s="9"/>
      <x:c r="I68" s="9"/>
      <x:c r="J68" s="9"/>
      <x:c r="K68" s="9"/>
      <x:c r="L68" s="9"/>
      <x:c r="M68" s="9"/>
    </x:row>
    <x:row r="69" ht="22" customHeight="1">
      <x:c r="A69" s="17" t="n">
        <x:v>33</x:v>
      </x:c>
      <x:c r="B69" s="17" t="str">
        <x:v>乌云绒团</x:v>
      </x:c>
      <x:c r="C69" s="17" t="str">
        <x:v>芦苇草</x:v>
      </x:c>
      <x:c r="D69" s="17" t="str">
        <x:v>农田</x:v>
      </x:c>
      <x:c r="E69" s="17" t="n">
        <x:v>0</x:v>
      </x:c>
      <x:c r="F69" s="17" t="n">
        <x:v>2</x:v>
      </x:c>
      <x:c r="G69" s="17" t="n">
        <x:v>2</x:v>
      </x:c>
      <x:c r="H69" s="9"/>
      <x:c r="I69" s="9"/>
      <x:c r="J69" s="9"/>
      <x:c r="K69" s="9"/>
      <x:c r="L69" s="9"/>
      <x:c r="M69" s="9"/>
    </x:row>
    <x:row r="70" ht="22" customHeight="1">
      <x:c r="A70" s="17" t="n">
        <x:v>33</x:v>
      </x:c>
      <x:c r="B70" s="17" t="str">
        <x:v>乌云绒团</x:v>
      </x:c>
      <x:c r="C70" s="17" t="str">
        <x:v>芦苇草</x:v>
      </x:c>
      <x:c r="D70" s="17" t="str">
        <x:v>农田</x:v>
      </x:c>
      <x:c r="E70" s="17" t="n">
        <x:v>0</x:v>
      </x:c>
      <x:c r="F70" s="17" t="n">
        <x:v>2</x:v>
      </x:c>
      <x:c r="G70" s="17" t="n">
        <x:v>2</x:v>
      </x:c>
      <x:c r="H70" s="9"/>
      <x:c r="I70" s="9"/>
      <x:c r="J70" s="9"/>
      <x:c r="K70" s="9"/>
      <x:c r="L70" s="9"/>
      <x:c r="M70" s="9"/>
    </x:row>
    <x:row r="71" ht="22" customHeight="1">
      <x:c r="A71" s="17" t="n">
        <x:v>33</x:v>
      </x:c>
      <x:c r="B71" s="17" t="str">
        <x:v>乌云绒团</x:v>
      </x:c>
      <x:c r="C71" s="17" t="str">
        <x:v>墨水花</x:v>
      </x:c>
      <x:c r="D71" s="17" t="str">
        <x:v>农田</x:v>
      </x:c>
      <x:c r="E71" s="17" t="n">
        <x:v>0</x:v>
      </x:c>
      <x:c r="F71" s="17" t="n">
        <x:v>60</x:v>
      </x:c>
      <x:c r="G71" s="17" t="n">
        <x:v>60</x:v>
      </x:c>
      <x:c r="H71" s="9"/>
      <x:c r="I71" s="9"/>
      <x:c r="J71" s="9"/>
      <x:c r="K71" s="9"/>
      <x:c r="L71" s="9"/>
      <x:c r="M71" s="9"/>
    </x:row>
    <x:row r="72" ht="22" customHeight="1">
      <x:c r="A72" s="17" t="n">
        <x:v>33</x:v>
      </x:c>
      <x:c r="B72" s="17" t="str">
        <x:v>乌云绒团</x:v>
      </x:c>
      <x:c r="C72" s="17" t="str">
        <x:v>墨水花</x:v>
      </x:c>
      <x:c r="D72" s="17" t="str">
        <x:v>农田</x:v>
      </x:c>
      <x:c r="E72" s="17" t="n">
        <x:v>0</x:v>
      </x:c>
      <x:c r="F72" s="17" t="n">
        <x:v>60</x:v>
      </x:c>
      <x:c r="G72" s="17" t="n">
        <x:v>60</x:v>
      </x:c>
      <x:c r="H72" s="9"/>
      <x:c r="I72" s="9"/>
      <x:c r="J72" s="9"/>
      <x:c r="K72" s="9"/>
      <x:c r="L72" s="9"/>
      <x:c r="M72" s="9"/>
    </x:row>
    <x:row r="73" ht="22" customHeight="1">
      <x:c r="A73" s="17" t="n">
        <x:v>33</x:v>
      </x:c>
      <x:c r="B73" s="17" t="str">
        <x:v>乌云绒团</x:v>
      </x:c>
      <x:c r="C73" s="17" t="str">
        <x:v>乌云绒团</x:v>
      </x:c>
      <x:c r="D73" s="17" t="str">
        <x:v>研磨机</x:v>
      </x:c>
      <x:c r="E73" s="17" t="n">
        <x:v>60</x:v>
      </x:c>
      <x:c r="F73" s="17" t="n">
        <x:v>120</x:v>
      </x:c>
      <x:c r="G73" s="17" t="n">
        <x:v>60</x:v>
      </x:c>
      <x:c r="H73" s="9"/>
      <x:c r="I73" s="9"/>
      <x:c r="J73" s="9"/>
      <x:c r="K73" s="9"/>
      <x:c r="L73" s="9"/>
      <x:c r="M73" s="9"/>
    </x:row>
    <x:row r="74" ht="22" customHeight="1">
      <x:c r="A74" s="17" t="n">
        <x:v>6</x:v>
      </x:c>
      <x:c r="B74" s="17" t="str">
        <x:v>竹条</x:v>
      </x:c>
      <x:c r="C74" s="17" t="str">
        <x:v>竹子</x:v>
      </x:c>
      <x:c r="D74" s="17" t="str">
        <x:v>农田</x:v>
      </x:c>
      <x:c r="E74" s="17" t="n">
        <x:v>0</x:v>
      </x:c>
      <x:c r="F74" s="17" t="n">
        <x:v>10</x:v>
      </x:c>
      <x:c r="G74" s="17" t="n">
        <x:v>10</x:v>
      </x:c>
      <x:c r="H74" s="9"/>
      <x:c r="I74" s="9"/>
      <x:c r="J74" s="9"/>
      <x:c r="K74" s="9"/>
      <x:c r="L74" s="9"/>
      <x:c r="M74" s="9"/>
    </x:row>
    <x:row r="75" ht="22" customHeight="1">
      <x:c r="A75" s="17" t="n">
        <x:v>6</x:v>
      </x:c>
      <x:c r="B75" s="17" t="str">
        <x:v>竹条</x:v>
      </x:c>
      <x:c r="C75" s="17" t="str">
        <x:v>竹子</x:v>
      </x:c>
      <x:c r="D75" s="17" t="str">
        <x:v>农田</x:v>
      </x:c>
      <x:c r="E75" s="17" t="n">
        <x:v>0</x:v>
      </x:c>
      <x:c r="F75" s="17" t="n">
        <x:v>10</x:v>
      </x:c>
      <x:c r="G75" s="17" t="n">
        <x:v>10</x:v>
      </x:c>
      <x:c r="H75" s="9"/>
      <x:c r="I75" s="9"/>
      <x:c r="J75" s="9"/>
      <x:c r="K75" s="9"/>
      <x:c r="L75" s="9"/>
      <x:c r="M75" s="9"/>
    </x:row>
    <x:row r="76" ht="22" customHeight="1">
      <x:c r="A76" s="17" t="n">
        <x:v>6</x:v>
      </x:c>
      <x:c r="B76" s="17" t="str">
        <x:v>竹条</x:v>
      </x:c>
      <x:c r="C76" s="17" t="str">
        <x:v>竹条</x:v>
      </x:c>
      <x:c r="D76" s="17" t="str">
        <x:v>切割机</x:v>
      </x:c>
      <x:c r="E76" s="17" t="n">
        <x:v>10</x:v>
      </x:c>
      <x:c r="F76" s="17" t="n">
        <x:v>20</x:v>
      </x:c>
      <x:c r="G76" s="17" t="n">
        <x:v>10</x:v>
      </x:c>
      <x:c r="H76" s="9"/>
      <x:c r="I76" s="9"/>
      <x:c r="J76" s="9"/>
      <x:c r="K76" s="9"/>
      <x:c r="L76" s="9"/>
      <x:c r="M76" s="9"/>
    </x:row>
    <x:row r="77" ht="22" customHeight="1">
      <x:c r="A77" s="17" t="n">
        <x:v>7</x:v>
      </x:c>
      <x:c r="B77" s="17" t="str">
        <x:v>薄竹片</x:v>
      </x:c>
      <x:c r="C77" s="17" t="str">
        <x:v>竹子</x:v>
      </x:c>
      <x:c r="D77" s="17" t="str">
        <x:v>农田</x:v>
      </x:c>
      <x:c r="E77" s="17" t="n">
        <x:v>0</x:v>
      </x:c>
      <x:c r="F77" s="17" t="n">
        <x:v>10</x:v>
      </x:c>
      <x:c r="G77" s="17" t="n">
        <x:v>10</x:v>
      </x:c>
      <x:c r="H77" s="9"/>
      <x:c r="I77" s="9"/>
      <x:c r="J77" s="9"/>
      <x:c r="K77" s="9"/>
      <x:c r="L77" s="9"/>
      <x:c r="M77" s="9"/>
    </x:row>
    <x:row r="78" ht="22" customHeight="1">
      <x:c r="A78" s="17" t="n">
        <x:v>7</x:v>
      </x:c>
      <x:c r="B78" s="17" t="str">
        <x:v>薄竹片</x:v>
      </x:c>
      <x:c r="C78" s="17" t="str">
        <x:v>竹子</x:v>
      </x:c>
      <x:c r="D78" s="17" t="str">
        <x:v>农田</x:v>
      </x:c>
      <x:c r="E78" s="17" t="n">
        <x:v>0</x:v>
      </x:c>
      <x:c r="F78" s="17" t="n">
        <x:v>10</x:v>
      </x:c>
      <x:c r="G78" s="17" t="n">
        <x:v>10</x:v>
      </x:c>
      <x:c r="H78" s="9"/>
      <x:c r="I78" s="9"/>
      <x:c r="J78" s="9"/>
      <x:c r="K78" s="9"/>
      <x:c r="L78" s="9"/>
      <x:c r="M78" s="9"/>
    </x:row>
    <x:row r="79" ht="22" customHeight="1">
      <x:c r="A79" s="17" t="n">
        <x:v>7</x:v>
      </x:c>
      <x:c r="B79" s="17" t="str">
        <x:v>薄竹片</x:v>
      </x:c>
      <x:c r="C79" s="17" t="str">
        <x:v>竹子</x:v>
      </x:c>
      <x:c r="D79" s="17" t="str">
        <x:v>农田</x:v>
      </x:c>
      <x:c r="E79" s="17" t="n">
        <x:v>0</x:v>
      </x:c>
      <x:c r="F79" s="17" t="n">
        <x:v>10</x:v>
      </x:c>
      <x:c r="G79" s="17" t="n">
        <x:v>10</x:v>
      </x:c>
      <x:c r="H79" s="9"/>
      <x:c r="I79" s="9"/>
      <x:c r="J79" s="9"/>
      <x:c r="K79" s="9"/>
      <x:c r="L79" s="9"/>
      <x:c r="M79" s="9"/>
    </x:row>
    <x:row r="80" ht="22" customHeight="1">
      <x:c r="A80" s="17" t="n">
        <x:v>7</x:v>
      </x:c>
      <x:c r="B80" s="17" t="str">
        <x:v>薄竹片</x:v>
      </x:c>
      <x:c r="C80" s="17" t="str">
        <x:v>薄竹片</x:v>
      </x:c>
      <x:c r="D80" s="17" t="str">
        <x:v>切割机</x:v>
      </x:c>
      <x:c r="E80" s="17" t="n">
        <x:v>10</x:v>
      </x:c>
      <x:c r="F80" s="17" t="n">
        <x:v>30</x:v>
      </x:c>
      <x:c r="G80" s="17" t="n">
        <x:v>20</x:v>
      </x:c>
      <x:c r="H80" s="9"/>
      <x:c r="I80" s="9"/>
      <x:c r="J80" s="9"/>
      <x:c r="K80" s="9"/>
      <x:c r="L80" s="9"/>
      <x:c r="M80" s="9"/>
    </x:row>
    <x:row r="81" ht="22" customHeight="1">
      <x:c r="A81" s="17" t="n">
        <x:v>20</x:v>
      </x:c>
      <x:c r="B81" s="17" t="str">
        <x:v>小竹框</x:v>
      </x:c>
      <x:c r="C81" s="17" t="str">
        <x:v>竹子</x:v>
      </x:c>
      <x:c r="D81" s="17" t="str">
        <x:v>农田</x:v>
      </x:c>
      <x:c r="E81" s="17" t="n">
        <x:v>0</x:v>
      </x:c>
      <x:c r="F81" s="17" t="n">
        <x:v>10</x:v>
      </x:c>
      <x:c r="G81" s="17" t="n">
        <x:v>10</x:v>
      </x:c>
      <x:c r="H81" s="9"/>
      <x:c r="I81" s="9"/>
      <x:c r="J81" s="9"/>
      <x:c r="K81" s="9"/>
      <x:c r="L81" s="9"/>
      <x:c r="M81" s="9"/>
    </x:row>
    <x:row r="82" ht="22" customHeight="1">
      <x:c r="A82" s="17" t="n">
        <x:v>20</x:v>
      </x:c>
      <x:c r="B82" s="17" t="str">
        <x:v>小竹框</x:v>
      </x:c>
      <x:c r="C82" s="17" t="str">
        <x:v>竹子</x:v>
      </x:c>
      <x:c r="D82" s="17" t="str">
        <x:v>农田</x:v>
      </x:c>
      <x:c r="E82" s="17" t="n">
        <x:v>0</x:v>
      </x:c>
      <x:c r="F82" s="17" t="n">
        <x:v>10</x:v>
      </x:c>
      <x:c r="G82" s="17" t="n">
        <x:v>10</x:v>
      </x:c>
      <x:c r="H82" s="9"/>
      <x:c r="I82" s="9"/>
      <x:c r="J82" s="9"/>
      <x:c r="K82" s="9"/>
      <x:c r="L82" s="9"/>
      <x:c r="M82" s="9"/>
    </x:row>
    <x:row r="83" ht="22" customHeight="1">
      <x:c r="A83" s="17" t="n">
        <x:v>20</x:v>
      </x:c>
      <x:c r="B83" s="17" t="str">
        <x:v>小竹框</x:v>
      </x:c>
      <x:c r="C83" s="17" t="str">
        <x:v>竹子</x:v>
      </x:c>
      <x:c r="D83" s="17" t="str">
        <x:v>农田</x:v>
      </x:c>
      <x:c r="E83" s="17" t="n">
        <x:v>0</x:v>
      </x:c>
      <x:c r="F83" s="17" t="n">
        <x:v>10</x:v>
      </x:c>
      <x:c r="G83" s="17" t="n">
        <x:v>10</x:v>
      </x:c>
      <x:c r="H83" s="9"/>
      <x:c r="I83" s="9"/>
      <x:c r="J83" s="9"/>
      <x:c r="K83" s="9"/>
      <x:c r="L83" s="9"/>
      <x:c r="M83" s="9"/>
    </x:row>
    <x:row r="84" ht="22" customHeight="1">
      <x:c r="A84" s="17" t="n">
        <x:v>20</x:v>
      </x:c>
      <x:c r="B84" s="17" t="str">
        <x:v>小竹框</x:v>
      </x:c>
      <x:c r="C84" s="17" t="str">
        <x:v>竹子</x:v>
      </x:c>
      <x:c r="D84" s="17" t="str">
        <x:v>农田</x:v>
      </x:c>
      <x:c r="E84" s="17" t="n">
        <x:v>0</x:v>
      </x:c>
      <x:c r="F84" s="17" t="n">
        <x:v>10</x:v>
      </x:c>
      <x:c r="G84" s="17" t="n">
        <x:v>10</x:v>
      </x:c>
      <x:c r="H84" s="9"/>
      <x:c r="I84" s="9"/>
      <x:c r="J84" s="9"/>
      <x:c r="K84" s="9"/>
      <x:c r="L84" s="9"/>
      <x:c r="M84" s="9"/>
    </x:row>
    <x:row r="85" ht="22" customHeight="1">
      <x:c r="A85" s="17" t="n">
        <x:v>20</x:v>
      </x:c>
      <x:c r="B85" s="17" t="str">
        <x:v>小竹框</x:v>
      </x:c>
      <x:c r="C85" s="17" t="str">
        <x:v>小竹框</x:v>
      </x:c>
      <x:c r="D85" s="17" t="str">
        <x:v>切割机</x:v>
      </x:c>
      <x:c r="E85" s="17" t="n">
        <x:v>10</x:v>
      </x:c>
      <x:c r="F85" s="17" t="n">
        <x:v>40</x:v>
      </x:c>
      <x:c r="G85" s="17" t="n">
        <x:v>30</x:v>
      </x:c>
      <x:c r="H85" s="9"/>
      <x:c r="I85" s="9"/>
      <x:c r="J85" s="9"/>
      <x:c r="K85" s="9"/>
      <x:c r="L85" s="9"/>
      <x:c r="M85" s="9"/>
    </x:row>
    <x:row r="86" ht="22" customHeight="1">
      <x:c r="A86" s="17" t="n">
        <x:v>28</x:v>
      </x:c>
      <x:c r="B86" s="17" t="str">
        <x:v>花瓣竹板</x:v>
      </x:c>
      <x:c r="C86" s="17" t="str">
        <x:v>竹子</x:v>
      </x:c>
      <x:c r="D86" s="17" t="str">
        <x:v>农田</x:v>
      </x:c>
      <x:c r="E86" s="17" t="n">
        <x:v>0</x:v>
      </x:c>
      <x:c r="F86" s="17" t="n">
        <x:v>10</x:v>
      </x:c>
      <x:c r="G86" s="17" t="n">
        <x:v>10</x:v>
      </x:c>
      <x:c r="H86" s="9"/>
      <x:c r="I86" s="9"/>
      <x:c r="J86" s="9"/>
      <x:c r="K86" s="9"/>
      <x:c r="L86" s="9"/>
      <x:c r="M86" s="9"/>
    </x:row>
    <x:row r="87" ht="22" customHeight="1">
      <x:c r="A87" s="17" t="n">
        <x:v>28</x:v>
      </x:c>
      <x:c r="B87" s="17" t="str">
        <x:v>花瓣竹板</x:v>
      </x:c>
      <x:c r="C87" s="17" t="str">
        <x:v>竹子</x:v>
      </x:c>
      <x:c r="D87" s="17" t="str">
        <x:v>农田</x:v>
      </x:c>
      <x:c r="E87" s="17" t="n">
        <x:v>0</x:v>
      </x:c>
      <x:c r="F87" s="17" t="n">
        <x:v>10</x:v>
      </x:c>
      <x:c r="G87" s="17" t="n">
        <x:v>10</x:v>
      </x:c>
      <x:c r="H87" s="9"/>
      <x:c r="I87" s="9"/>
      <x:c r="J87" s="9"/>
      <x:c r="K87" s="9"/>
      <x:c r="L87" s="9"/>
      <x:c r="M87" s="9"/>
    </x:row>
    <x:row r="88" ht="22" customHeight="1">
      <x:c r="A88" s="17" t="n">
        <x:v>28</x:v>
      </x:c>
      <x:c r="B88" s="17" t="str">
        <x:v>花瓣竹板</x:v>
      </x:c>
      <x:c r="C88" s="17" t="str">
        <x:v>芍药花</x:v>
      </x:c>
      <x:c r="D88" s="17" t="str">
        <x:v>农田</x:v>
      </x:c>
      <x:c r="E88" s="17" t="n">
        <x:v>0</x:v>
      </x:c>
      <x:c r="F88" s="17" t="n">
        <x:v>30</x:v>
      </x:c>
      <x:c r="G88" s="17" t="n">
        <x:v>30</x:v>
      </x:c>
      <x:c r="H88" s="9"/>
      <x:c r="I88" s="9"/>
      <x:c r="J88" s="9"/>
      <x:c r="K88" s="9"/>
      <x:c r="L88" s="9"/>
      <x:c r="M88" s="9"/>
    </x:row>
    <x:row r="89" ht="22" customHeight="1">
      <x:c r="A89" s="17" t="n">
        <x:v>28</x:v>
      </x:c>
      <x:c r="B89" s="17" t="str">
        <x:v>花瓣竹板</x:v>
      </x:c>
      <x:c r="C89" s="17" t="str">
        <x:v>芍药花</x:v>
      </x:c>
      <x:c r="D89" s="17" t="str">
        <x:v>农田</x:v>
      </x:c>
      <x:c r="E89" s="17" t="n">
        <x:v>0</x:v>
      </x:c>
      <x:c r="F89" s="17" t="n">
        <x:v>30</x:v>
      </x:c>
      <x:c r="G89" s="17" t="n">
        <x:v>30</x:v>
      </x:c>
      <x:c r="H89" s="9"/>
      <x:c r="I89" s="9"/>
      <x:c r="J89" s="9"/>
      <x:c r="K89" s="9"/>
      <x:c r="L89" s="9"/>
      <x:c r="M89" s="9"/>
    </x:row>
    <x:row r="90" ht="22" customHeight="1">
      <x:c r="A90" s="17" t="n">
        <x:v>28</x:v>
      </x:c>
      <x:c r="B90" s="17" t="str">
        <x:v>花瓣竹板</x:v>
      </x:c>
      <x:c r="C90" s="17" t="str">
        <x:v>花瓣竹板</x:v>
      </x:c>
      <x:c r="D90" s="17" t="str">
        <x:v>切割机</x:v>
      </x:c>
      <x:c r="E90" s="17" t="n">
        <x:v>30</x:v>
      </x:c>
      <x:c r="F90" s="17" t="n">
        <x:v>75</x:v>
      </x:c>
      <x:c r="G90" s="17" t="n">
        <x:v>45</x:v>
      </x:c>
      <x:c r="H90" s="9"/>
      <x:c r="I90" s="9"/>
      <x:c r="J90" s="9"/>
      <x:c r="K90" s="9"/>
      <x:c r="L90" s="9"/>
      <x:c r="M90" s="9"/>
    </x:row>
    <x:row r="91" ht="22" customHeight="1">
      <x:c r="A91" s="17" t="n">
        <x:v>36</x:v>
      </x:c>
      <x:c r="B91" s="17" t="str">
        <x:v>珍珠衣帽架</x:v>
      </x:c>
      <x:c r="C91" s="17" t="str">
        <x:v>竹子</x:v>
      </x:c>
      <x:c r="D91" s="17" t="str">
        <x:v>农田</x:v>
      </x:c>
      <x:c r="E91" s="17" t="n">
        <x:v>0</x:v>
      </x:c>
      <x:c r="F91" s="17" t="n">
        <x:v>10</x:v>
      </x:c>
      <x:c r="G91" s="17" t="n">
        <x:v>10</x:v>
      </x:c>
      <x:c r="H91" s="9"/>
      <x:c r="I91" s="9"/>
      <x:c r="J91" s="9"/>
      <x:c r="K91" s="9"/>
      <x:c r="L91" s="9"/>
      <x:c r="M91" s="9"/>
    </x:row>
    <x:row r="92" ht="22" customHeight="1">
      <x:c r="A92" s="17" t="n">
        <x:v>36</x:v>
      </x:c>
      <x:c r="B92" s="17" t="str">
        <x:v>珍珠衣帽架</x:v>
      </x:c>
      <x:c r="C92" s="17" t="str">
        <x:v>浆果珍珠</x:v>
      </x:c>
      <x:c r="D92" s="17" t="str">
        <x:v>农田</x:v>
      </x:c>
      <x:c r="E92" s="17" t="n">
        <x:v>0</x:v>
      </x:c>
      <x:c r="F92" s="17" t="n">
        <x:v>120</x:v>
      </x:c>
      <x:c r="G92" s="17" t="n">
        <x:v>120</x:v>
      </x:c>
      <x:c r="H92" s="9"/>
      <x:c r="I92" s="9"/>
      <x:c r="J92" s="9"/>
      <x:c r="K92" s="9"/>
      <x:c r="L92" s="9"/>
      <x:c r="M92" s="9"/>
    </x:row>
    <x:row r="93" ht="22" customHeight="1">
      <x:c r="A93" s="17" t="n">
        <x:v>36</x:v>
      </x:c>
      <x:c r="B93" s="17" t="str">
        <x:v>珍珠衣帽架</x:v>
      </x:c>
      <x:c r="C93" s="17" t="str">
        <x:v>浆果珍珠</x:v>
      </x:c>
      <x:c r="D93" s="17" t="str">
        <x:v>农田</x:v>
      </x:c>
      <x:c r="E93" s="17" t="n">
        <x:v>0</x:v>
      </x:c>
      <x:c r="F93" s="17" t="n">
        <x:v>120</x:v>
      </x:c>
      <x:c r="G93" s="17" t="n">
        <x:v>120</x:v>
      </x:c>
      <x:c r="H93" s="9"/>
      <x:c r="I93" s="9"/>
      <x:c r="J93" s="9"/>
      <x:c r="K93" s="9"/>
      <x:c r="L93" s="9"/>
      <x:c r="M93" s="9"/>
    </x:row>
    <x:row r="94" ht="22" customHeight="1">
      <x:c r="A94" s="17" t="n">
        <x:v>36</x:v>
      </x:c>
      <x:c r="B94" s="17" t="str">
        <x:v>珍珠衣帽架</x:v>
      </x:c>
      <x:c r="C94" s="17" t="str">
        <x:v>珍珠衣帽架</x:v>
      </x:c>
      <x:c r="D94" s="17" t="str">
        <x:v>切割机</x:v>
      </x:c>
      <x:c r="E94" s="17" t="n">
        <x:v>120</x:v>
      </x:c>
      <x:c r="F94" s="17" t="n">
        <x:v>180</x:v>
      </x:c>
      <x:c r="G94" s="17" t="n">
        <x:v>60</x:v>
      </x:c>
      <x:c r="H94" s="9"/>
      <x:c r="I94" s="9"/>
      <x:c r="J94" s="9"/>
      <x:c r="K94" s="9"/>
      <x:c r="L94" s="9"/>
      <x:c r="M94" s="9"/>
    </x:row>
    <x:row r="95" ht="22" customHeight="1">
      <x:c r="A95" s="17" t="n">
        <x:v>14</x:v>
      </x:c>
      <x:c r="B95" s="17" t="str">
        <x:v>竹编小垫</x:v>
      </x:c>
      <x:c r="C95" s="17" t="str">
        <x:v>芦苇草</x:v>
      </x:c>
      <x:c r="D95" s="17" t="str">
        <x:v>农田</x:v>
      </x:c>
      <x:c r="E95" s="17" t="n">
        <x:v>0</x:v>
      </x:c>
      <x:c r="F95" s="17" t="n">
        <x:v>2</x:v>
      </x:c>
      <x:c r="G95" s="17" t="n">
        <x:v>2</x:v>
      </x:c>
      <x:c r="H95" s="9"/>
      <x:c r="I95" s="9"/>
      <x:c r="J95" s="9"/>
      <x:c r="K95" s="9"/>
      <x:c r="L95" s="9"/>
      <x:c r="M95" s="9"/>
    </x:row>
    <x:row r="96" ht="22" customHeight="1">
      <x:c r="A96" s="17" t="n">
        <x:v>14</x:v>
      </x:c>
      <x:c r="B96" s="17" t="str">
        <x:v>竹编小垫</x:v>
      </x:c>
      <x:c r="C96" s="17" t="str">
        <x:v>芦苇草</x:v>
      </x:c>
      <x:c r="D96" s="17" t="str">
        <x:v>农田</x:v>
      </x:c>
      <x:c r="E96" s="17" t="n">
        <x:v>0</x:v>
      </x:c>
      <x:c r="F96" s="17" t="n">
        <x:v>2</x:v>
      </x:c>
      <x:c r="G96" s="17" t="n">
        <x:v>2</x:v>
      </x:c>
      <x:c r="H96" s="9"/>
      <x:c r="I96" s="9"/>
      <x:c r="J96" s="9"/>
      <x:c r="K96" s="9"/>
      <x:c r="L96" s="9"/>
      <x:c r="M96" s="9"/>
    </x:row>
    <x:row r="97" ht="22" customHeight="1">
      <x:c r="A97" s="17" t="n">
        <x:v>14</x:v>
      </x:c>
      <x:c r="B97" s="17" t="str">
        <x:v>竹编小垫</x:v>
      </x:c>
      <x:c r="C97" s="17" t="str">
        <x:v>竹子</x:v>
      </x:c>
      <x:c r="D97" s="17" t="str">
        <x:v>农田</x:v>
      </x:c>
      <x:c r="E97" s="17" t="n">
        <x:v>0</x:v>
      </x:c>
      <x:c r="F97" s="17" t="n">
        <x:v>10</x:v>
      </x:c>
      <x:c r="G97" s="17" t="n">
        <x:v>10</x:v>
      </x:c>
      <x:c r="H97" s="9"/>
      <x:c r="I97" s="9"/>
      <x:c r="J97" s="9"/>
      <x:c r="K97" s="9"/>
      <x:c r="L97" s="9"/>
      <x:c r="M97" s="9"/>
    </x:row>
    <x:row r="98" ht="22" customHeight="1">
      <x:c r="A98" s="17" t="n">
        <x:v>14</x:v>
      </x:c>
      <x:c r="B98" s="17" t="str">
        <x:v>竹编小垫</x:v>
      </x:c>
      <x:c r="C98" s="17" t="str">
        <x:v>竹子</x:v>
      </x:c>
      <x:c r="D98" s="17" t="str">
        <x:v>农田</x:v>
      </x:c>
      <x:c r="E98" s="17" t="n">
        <x:v>0</x:v>
      </x:c>
      <x:c r="F98" s="17" t="n">
        <x:v>10</x:v>
      </x:c>
      <x:c r="G98" s="17" t="n">
        <x:v>10</x:v>
      </x:c>
      <x:c r="H98" s="9"/>
      <x:c r="I98" s="9"/>
      <x:c r="J98" s="9"/>
      <x:c r="K98" s="9"/>
      <x:c r="L98" s="9"/>
      <x:c r="M98" s="9"/>
    </x:row>
    <x:row r="99" ht="22" customHeight="1">
      <x:c r="A99" s="17" t="n">
        <x:v>14</x:v>
      </x:c>
      <x:c r="B99" s="17" t="str">
        <x:v>竹编小垫</x:v>
      </x:c>
      <x:c r="C99" s="17" t="str">
        <x:v>芦苇丝</x:v>
      </x:c>
      <x:c r="D99" s="17" t="str">
        <x:v>研磨机</x:v>
      </x:c>
      <x:c r="E99" s="17" t="n">
        <x:v>2</x:v>
      </x:c>
      <x:c r="F99" s="17" t="n">
        <x:v>7</x:v>
      </x:c>
      <x:c r="G99" s="17" t="n">
        <x:v>5</x:v>
      </x:c>
      <x:c r="H99" s="9"/>
      <x:c r="I99" s="9"/>
      <x:c r="J99" s="9"/>
      <x:c r="K99" s="9"/>
      <x:c r="L99" s="9"/>
      <x:c r="M99" s="9"/>
    </x:row>
    <x:row r="100" ht="22" customHeight="1">
      <x:c r="A100" s="17" t="n">
        <x:v>14</x:v>
      </x:c>
      <x:c r="B100" s="17" t="str">
        <x:v>竹编小垫</x:v>
      </x:c>
      <x:c r="C100" s="17" t="str">
        <x:v>竹条</x:v>
      </x:c>
      <x:c r="D100" s="17" t="str">
        <x:v>切割机</x:v>
      </x:c>
      <x:c r="E100" s="17" t="n">
        <x:v>10</x:v>
      </x:c>
      <x:c r="F100" s="17" t="n">
        <x:v>20</x:v>
      </x:c>
      <x:c r="G100" s="17" t="n">
        <x:v>10</x:v>
      </x:c>
      <x:c r="H100" s="9"/>
      <x:c r="I100" s="9"/>
      <x:c r="J100" s="9"/>
      <x:c r="K100" s="9"/>
      <x:c r="L100" s="9"/>
      <x:c r="M100" s="9"/>
    </x:row>
    <x:row r="101" ht="22" customHeight="1">
      <x:c r="A101" s="17" t="n">
        <x:v>14</x:v>
      </x:c>
      <x:c r="B101" s="17" t="str">
        <x:v>竹编小垫</x:v>
      </x:c>
      <x:c r="C101" s="17" t="str">
        <x:v>竹编小垫</x:v>
      </x:c>
      <x:c r="D101" s="17" t="str">
        <x:v>纺织机</x:v>
      </x:c>
      <x:c r="E101" s="17" t="n">
        <x:v>20</x:v>
      </x:c>
      <x:c r="F101" s="17" t="n">
        <x:v>50</x:v>
      </x:c>
      <x:c r="G101" s="17" t="n">
        <x:v>30</x:v>
      </x:c>
      <x:c r="H101" s="9"/>
      <x:c r="I101" s="9"/>
      <x:c r="J101" s="9"/>
      <x:c r="K101" s="9"/>
      <x:c r="L101" s="9"/>
      <x:c r="M101" s="9"/>
    </x:row>
    <x:row r="102" ht="22" customHeight="1">
      <x:c r="A102" s="17" t="n">
        <x:v>16</x:v>
      </x:c>
      <x:c r="B102" s="17" t="str">
        <x:v>软棉布</x:v>
      </x:c>
      <x:c r="C102" s="17" t="str">
        <x:v>芦苇草</x:v>
      </x:c>
      <x:c r="D102" s="17" t="str">
        <x:v>农田</x:v>
      </x:c>
      <x:c r="E102" s="17" t="n">
        <x:v>0</x:v>
      </x:c>
      <x:c r="F102" s="17" t="n">
        <x:v>2</x:v>
      </x:c>
      <x:c r="G102" s="17" t="n">
        <x:v>2</x:v>
      </x:c>
      <x:c r="H102" s="9"/>
      <x:c r="I102" s="9"/>
      <x:c r="J102" s="9"/>
      <x:c r="K102" s="9"/>
      <x:c r="L102" s="9"/>
      <x:c r="M102" s="9"/>
    </x:row>
    <x:row r="103" ht="22" customHeight="1">
      <x:c r="A103" s="17" t="n">
        <x:v>16</x:v>
      </x:c>
      <x:c r="B103" s="17" t="str">
        <x:v>软棉布</x:v>
      </x:c>
      <x:c r="C103" s="17" t="str">
        <x:v>芦苇草</x:v>
      </x:c>
      <x:c r="D103" s="17" t="str">
        <x:v>农田</x:v>
      </x:c>
      <x:c r="E103" s="17" t="n">
        <x:v>0</x:v>
      </x:c>
      <x:c r="F103" s="17" t="n">
        <x:v>2</x:v>
      </x:c>
      <x:c r="G103" s="17" t="n">
        <x:v>2</x:v>
      </x:c>
      <x:c r="H103" s="9"/>
      <x:c r="I103" s="9"/>
      <x:c r="J103" s="9"/>
      <x:c r="K103" s="9"/>
      <x:c r="L103" s="9"/>
      <x:c r="M103" s="9"/>
    </x:row>
    <x:row r="104" ht="22" customHeight="1">
      <x:c r="A104" s="17" t="n">
        <x:v>16</x:v>
      </x:c>
      <x:c r="B104" s="17" t="str">
        <x:v>软棉布</x:v>
      </x:c>
      <x:c r="C104" s="17" t="str">
        <x:v>芦苇草</x:v>
      </x:c>
      <x:c r="D104" s="17" t="str">
        <x:v>农田</x:v>
      </x:c>
      <x:c r="E104" s="17" t="n">
        <x:v>0</x:v>
      </x:c>
      <x:c r="F104" s="17" t="n">
        <x:v>2</x:v>
      </x:c>
      <x:c r="G104" s="17" t="n">
        <x:v>2</x:v>
      </x:c>
      <x:c r="H104" s="9"/>
      <x:c r="I104" s="9"/>
      <x:c r="J104" s="9"/>
      <x:c r="K104" s="9"/>
      <x:c r="L104" s="9"/>
      <x:c r="M104" s="9"/>
    </x:row>
    <x:row r="105" ht="22" customHeight="1">
      <x:c r="A105" s="17" t="n">
        <x:v>16</x:v>
      </x:c>
      <x:c r="B105" s="17" t="str">
        <x:v>软棉布</x:v>
      </x:c>
      <x:c r="C105" s="17" t="str">
        <x:v>棉花</x:v>
      </x:c>
      <x:c r="D105" s="17" t="str">
        <x:v>农田</x:v>
      </x:c>
      <x:c r="E105" s="17" t="n">
        <x:v>0</x:v>
      </x:c>
      <x:c r="F105" s="17" t="n">
        <x:v>5</x:v>
      </x:c>
      <x:c r="G105" s="17" t="n">
        <x:v>5</x:v>
      </x:c>
      <x:c r="H105" s="9"/>
      <x:c r="I105" s="9"/>
      <x:c r="J105" s="9"/>
      <x:c r="K105" s="9"/>
      <x:c r="L105" s="9"/>
      <x:c r="M105" s="9"/>
    </x:row>
    <x:row r="106" ht="22" customHeight="1">
      <x:c r="A106" s="17" t="n">
        <x:v>16</x:v>
      </x:c>
      <x:c r="B106" s="17" t="str">
        <x:v>软棉布</x:v>
      </x:c>
      <x:c r="C106" s="17" t="str">
        <x:v>棉绒团</x:v>
      </x:c>
      <x:c r="D106" s="17" t="str">
        <x:v>研磨机</x:v>
      </x:c>
      <x:c r="E106" s="17" t="n">
        <x:v>5</x:v>
      </x:c>
      <x:c r="F106" s="17" t="n">
        <x:v>15</x:v>
      </x:c>
      <x:c r="G106" s="17" t="n">
        <x:v>10</x:v>
      </x:c>
      <x:c r="H106" s="9"/>
      <x:c r="I106" s="9"/>
      <x:c r="J106" s="9"/>
      <x:c r="K106" s="9"/>
      <x:c r="L106" s="9"/>
      <x:c r="M106" s="9"/>
    </x:row>
    <x:row r="107" ht="22" customHeight="1">
      <x:c r="A107" s="17" t="n">
        <x:v>16</x:v>
      </x:c>
      <x:c r="B107" s="17" t="str">
        <x:v>软棉布</x:v>
      </x:c>
      <x:c r="C107" s="17" t="str">
        <x:v>软棉布</x:v>
      </x:c>
      <x:c r="D107" s="17" t="str">
        <x:v>纺织机</x:v>
      </x:c>
      <x:c r="E107" s="17" t="n">
        <x:v>15</x:v>
      </x:c>
      <x:c r="F107" s="17" t="n">
        <x:v>60</x:v>
      </x:c>
      <x:c r="G107" s="17" t="n">
        <x:v>45</x:v>
      </x:c>
      <x:c r="H107" s="9"/>
      <x:c r="I107" s="9"/>
      <x:c r="J107" s="9"/>
      <x:c r="K107" s="9"/>
      <x:c r="L107" s="9"/>
      <x:c r="M107" s="9"/>
    </x:row>
    <x:row r="108" ht="22" customHeight="1">
      <x:c r="A108" s="17" t="n">
        <x:v>21</x:v>
      </x:c>
      <x:c r="B108" s="17" t="str">
        <x:v>竹帘</x:v>
      </x:c>
      <x:c r="C108" s="17" t="str">
        <x:v>棉花</x:v>
      </x:c>
      <x:c r="D108" s="17" t="str">
        <x:v>农田</x:v>
      </x:c>
      <x:c r="E108" s="17" t="n">
        <x:v>0</x:v>
      </x:c>
      <x:c r="F108" s="17" t="n">
        <x:v>5</x:v>
      </x:c>
      <x:c r="G108" s="17" t="n">
        <x:v>5</x:v>
      </x:c>
      <x:c r="H108" s="9"/>
      <x:c r="I108" s="9"/>
      <x:c r="J108" s="9"/>
      <x:c r="K108" s="9"/>
      <x:c r="L108" s="9"/>
      <x:c r="M108" s="9"/>
    </x:row>
    <x:row r="109" ht="22" customHeight="1">
      <x:c r="A109" s="17" t="n">
        <x:v>21</x:v>
      </x:c>
      <x:c r="B109" s="17" t="str">
        <x:v>竹帘</x:v>
      </x:c>
      <x:c r="C109" s="17" t="str">
        <x:v>棉花</x:v>
      </x:c>
      <x:c r="D109" s="17" t="str">
        <x:v>农田</x:v>
      </x:c>
      <x:c r="E109" s="17" t="n">
        <x:v>0</x:v>
      </x:c>
      <x:c r="F109" s="17" t="n">
        <x:v>5</x:v>
      </x:c>
      <x:c r="G109" s="17" t="n">
        <x:v>5</x:v>
      </x:c>
      <x:c r="H109" s="9"/>
      <x:c r="I109" s="9"/>
      <x:c r="J109" s="9"/>
      <x:c r="K109" s="9"/>
      <x:c r="L109" s="9"/>
      <x:c r="M109" s="9"/>
    </x:row>
    <x:row r="110" ht="22" customHeight="1">
      <x:c r="A110" s="17" t="n">
        <x:v>21</x:v>
      </x:c>
      <x:c r="B110" s="17" t="str">
        <x:v>竹帘</x:v>
      </x:c>
      <x:c r="C110" s="17" t="str">
        <x:v>竹子</x:v>
      </x:c>
      <x:c r="D110" s="17" t="str">
        <x:v>农田</x:v>
      </x:c>
      <x:c r="E110" s="17" t="n">
        <x:v>0</x:v>
      </x:c>
      <x:c r="F110" s="17" t="n">
        <x:v>10</x:v>
      </x:c>
      <x:c r="G110" s="17" t="n">
        <x:v>10</x:v>
      </x:c>
      <x:c r="H110" s="9"/>
      <x:c r="I110" s="9"/>
      <x:c r="J110" s="9"/>
      <x:c r="K110" s="9"/>
      <x:c r="L110" s="9"/>
      <x:c r="M110" s="9"/>
    </x:row>
    <x:row r="111" ht="22" customHeight="1">
      <x:c r="A111" s="17" t="n">
        <x:v>21</x:v>
      </x:c>
      <x:c r="B111" s="17" t="str">
        <x:v>竹帘</x:v>
      </x:c>
      <x:c r="C111" s="17" t="str">
        <x:v>竹子</x:v>
      </x:c>
      <x:c r="D111" s="17" t="str">
        <x:v>农田</x:v>
      </x:c>
      <x:c r="E111" s="17" t="n">
        <x:v>0</x:v>
      </x:c>
      <x:c r="F111" s="17" t="n">
        <x:v>10</x:v>
      </x:c>
      <x:c r="G111" s="17" t="n">
        <x:v>10</x:v>
      </x:c>
      <x:c r="H111" s="9"/>
      <x:c r="I111" s="9"/>
      <x:c r="J111" s="9"/>
      <x:c r="K111" s="9"/>
      <x:c r="L111" s="9"/>
      <x:c r="M111" s="9"/>
    </x:row>
    <x:row r="112" ht="22" customHeight="1">
      <x:c r="A112" s="17" t="n">
        <x:v>21</x:v>
      </x:c>
      <x:c r="B112" s="17" t="str">
        <x:v>竹帘</x:v>
      </x:c>
      <x:c r="C112" s="17" t="str">
        <x:v>竹子</x:v>
      </x:c>
      <x:c r="D112" s="17" t="str">
        <x:v>农田</x:v>
      </x:c>
      <x:c r="E112" s="17" t="n">
        <x:v>0</x:v>
      </x:c>
      <x:c r="F112" s="17" t="n">
        <x:v>10</x:v>
      </x:c>
      <x:c r="G112" s="17" t="n">
        <x:v>10</x:v>
      </x:c>
      <x:c r="H112" s="9"/>
      <x:c r="I112" s="9"/>
      <x:c r="J112" s="9"/>
      <x:c r="K112" s="9"/>
      <x:c r="L112" s="9"/>
      <x:c r="M112" s="9"/>
    </x:row>
    <x:row r="113" ht="22" customHeight="1">
      <x:c r="A113" s="17" t="n">
        <x:v>21</x:v>
      </x:c>
      <x:c r="B113" s="17" t="str">
        <x:v>竹帘</x:v>
      </x:c>
      <x:c r="C113" s="17" t="str">
        <x:v>薄竹片</x:v>
      </x:c>
      <x:c r="D113" s="17" t="str">
        <x:v>切割机</x:v>
      </x:c>
      <x:c r="E113" s="17" t="n">
        <x:v>10</x:v>
      </x:c>
      <x:c r="F113" s="17" t="n">
        <x:v>30</x:v>
      </x:c>
      <x:c r="G113" s="17" t="n">
        <x:v>20</x:v>
      </x:c>
      <x:c r="H113" s="9"/>
      <x:c r="I113" s="9"/>
      <x:c r="J113" s="9"/>
      <x:c r="K113" s="9"/>
      <x:c r="L113" s="9"/>
      <x:c r="M113" s="9"/>
    </x:row>
    <x:row r="114" ht="22" customHeight="1">
      <x:c r="A114" s="17" t="n">
        <x:v>21</x:v>
      </x:c>
      <x:c r="B114" s="17" t="str">
        <x:v>竹帘</x:v>
      </x:c>
      <x:c r="C114" s="17" t="str">
        <x:v>竹帘</x:v>
      </x:c>
      <x:c r="D114" s="17" t="str">
        <x:v>纺织机</x:v>
      </x:c>
      <x:c r="E114" s="17" t="n">
        <x:v>30</x:v>
      </x:c>
      <x:c r="F114" s="17" t="n">
        <x:v>90</x:v>
      </x:c>
      <x:c r="G114" s="17" t="n">
        <x:v>60</x:v>
      </x:c>
      <x:c r="H114" s="9"/>
      <x:c r="I114" s="9"/>
      <x:c r="J114" s="9"/>
      <x:c r="K114" s="9"/>
      <x:c r="L114" s="9"/>
      <x:c r="M114" s="9"/>
    </x:row>
    <x:row r="115" ht="22" customHeight="1">
      <x:c r="A115" s="17" t="n">
        <x:v>27</x:v>
      </x:c>
      <x:c r="B115" s="17" t="str">
        <x:v>绒绒灯罩</x:v>
      </x:c>
      <x:c r="C115" s="17" t="str">
        <x:v>芦苇草</x:v>
      </x:c>
      <x:c r="D115" s="17" t="str">
        <x:v>农田</x:v>
      </x:c>
      <x:c r="E115" s="17" t="n">
        <x:v>0</x:v>
      </x:c>
      <x:c r="F115" s="17" t="n">
        <x:v>2</x:v>
      </x:c>
      <x:c r="G115" s="17" t="n">
        <x:v>2</x:v>
      </x:c>
      <x:c r="H115" s="9"/>
      <x:c r="I115" s="9"/>
      <x:c r="J115" s="9"/>
      <x:c r="K115" s="9"/>
      <x:c r="L115" s="9"/>
      <x:c r="M115" s="9"/>
    </x:row>
    <x:row r="116" ht="22" customHeight="1">
      <x:c r="A116" s="17" t="n">
        <x:v>27</x:v>
      </x:c>
      <x:c r="B116" s="17" t="str">
        <x:v>绒绒灯罩</x:v>
      </x:c>
      <x:c r="C116" s="17" t="str">
        <x:v>棉花</x:v>
      </x:c>
      <x:c r="D116" s="17" t="str">
        <x:v>农田</x:v>
      </x:c>
      <x:c r="E116" s="17" t="n">
        <x:v>0</x:v>
      </x:c>
      <x:c r="F116" s="17" t="n">
        <x:v>5</x:v>
      </x:c>
      <x:c r="G116" s="17" t="n">
        <x:v>5</x:v>
      </x:c>
      <x:c r="H116" s="9"/>
      <x:c r="I116" s="9"/>
      <x:c r="J116" s="9"/>
      <x:c r="K116" s="9"/>
      <x:c r="L116" s="9"/>
      <x:c r="M116" s="9"/>
    </x:row>
    <x:row r="117" ht="22" customHeight="1">
      <x:c r="A117" s="17" t="n">
        <x:v>27</x:v>
      </x:c>
      <x:c r="B117" s="17" t="str">
        <x:v>绒绒灯罩</x:v>
      </x:c>
      <x:c r="C117" s="17" t="str">
        <x:v>竹子</x:v>
      </x:c>
      <x:c r="D117" s="17" t="str">
        <x:v>农田</x:v>
      </x:c>
      <x:c r="E117" s="17" t="n">
        <x:v>0</x:v>
      </x:c>
      <x:c r="F117" s="17" t="n">
        <x:v>10</x:v>
      </x:c>
      <x:c r="G117" s="17" t="n">
        <x:v>10</x:v>
      </x:c>
      <x:c r="H117" s="9"/>
      <x:c r="I117" s="9"/>
      <x:c r="J117" s="9"/>
      <x:c r="K117" s="9"/>
      <x:c r="L117" s="9"/>
      <x:c r="M117" s="9"/>
    </x:row>
    <x:row r="118" ht="22" customHeight="1">
      <x:c r="A118" s="17" t="n">
        <x:v>27</x:v>
      </x:c>
      <x:c r="B118" s="17" t="str">
        <x:v>绒绒灯罩</x:v>
      </x:c>
      <x:c r="C118" s="17" t="str">
        <x:v>竹子</x:v>
      </x:c>
      <x:c r="D118" s="17" t="str">
        <x:v>农田</x:v>
      </x:c>
      <x:c r="E118" s="17" t="n">
        <x:v>0</x:v>
      </x:c>
      <x:c r="F118" s="17" t="n">
        <x:v>10</x:v>
      </x:c>
      <x:c r="G118" s="17" t="n">
        <x:v>10</x:v>
      </x:c>
      <x:c r="H118" s="9"/>
      <x:c r="I118" s="9"/>
      <x:c r="J118" s="9"/>
      <x:c r="K118" s="9"/>
      <x:c r="L118" s="9"/>
      <x:c r="M118" s="9"/>
    </x:row>
    <x:row r="119" ht="22" customHeight="1">
      <x:c r="A119" s="17" t="n">
        <x:v>27</x:v>
      </x:c>
      <x:c r="B119" s="17" t="str">
        <x:v>绒绒灯罩</x:v>
      </x:c>
      <x:c r="C119" s="17" t="str">
        <x:v>竹子</x:v>
      </x:c>
      <x:c r="D119" s="17" t="str">
        <x:v>农田</x:v>
      </x:c>
      <x:c r="E119" s="17" t="n">
        <x:v>0</x:v>
      </x:c>
      <x:c r="F119" s="17" t="n">
        <x:v>10</x:v>
      </x:c>
      <x:c r="G119" s="17" t="n">
        <x:v>10</x:v>
      </x:c>
      <x:c r="H119" s="9"/>
      <x:c r="I119" s="9"/>
      <x:c r="J119" s="9"/>
      <x:c r="K119" s="9"/>
      <x:c r="L119" s="9"/>
      <x:c r="M119" s="9"/>
    </x:row>
    <x:row r="120" ht="22" customHeight="1">
      <x:c r="A120" s="17" t="n">
        <x:v>27</x:v>
      </x:c>
      <x:c r="B120" s="17" t="str">
        <x:v>绒绒灯罩</x:v>
      </x:c>
      <x:c r="C120" s="17" t="str">
        <x:v>竹子</x:v>
      </x:c>
      <x:c r="D120" s="17" t="str">
        <x:v>农田</x:v>
      </x:c>
      <x:c r="E120" s="17" t="n">
        <x:v>0</x:v>
      </x:c>
      <x:c r="F120" s="17" t="n">
        <x:v>10</x:v>
      </x:c>
      <x:c r="G120" s="17" t="n">
        <x:v>10</x:v>
      </x:c>
      <x:c r="H120" s="9"/>
      <x:c r="I120" s="9"/>
      <x:c r="J120" s="9"/>
      <x:c r="K120" s="9"/>
      <x:c r="L120" s="9"/>
      <x:c r="M120" s="9"/>
    </x:row>
    <x:row r="121" ht="22" customHeight="1">
      <x:c r="A121" s="17" t="n">
        <x:v>27</x:v>
      </x:c>
      <x:c r="B121" s="17" t="str">
        <x:v>绒绒灯罩</x:v>
      </x:c>
      <x:c r="C121" s="17" t="str">
        <x:v>棉绒团</x:v>
      </x:c>
      <x:c r="D121" s="17" t="str">
        <x:v>研磨机</x:v>
      </x:c>
      <x:c r="E121" s="17" t="n">
        <x:v>5</x:v>
      </x:c>
      <x:c r="F121" s="17" t="n">
        <x:v>15</x:v>
      </x:c>
      <x:c r="G121" s="17" t="n">
        <x:v>10</x:v>
      </x:c>
      <x:c r="H121" s="9"/>
      <x:c r="I121" s="9"/>
      <x:c r="J121" s="9"/>
      <x:c r="K121" s="9"/>
      <x:c r="L121" s="9"/>
      <x:c r="M121" s="9"/>
    </x:row>
    <x:row r="122" ht="22" customHeight="1">
      <x:c r="A122" s="17" t="n">
        <x:v>27</x:v>
      </x:c>
      <x:c r="B122" s="17" t="str">
        <x:v>绒绒灯罩</x:v>
      </x:c>
      <x:c r="C122" s="17" t="str">
        <x:v>小竹框</x:v>
      </x:c>
      <x:c r="D122" s="17" t="str">
        <x:v>切割机</x:v>
      </x:c>
      <x:c r="E122" s="17" t="n">
        <x:v>10</x:v>
      </x:c>
      <x:c r="F122" s="17" t="n">
        <x:v>40</x:v>
      </x:c>
      <x:c r="G122" s="17" t="n">
        <x:v>30</x:v>
      </x:c>
      <x:c r="H122" s="9"/>
      <x:c r="I122" s="9"/>
      <x:c r="J122" s="9"/>
      <x:c r="K122" s="9"/>
      <x:c r="L122" s="9"/>
      <x:c r="M122" s="9"/>
    </x:row>
    <x:row r="123" ht="22" customHeight="1">
      <x:c r="A123" s="17" t="n">
        <x:v>27</x:v>
      </x:c>
      <x:c r="B123" s="17" t="str">
        <x:v>绒绒灯罩</x:v>
      </x:c>
      <x:c r="C123" s="17" t="str">
        <x:v>绒绒灯罩</x:v>
      </x:c>
      <x:c r="D123" s="17" t="str">
        <x:v>纺织机</x:v>
      </x:c>
      <x:c r="E123" s="17" t="n">
        <x:v>40</x:v>
      </x:c>
      <x:c r="F123" s="17" t="n">
        <x:v>160</x:v>
      </x:c>
      <x:c r="G123" s="17" t="n">
        <x:v>120</x:v>
      </x:c>
      <x:c r="H123" s="9"/>
      <x:c r="I123" s="9"/>
      <x:c r="J123" s="9"/>
      <x:c r="K123" s="9"/>
      <x:c r="L123" s="9"/>
      <x:c r="M123" s="9"/>
    </x:row>
    <x:row r="124" ht="22" customHeight="1">
      <x:c r="A124" s="17" t="n">
        <x:v>32</x:v>
      </x:c>
      <x:c r="B124" s="17" t="str">
        <x:v>软边小席</x:v>
      </x:c>
      <x:c r="C124" s="17" t="str">
        <x:v>棉花</x:v>
      </x:c>
      <x:c r="D124" s="17" t="str">
        <x:v>农田</x:v>
      </x:c>
      <x:c r="E124" s="17" t="n">
        <x:v>0</x:v>
      </x:c>
      <x:c r="F124" s="17" t="n">
        <x:v>5</x:v>
      </x:c>
      <x:c r="G124" s="17" t="n">
        <x:v>5</x:v>
      </x:c>
      <x:c r="H124" s="9"/>
      <x:c r="I124" s="9"/>
      <x:c r="J124" s="9"/>
      <x:c r="K124" s="9"/>
      <x:c r="L124" s="9"/>
      <x:c r="M124" s="9"/>
    </x:row>
    <x:row r="125" ht="22" customHeight="1">
      <x:c r="A125" s="17" t="n">
        <x:v>32</x:v>
      </x:c>
      <x:c r="B125" s="17" t="str">
        <x:v>软边小席</x:v>
      </x:c>
      <x:c r="C125" s="17" t="str">
        <x:v>棉花</x:v>
      </x:c>
      <x:c r="D125" s="17" t="str">
        <x:v>农田</x:v>
      </x:c>
      <x:c r="E125" s="17" t="n">
        <x:v>0</x:v>
      </x:c>
      <x:c r="F125" s="17" t="n">
        <x:v>5</x:v>
      </x:c>
      <x:c r="G125" s="17" t="n">
        <x:v>5</x:v>
      </x:c>
      <x:c r="H125" s="9"/>
      <x:c r="I125" s="9"/>
      <x:c r="J125" s="9"/>
      <x:c r="K125" s="9"/>
      <x:c r="L125" s="9"/>
      <x:c r="M125" s="9"/>
    </x:row>
    <x:row r="126" ht="22" customHeight="1">
      <x:c r="A126" s="17" t="n">
        <x:v>32</x:v>
      </x:c>
      <x:c r="B126" s="17" t="str">
        <x:v>软边小席</x:v>
      </x:c>
      <x:c r="C126" s="17" t="str">
        <x:v>芦苇草</x:v>
      </x:c>
      <x:c r="D126" s="17" t="str">
        <x:v>农田</x:v>
      </x:c>
      <x:c r="E126" s="17" t="n">
        <x:v>0</x:v>
      </x:c>
      <x:c r="F126" s="17" t="n">
        <x:v>2</x:v>
      </x:c>
      <x:c r="G126" s="17" t="n">
        <x:v>2</x:v>
      </x:c>
      <x:c r="H126" s="9"/>
      <x:c r="I126" s="9"/>
      <x:c r="J126" s="9"/>
      <x:c r="K126" s="9"/>
      <x:c r="L126" s="9"/>
      <x:c r="M126" s="9"/>
    </x:row>
    <x:row r="127" ht="22" customHeight="1">
      <x:c r="A127" s="17" t="n">
        <x:v>32</x:v>
      </x:c>
      <x:c r="B127" s="17" t="str">
        <x:v>软边小席</x:v>
      </x:c>
      <x:c r="C127" s="17" t="str">
        <x:v>芦苇草</x:v>
      </x:c>
      <x:c r="D127" s="17" t="str">
        <x:v>农田</x:v>
      </x:c>
      <x:c r="E127" s="17" t="n">
        <x:v>0</x:v>
      </x:c>
      <x:c r="F127" s="17" t="n">
        <x:v>2</x:v>
      </x:c>
      <x:c r="G127" s="17" t="n">
        <x:v>2</x:v>
      </x:c>
      <x:c r="H127" s="9"/>
      <x:c r="I127" s="9"/>
      <x:c r="J127" s="9"/>
      <x:c r="K127" s="9"/>
      <x:c r="L127" s="9"/>
      <x:c r="M127" s="9"/>
    </x:row>
    <x:row r="128" ht="22" customHeight="1">
      <x:c r="A128" s="17" t="n">
        <x:v>32</x:v>
      </x:c>
      <x:c r="B128" s="17" t="str">
        <x:v>软边小席</x:v>
      </x:c>
      <x:c r="C128" s="17" t="str">
        <x:v>竹子</x:v>
      </x:c>
      <x:c r="D128" s="17" t="str">
        <x:v>农田</x:v>
      </x:c>
      <x:c r="E128" s="17" t="n">
        <x:v>0</x:v>
      </x:c>
      <x:c r="F128" s="17" t="n">
        <x:v>10</x:v>
      </x:c>
      <x:c r="G128" s="17" t="n">
        <x:v>10</x:v>
      </x:c>
      <x:c r="H128" s="9"/>
      <x:c r="I128" s="9"/>
      <x:c r="J128" s="9"/>
      <x:c r="K128" s="9"/>
      <x:c r="L128" s="9"/>
      <x:c r="M128" s="9"/>
    </x:row>
    <x:row r="129" ht="22" customHeight="1">
      <x:c r="A129" s="17" t="n">
        <x:v>32</x:v>
      </x:c>
      <x:c r="B129" s="17" t="str">
        <x:v>软边小席</x:v>
      </x:c>
      <x:c r="C129" s="17" t="str">
        <x:v>竹子</x:v>
      </x:c>
      <x:c r="D129" s="17" t="str">
        <x:v>农田</x:v>
      </x:c>
      <x:c r="E129" s="17" t="n">
        <x:v>0</x:v>
      </x:c>
      <x:c r="F129" s="17" t="n">
        <x:v>10</x:v>
      </x:c>
      <x:c r="G129" s="17" t="n">
        <x:v>10</x:v>
      </x:c>
      <x:c r="H129" s="9"/>
      <x:c r="I129" s="9"/>
      <x:c r="J129" s="9"/>
      <x:c r="K129" s="9"/>
      <x:c r="L129" s="9"/>
      <x:c r="M129" s="9"/>
    </x:row>
    <x:row r="130" ht="22" customHeight="1">
      <x:c r="A130" s="17" t="n">
        <x:v>32</x:v>
      </x:c>
      <x:c r="B130" s="17" t="str">
        <x:v>软边小席</x:v>
      </x:c>
      <x:c r="C130" s="17" t="str">
        <x:v>竹子</x:v>
      </x:c>
      <x:c r="D130" s="17" t="str">
        <x:v>农田</x:v>
      </x:c>
      <x:c r="E130" s="17" t="n">
        <x:v>0</x:v>
      </x:c>
      <x:c r="F130" s="17" t="n">
        <x:v>10</x:v>
      </x:c>
      <x:c r="G130" s="17" t="n">
        <x:v>10</x:v>
      </x:c>
      <x:c r="H130" s="9"/>
      <x:c r="I130" s="9"/>
      <x:c r="J130" s="9"/>
      <x:c r="K130" s="9"/>
      <x:c r="L130" s="9"/>
      <x:c r="M130" s="9"/>
    </x:row>
    <x:row r="131" ht="22" customHeight="1">
      <x:c r="A131" s="17" t="n">
        <x:v>32</x:v>
      </x:c>
      <x:c r="B131" s="17" t="str">
        <x:v>软边小席</x:v>
      </x:c>
      <x:c r="C131" s="17" t="str">
        <x:v>芦苇丝</x:v>
      </x:c>
      <x:c r="D131" s="17" t="str">
        <x:v>研磨机</x:v>
      </x:c>
      <x:c r="E131" s="17" t="n">
        <x:v>2</x:v>
      </x:c>
      <x:c r="F131" s="17" t="n">
        <x:v>7</x:v>
      </x:c>
      <x:c r="G131" s="17" t="n">
        <x:v>5</x:v>
      </x:c>
      <x:c r="H131" s="9"/>
      <x:c r="I131" s="9"/>
      <x:c r="J131" s="9"/>
      <x:c r="K131" s="9"/>
      <x:c r="L131" s="9"/>
      <x:c r="M131" s="9"/>
    </x:row>
    <x:row r="132" ht="22" customHeight="1">
      <x:c r="A132" s="17" t="n">
        <x:v>32</x:v>
      </x:c>
      <x:c r="B132" s="17" t="str">
        <x:v>软边小席</x:v>
      </x:c>
      <x:c r="C132" s="17" t="str">
        <x:v>薄竹片</x:v>
      </x:c>
      <x:c r="D132" s="17" t="str">
        <x:v>切割机</x:v>
      </x:c>
      <x:c r="E132" s="17" t="n">
        <x:v>10</x:v>
      </x:c>
      <x:c r="F132" s="17" t="n">
        <x:v>30</x:v>
      </x:c>
      <x:c r="G132" s="17" t="n">
        <x:v>20</x:v>
      </x:c>
      <x:c r="H132" s="9"/>
      <x:c r="I132" s="9"/>
      <x:c r="J132" s="9"/>
      <x:c r="K132" s="9"/>
      <x:c r="L132" s="9"/>
      <x:c r="M132" s="9"/>
    </x:row>
    <x:row r="133" ht="22" customHeight="1">
      <x:c r="A133" s="17" t="n">
        <x:v>32</x:v>
      </x:c>
      <x:c r="B133" s="17" t="str">
        <x:v>软边小席</x:v>
      </x:c>
      <x:c r="C133" s="17" t="str">
        <x:v>软边小席</x:v>
      </x:c>
      <x:c r="D133" s="17" t="str">
        <x:v>纺织机</x:v>
      </x:c>
      <x:c r="E133" s="17" t="n">
        <x:v>30</x:v>
      </x:c>
      <x:c r="F133" s="17" t="n">
        <x:v>180</x:v>
      </x:c>
      <x:c r="G133" s="17" t="n">
        <x:v>150</x:v>
      </x:c>
      <x:c r="H133" s="9"/>
      <x:c r="I133" s="9"/>
      <x:c r="J133" s="9"/>
      <x:c r="K133" s="9"/>
      <x:c r="L133" s="9"/>
      <x:c r="M133" s="9"/>
    </x:row>
    <x:row r="134" ht="22" customHeight="1">
      <x:c r="A134" s="17" t="n">
        <x:v>37</x:v>
      </x:c>
      <x:c r="B134" s="17" t="str">
        <x:v>雨滴篮子</x:v>
      </x:c>
      <x:c r="C134" s="17" t="str">
        <x:v>芦苇草</x:v>
      </x:c>
      <x:c r="D134" s="17" t="str">
        <x:v>农田</x:v>
      </x:c>
      <x:c r="E134" s="17" t="n">
        <x:v>0</x:v>
      </x:c>
      <x:c r="F134" s="17" t="n">
        <x:v>2</x:v>
      </x:c>
      <x:c r="G134" s="17" t="n">
        <x:v>2</x:v>
      </x:c>
      <x:c r="H134" s="9"/>
      <x:c r="I134" s="9"/>
      <x:c r="J134" s="9"/>
      <x:c r="K134" s="9"/>
      <x:c r="L134" s="9"/>
      <x:c r="M134" s="9"/>
    </x:row>
    <x:row r="135" ht="22" customHeight="1">
      <x:c r="A135" s="17" t="n">
        <x:v>37</x:v>
      </x:c>
      <x:c r="B135" s="17" t="str">
        <x:v>雨滴篮子</x:v>
      </x:c>
      <x:c r="C135" s="17" t="str">
        <x:v>芦苇草</x:v>
      </x:c>
      <x:c r="D135" s="17" t="str">
        <x:v>农田</x:v>
      </x:c>
      <x:c r="E135" s="17" t="n">
        <x:v>0</x:v>
      </x:c>
      <x:c r="F135" s="17" t="n">
        <x:v>2</x:v>
      </x:c>
      <x:c r="G135" s="17" t="n">
        <x:v>2</x:v>
      </x:c>
      <x:c r="H135" s="9"/>
      <x:c r="I135" s="9"/>
      <x:c r="J135" s="9"/>
      <x:c r="K135" s="9"/>
      <x:c r="L135" s="9"/>
      <x:c r="M135" s="9"/>
    </x:row>
    <x:row r="136" ht="22" customHeight="1">
      <x:c r="A136" s="17" t="n">
        <x:v>37</x:v>
      </x:c>
      <x:c r="B136" s="17" t="str">
        <x:v>雨滴篮子</x:v>
      </x:c>
      <x:c r="C136" s="17" t="str">
        <x:v>芦苇草</x:v>
      </x:c>
      <x:c r="D136" s="17" t="str">
        <x:v>农田</x:v>
      </x:c>
      <x:c r="E136" s="17" t="n">
        <x:v>0</x:v>
      </x:c>
      <x:c r="F136" s="17" t="n">
        <x:v>2</x:v>
      </x:c>
      <x:c r="G136" s="17" t="n">
        <x:v>2</x:v>
      </x:c>
      <x:c r="H136" s="9"/>
      <x:c r="I136" s="9"/>
      <x:c r="J136" s="9"/>
      <x:c r="K136" s="9"/>
      <x:c r="L136" s="9"/>
      <x:c r="M136" s="9"/>
    </x:row>
    <x:row r="137" ht="22" customHeight="1">
      <x:c r="A137" s="17" t="n">
        <x:v>37</x:v>
      </x:c>
      <x:c r="B137" s="17" t="str">
        <x:v>雨滴篮子</x:v>
      </x:c>
      <x:c r="C137" s="17" t="str">
        <x:v>蜡烛花</x:v>
      </x:c>
      <x:c r="D137" s="17" t="str">
        <x:v>农田</x:v>
      </x:c>
      <x:c r="E137" s="17" t="n">
        <x:v>0</x:v>
      </x:c>
      <x:c r="F137" s="17" t="n">
        <x:v>90</x:v>
      </x:c>
      <x:c r="G137" s="17" t="n">
        <x:v>90</x:v>
      </x:c>
      <x:c r="H137" s="9"/>
      <x:c r="I137" s="9"/>
      <x:c r="J137" s="9"/>
      <x:c r="K137" s="9"/>
      <x:c r="L137" s="9"/>
      <x:c r="M137" s="9"/>
    </x:row>
    <x:row r="138" ht="22" customHeight="1">
      <x:c r="A138" s="17" t="n">
        <x:v>37</x:v>
      </x:c>
      <x:c r="B138" s="17" t="str">
        <x:v>雨滴篮子</x:v>
      </x:c>
      <x:c r="C138" s="17" t="str">
        <x:v>蜡烛花</x:v>
      </x:c>
      <x:c r="D138" s="17" t="str">
        <x:v>农田</x:v>
      </x:c>
      <x:c r="E138" s="17" t="n">
        <x:v>0</x:v>
      </x:c>
      <x:c r="F138" s="17" t="n">
        <x:v>90</x:v>
      </x:c>
      <x:c r="G138" s="17" t="n">
        <x:v>90</x:v>
      </x:c>
      <x:c r="H138" s="9"/>
      <x:c r="I138" s="9"/>
      <x:c r="J138" s="9"/>
      <x:c r="K138" s="9"/>
      <x:c r="L138" s="9"/>
      <x:c r="M138" s="9"/>
    </x:row>
    <x:row r="139" ht="22" customHeight="1">
      <x:c r="A139" s="17" t="n">
        <x:v>37</x:v>
      </x:c>
      <x:c r="B139" s="17" t="str">
        <x:v>雨滴篮子</x:v>
      </x:c>
      <x:c r="C139" s="17" t="str">
        <x:v>蜡烛花</x:v>
      </x:c>
      <x:c r="D139" s="17" t="str">
        <x:v>农田</x:v>
      </x:c>
      <x:c r="E139" s="17" t="n">
        <x:v>0</x:v>
      </x:c>
      <x:c r="F139" s="17" t="n">
        <x:v>90</x:v>
      </x:c>
      <x:c r="G139" s="17" t="n">
        <x:v>90</x:v>
      </x:c>
      <x:c r="H139" s="9"/>
      <x:c r="I139" s="9"/>
      <x:c r="J139" s="9"/>
      <x:c r="K139" s="9"/>
      <x:c r="L139" s="9"/>
      <x:c r="M139" s="9"/>
    </x:row>
    <x:row r="140" ht="22" customHeight="1">
      <x:c r="A140" s="17" t="n">
        <x:v>37</x:v>
      </x:c>
      <x:c r="B140" s="17" t="str">
        <x:v>雨滴篮子</x:v>
      </x:c>
      <x:c r="C140" s="17" t="str">
        <x:v>芦苇丝</x:v>
      </x:c>
      <x:c r="D140" s="17" t="str">
        <x:v>研磨机</x:v>
      </x:c>
      <x:c r="E140" s="17" t="n">
        <x:v>2</x:v>
      </x:c>
      <x:c r="F140" s="17" t="n">
        <x:v>7</x:v>
      </x:c>
      <x:c r="G140" s="17" t="n">
        <x:v>5</x:v>
      </x:c>
      <x:c r="H140" s="9"/>
      <x:c r="I140" s="9"/>
      <x:c r="J140" s="9"/>
      <x:c r="K140" s="9"/>
      <x:c r="L140" s="9"/>
      <x:c r="M140" s="9"/>
    </x:row>
    <x:row r="141" ht="22" customHeight="1">
      <x:c r="A141" s="17" t="n">
        <x:v>37</x:v>
      </x:c>
      <x:c r="B141" s="17" t="str">
        <x:v>雨滴篮子</x:v>
      </x:c>
      <x:c r="C141" s="17" t="str">
        <x:v>花蜡</x:v>
      </x:c>
      <x:c r="D141" s="17" t="str">
        <x:v>萃取机</x:v>
      </x:c>
      <x:c r="E141" s="17" t="n">
        <x:v>90</x:v>
      </x:c>
      <x:c r="F141" s="17" t="n">
        <x:v>180</x:v>
      </x:c>
      <x:c r="G141" s="17" t="n">
        <x:v>90</x:v>
      </x:c>
      <x:c r="H141" s="9"/>
      <x:c r="I141" s="9"/>
      <x:c r="J141" s="9"/>
      <x:c r="K141" s="9"/>
      <x:c r="L141" s="9"/>
      <x:c r="M141" s="9"/>
    </x:row>
    <x:row r="142" ht="22" customHeight="1">
      <x:c r="A142" s="17" t="n">
        <x:v>37</x:v>
      </x:c>
      <x:c r="B142" s="17" t="str">
        <x:v>雨滴篮子</x:v>
      </x:c>
      <x:c r="C142" s="17" t="str">
        <x:v>雨滴篮子</x:v>
      </x:c>
      <x:c r="D142" s="17" t="str">
        <x:v>纺织机</x:v>
      </x:c>
      <x:c r="E142" s="17" t="n">
        <x:v>180</x:v>
      </x:c>
      <x:c r="F142" s="17" t="n">
        <x:v>360</x:v>
      </x:c>
      <x:c r="G142" s="17" t="n">
        <x:v>180</x:v>
      </x:c>
      <x:c r="H142" s="9"/>
      <x:c r="I142" s="9"/>
      <x:c r="J142" s="9"/>
      <x:c r="K142" s="9"/>
      <x:c r="L142" s="9"/>
      <x:c r="M142" s="9"/>
    </x:row>
    <x:row r="143" ht="22" customHeight="1">
      <x:c r="A143" s="17" t="n">
        <x:v>13</x:v>
      </x:c>
      <x:c r="B143" s="17" t="str">
        <x:v>薰衣草精油</x:v>
      </x:c>
      <x:c r="C143" s="17" t="str">
        <x:v>薰衣草</x:v>
      </x:c>
      <x:c r="D143" s="17" t="str">
        <x:v>农田</x:v>
      </x:c>
      <x:c r="E143" s="17" t="n">
        <x:v>0</x:v>
      </x:c>
      <x:c r="F143" s="17" t="n">
        <x:v>20</x:v>
      </x:c>
      <x:c r="G143" s="17" t="n">
        <x:v>20</x:v>
      </x:c>
      <x:c r="H143" s="9"/>
      <x:c r="I143" s="9"/>
      <x:c r="J143" s="9"/>
      <x:c r="K143" s="9"/>
      <x:c r="L143" s="9"/>
      <x:c r="M143" s="9"/>
    </x:row>
    <x:row r="144" ht="22" customHeight="1">
      <x:c r="A144" s="17" t="n">
        <x:v>13</x:v>
      </x:c>
      <x:c r="B144" s="17" t="str">
        <x:v>薰衣草精油</x:v>
      </x:c>
      <x:c r="C144" s="17" t="str">
        <x:v>薰衣草</x:v>
      </x:c>
      <x:c r="D144" s="17" t="str">
        <x:v>农田</x:v>
      </x:c>
      <x:c r="E144" s="17" t="n">
        <x:v>0</x:v>
      </x:c>
      <x:c r="F144" s="17" t="n">
        <x:v>20</x:v>
      </x:c>
      <x:c r="G144" s="17" t="n">
        <x:v>20</x:v>
      </x:c>
      <x:c r="H144" s="9"/>
      <x:c r="I144" s="9"/>
      <x:c r="J144" s="9"/>
      <x:c r="K144" s="9"/>
      <x:c r="L144" s="9"/>
      <x:c r="M144" s="9"/>
    </x:row>
    <x:row r="145" ht="22" customHeight="1">
      <x:c r="A145" s="17" t="n">
        <x:v>13</x:v>
      </x:c>
      <x:c r="B145" s="17" t="str">
        <x:v>薰衣草精油</x:v>
      </x:c>
      <x:c r="C145" s="17" t="str">
        <x:v>薰衣草精油</x:v>
      </x:c>
      <x:c r="D145" s="17" t="str">
        <x:v>萃取机</x:v>
      </x:c>
      <x:c r="E145" s="17" t="n">
        <x:v>20</x:v>
      </x:c>
      <x:c r="F145" s="17" t="n">
        <x:v>40</x:v>
      </x:c>
      <x:c r="G145" s="17" t="n">
        <x:v>20</x:v>
      </x:c>
      <x:c r="H145" s="9"/>
      <x:c r="I145" s="9"/>
      <x:c r="J145" s="9"/>
      <x:c r="K145" s="9"/>
      <x:c r="L145" s="9"/>
      <x:c r="M145" s="9"/>
    </x:row>
    <x:row r="146" ht="22" customHeight="1">
      <x:c r="A146" s="17" t="n">
        <x:v>18</x:v>
      </x:c>
      <x:c r="B146" s="17" t="str">
        <x:v>花瓣香水</x:v>
      </x:c>
      <x:c r="C146" s="17" t="str">
        <x:v>芍药花</x:v>
      </x:c>
      <x:c r="D146" s="17" t="str">
        <x:v>农田</x:v>
      </x:c>
      <x:c r="E146" s="17" t="n">
        <x:v>0</x:v>
      </x:c>
      <x:c r="F146" s="17" t="n">
        <x:v>30</x:v>
      </x:c>
      <x:c r="G146" s="17" t="n">
        <x:v>30</x:v>
      </x:c>
      <x:c r="H146" s="9"/>
      <x:c r="I146" s="9"/>
      <x:c r="J146" s="9"/>
      <x:c r="K146" s="9"/>
      <x:c r="L146" s="9"/>
      <x:c r="M146" s="9"/>
    </x:row>
    <x:row r="147" ht="22" customHeight="1">
      <x:c r="A147" s="17" t="n">
        <x:v>18</x:v>
      </x:c>
      <x:c r="B147" s="17" t="str">
        <x:v>花瓣香水</x:v>
      </x:c>
      <x:c r="C147" s="17" t="str">
        <x:v>芍药花</x:v>
      </x:c>
      <x:c r="D147" s="17" t="str">
        <x:v>农田</x:v>
      </x:c>
      <x:c r="E147" s="17" t="n">
        <x:v>0</x:v>
      </x:c>
      <x:c r="F147" s="17" t="n">
        <x:v>30</x:v>
      </x:c>
      <x:c r="G147" s="17" t="n">
        <x:v>30</x:v>
      </x:c>
      <x:c r="H147" s="9"/>
      <x:c r="I147" s="9"/>
      <x:c r="J147" s="9"/>
      <x:c r="K147" s="9"/>
      <x:c r="L147" s="9"/>
      <x:c r="M147" s="9"/>
    </x:row>
    <x:row r="148" ht="22" customHeight="1">
      <x:c r="A148" s="17" t="n">
        <x:v>18</x:v>
      </x:c>
      <x:c r="B148" s="17" t="str">
        <x:v>花瓣香水</x:v>
      </x:c>
      <x:c r="C148" s="17" t="str">
        <x:v>芍药花</x:v>
      </x:c>
      <x:c r="D148" s="17" t="str">
        <x:v>农田</x:v>
      </x:c>
      <x:c r="E148" s="17" t="n">
        <x:v>0</x:v>
      </x:c>
      <x:c r="F148" s="17" t="n">
        <x:v>30</x:v>
      </x:c>
      <x:c r="G148" s="17" t="n">
        <x:v>30</x:v>
      </x:c>
      <x:c r="H148" s="9"/>
      <x:c r="I148" s="9"/>
      <x:c r="J148" s="9"/>
      <x:c r="K148" s="9"/>
      <x:c r="L148" s="9"/>
      <x:c r="M148" s="9"/>
    </x:row>
    <x:row r="149" ht="22" customHeight="1">
      <x:c r="A149" s="17" t="n">
        <x:v>18</x:v>
      </x:c>
      <x:c r="B149" s="17" t="str">
        <x:v>花瓣香水</x:v>
      </x:c>
      <x:c r="C149" s="17" t="str">
        <x:v>花瓣香水</x:v>
      </x:c>
      <x:c r="D149" s="17" t="str">
        <x:v>萃取机</x:v>
      </x:c>
      <x:c r="E149" s="17" t="n">
        <x:v>30</x:v>
      </x:c>
      <x:c r="F149" s="17" t="n">
        <x:v>75</x:v>
      </x:c>
      <x:c r="G149" s="17" t="n">
        <x:v>45</x:v>
      </x:c>
      <x:c r="H149" s="9"/>
      <x:c r="I149" s="9"/>
      <x:c r="J149" s="9"/>
      <x:c r="K149" s="9"/>
      <x:c r="L149" s="9"/>
      <x:c r="M149" s="9"/>
    </x:row>
    <x:row r="150" ht="22" customHeight="1">
      <x:c r="A150" s="17" t="n">
        <x:v>25</x:v>
      </x:c>
      <x:c r="B150" s="17" t="str">
        <x:v>墨汁</x:v>
      </x:c>
      <x:c r="C150" s="17" t="str">
        <x:v>墨水花</x:v>
      </x:c>
      <x:c r="D150" s="17" t="str">
        <x:v>农田</x:v>
      </x:c>
      <x:c r="E150" s="17" t="n">
        <x:v>0</x:v>
      </x:c>
      <x:c r="F150" s="17" t="n">
        <x:v>60</x:v>
      </x:c>
      <x:c r="G150" s="17" t="n">
        <x:v>60</x:v>
      </x:c>
      <x:c r="H150" s="9"/>
      <x:c r="I150" s="9"/>
      <x:c r="J150" s="9"/>
      <x:c r="K150" s="9"/>
      <x:c r="L150" s="9"/>
      <x:c r="M150" s="9"/>
    </x:row>
    <x:row r="151" ht="22" customHeight="1">
      <x:c r="A151" s="17" t="n">
        <x:v>25</x:v>
      </x:c>
      <x:c r="B151" s="17" t="str">
        <x:v>墨汁</x:v>
      </x:c>
      <x:c r="C151" s="17" t="str">
        <x:v>墨水花</x:v>
      </x:c>
      <x:c r="D151" s="17" t="str">
        <x:v>农田</x:v>
      </x:c>
      <x:c r="E151" s="17" t="n">
        <x:v>0</x:v>
      </x:c>
      <x:c r="F151" s="17" t="n">
        <x:v>60</x:v>
      </x:c>
      <x:c r="G151" s="17" t="n">
        <x:v>60</x:v>
      </x:c>
      <x:c r="H151" s="9"/>
      <x:c r="I151" s="9"/>
      <x:c r="J151" s="9"/>
      <x:c r="K151" s="9"/>
      <x:c r="L151" s="9"/>
      <x:c r="M151" s="9"/>
    </x:row>
    <x:row r="152" ht="22" customHeight="1">
      <x:c r="A152" s="17" t="n">
        <x:v>25</x:v>
      </x:c>
      <x:c r="B152" s="17" t="str">
        <x:v>墨汁</x:v>
      </x:c>
      <x:c r="C152" s="17" t="str">
        <x:v>墨水花</x:v>
      </x:c>
      <x:c r="D152" s="17" t="str">
        <x:v>农田</x:v>
      </x:c>
      <x:c r="E152" s="17" t="n">
        <x:v>0</x:v>
      </x:c>
      <x:c r="F152" s="17" t="n">
        <x:v>60</x:v>
      </x:c>
      <x:c r="G152" s="17" t="n">
        <x:v>60</x:v>
      </x:c>
      <x:c r="H152" s="9"/>
      <x:c r="I152" s="9"/>
      <x:c r="J152" s="9"/>
      <x:c r="K152" s="9"/>
      <x:c r="L152" s="9"/>
      <x:c r="M152" s="9"/>
    </x:row>
    <x:row r="153" ht="22" customHeight="1">
      <x:c r="A153" s="17" t="n">
        <x:v>25</x:v>
      </x:c>
      <x:c r="B153" s="17" t="str">
        <x:v>墨汁</x:v>
      </x:c>
      <x:c r="C153" s="17" t="str">
        <x:v>墨汁</x:v>
      </x:c>
      <x:c r="D153" s="17" t="str">
        <x:v>萃取机</x:v>
      </x:c>
      <x:c r="E153" s="17" t="n">
        <x:v>60</x:v>
      </x:c>
      <x:c r="F153" s="17" t="n">
        <x:v>120</x:v>
      </x:c>
      <x:c r="G153" s="17" t="n">
        <x:v>60</x:v>
      </x:c>
      <x:c r="H153" s="9"/>
      <x:c r="I153" s="9"/>
      <x:c r="J153" s="9"/>
      <x:c r="K153" s="9"/>
      <x:c r="L153" s="9"/>
      <x:c r="M153" s="9"/>
    </x:row>
    <x:row r="154" ht="22" customHeight="1">
      <x:c r="A154" s="17" t="n">
        <x:v>31</x:v>
      </x:c>
      <x:c r="B154" s="17" t="str">
        <x:v>花蜡</x:v>
      </x:c>
      <x:c r="C154" s="17" t="str">
        <x:v>蜡烛花</x:v>
      </x:c>
      <x:c r="D154" s="17" t="str">
        <x:v>农田</x:v>
      </x:c>
      <x:c r="E154" s="17" t="n">
        <x:v>0</x:v>
      </x:c>
      <x:c r="F154" s="17" t="n">
        <x:v>90</x:v>
      </x:c>
      <x:c r="G154" s="17" t="n">
        <x:v>90</x:v>
      </x:c>
      <x:c r="H154" s="9"/>
      <x:c r="I154" s="9"/>
      <x:c r="J154" s="9"/>
      <x:c r="K154" s="9"/>
      <x:c r="L154" s="9"/>
      <x:c r="M154" s="9"/>
    </x:row>
    <x:row r="155" ht="22" customHeight="1">
      <x:c r="A155" s="17" t="n">
        <x:v>31</x:v>
      </x:c>
      <x:c r="B155" s="17" t="str">
        <x:v>花蜡</x:v>
      </x:c>
      <x:c r="C155" s="17" t="str">
        <x:v>蜡烛花</x:v>
      </x:c>
      <x:c r="D155" s="17" t="str">
        <x:v>农田</x:v>
      </x:c>
      <x:c r="E155" s="17" t="n">
        <x:v>0</x:v>
      </x:c>
      <x:c r="F155" s="17" t="n">
        <x:v>90</x:v>
      </x:c>
      <x:c r="G155" s="17" t="n">
        <x:v>90</x:v>
      </x:c>
      <x:c r="H155" s="9"/>
      <x:c r="I155" s="9"/>
      <x:c r="J155" s="9"/>
      <x:c r="K155" s="9"/>
      <x:c r="L155" s="9"/>
      <x:c r="M155" s="9"/>
    </x:row>
    <x:row r="156" ht="22" customHeight="1">
      <x:c r="A156" s="17" t="n">
        <x:v>31</x:v>
      </x:c>
      <x:c r="B156" s="17" t="str">
        <x:v>花蜡</x:v>
      </x:c>
      <x:c r="C156" s="17" t="str">
        <x:v>蜡烛花</x:v>
      </x:c>
      <x:c r="D156" s="17" t="str">
        <x:v>农田</x:v>
      </x:c>
      <x:c r="E156" s="17" t="n">
        <x:v>0</x:v>
      </x:c>
      <x:c r="F156" s="17" t="n">
        <x:v>90</x:v>
      </x:c>
      <x:c r="G156" s="17" t="n">
        <x:v>90</x:v>
      </x:c>
      <x:c r="H156" s="9"/>
      <x:c r="I156" s="9"/>
      <x:c r="J156" s="9"/>
      <x:c r="K156" s="9"/>
      <x:c r="L156" s="9"/>
      <x:c r="M156" s="9"/>
    </x:row>
    <x:row r="157" ht="22" customHeight="1">
      <x:c r="A157" s="17" t="n">
        <x:v>31</x:v>
      </x:c>
      <x:c r="B157" s="17" t="str">
        <x:v>花蜡</x:v>
      </x:c>
      <x:c r="C157" s="17" t="str">
        <x:v>花蜡</x:v>
      </x:c>
      <x:c r="D157" s="17" t="str">
        <x:v>萃取机</x:v>
      </x:c>
      <x:c r="E157" s="17" t="n">
        <x:v>90</x:v>
      </x:c>
      <x:c r="F157" s="17" t="n">
        <x:v>180</x:v>
      </x:c>
      <x:c r="G157" s="17" t="n">
        <x:v>90</x:v>
      </x:c>
      <x:c r="H157" s="9"/>
      <x:c r="I157" s="9"/>
      <x:c r="J157" s="9"/>
      <x:c r="K157" s="9"/>
      <x:c r="L157" s="9"/>
      <x:c r="M157" s="9"/>
    </x:row>
    <x:row r="158" ht="22" customHeight="1">
      <x:c r="A158" s="17" t="n">
        <x:v>19</x:v>
      </x:c>
      <x:c r="B158" s="17" t="str">
        <x:v>竹炭画笔</x:v>
      </x:c>
      <x:c r="C158" s="17" t="str">
        <x:v>竹子</x:v>
      </x:c>
      <x:c r="D158" s="17" t="str">
        <x:v>农田</x:v>
      </x:c>
      <x:c r="E158" s="17" t="n">
        <x:v>0</x:v>
      </x:c>
      <x:c r="F158" s="17" t="n">
        <x:v>10</x:v>
      </x:c>
      <x:c r="G158" s="17" t="n">
        <x:v>10</x:v>
      </x:c>
      <x:c r="H158" s="9"/>
      <x:c r="I158" s="9"/>
      <x:c r="J158" s="9"/>
      <x:c r="K158" s="9"/>
      <x:c r="L158" s="9"/>
      <x:c r="M158" s="9"/>
    </x:row>
    <x:row r="159" ht="22" customHeight="1">
      <x:c r="A159" s="17" t="n">
        <x:v>19</x:v>
      </x:c>
      <x:c r="B159" s="17" t="str">
        <x:v>竹炭画笔</x:v>
      </x:c>
      <x:c r="C159" s="17" t="str">
        <x:v>竹子</x:v>
      </x:c>
      <x:c r="D159" s="17" t="str">
        <x:v>农田</x:v>
      </x:c>
      <x:c r="E159" s="17" t="n">
        <x:v>0</x:v>
      </x:c>
      <x:c r="F159" s="17" t="n">
        <x:v>10</x:v>
      </x:c>
      <x:c r="G159" s="17" t="n">
        <x:v>10</x:v>
      </x:c>
      <x:c r="H159" s="9"/>
      <x:c r="I159" s="9"/>
      <x:c r="J159" s="9"/>
      <x:c r="K159" s="9"/>
      <x:c r="L159" s="9"/>
      <x:c r="M159" s="9"/>
    </x:row>
    <x:row r="160" ht="22" customHeight="1">
      <x:c r="A160" s="17" t="n">
        <x:v>19</x:v>
      </x:c>
      <x:c r="B160" s="17" t="str">
        <x:v>竹炭画笔</x:v>
      </x:c>
      <x:c r="C160" s="17" t="str">
        <x:v>香绒草</x:v>
      </x:c>
      <x:c r="D160" s="17" t="str">
        <x:v>农田</x:v>
      </x:c>
      <x:c r="E160" s="17" t="n">
        <x:v>0</x:v>
      </x:c>
      <x:c r="F160" s="17" t="n">
        <x:v>15</x:v>
      </x:c>
      <x:c r="G160" s="17" t="n">
        <x:v>15</x:v>
      </x:c>
      <x:c r="H160" s="9"/>
      <x:c r="I160" s="9"/>
      <x:c r="J160" s="9"/>
      <x:c r="K160" s="9"/>
      <x:c r="L160" s="9"/>
      <x:c r="M160" s="9"/>
    </x:row>
    <x:row r="161" ht="22" customHeight="1">
      <x:c r="A161" s="17" t="n">
        <x:v>19</x:v>
      </x:c>
      <x:c r="B161" s="17" t="str">
        <x:v>竹炭画笔</x:v>
      </x:c>
      <x:c r="C161" s="17" t="str">
        <x:v>香绒草</x:v>
      </x:c>
      <x:c r="D161" s="17" t="str">
        <x:v>农田</x:v>
      </x:c>
      <x:c r="E161" s="17" t="n">
        <x:v>0</x:v>
      </x:c>
      <x:c r="F161" s="17" t="n">
        <x:v>15</x:v>
      </x:c>
      <x:c r="G161" s="17" t="n">
        <x:v>15</x:v>
      </x:c>
      <x:c r="H161" s="9"/>
      <x:c r="I161" s="9"/>
      <x:c r="J161" s="9"/>
      <x:c r="K161" s="9"/>
      <x:c r="L161" s="9"/>
      <x:c r="M161" s="9"/>
    </x:row>
    <x:row r="162" ht="22" customHeight="1">
      <x:c r="A162" s="17" t="n">
        <x:v>19</x:v>
      </x:c>
      <x:c r="B162" s="17" t="str">
        <x:v>竹炭画笔</x:v>
      </x:c>
      <x:c r="C162" s="17" t="str">
        <x:v>竹条</x:v>
      </x:c>
      <x:c r="D162" s="17" t="str">
        <x:v>切割机</x:v>
      </x:c>
      <x:c r="E162" s="17" t="n">
        <x:v>10</x:v>
      </x:c>
      <x:c r="F162" s="17" t="n">
        <x:v>20</x:v>
      </x:c>
      <x:c r="G162" s="17" t="n">
        <x:v>10</x:v>
      </x:c>
      <x:c r="H162" s="9"/>
      <x:c r="I162" s="9"/>
      <x:c r="J162" s="9"/>
      <x:c r="K162" s="9"/>
      <x:c r="L162" s="9"/>
      <x:c r="M162" s="9"/>
    </x:row>
    <x:row r="163" ht="22" customHeight="1">
      <x:c r="A163" s="17" t="n">
        <x:v>19</x:v>
      </x:c>
      <x:c r="B163" s="17" t="str">
        <x:v>竹炭画笔</x:v>
      </x:c>
      <x:c r="C163" s="17" t="str">
        <x:v>绒香粉</x:v>
      </x:c>
      <x:c r="D163" s="17" t="str">
        <x:v>研磨机</x:v>
      </x:c>
      <x:c r="E163" s="17" t="n">
        <x:v>15</x:v>
      </x:c>
      <x:c r="F163" s="17" t="n">
        <x:v>35</x:v>
      </x:c>
      <x:c r="G163" s="17" t="n">
        <x:v>20</x:v>
      </x:c>
      <x:c r="H163" s="9"/>
      <x:c r="I163" s="9"/>
      <x:c r="J163" s="9"/>
      <x:c r="K163" s="9"/>
      <x:c r="L163" s="9"/>
      <x:c r="M163" s="9"/>
    </x:row>
    <x:row r="164" ht="22" customHeight="1">
      <x:c r="A164" s="17" t="n">
        <x:v>19</x:v>
      </x:c>
      <x:c r="B164" s="17" t="str">
        <x:v>竹炭画笔</x:v>
      </x:c>
      <x:c r="C164" s="17" t="str">
        <x:v>竹炭画笔</x:v>
      </x:c>
      <x:c r="D164" s="17" t="str">
        <x:v>窑炉</x:v>
      </x:c>
      <x:c r="E164" s="17" t="n">
        <x:v>35</x:v>
      </x:c>
      <x:c r="F164" s="17" t="n">
        <x:v>80</x:v>
      </x:c>
      <x:c r="G164" s="17" t="n">
        <x:v>45</x:v>
      </x:c>
      <x:c r="H164" s="9"/>
      <x:c r="I164" s="9"/>
      <x:c r="J164" s="9"/>
      <x:c r="K164" s="9"/>
      <x:c r="L164" s="9"/>
      <x:c r="M164" s="9"/>
    </x:row>
    <x:row r="165" ht="22" customHeight="1">
      <x:c r="A165" s="17" t="n">
        <x:v>23</x:v>
      </x:c>
      <x:c r="B165" s="17" t="str">
        <x:v>薰衣草香棒</x:v>
      </x:c>
      <x:c r="C165" s="17" t="str">
        <x:v>香绒草</x:v>
      </x:c>
      <x:c r="D165" s="17" t="str">
        <x:v>农田</x:v>
      </x:c>
      <x:c r="E165" s="17" t="n">
        <x:v>0</x:v>
      </x:c>
      <x:c r="F165" s="17" t="n">
        <x:v>15</x:v>
      </x:c>
      <x:c r="G165" s="17" t="n">
        <x:v>15</x:v>
      </x:c>
      <x:c r="H165" s="9"/>
      <x:c r="I165" s="9"/>
      <x:c r="J165" s="9"/>
      <x:c r="K165" s="9"/>
      <x:c r="L165" s="9"/>
      <x:c r="M165" s="9"/>
    </x:row>
    <x:row r="166" ht="22" customHeight="1">
      <x:c r="A166" s="17" t="n">
        <x:v>23</x:v>
      </x:c>
      <x:c r="B166" s="17" t="str">
        <x:v>薰衣草香棒</x:v>
      </x:c>
      <x:c r="C166" s="17" t="str">
        <x:v>香绒草</x:v>
      </x:c>
      <x:c r="D166" s="17" t="str">
        <x:v>农田</x:v>
      </x:c>
      <x:c r="E166" s="17" t="n">
        <x:v>0</x:v>
      </x:c>
      <x:c r="F166" s="17" t="n">
        <x:v>15</x:v>
      </x:c>
      <x:c r="G166" s="17" t="n">
        <x:v>15</x:v>
      </x:c>
      <x:c r="H166" s="9"/>
      <x:c r="I166" s="9"/>
      <x:c r="J166" s="9"/>
      <x:c r="K166" s="9"/>
      <x:c r="L166" s="9"/>
      <x:c r="M166" s="9"/>
    </x:row>
    <x:row r="167" ht="22" customHeight="1">
      <x:c r="A167" s="17" t="n">
        <x:v>23</x:v>
      </x:c>
      <x:c r="B167" s="17" t="str">
        <x:v>薰衣草香棒</x:v>
      </x:c>
      <x:c r="C167" s="17" t="str">
        <x:v>薰衣草</x:v>
      </x:c>
      <x:c r="D167" s="17" t="str">
        <x:v>农田</x:v>
      </x:c>
      <x:c r="E167" s="17" t="n">
        <x:v>0</x:v>
      </x:c>
      <x:c r="F167" s="17" t="n">
        <x:v>20</x:v>
      </x:c>
      <x:c r="G167" s="17" t="n">
        <x:v>20</x:v>
      </x:c>
      <x:c r="H167" s="9"/>
      <x:c r="I167" s="9"/>
      <x:c r="J167" s="9"/>
      <x:c r="K167" s="9"/>
      <x:c r="L167" s="9"/>
      <x:c r="M167" s="9"/>
    </x:row>
    <x:row r="168" ht="22" customHeight="1">
      <x:c r="A168" s="17" t="n">
        <x:v>23</x:v>
      </x:c>
      <x:c r="B168" s="17" t="str">
        <x:v>薰衣草香棒</x:v>
      </x:c>
      <x:c r="C168" s="17" t="str">
        <x:v>薰衣草</x:v>
      </x:c>
      <x:c r="D168" s="17" t="str">
        <x:v>农田</x:v>
      </x:c>
      <x:c r="E168" s="17" t="n">
        <x:v>0</x:v>
      </x:c>
      <x:c r="F168" s="17" t="n">
        <x:v>20</x:v>
      </x:c>
      <x:c r="G168" s="17" t="n">
        <x:v>20</x:v>
      </x:c>
      <x:c r="H168" s="9"/>
      <x:c r="I168" s="9"/>
      <x:c r="J168" s="9"/>
      <x:c r="K168" s="9"/>
      <x:c r="L168" s="9"/>
      <x:c r="M168" s="9"/>
    </x:row>
    <x:row r="169" ht="22" customHeight="1">
      <x:c r="A169" s="17" t="n">
        <x:v>23</x:v>
      </x:c>
      <x:c r="B169" s="17" t="str">
        <x:v>薰衣草香棒</x:v>
      </x:c>
      <x:c r="C169" s="17" t="str">
        <x:v>绒香粉</x:v>
      </x:c>
      <x:c r="D169" s="17" t="str">
        <x:v>研磨机</x:v>
      </x:c>
      <x:c r="E169" s="17" t="n">
        <x:v>15</x:v>
      </x:c>
      <x:c r="F169" s="17" t="n">
        <x:v>35</x:v>
      </x:c>
      <x:c r="G169" s="17" t="n">
        <x:v>20</x:v>
      </x:c>
      <x:c r="H169" s="9"/>
      <x:c r="I169" s="9"/>
      <x:c r="J169" s="9"/>
      <x:c r="K169" s="9"/>
      <x:c r="L169" s="9"/>
      <x:c r="M169" s="9"/>
    </x:row>
    <x:row r="170" ht="22" customHeight="1">
      <x:c r="A170" s="17" t="n">
        <x:v>23</x:v>
      </x:c>
      <x:c r="B170" s="17" t="str">
        <x:v>薰衣草香棒</x:v>
      </x:c>
      <x:c r="C170" s="17" t="str">
        <x:v>薰衣草精油</x:v>
      </x:c>
      <x:c r="D170" s="17" t="str">
        <x:v>萃取机</x:v>
      </x:c>
      <x:c r="E170" s="17" t="n">
        <x:v>20</x:v>
      </x:c>
      <x:c r="F170" s="17" t="n">
        <x:v>40</x:v>
      </x:c>
      <x:c r="G170" s="17" t="n">
        <x:v>20</x:v>
      </x:c>
      <x:c r="H170" s="9"/>
      <x:c r="I170" s="9"/>
      <x:c r="J170" s="9"/>
      <x:c r="K170" s="9"/>
      <x:c r="L170" s="9"/>
      <x:c r="M170" s="9"/>
    </x:row>
    <x:row r="171" ht="22" customHeight="1">
      <x:c r="A171" s="17" t="n">
        <x:v>23</x:v>
      </x:c>
      <x:c r="B171" s="17" t="str">
        <x:v>薰衣草香棒</x:v>
      </x:c>
      <x:c r="C171" s="17" t="str">
        <x:v>薰衣草香棒</x:v>
      </x:c>
      <x:c r="D171" s="17" t="str">
        <x:v>窑炉</x:v>
      </x:c>
      <x:c r="E171" s="17" t="n">
        <x:v>40</x:v>
      </x:c>
      <x:c r="F171" s="17" t="n">
        <x:v>100</x:v>
      </x:c>
      <x:c r="G171" s="17" t="n">
        <x:v>60</x:v>
      </x:c>
      <x:c r="H171" s="9"/>
      <x:c r="I171" s="9"/>
      <x:c r="J171" s="9"/>
      <x:c r="K171" s="9"/>
      <x:c r="L171" s="9"/>
      <x:c r="M171" s="9"/>
    </x:row>
    <x:row r="172" ht="22" customHeight="1">
      <x:c r="A172" s="17" t="n">
        <x:v>26</x:v>
      </x:c>
      <x:c r="B172" s="17" t="str">
        <x:v>竹制盆景</x:v>
      </x:c>
      <x:c r="C172" s="17" t="str">
        <x:v>竹子</x:v>
      </x:c>
      <x:c r="D172" s="17" t="str">
        <x:v>农田</x:v>
      </x:c>
      <x:c r="E172" s="17" t="n">
        <x:v>0</x:v>
      </x:c>
      <x:c r="F172" s="17" t="n">
        <x:v>10</x:v>
      </x:c>
      <x:c r="G172" s="17" t="n">
        <x:v>10</x:v>
      </x:c>
      <x:c r="H172" s="9"/>
      <x:c r="I172" s="9"/>
      <x:c r="J172" s="9"/>
      <x:c r="K172" s="9"/>
      <x:c r="L172" s="9"/>
      <x:c r="M172" s="9"/>
    </x:row>
    <x:row r="173" ht="22" customHeight="1">
      <x:c r="A173" s="17" t="n">
        <x:v>26</x:v>
      </x:c>
      <x:c r="B173" s="17" t="str">
        <x:v>竹制盆景</x:v>
      </x:c>
      <x:c r="C173" s="17" t="str">
        <x:v>竹子</x:v>
      </x:c>
      <x:c r="D173" s="17" t="str">
        <x:v>农田</x:v>
      </x:c>
      <x:c r="E173" s="17" t="n">
        <x:v>0</x:v>
      </x:c>
      <x:c r="F173" s="17" t="n">
        <x:v>10</x:v>
      </x:c>
      <x:c r="G173" s="17" t="n">
        <x:v>10</x:v>
      </x:c>
      <x:c r="H173" s="9"/>
      <x:c r="I173" s="9"/>
      <x:c r="J173" s="9"/>
      <x:c r="K173" s="9"/>
      <x:c r="L173" s="9"/>
      <x:c r="M173" s="9"/>
    </x:row>
    <x:row r="174" ht="22" customHeight="1">
      <x:c r="A174" s="17" t="n">
        <x:v>26</x:v>
      </x:c>
      <x:c r="B174" s="17" t="str">
        <x:v>竹制盆景</x:v>
      </x:c>
      <x:c r="C174" s="17" t="str">
        <x:v>薰衣草</x:v>
      </x:c>
      <x:c r="D174" s="17" t="str">
        <x:v>农田</x:v>
      </x:c>
      <x:c r="E174" s="17" t="n">
        <x:v>0</x:v>
      </x:c>
      <x:c r="F174" s="17" t="n">
        <x:v>20</x:v>
      </x:c>
      <x:c r="G174" s="17" t="n">
        <x:v>20</x:v>
      </x:c>
      <x:c r="H174" s="9"/>
      <x:c r="I174" s="9"/>
      <x:c r="J174" s="9"/>
      <x:c r="K174" s="9"/>
      <x:c r="L174" s="9"/>
      <x:c r="M174" s="9"/>
    </x:row>
    <x:row r="175" ht="22" customHeight="1">
      <x:c r="A175" s="17" t="n">
        <x:v>26</x:v>
      </x:c>
      <x:c r="B175" s="17" t="str">
        <x:v>竹制盆景</x:v>
      </x:c>
      <x:c r="C175" s="17" t="str">
        <x:v>薰衣草</x:v>
      </x:c>
      <x:c r="D175" s="17" t="str">
        <x:v>农田</x:v>
      </x:c>
      <x:c r="E175" s="17" t="n">
        <x:v>0</x:v>
      </x:c>
      <x:c r="F175" s="17" t="n">
        <x:v>20</x:v>
      </x:c>
      <x:c r="G175" s="17" t="n">
        <x:v>20</x:v>
      </x:c>
      <x:c r="H175" s="9"/>
      <x:c r="I175" s="9"/>
      <x:c r="J175" s="9"/>
      <x:c r="K175" s="9"/>
      <x:c r="L175" s="9"/>
      <x:c r="M175" s="9"/>
    </x:row>
    <x:row r="176" ht="22" customHeight="1">
      <x:c r="A176" s="17" t="n">
        <x:v>26</x:v>
      </x:c>
      <x:c r="B176" s="17" t="str">
        <x:v>竹制盆景</x:v>
      </x:c>
      <x:c r="C176" s="17" t="str">
        <x:v>芍药花</x:v>
      </x:c>
      <x:c r="D176" s="17" t="str">
        <x:v>农田</x:v>
      </x:c>
      <x:c r="E176" s="17" t="n">
        <x:v>0</x:v>
      </x:c>
      <x:c r="F176" s="17" t="n">
        <x:v>30</x:v>
      </x:c>
      <x:c r="G176" s="17" t="n">
        <x:v>30</x:v>
      </x:c>
      <x:c r="H176" s="9"/>
      <x:c r="I176" s="9"/>
      <x:c r="J176" s="9"/>
      <x:c r="K176" s="9"/>
      <x:c r="L176" s="9"/>
      <x:c r="M176" s="9"/>
    </x:row>
    <x:row r="177" ht="22" customHeight="1">
      <x:c r="A177" s="17" t="n">
        <x:v>26</x:v>
      </x:c>
      <x:c r="B177" s="17" t="str">
        <x:v>竹制盆景</x:v>
      </x:c>
      <x:c r="C177" s="17" t="str">
        <x:v>芍药花</x:v>
      </x:c>
      <x:c r="D177" s="17" t="str">
        <x:v>农田</x:v>
      </x:c>
      <x:c r="E177" s="17" t="n">
        <x:v>0</x:v>
      </x:c>
      <x:c r="F177" s="17" t="n">
        <x:v>30</x:v>
      </x:c>
      <x:c r="G177" s="17" t="n">
        <x:v>30</x:v>
      </x:c>
      <x:c r="H177" s="9"/>
      <x:c r="I177" s="9"/>
      <x:c r="J177" s="9"/>
      <x:c r="K177" s="9"/>
      <x:c r="L177" s="9"/>
      <x:c r="M177" s="9"/>
    </x:row>
    <x:row r="178" ht="22" customHeight="1">
      <x:c r="A178" s="17" t="n">
        <x:v>26</x:v>
      </x:c>
      <x:c r="B178" s="17" t="str">
        <x:v>竹制盆景</x:v>
      </x:c>
      <x:c r="C178" s="17" t="str">
        <x:v>芍药花</x:v>
      </x:c>
      <x:c r="D178" s="17" t="str">
        <x:v>农田</x:v>
      </x:c>
      <x:c r="E178" s="17" t="n">
        <x:v>0</x:v>
      </x:c>
      <x:c r="F178" s="17" t="n">
        <x:v>30</x:v>
      </x:c>
      <x:c r="G178" s="17" t="n">
        <x:v>30</x:v>
      </x:c>
      <x:c r="H178" s="9"/>
      <x:c r="I178" s="9"/>
      <x:c r="J178" s="9"/>
      <x:c r="K178" s="9"/>
      <x:c r="L178" s="9"/>
      <x:c r="M178" s="9"/>
    </x:row>
    <x:row r="179" ht="22" customHeight="1">
      <x:c r="A179" s="17" t="n">
        <x:v>26</x:v>
      </x:c>
      <x:c r="B179" s="17" t="str">
        <x:v>竹制盆景</x:v>
      </x:c>
      <x:c r="C179" s="17" t="str">
        <x:v>竹条</x:v>
      </x:c>
      <x:c r="D179" s="17" t="str">
        <x:v>切割机</x:v>
      </x:c>
      <x:c r="E179" s="17" t="n">
        <x:v>10</x:v>
      </x:c>
      <x:c r="F179" s="17" t="n">
        <x:v>20</x:v>
      </x:c>
      <x:c r="G179" s="17" t="n">
        <x:v>10</x:v>
      </x:c>
      <x:c r="H179" s="9"/>
      <x:c r="I179" s="9"/>
      <x:c r="J179" s="9"/>
      <x:c r="K179" s="9"/>
      <x:c r="L179" s="9"/>
      <x:c r="M179" s="9"/>
    </x:row>
    <x:row r="180" ht="22" customHeight="1">
      <x:c r="A180" s="17" t="n">
        <x:v>26</x:v>
      </x:c>
      <x:c r="B180" s="17" t="str">
        <x:v>竹制盆景</x:v>
      </x:c>
      <x:c r="C180" s="17" t="str">
        <x:v>花瓣香水</x:v>
      </x:c>
      <x:c r="D180" s="17" t="str">
        <x:v>萃取机</x:v>
      </x:c>
      <x:c r="E180" s="17" t="n">
        <x:v>30</x:v>
      </x:c>
      <x:c r="F180" s="17" t="n">
        <x:v>75</x:v>
      </x:c>
      <x:c r="G180" s="17" t="n">
        <x:v>45</x:v>
      </x:c>
      <x:c r="H180" s="9"/>
      <x:c r="I180" s="9"/>
      <x:c r="J180" s="9"/>
      <x:c r="K180" s="9"/>
      <x:c r="L180" s="9"/>
      <x:c r="M180" s="9"/>
    </x:row>
    <x:row r="181" ht="22" customHeight="1">
      <x:c r="A181" s="17" t="n">
        <x:v>26</x:v>
      </x:c>
      <x:c r="B181" s="17" t="str">
        <x:v>竹制盆景</x:v>
      </x:c>
      <x:c r="C181" s="17" t="str">
        <x:v>竹制盆景</x:v>
      </x:c>
      <x:c r="D181" s="17" t="str">
        <x:v>窑炉</x:v>
      </x:c>
      <x:c r="E181" s="17" t="n">
        <x:v>75</x:v>
      </x:c>
      <x:c r="F181" s="17" t="n">
        <x:v>165</x:v>
      </x:c>
      <x:c r="G181" s="17" t="n">
        <x:v>90</x:v>
      </x:c>
      <x:c r="H181" s="9"/>
      <x:c r="I181" s="9"/>
      <x:c r="J181" s="9"/>
      <x:c r="K181" s="9"/>
      <x:c r="L181" s="9"/>
      <x:c r="M181" s="9"/>
    </x:row>
    <x:row r="182" ht="22" customHeight="1">
      <x:c r="A182" s="17" t="n">
        <x:v>29</x:v>
      </x:c>
      <x:c r="B182" s="17" t="str">
        <x:v>圈圈蚊香</x:v>
      </x:c>
      <x:c r="C182" s="17" t="str">
        <x:v>香绒草</x:v>
      </x:c>
      <x:c r="D182" s="17" t="str">
        <x:v>农田</x:v>
      </x:c>
      <x:c r="E182" s="17" t="n">
        <x:v>0</x:v>
      </x:c>
      <x:c r="F182" s="17" t="n">
        <x:v>15</x:v>
      </x:c>
      <x:c r="G182" s="17" t="n">
        <x:v>15</x:v>
      </x:c>
      <x:c r="H182" s="9"/>
      <x:c r="I182" s="9"/>
      <x:c r="J182" s="9"/>
      <x:c r="K182" s="9"/>
      <x:c r="L182" s="9"/>
      <x:c r="M182" s="9"/>
    </x:row>
    <x:row r="183" ht="22" customHeight="1">
      <x:c r="A183" s="17" t="n">
        <x:v>29</x:v>
      </x:c>
      <x:c r="B183" s="17" t="str">
        <x:v>圈圈蚊香</x:v>
      </x:c>
      <x:c r="C183" s="17" t="str">
        <x:v>香绒草</x:v>
      </x:c>
      <x:c r="D183" s="17" t="str">
        <x:v>农田</x:v>
      </x:c>
      <x:c r="E183" s="17" t="n">
        <x:v>0</x:v>
      </x:c>
      <x:c r="F183" s="17" t="n">
        <x:v>15</x:v>
      </x:c>
      <x:c r="G183" s="17" t="n">
        <x:v>15</x:v>
      </x:c>
      <x:c r="H183" s="9"/>
      <x:c r="I183" s="9"/>
      <x:c r="J183" s="9"/>
      <x:c r="K183" s="9"/>
      <x:c r="L183" s="9"/>
      <x:c r="M183" s="9"/>
    </x:row>
    <x:row r="184" ht="22" customHeight="1">
      <x:c r="A184" s="17" t="n">
        <x:v>29</x:v>
      </x:c>
      <x:c r="B184" s="17" t="str">
        <x:v>圈圈蚊香</x:v>
      </x:c>
      <x:c r="C184" s="17" t="str">
        <x:v>棉花</x:v>
      </x:c>
      <x:c r="D184" s="17" t="str">
        <x:v>农田</x:v>
      </x:c>
      <x:c r="E184" s="17" t="n">
        <x:v>0</x:v>
      </x:c>
      <x:c r="F184" s="17" t="n">
        <x:v>5</x:v>
      </x:c>
      <x:c r="G184" s="17" t="n">
        <x:v>5</x:v>
      </x:c>
      <x:c r="H184" s="9"/>
      <x:c r="I184" s="9"/>
      <x:c r="J184" s="9"/>
      <x:c r="K184" s="9"/>
      <x:c r="L184" s="9"/>
      <x:c r="M184" s="9"/>
    </x:row>
    <x:row r="185" ht="22" customHeight="1">
      <x:c r="A185" s="17" t="n">
        <x:v>29</x:v>
      </x:c>
      <x:c r="B185" s="17" t="str">
        <x:v>圈圈蚊香</x:v>
      </x:c>
      <x:c r="C185" s="17" t="str">
        <x:v>棉花</x:v>
      </x:c>
      <x:c r="D185" s="17" t="str">
        <x:v>农田</x:v>
      </x:c>
      <x:c r="E185" s="17" t="n">
        <x:v>0</x:v>
      </x:c>
      <x:c r="F185" s="17" t="n">
        <x:v>5</x:v>
      </x:c>
      <x:c r="G185" s="17" t="n">
        <x:v>5</x:v>
      </x:c>
      <x:c r="H185" s="9"/>
      <x:c r="I185" s="9"/>
      <x:c r="J185" s="9"/>
      <x:c r="K185" s="9"/>
      <x:c r="L185" s="9"/>
      <x:c r="M185" s="9"/>
    </x:row>
    <x:row r="186" ht="22" customHeight="1">
      <x:c r="A186" s="17" t="n">
        <x:v>29</x:v>
      </x:c>
      <x:c r="B186" s="17" t="str">
        <x:v>圈圈蚊香</x:v>
      </x:c>
      <x:c r="C186" s="17" t="str">
        <x:v>香绒草</x:v>
      </x:c>
      <x:c r="D186" s="17" t="str">
        <x:v>农田</x:v>
      </x:c>
      <x:c r="E186" s="17" t="n">
        <x:v>0</x:v>
      </x:c>
      <x:c r="F186" s="17" t="n">
        <x:v>15</x:v>
      </x:c>
      <x:c r="G186" s="17" t="n">
        <x:v>15</x:v>
      </x:c>
      <x:c r="H186" s="9"/>
      <x:c r="I186" s="9"/>
      <x:c r="J186" s="9"/>
      <x:c r="K186" s="9"/>
      <x:c r="L186" s="9"/>
      <x:c r="M186" s="9"/>
    </x:row>
    <x:row r="187" ht="22" customHeight="1">
      <x:c r="A187" s="17" t="n">
        <x:v>29</x:v>
      </x:c>
      <x:c r="B187" s="17" t="str">
        <x:v>圈圈蚊香</x:v>
      </x:c>
      <x:c r="C187" s="17" t="str">
        <x:v>香绒草</x:v>
      </x:c>
      <x:c r="D187" s="17" t="str">
        <x:v>农田</x:v>
      </x:c>
      <x:c r="E187" s="17" t="n">
        <x:v>0</x:v>
      </x:c>
      <x:c r="F187" s="17" t="n">
        <x:v>15</x:v>
      </x:c>
      <x:c r="G187" s="17" t="n">
        <x:v>15</x:v>
      </x:c>
      <x:c r="H187" s="9"/>
      <x:c r="I187" s="9"/>
      <x:c r="J187" s="9"/>
      <x:c r="K187" s="9"/>
      <x:c r="L187" s="9"/>
      <x:c r="M187" s="9"/>
    </x:row>
    <x:row r="188" ht="22" customHeight="1">
      <x:c r="A188" s="17" t="n">
        <x:v>29</x:v>
      </x:c>
      <x:c r="B188" s="17" t="str">
        <x:v>圈圈蚊香</x:v>
      </x:c>
      <x:c r="C188" s="17" t="str">
        <x:v>墨水花</x:v>
      </x:c>
      <x:c r="D188" s="17" t="str">
        <x:v>农田</x:v>
      </x:c>
      <x:c r="E188" s="17" t="n">
        <x:v>0</x:v>
      </x:c>
      <x:c r="F188" s="17" t="n">
        <x:v>60</x:v>
      </x:c>
      <x:c r="G188" s="17" t="n">
        <x:v>60</x:v>
      </x:c>
      <x:c r="H188" s="9"/>
      <x:c r="I188" s="9"/>
      <x:c r="J188" s="9"/>
      <x:c r="K188" s="9"/>
      <x:c r="L188" s="9"/>
      <x:c r="M188" s="9"/>
    </x:row>
    <x:row r="189" ht="22" customHeight="1">
      <x:c r="A189" s="17" t="n">
        <x:v>29</x:v>
      </x:c>
      <x:c r="B189" s="17" t="str">
        <x:v>圈圈蚊香</x:v>
      </x:c>
      <x:c r="C189" s="17" t="str">
        <x:v>墨水花</x:v>
      </x:c>
      <x:c r="D189" s="17" t="str">
        <x:v>农田</x:v>
      </x:c>
      <x:c r="E189" s="17" t="n">
        <x:v>0</x:v>
      </x:c>
      <x:c r="F189" s="17" t="n">
        <x:v>60</x:v>
      </x:c>
      <x:c r="G189" s="17" t="n">
        <x:v>60</x:v>
      </x:c>
      <x:c r="H189" s="9"/>
      <x:c r="I189" s="9"/>
      <x:c r="J189" s="9"/>
      <x:c r="K189" s="9"/>
      <x:c r="L189" s="9"/>
      <x:c r="M189" s="9"/>
    </x:row>
    <x:row r="190" ht="22" customHeight="1">
      <x:c r="A190" s="17" t="n">
        <x:v>29</x:v>
      </x:c>
      <x:c r="B190" s="17" t="str">
        <x:v>圈圈蚊香</x:v>
      </x:c>
      <x:c r="C190" s="17" t="str">
        <x:v>墨水花</x:v>
      </x:c>
      <x:c r="D190" s="17" t="str">
        <x:v>农田</x:v>
      </x:c>
      <x:c r="E190" s="17" t="n">
        <x:v>0</x:v>
      </x:c>
      <x:c r="F190" s="17" t="n">
        <x:v>60</x:v>
      </x:c>
      <x:c r="G190" s="17" t="n">
        <x:v>60</x:v>
      </x:c>
      <x:c r="H190" s="9"/>
      <x:c r="I190" s="9"/>
      <x:c r="J190" s="9"/>
      <x:c r="K190" s="9"/>
      <x:c r="L190" s="9"/>
      <x:c r="M190" s="9"/>
    </x:row>
    <x:row r="191" ht="22" customHeight="1">
      <x:c r="A191" s="17" t="n">
        <x:v>29</x:v>
      </x:c>
      <x:c r="B191" s="17" t="str">
        <x:v>圈圈蚊香</x:v>
      </x:c>
      <x:c r="C191" s="17" t="str">
        <x:v>云朵香粉</x:v>
      </x:c>
      <x:c r="D191" s="17" t="str">
        <x:v>研磨机</x:v>
      </x:c>
      <x:c r="E191" s="17" t="n">
        <x:v>15</x:v>
      </x:c>
      <x:c r="F191" s="17" t="n">
        <x:v>45</x:v>
      </x:c>
      <x:c r="G191" s="17" t="n">
        <x:v>30</x:v>
      </x:c>
      <x:c r="H191" s="9"/>
      <x:c r="I191" s="9"/>
      <x:c r="J191" s="9"/>
      <x:c r="K191" s="9"/>
      <x:c r="L191" s="9"/>
      <x:c r="M191" s="9"/>
    </x:row>
    <x:row r="192" ht="22" customHeight="1">
      <x:c r="A192" s="17" t="n">
        <x:v>29</x:v>
      </x:c>
      <x:c r="B192" s="17" t="str">
        <x:v>圈圈蚊香</x:v>
      </x:c>
      <x:c r="C192" s="17" t="str">
        <x:v>墨汁</x:v>
      </x:c>
      <x:c r="D192" s="17" t="str">
        <x:v>萃取机</x:v>
      </x:c>
      <x:c r="E192" s="17" t="n">
        <x:v>60</x:v>
      </x:c>
      <x:c r="F192" s="17" t="n">
        <x:v>120</x:v>
      </x:c>
      <x:c r="G192" s="17" t="n">
        <x:v>60</x:v>
      </x:c>
      <x:c r="H192" s="9"/>
      <x:c r="I192" s="9"/>
      <x:c r="J192" s="9"/>
      <x:c r="K192" s="9"/>
      <x:c r="L192" s="9"/>
      <x:c r="M192" s="9"/>
    </x:row>
    <x:row r="193" ht="22" customHeight="1">
      <x:c r="A193" s="17" t="n">
        <x:v>29</x:v>
      </x:c>
      <x:c r="B193" s="17" t="str">
        <x:v>圈圈蚊香</x:v>
      </x:c>
      <x:c r="C193" s="17" t="str">
        <x:v>圈圈蚊香</x:v>
      </x:c>
      <x:c r="D193" s="17" t="str">
        <x:v>窑炉</x:v>
      </x:c>
      <x:c r="E193" s="17" t="n">
        <x:v>120</x:v>
      </x:c>
      <x:c r="F193" s="17" t="n">
        <x:v>240</x:v>
      </x:c>
      <x:c r="G193" s="17" t="n">
        <x:v>120</x:v>
      </x:c>
      <x:c r="H193" s="9"/>
      <x:c r="I193" s="9"/>
      <x:c r="J193" s="9"/>
      <x:c r="K193" s="9"/>
      <x:c r="L193" s="9"/>
      <x:c r="M193" s="9"/>
    </x:row>
    <x:row r="194" ht="22" customHeight="1">
      <x:c r="A194" s="17" t="n">
        <x:v>34</x:v>
      </x:c>
      <x:c r="B194" s="17" t="str">
        <x:v>薰衣草软垫</x:v>
      </x:c>
      <x:c r="C194" s="17" t="str">
        <x:v>香绒草</x:v>
      </x:c>
      <x:c r="D194" s="17" t="str">
        <x:v>农田</x:v>
      </x:c>
      <x:c r="E194" s="17" t="n">
        <x:v>0</x:v>
      </x:c>
      <x:c r="F194" s="17" t="n">
        <x:v>15</x:v>
      </x:c>
      <x:c r="G194" s="17" t="n">
        <x:v>15</x:v>
      </x:c>
      <x:c r="H194" s="9"/>
      <x:c r="I194" s="9"/>
      <x:c r="J194" s="9"/>
      <x:c r="K194" s="9"/>
      <x:c r="L194" s="9"/>
      <x:c r="M194" s="9"/>
    </x:row>
    <x:row r="195" ht="22" customHeight="1">
      <x:c r="A195" s="17" t="n">
        <x:v>34</x:v>
      </x:c>
      <x:c r="B195" s="17" t="str">
        <x:v>薰衣草软垫</x:v>
      </x:c>
      <x:c r="C195" s="17" t="str">
        <x:v>香绒草</x:v>
      </x:c>
      <x:c r="D195" s="17" t="str">
        <x:v>农田</x:v>
      </x:c>
      <x:c r="E195" s="17" t="n">
        <x:v>0</x:v>
      </x:c>
      <x:c r="F195" s="17" t="n">
        <x:v>15</x:v>
      </x:c>
      <x:c r="G195" s="17" t="n">
        <x:v>15</x:v>
      </x:c>
      <x:c r="H195" s="9"/>
      <x:c r="I195" s="9"/>
      <x:c r="J195" s="9"/>
      <x:c r="K195" s="9"/>
      <x:c r="L195" s="9"/>
      <x:c r="M195" s="9"/>
    </x:row>
    <x:row r="196" ht="22" customHeight="1">
      <x:c r="A196" s="17" t="n">
        <x:v>34</x:v>
      </x:c>
      <x:c r="B196" s="17" t="str">
        <x:v>薰衣草软垫</x:v>
      </x:c>
      <x:c r="C196" s="17" t="str">
        <x:v>芦苇草</x:v>
      </x:c>
      <x:c r="D196" s="17" t="str">
        <x:v>农田</x:v>
      </x:c>
      <x:c r="E196" s="17" t="n">
        <x:v>0</x:v>
      </x:c>
      <x:c r="F196" s="17" t="n">
        <x:v>2</x:v>
      </x:c>
      <x:c r="G196" s="17" t="n">
        <x:v>2</x:v>
      </x:c>
      <x:c r="H196" s="9"/>
      <x:c r="I196" s="9"/>
      <x:c r="J196" s="9"/>
      <x:c r="K196" s="9"/>
      <x:c r="L196" s="9"/>
      <x:c r="M196" s="9"/>
    </x:row>
    <x:row r="197" ht="22" customHeight="1">
      <x:c r="A197" s="17" t="n">
        <x:v>34</x:v>
      </x:c>
      <x:c r="B197" s="17" t="str">
        <x:v>薰衣草软垫</x:v>
      </x:c>
      <x:c r="C197" s="17" t="str">
        <x:v>芦苇草</x:v>
      </x:c>
      <x:c r="D197" s="17" t="str">
        <x:v>农田</x:v>
      </x:c>
      <x:c r="E197" s="17" t="n">
        <x:v>0</x:v>
      </x:c>
      <x:c r="F197" s="17" t="n">
        <x:v>2</x:v>
      </x:c>
      <x:c r="G197" s="17" t="n">
        <x:v>2</x:v>
      </x:c>
      <x:c r="H197" s="9"/>
      <x:c r="I197" s="9"/>
      <x:c r="J197" s="9"/>
      <x:c r="K197" s="9"/>
      <x:c r="L197" s="9"/>
      <x:c r="M197" s="9"/>
    </x:row>
    <x:row r="198" ht="22" customHeight="1">
      <x:c r="A198" s="17" t="n">
        <x:v>34</x:v>
      </x:c>
      <x:c r="B198" s="17" t="str">
        <x:v>薰衣草软垫</x:v>
      </x:c>
      <x:c r="C198" s="17" t="str">
        <x:v>竹子</x:v>
      </x:c>
      <x:c r="D198" s="17" t="str">
        <x:v>农田</x:v>
      </x:c>
      <x:c r="E198" s="17" t="n">
        <x:v>0</x:v>
      </x:c>
      <x:c r="F198" s="17" t="n">
        <x:v>10</x:v>
      </x:c>
      <x:c r="G198" s="17" t="n">
        <x:v>10</x:v>
      </x:c>
      <x:c r="H198" s="9"/>
      <x:c r="I198" s="9"/>
      <x:c r="J198" s="9"/>
      <x:c r="K198" s="9"/>
      <x:c r="L198" s="9"/>
      <x:c r="M198" s="9"/>
    </x:row>
    <x:row r="199" ht="22" customHeight="1">
      <x:c r="A199" s="17" t="n">
        <x:v>34</x:v>
      </x:c>
      <x:c r="B199" s="17" t="str">
        <x:v>薰衣草软垫</x:v>
      </x:c>
      <x:c r="C199" s="17" t="str">
        <x:v>竹子</x:v>
      </x:c>
      <x:c r="D199" s="17" t="str">
        <x:v>农田</x:v>
      </x:c>
      <x:c r="E199" s="17" t="n">
        <x:v>0</x:v>
      </x:c>
      <x:c r="F199" s="17" t="n">
        <x:v>10</x:v>
      </x:c>
      <x:c r="G199" s="17" t="n">
        <x:v>10</x:v>
      </x:c>
      <x:c r="H199" s="9"/>
      <x:c r="I199" s="9"/>
      <x:c r="J199" s="9"/>
      <x:c r="K199" s="9"/>
      <x:c r="L199" s="9"/>
      <x:c r="M199" s="9"/>
    </x:row>
    <x:row r="200" ht="22" customHeight="1">
      <x:c r="A200" s="17" t="n">
        <x:v>34</x:v>
      </x:c>
      <x:c r="B200" s="17" t="str">
        <x:v>薰衣草软垫</x:v>
      </x:c>
      <x:c r="C200" s="17" t="str">
        <x:v>薰衣草</x:v>
      </x:c>
      <x:c r="D200" s="17" t="str">
        <x:v>农田</x:v>
      </x:c>
      <x:c r="E200" s="17" t="n">
        <x:v>0</x:v>
      </x:c>
      <x:c r="F200" s="17" t="n">
        <x:v>20</x:v>
      </x:c>
      <x:c r="G200" s="17" t="n">
        <x:v>20</x:v>
      </x:c>
      <x:c r="H200" s="9"/>
      <x:c r="I200" s="9"/>
      <x:c r="J200" s="9"/>
      <x:c r="K200" s="9"/>
      <x:c r="L200" s="9"/>
      <x:c r="M200" s="9"/>
    </x:row>
    <x:row r="201" ht="22" customHeight="1">
      <x:c r="A201" s="17" t="n">
        <x:v>34</x:v>
      </x:c>
      <x:c r="B201" s="17" t="str">
        <x:v>薰衣草软垫</x:v>
      </x:c>
      <x:c r="C201" s="17" t="str">
        <x:v>薰衣草</x:v>
      </x:c>
      <x:c r="D201" s="17" t="str">
        <x:v>农田</x:v>
      </x:c>
      <x:c r="E201" s="17" t="n">
        <x:v>0</x:v>
      </x:c>
      <x:c r="F201" s="17" t="n">
        <x:v>20</x:v>
      </x:c>
      <x:c r="G201" s="17" t="n">
        <x:v>20</x:v>
      </x:c>
      <x:c r="H201" s="9"/>
      <x:c r="I201" s="9"/>
      <x:c r="J201" s="9"/>
      <x:c r="K201" s="9"/>
      <x:c r="L201" s="9"/>
      <x:c r="M201" s="9"/>
    </x:row>
    <x:row r="202" ht="22" customHeight="1">
      <x:c r="A202" s="17" t="n">
        <x:v>34</x:v>
      </x:c>
      <x:c r="B202" s="17" t="str">
        <x:v>薰衣草软垫</x:v>
      </x:c>
      <x:c r="C202" s="17" t="str">
        <x:v>芦苇丝</x:v>
      </x:c>
      <x:c r="D202" s="17" t="str">
        <x:v>研磨机</x:v>
      </x:c>
      <x:c r="E202" s="17" t="n">
        <x:v>2</x:v>
      </x:c>
      <x:c r="F202" s="17" t="n">
        <x:v>7</x:v>
      </x:c>
      <x:c r="G202" s="17" t="n">
        <x:v>5</x:v>
      </x:c>
      <x:c r="H202" s="9"/>
      <x:c r="I202" s="9"/>
      <x:c r="J202" s="9"/>
      <x:c r="K202" s="9"/>
      <x:c r="L202" s="9"/>
      <x:c r="M202" s="9"/>
    </x:row>
    <x:row r="203" ht="22" customHeight="1">
      <x:c r="A203" s="17" t="n">
        <x:v>34</x:v>
      </x:c>
      <x:c r="B203" s="17" t="str">
        <x:v>薰衣草软垫</x:v>
      </x:c>
      <x:c r="C203" s="17" t="str">
        <x:v>竹条</x:v>
      </x:c>
      <x:c r="D203" s="17" t="str">
        <x:v>切割机</x:v>
      </x:c>
      <x:c r="E203" s="17" t="n">
        <x:v>10</x:v>
      </x:c>
      <x:c r="F203" s="17" t="n">
        <x:v>20</x:v>
      </x:c>
      <x:c r="G203" s="17" t="n">
        <x:v>10</x:v>
      </x:c>
      <x:c r="H203" s="9"/>
      <x:c r="I203" s="9"/>
      <x:c r="J203" s="9"/>
      <x:c r="K203" s="9"/>
      <x:c r="L203" s="9"/>
      <x:c r="M203" s="9"/>
    </x:row>
    <x:row r="204" ht="22" customHeight="1">
      <x:c r="A204" s="17" t="n">
        <x:v>34</x:v>
      </x:c>
      <x:c r="B204" s="17" t="str">
        <x:v>薰衣草软垫</x:v>
      </x:c>
      <x:c r="C204" s="17" t="str">
        <x:v>绒香粉</x:v>
      </x:c>
      <x:c r="D204" s="17" t="str">
        <x:v>研磨机</x:v>
      </x:c>
      <x:c r="E204" s="17" t="n">
        <x:v>15</x:v>
      </x:c>
      <x:c r="F204" s="17" t="n">
        <x:v>35</x:v>
      </x:c>
      <x:c r="G204" s="17" t="n">
        <x:v>20</x:v>
      </x:c>
      <x:c r="H204" s="9"/>
      <x:c r="I204" s="9"/>
      <x:c r="J204" s="9"/>
      <x:c r="K204" s="9"/>
      <x:c r="L204" s="9"/>
      <x:c r="M204" s="9"/>
    </x:row>
    <x:row r="205" ht="22" customHeight="1">
      <x:c r="A205" s="17" t="n">
        <x:v>34</x:v>
      </x:c>
      <x:c r="B205" s="17" t="str">
        <x:v>薰衣草软垫</x:v>
      </x:c>
      <x:c r="C205" s="17" t="str">
        <x:v>竹编小垫</x:v>
      </x:c>
      <x:c r="D205" s="17" t="str">
        <x:v>纺织机</x:v>
      </x:c>
      <x:c r="E205" s="17" t="n">
        <x:v>20</x:v>
      </x:c>
      <x:c r="F205" s="17" t="n">
        <x:v>50</x:v>
      </x:c>
      <x:c r="G205" s="17" t="n">
        <x:v>30</x:v>
      </x:c>
      <x:c r="H205" s="9"/>
      <x:c r="I205" s="9"/>
      <x:c r="J205" s="9"/>
      <x:c r="K205" s="9"/>
      <x:c r="L205" s="9"/>
      <x:c r="M205" s="9"/>
    </x:row>
    <x:row r="206" ht="22" customHeight="1">
      <x:c r="A206" s="17" t="n">
        <x:v>34</x:v>
      </x:c>
      <x:c r="B206" s="17" t="str">
        <x:v>薰衣草软垫</x:v>
      </x:c>
      <x:c r="C206" s="17" t="str">
        <x:v>薰衣草软垫</x:v>
      </x:c>
      <x:c r="D206" s="17" t="str">
        <x:v>窑炉</x:v>
      </x:c>
      <x:c r="E206" s="17" t="n">
        <x:v>50</x:v>
      </x:c>
      <x:c r="F206" s="17" t="n">
        <x:v>200</x:v>
      </x:c>
      <x:c r="G206" s="17" t="n">
        <x:v>150</x:v>
      </x:c>
      <x:c r="H206" s="9"/>
      <x:c r="I206" s="9"/>
      <x:c r="J206" s="9"/>
      <x:c r="K206" s="9"/>
      <x:c r="L206" s="9"/>
      <x:c r="M206" s="9"/>
    </x:row>
    <x:row r="207" ht="22" customHeight="1">
      <x:c r="A207" s="17" t="n">
        <x:v>38</x:v>
      </x:c>
      <x:c r="B207" s="17" t="str">
        <x:v>花瓣小灯</x:v>
      </x:c>
      <x:c r="C207" s="17" t="str">
        <x:v>芦苇草</x:v>
      </x:c>
      <x:c r="D207" s="17" t="str">
        <x:v>农田</x:v>
      </x:c>
      <x:c r="E207" s="17" t="n">
        <x:v>0</x:v>
      </x:c>
      <x:c r="F207" s="17" t="n">
        <x:v>2</x:v>
      </x:c>
      <x:c r="G207" s="17" t="n">
        <x:v>2</x:v>
      </x:c>
      <x:c r="H207" s="9"/>
      <x:c r="I207" s="9"/>
      <x:c r="J207" s="9"/>
      <x:c r="K207" s="9"/>
      <x:c r="L207" s="9"/>
      <x:c r="M207" s="9"/>
    </x:row>
    <x:row r="208" ht="22" customHeight="1">
      <x:c r="A208" s="17" t="n">
        <x:v>38</x:v>
      </x:c>
      <x:c r="B208" s="17" t="str">
        <x:v>花瓣小灯</x:v>
      </x:c>
      <x:c r="C208" s="17" t="str">
        <x:v>棉花</x:v>
      </x:c>
      <x:c r="D208" s="17" t="str">
        <x:v>农田</x:v>
      </x:c>
      <x:c r="E208" s="17" t="n">
        <x:v>0</x:v>
      </x:c>
      <x:c r="F208" s="17" t="n">
        <x:v>5</x:v>
      </x:c>
      <x:c r="G208" s="17" t="n">
        <x:v>5</x:v>
      </x:c>
      <x:c r="H208" s="9"/>
      <x:c r="I208" s="9"/>
      <x:c r="J208" s="9"/>
      <x:c r="K208" s="9"/>
      <x:c r="L208" s="9"/>
      <x:c r="M208" s="9"/>
    </x:row>
    <x:row r="209" ht="22" customHeight="1">
      <x:c r="A209" s="17" t="n">
        <x:v>38</x:v>
      </x:c>
      <x:c r="B209" s="17" t="str">
        <x:v>花瓣小灯</x:v>
      </x:c>
      <x:c r="C209" s="17" t="str">
        <x:v>竹子</x:v>
      </x:c>
      <x:c r="D209" s="17" t="str">
        <x:v>农田</x:v>
      </x:c>
      <x:c r="E209" s="17" t="n">
        <x:v>0</x:v>
      </x:c>
      <x:c r="F209" s="17" t="n">
        <x:v>10</x:v>
      </x:c>
      <x:c r="G209" s="17" t="n">
        <x:v>10</x:v>
      </x:c>
      <x:c r="H209" s="9"/>
      <x:c r="I209" s="9"/>
      <x:c r="J209" s="9"/>
      <x:c r="K209" s="9"/>
      <x:c r="L209" s="9"/>
      <x:c r="M209" s="9"/>
    </x:row>
    <x:row r="210" ht="22" customHeight="1">
      <x:c r="A210" s="17" t="n">
        <x:v>38</x:v>
      </x:c>
      <x:c r="B210" s="17" t="str">
        <x:v>花瓣小灯</x:v>
      </x:c>
      <x:c r="C210" s="17" t="str">
        <x:v>竹子</x:v>
      </x:c>
      <x:c r="D210" s="17" t="str">
        <x:v>农田</x:v>
      </x:c>
      <x:c r="E210" s="17" t="n">
        <x:v>0</x:v>
      </x:c>
      <x:c r="F210" s="17" t="n">
        <x:v>10</x:v>
      </x:c>
      <x:c r="G210" s="17" t="n">
        <x:v>10</x:v>
      </x:c>
      <x:c r="H210" s="9"/>
      <x:c r="I210" s="9"/>
      <x:c r="J210" s="9"/>
      <x:c r="K210" s="9"/>
      <x:c r="L210" s="9"/>
      <x:c r="M210" s="9"/>
    </x:row>
    <x:row r="211" ht="22" customHeight="1">
      <x:c r="A211" s="17" t="n">
        <x:v>38</x:v>
      </x:c>
      <x:c r="B211" s="17" t="str">
        <x:v>花瓣小灯</x:v>
      </x:c>
      <x:c r="C211" s="17" t="str">
        <x:v>竹子</x:v>
      </x:c>
      <x:c r="D211" s="17" t="str">
        <x:v>农田</x:v>
      </x:c>
      <x:c r="E211" s="17" t="n">
        <x:v>0</x:v>
      </x:c>
      <x:c r="F211" s="17" t="n">
        <x:v>10</x:v>
      </x:c>
      <x:c r="G211" s="17" t="n">
        <x:v>10</x:v>
      </x:c>
      <x:c r="H211" s="9"/>
      <x:c r="I211" s="9"/>
      <x:c r="J211" s="9"/>
      <x:c r="K211" s="9"/>
      <x:c r="L211" s="9"/>
      <x:c r="M211" s="9"/>
    </x:row>
    <x:row r="212" ht="22" customHeight="1">
      <x:c r="A212" s="17" t="n">
        <x:v>38</x:v>
      </x:c>
      <x:c r="B212" s="17" t="str">
        <x:v>花瓣小灯</x:v>
      </x:c>
      <x:c r="C212" s="17" t="str">
        <x:v>竹子</x:v>
      </x:c>
      <x:c r="D212" s="17" t="str">
        <x:v>农田</x:v>
      </x:c>
      <x:c r="E212" s="17" t="n">
        <x:v>0</x:v>
      </x:c>
      <x:c r="F212" s="17" t="n">
        <x:v>10</x:v>
      </x:c>
      <x:c r="G212" s="17" t="n">
        <x:v>10</x:v>
      </x:c>
      <x:c r="H212" s="9"/>
      <x:c r="I212" s="9"/>
      <x:c r="J212" s="9"/>
      <x:c r="K212" s="9"/>
      <x:c r="L212" s="9"/>
      <x:c r="M212" s="9"/>
    </x:row>
    <x:row r="213" ht="22" customHeight="1">
      <x:c r="A213" s="17" t="n">
        <x:v>38</x:v>
      </x:c>
      <x:c r="B213" s="17" t="str">
        <x:v>花瓣小灯</x:v>
      </x:c>
      <x:c r="C213" s="17" t="str">
        <x:v>竹子</x:v>
      </x:c>
      <x:c r="D213" s="17" t="str">
        <x:v>农田</x:v>
      </x:c>
      <x:c r="E213" s="17" t="n">
        <x:v>0</x:v>
      </x:c>
      <x:c r="F213" s="17" t="n">
        <x:v>10</x:v>
      </x:c>
      <x:c r="G213" s="17" t="n">
        <x:v>10</x:v>
      </x:c>
      <x:c r="H213" s="9"/>
      <x:c r="I213" s="9"/>
      <x:c r="J213" s="9"/>
      <x:c r="K213" s="9"/>
      <x:c r="L213" s="9"/>
      <x:c r="M213" s="9"/>
    </x:row>
    <x:row r="214" ht="22" customHeight="1">
      <x:c r="A214" s="17" t="n">
        <x:v>38</x:v>
      </x:c>
      <x:c r="B214" s="17" t="str">
        <x:v>花瓣小灯</x:v>
      </x:c>
      <x:c r="C214" s="17" t="str">
        <x:v>竹子</x:v>
      </x:c>
      <x:c r="D214" s="17" t="str">
        <x:v>农田</x:v>
      </x:c>
      <x:c r="E214" s="17" t="n">
        <x:v>0</x:v>
      </x:c>
      <x:c r="F214" s="17" t="n">
        <x:v>10</x:v>
      </x:c>
      <x:c r="G214" s="17" t="n">
        <x:v>10</x:v>
      </x:c>
      <x:c r="H214" s="9"/>
      <x:c r="I214" s="9"/>
      <x:c r="J214" s="9"/>
      <x:c r="K214" s="9"/>
      <x:c r="L214" s="9"/>
      <x:c r="M214" s="9"/>
    </x:row>
    <x:row r="215" ht="22" customHeight="1">
      <x:c r="A215" s="17" t="n">
        <x:v>38</x:v>
      </x:c>
      <x:c r="B215" s="17" t="str">
        <x:v>花瓣小灯</x:v>
      </x:c>
      <x:c r="C215" s="17" t="str">
        <x:v>芍药花</x:v>
      </x:c>
      <x:c r="D215" s="17" t="str">
        <x:v>农田</x:v>
      </x:c>
      <x:c r="E215" s="17" t="n">
        <x:v>0</x:v>
      </x:c>
      <x:c r="F215" s="17" t="n">
        <x:v>30</x:v>
      </x:c>
      <x:c r="G215" s="17" t="n">
        <x:v>30</x:v>
      </x:c>
      <x:c r="H215" s="9"/>
      <x:c r="I215" s="9"/>
      <x:c r="J215" s="9"/>
      <x:c r="K215" s="9"/>
      <x:c r="L215" s="9"/>
      <x:c r="M215" s="9"/>
    </x:row>
    <x:row r="216" ht="22" customHeight="1">
      <x:c r="A216" s="17" t="n">
        <x:v>38</x:v>
      </x:c>
      <x:c r="B216" s="17" t="str">
        <x:v>花瓣小灯</x:v>
      </x:c>
      <x:c r="C216" s="17" t="str">
        <x:v>芍药花</x:v>
      </x:c>
      <x:c r="D216" s="17" t="str">
        <x:v>农田</x:v>
      </x:c>
      <x:c r="E216" s="17" t="n">
        <x:v>0</x:v>
      </x:c>
      <x:c r="F216" s="17" t="n">
        <x:v>30</x:v>
      </x:c>
      <x:c r="G216" s="17" t="n">
        <x:v>30</x:v>
      </x:c>
      <x:c r="H216" s="9"/>
      <x:c r="I216" s="9"/>
      <x:c r="J216" s="9"/>
      <x:c r="K216" s="9"/>
      <x:c r="L216" s="9"/>
      <x:c r="M216" s="9"/>
    </x:row>
    <x:row r="217" ht="22" customHeight="1">
      <x:c r="A217" s="17" t="n">
        <x:v>38</x:v>
      </x:c>
      <x:c r="B217" s="17" t="str">
        <x:v>花瓣小灯</x:v>
      </x:c>
      <x:c r="C217" s="17" t="str">
        <x:v>蜡烛花</x:v>
      </x:c>
      <x:c r="D217" s="17" t="str">
        <x:v>农田</x:v>
      </x:c>
      <x:c r="E217" s="17" t="n">
        <x:v>0</x:v>
      </x:c>
      <x:c r="F217" s="17" t="n">
        <x:v>90</x:v>
      </x:c>
      <x:c r="G217" s="17" t="n">
        <x:v>90</x:v>
      </x:c>
      <x:c r="H217" s="9"/>
      <x:c r="I217" s="9"/>
      <x:c r="J217" s="9"/>
      <x:c r="K217" s="9"/>
      <x:c r="L217" s="9"/>
      <x:c r="M217" s="9"/>
    </x:row>
    <x:row r="218" ht="22" customHeight="1">
      <x:c r="A218" s="17" t="n">
        <x:v>38</x:v>
      </x:c>
      <x:c r="B218" s="17" t="str">
        <x:v>花瓣小灯</x:v>
      </x:c>
      <x:c r="C218" s="17" t="str">
        <x:v>蜡烛花</x:v>
      </x:c>
      <x:c r="D218" s="17" t="str">
        <x:v>农田</x:v>
      </x:c>
      <x:c r="E218" s="17" t="n">
        <x:v>0</x:v>
      </x:c>
      <x:c r="F218" s="17" t="n">
        <x:v>90</x:v>
      </x:c>
      <x:c r="G218" s="17" t="n">
        <x:v>90</x:v>
      </x:c>
      <x:c r="H218" s="9"/>
      <x:c r="I218" s="9"/>
      <x:c r="J218" s="9"/>
      <x:c r="K218" s="9"/>
      <x:c r="L218" s="9"/>
      <x:c r="M218" s="9"/>
    </x:row>
    <x:row r="219" ht="22" customHeight="1">
      <x:c r="A219" s="17" t="n">
        <x:v>38</x:v>
      </x:c>
      <x:c r="B219" s="17" t="str">
        <x:v>花瓣小灯</x:v>
      </x:c>
      <x:c r="C219" s="17" t="str">
        <x:v>棉绒团</x:v>
      </x:c>
      <x:c r="D219" s="17" t="str">
        <x:v>研磨机</x:v>
      </x:c>
      <x:c r="E219" s="17" t="n">
        <x:v>5</x:v>
      </x:c>
      <x:c r="F219" s="17" t="n">
        <x:v>15</x:v>
      </x:c>
      <x:c r="G219" s="17" t="n">
        <x:v>10</x:v>
      </x:c>
      <x:c r="H219" s="9"/>
      <x:c r="I219" s="9"/>
      <x:c r="J219" s="9"/>
      <x:c r="K219" s="9"/>
      <x:c r="L219" s="9"/>
      <x:c r="M219" s="9"/>
    </x:row>
    <x:row r="220" ht="22" customHeight="1">
      <x:c r="A220" s="17" t="n">
        <x:v>38</x:v>
      </x:c>
      <x:c r="B220" s="17" t="str">
        <x:v>花瓣小灯</x:v>
      </x:c>
      <x:c r="C220" s="17" t="str">
        <x:v>小竹框</x:v>
      </x:c>
      <x:c r="D220" s="17" t="str">
        <x:v>切割机</x:v>
      </x:c>
      <x:c r="E220" s="17" t="n">
        <x:v>10</x:v>
      </x:c>
      <x:c r="F220" s="17" t="n">
        <x:v>40</x:v>
      </x:c>
      <x:c r="G220" s="17" t="n">
        <x:v>30</x:v>
      </x:c>
      <x:c r="H220" s="9"/>
      <x:c r="I220" s="9"/>
      <x:c r="J220" s="9"/>
      <x:c r="K220" s="9"/>
      <x:c r="L220" s="9"/>
      <x:c r="M220" s="9"/>
    </x:row>
    <x:row r="221" ht="22" customHeight="1">
      <x:c r="A221" s="17" t="n">
        <x:v>38</x:v>
      </x:c>
      <x:c r="B221" s="17" t="str">
        <x:v>花瓣小灯</x:v>
      </x:c>
      <x:c r="C221" s="17" t="str">
        <x:v>花瓣竹板</x:v>
      </x:c>
      <x:c r="D221" s="17" t="str">
        <x:v>切割机</x:v>
      </x:c>
      <x:c r="E221" s="17" t="n">
        <x:v>40</x:v>
      </x:c>
      <x:c r="F221" s="17" t="n">
        <x:v>85</x:v>
      </x:c>
      <x:c r="G221" s="17" t="n">
        <x:v>45</x:v>
      </x:c>
      <x:c r="H221" s="9"/>
      <x:c r="I221" s="9"/>
      <x:c r="J221" s="9"/>
      <x:c r="K221" s="9"/>
      <x:c r="L221" s="9"/>
      <x:c r="M221" s="9"/>
    </x:row>
    <x:row r="222" ht="22" customHeight="1">
      <x:c r="A222" s="17" t="n">
        <x:v>38</x:v>
      </x:c>
      <x:c r="B222" s="17" t="str">
        <x:v>花瓣小灯</x:v>
      </x:c>
      <x:c r="C222" s="17" t="str">
        <x:v>绒绒灯罩</x:v>
      </x:c>
      <x:c r="D222" s="17" t="str">
        <x:v>纺织机</x:v>
      </x:c>
      <x:c r="E222" s="17" t="n">
        <x:v>40</x:v>
      </x:c>
      <x:c r="F222" s="17" t="n">
        <x:v>160</x:v>
      </x:c>
      <x:c r="G222" s="17" t="n">
        <x:v>120</x:v>
      </x:c>
      <x:c r="H222" s="9"/>
      <x:c r="I222" s="9"/>
      <x:c r="J222" s="9"/>
      <x:c r="K222" s="9"/>
      <x:c r="L222" s="9"/>
      <x:c r="M222" s="9"/>
    </x:row>
    <x:row r="223" ht="22" customHeight="1">
      <x:c r="A223" s="17" t="n">
        <x:v>38</x:v>
      </x:c>
      <x:c r="B223" s="17" t="str">
        <x:v>花瓣小灯</x:v>
      </x:c>
      <x:c r="C223" s="17" t="str">
        <x:v>花瓣小灯</x:v>
      </x:c>
      <x:c r="D223" s="17" t="str">
        <x:v>窑炉</x:v>
      </x:c>
      <x:c r="E223" s="17" t="n">
        <x:v>160</x:v>
      </x:c>
      <x:c r="F223" s="17" t="n">
        <x:v>340</x:v>
      </x:c>
      <x:c r="G223" s="17" t="n">
        <x:v>180</x:v>
      </x:c>
      <x:c r="H223" s="9"/>
      <x:c r="I223" s="9"/>
      <x:c r="J223" s="9"/>
      <x:c r="K223" s="9"/>
      <x:c r="L223" s="9"/>
      <x:c r="M223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9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</x:cols>
  <x:sheetData>
    <x:row r="1" ht="30" customHeight="1">
      <x:c r="A1" s="11" t="str">
        <x:v>全链展开与深度计算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</x:row>
    <x:row r="2" ht="24" customHeight="1">
      <x:c r="A2" s="12" t="str">
        <x:v>每列做1件目标：全链数量＝投入产出矩阵的逆矩阵。深度由最多N轮依赖展开计算。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</x:row>
    <x:row r="3" ht="22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</x:row>
    <x:row r="4" ht="22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</x:row>
    <x:row r="5" ht="32" customHeight="1">
      <x:c r="A5" s="21" t="str">
        <x:v>上游ID</x:v>
      </x:c>
      <x:c r="B5" s="21" t="str">
        <x:v>上游商品</x:v>
      </x:c>
      <x:c r="C5" s="21" t="str">
        <x:v>建筑</x:v>
      </x:c>
      <x:c r="D5" s="21" t="str">
        <x:v>本步min</x:v>
      </x:c>
      <x:c r="E5" s="21" t="n">
        <x:v>1</x:v>
      </x:c>
      <x:c r="F5" s="21" t="n">
        <x:v>2</x:v>
      </x:c>
      <x:c r="G5" s="21" t="n">
        <x:v>5</x:v>
      </x:c>
      <x:c r="H5" s="21" t="n">
        <x:v>10</x:v>
      </x:c>
      <x:c r="I5" s="21" t="n">
        <x:v>15</x:v>
      </x:c>
      <x:c r="J5" s="21" t="n">
        <x:v>17</x:v>
      </x:c>
      <x:c r="K5" s="21" t="n">
        <x:v>24</x:v>
      </x:c>
      <x:c r="L5" s="21" t="n">
        <x:v>30</x:v>
      </x:c>
      <x:c r="M5" s="21" t="n">
        <x:v>35</x:v>
      </x:c>
      <x:c r="N5" s="21" t="n">
        <x:v>3</x:v>
      </x:c>
      <x:c r="O5" s="21" t="n">
        <x:v>4</x:v>
      </x:c>
      <x:c r="P5" s="21" t="n">
        <x:v>12</x:v>
      </x:c>
      <x:c r="Q5" s="21" t="n">
        <x:v>22</x:v>
      </x:c>
      <x:c r="R5" s="21" t="n">
        <x:v>33</x:v>
      </x:c>
      <x:c r="S5" s="21" t="n">
        <x:v>6</x:v>
      </x:c>
      <x:c r="T5" s="21" t="n">
        <x:v>7</x:v>
      </x:c>
      <x:c r="U5" s="21" t="n">
        <x:v>20</x:v>
      </x:c>
      <x:c r="V5" s="21" t="n">
        <x:v>28</x:v>
      </x:c>
      <x:c r="W5" s="21" t="n">
        <x:v>36</x:v>
      </x:c>
      <x:c r="X5" s="21" t="n">
        <x:v>14</x:v>
      </x:c>
      <x:c r="Y5" s="21" t="n">
        <x:v>16</x:v>
      </x:c>
      <x:c r="Z5" s="21" t="n">
        <x:v>21</x:v>
      </x:c>
      <x:c r="AA5" s="21" t="n">
        <x:v>27</x:v>
      </x:c>
      <x:c r="AB5" s="21" t="n">
        <x:v>32</x:v>
      </x:c>
      <x:c r="AC5" s="21" t="n">
        <x:v>37</x:v>
      </x:c>
      <x:c r="AD5" s="21" t="n">
        <x:v>13</x:v>
      </x:c>
      <x:c r="AE5" s="21" t="n">
        <x:v>18</x:v>
      </x:c>
      <x:c r="AF5" s="21" t="n">
        <x:v>25</x:v>
      </x:c>
      <x:c r="AG5" s="21" t="n">
        <x:v>31</x:v>
      </x:c>
      <x:c r="AH5" s="21" t="n">
        <x:v>19</x:v>
      </x:c>
      <x:c r="AI5" s="21" t="n">
        <x:v>23</x:v>
      </x:c>
      <x:c r="AJ5" s="21" t="n">
        <x:v>26</x:v>
      </x:c>
      <x:c r="AK5" s="21" t="n">
        <x:v>29</x:v>
      </x:c>
      <x:c r="AL5" s="21" t="n">
        <x:v>34</x:v>
      </x:c>
      <x:c r="AM5" s="21" t="n">
        <x:v>38</x:v>
      </x:c>
    </x:row>
    <x:row r="6" ht="22" customHeight="1">
      <x:c r="A6" s="17"/>
      <x:c r="B6" s="17"/>
      <x:c r="C6" s="17"/>
      <x:c r="D6" s="17"/>
      <x:c r="E6" s="17" t="str">
        <x:f>'01_数值调参'!E6</x:f>
        <x:v>芦苇草</x:v>
      </x:c>
      <x:c r="F6" s="17" t="str">
        <x:f>'01_数值调参'!F6</x:f>
        <x:v>棉花</x:v>
      </x:c>
      <x:c r="G6" s="17" t="str">
        <x:f>'01_数值调参'!G6</x:f>
        <x:v>竹子</x:v>
      </x:c>
      <x:c r="H6" s="17" t="str">
        <x:f>'01_数值调参'!H6</x:f>
        <x:v>香绒草</x:v>
      </x:c>
      <x:c r="I6" s="17" t="str">
        <x:f>'01_数值调参'!I6</x:f>
        <x:v>薰衣草</x:v>
      </x:c>
      <x:c r="J6" s="17" t="str">
        <x:f>'01_数值调参'!J6</x:f>
        <x:v>芍药花</x:v>
      </x:c>
      <x:c r="K6" s="17" t="str">
        <x:f>'01_数值调参'!K6</x:f>
        <x:v>墨水花</x:v>
      </x:c>
      <x:c r="L6" s="17" t="str">
        <x:f>'01_数值调参'!L6</x:f>
        <x:v>蜡烛花</x:v>
      </x:c>
      <x:c r="M6" s="17" t="str">
        <x:f>'01_数值调参'!M6</x:f>
        <x:v>浆果珍珠</x:v>
      </x:c>
      <x:c r="N6" s="17" t="str">
        <x:f>'01_数值调参'!N6</x:f>
        <x:v>芦苇丝</x:v>
      </x:c>
      <x:c r="O6" s="17" t="str">
        <x:f>'01_数值调参'!O6</x:f>
        <x:v>棉绒团</x:v>
      </x:c>
      <x:c r="P6" s="17" t="str">
        <x:f>'01_数值调参'!P6</x:f>
        <x:v>绒香粉</x:v>
      </x:c>
      <x:c r="Q6" s="17" t="str">
        <x:f>'01_数值调参'!Q6</x:f>
        <x:v>云朵香粉</x:v>
      </x:c>
      <x:c r="R6" s="17" t="str">
        <x:f>'01_数值调参'!R6</x:f>
        <x:v>乌云绒团</x:v>
      </x:c>
      <x:c r="S6" s="17" t="str">
        <x:f>'01_数值调参'!S6</x:f>
        <x:v>竹条</x:v>
      </x:c>
      <x:c r="T6" s="17" t="str">
        <x:f>'01_数值调参'!T6</x:f>
        <x:v>薄竹片</x:v>
      </x:c>
      <x:c r="U6" s="17" t="str">
        <x:f>'01_数值调参'!U6</x:f>
        <x:v>小竹框</x:v>
      </x:c>
      <x:c r="V6" s="17" t="str">
        <x:f>'01_数值调参'!V6</x:f>
        <x:v>花瓣竹板</x:v>
      </x:c>
      <x:c r="W6" s="17" t="str">
        <x:f>'01_数值调参'!W6</x:f>
        <x:v>珍珠衣帽架</x:v>
      </x:c>
      <x:c r="X6" s="17" t="str">
        <x:f>'01_数值调参'!X6</x:f>
        <x:v>竹编小垫</x:v>
      </x:c>
      <x:c r="Y6" s="17" t="str">
        <x:f>'01_数值调参'!Y6</x:f>
        <x:v>软棉布</x:v>
      </x:c>
      <x:c r="Z6" s="17" t="str">
        <x:f>'01_数值调参'!Z6</x:f>
        <x:v>竹帘</x:v>
      </x:c>
      <x:c r="AA6" s="17" t="str">
        <x:f>'01_数值调参'!AA6</x:f>
        <x:v>绒绒灯罩</x:v>
      </x:c>
      <x:c r="AB6" s="17" t="str">
        <x:f>'01_数值调参'!AB6</x:f>
        <x:v>软边小席</x:v>
      </x:c>
      <x:c r="AC6" s="17" t="str">
        <x:f>'01_数值调参'!AC6</x:f>
        <x:v>雨滴篮子</x:v>
      </x:c>
      <x:c r="AD6" s="17" t="str">
        <x:f>'01_数值调参'!AD6</x:f>
        <x:v>薰衣草精油</x:v>
      </x:c>
      <x:c r="AE6" s="17" t="str">
        <x:f>'01_数值调参'!AE6</x:f>
        <x:v>花瓣香水</x:v>
      </x:c>
      <x:c r="AF6" s="17" t="str">
        <x:f>'01_数值调参'!AF6</x:f>
        <x:v>墨汁</x:v>
      </x:c>
      <x:c r="AG6" s="17" t="str">
        <x:f>'01_数值调参'!AG6</x:f>
        <x:v>花蜡</x:v>
      </x:c>
      <x:c r="AH6" s="17" t="str">
        <x:f>'01_数值调参'!AH6</x:f>
        <x:v>竹炭画笔</x:v>
      </x:c>
      <x:c r="AI6" s="17" t="str">
        <x:f>'01_数值调参'!AI6</x:f>
        <x:v>薰衣草香棒</x:v>
      </x:c>
      <x:c r="AJ6" s="17" t="str">
        <x:f>'01_数值调参'!AJ6</x:f>
        <x:v>竹制盆景</x:v>
      </x:c>
      <x:c r="AK6" s="17" t="str">
        <x:f>'01_数值调参'!AK6</x:f>
        <x:v>圈圈蚊香</x:v>
      </x:c>
      <x:c r="AL6" s="17" t="str">
        <x:f>'01_数值调参'!AL6</x:f>
        <x:v>薰衣草软垫</x:v>
      </x:c>
      <x:c r="AM6" s="17" t="str">
        <x:f>'01_数值调参'!AM6</x:f>
        <x:v>花瓣小灯</x:v>
      </x:c>
    </x:row>
    <x:row r="7" ht="22" customHeight="1">
      <x:c r="A7" s="17" t="n">
        <x:v>1</x:v>
      </x:c>
      <x:c r="B7" s="17" t="str">
        <x:v>芦苇草</x:v>
      </x:c>
      <x:c r="C7" s="17" t="str">
        <x:v>农田</x:v>
      </x:c>
      <x:c r="D7" s="17" t="n">
        <x:f>'01_数值调参'!E9</x:f>
        <x:v>2</x:v>
      </x:c>
      <x:c r="E7" s="17" t="n" cm="1">
        <x:f t="array" ref="E7:AM41">MINVERSE('01_数值调参'!$E$18:$AM$52)</x:f>
        <x:v>1</x:v>
      </x:c>
      <x:c r="F7" s="17" t="n">
        <x:v>0</x:v>
      </x:c>
      <x:c r="G7" s="17" t="n">
        <x:v>0</x:v>
      </x:c>
      <x:c r="H7" s="17" t="n">
        <x:v>0</x:v>
      </x:c>
      <x:c r="I7" s="17" t="n">
        <x:v>0</x:v>
      </x:c>
      <x:c r="J7" s="17" t="n">
        <x:v>0</x:v>
      </x:c>
      <x:c r="K7" s="17" t="n">
        <x:v>0</x:v>
      </x:c>
      <x:c r="L7" s="17" t="n">
        <x:v>0</x:v>
      </x:c>
      <x:c r="M7" s="17" t="n">
        <x:v>0</x:v>
      </x:c>
      <x:c r="N7" s="17" t="n">
        <x:v>2</x:v>
      </x:c>
      <x:c r="O7" s="17" t="n">
        <x:v>1</x:v>
      </x:c>
      <x:c r="P7" s="17" t="n">
        <x:v>0</x:v>
      </x:c>
      <x:c r="Q7" s="17" t="n">
        <x:v>0</x:v>
      </x:c>
      <x:c r="R7" s="17" t="n">
        <x:v>2</x:v>
      </x:c>
      <x:c r="S7" s="17" t="n">
        <x:v>0</x:v>
      </x:c>
      <x:c r="T7" s="17" t="n">
        <x:v>0</x:v>
      </x:c>
      <x:c r="U7" s="17" t="n">
        <x:v>0</x:v>
      </x:c>
      <x:c r="V7" s="17" t="n">
        <x:v>0</x:v>
      </x:c>
      <x:c r="W7" s="17" t="n">
        <x:v>0</x:v>
      </x:c>
      <x:c r="X7" s="17" t="n">
        <x:v>2</x:v>
      </x:c>
      <x:c r="Y7" s="17" t="n">
        <x:v>3</x:v>
      </x:c>
      <x:c r="Z7" s="17" t="n">
        <x:v>0</x:v>
      </x:c>
      <x:c r="AA7" s="17" t="n">
        <x:v>1</x:v>
      </x:c>
      <x:c r="AB7" s="17" t="n">
        <x:v>2</x:v>
      </x:c>
      <x:c r="AC7" s="17" t="n">
        <x:v>3</x:v>
      </x:c>
      <x:c r="AD7" s="17" t="n">
        <x:v>0</x:v>
      </x:c>
      <x:c r="AE7" s="17" t="n">
        <x:v>0</x:v>
      </x:c>
      <x:c r="AF7" s="17" t="n">
        <x:v>0</x:v>
      </x:c>
      <x:c r="AG7" s="17" t="n">
        <x:v>0</x:v>
      </x:c>
      <x:c r="AH7" s="17" t="n">
        <x:v>0</x:v>
      </x:c>
      <x:c r="AI7" s="17" t="n">
        <x:v>0</x:v>
      </x:c>
      <x:c r="AJ7" s="17" t="n">
        <x:v>0</x:v>
      </x:c>
      <x:c r="AK7" s="17" t="n">
        <x:v>0</x:v>
      </x:c>
      <x:c r="AL7" s="17" t="n">
        <x:v>2</x:v>
      </x:c>
      <x:c r="AM7" s="17" t="n">
        <x:v>1</x:v>
      </x:c>
    </x:row>
    <x:row r="8" ht="22" customHeight="1">
      <x:c r="A8" s="17" t="n">
        <x:v>2</x:v>
      </x:c>
      <x:c r="B8" s="17" t="str">
        <x:v>棉花</x:v>
      </x:c>
      <x:c r="C8" s="17" t="str">
        <x:v>农田</x:v>
      </x:c>
      <x:c r="D8" s="17" t="n">
        <x:f>'01_数值调参'!F9</x:f>
        <x:v>5</x:v>
      </x:c>
      <x:c r="E8" s="17" t="n">
        <x:v>0</x:v>
      </x:c>
      <x:c r="F8" s="17" t="n">
        <x:v>1</x:v>
      </x:c>
      <x:c r="G8" s="17" t="n">
        <x:v>0</x:v>
      </x:c>
      <x:c r="H8" s="17" t="n">
        <x:v>0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  <x:c r="M8" s="17" t="n">
        <x:v>0</x:v>
      </x:c>
      <x:c r="N8" s="17" t="n">
        <x:v>0</x:v>
      </x:c>
      <x:c r="O8" s="17" t="n">
        <x:v>1</x:v>
      </x:c>
      <x:c r="P8" s="17" t="n">
        <x:v>0</x:v>
      </x:c>
      <x:c r="Q8" s="17" t="n">
        <x:v>2</x:v>
      </x:c>
      <x:c r="R8" s="17" t="n">
        <x:v>0</x:v>
      </x:c>
      <x:c r="S8" s="17" t="n">
        <x:v>0</x:v>
      </x:c>
      <x:c r="T8" s="17" t="n">
        <x:v>0</x:v>
      </x:c>
      <x:c r="U8" s="17" t="n">
        <x:v>0</x:v>
      </x:c>
      <x:c r="V8" s="17" t="n">
        <x:v>0</x:v>
      </x:c>
      <x:c r="W8" s="17" t="n">
        <x:v>0</x:v>
      </x:c>
      <x:c r="X8" s="17" t="n">
        <x:v>0</x:v>
      </x:c>
      <x:c r="Y8" s="17" t="n">
        <x:v>1</x:v>
      </x:c>
      <x:c r="Z8" s="17" t="n">
        <x:v>2</x:v>
      </x:c>
      <x:c r="AA8" s="17" t="n">
        <x:v>1</x:v>
      </x:c>
      <x:c r="AB8" s="17" t="n">
        <x:v>2</x:v>
      </x:c>
      <x:c r="AC8" s="17" t="n">
        <x:v>0</x:v>
      </x:c>
      <x:c r="AD8" s="17" t="n">
        <x:v>0</x:v>
      </x:c>
      <x:c r="AE8" s="17" t="n">
        <x:v>0</x:v>
      </x:c>
      <x:c r="AF8" s="17" t="n">
        <x:v>0</x:v>
      </x:c>
      <x:c r="AG8" s="17" t="n">
        <x:v>0</x:v>
      </x:c>
      <x:c r="AH8" s="17" t="n">
        <x:v>0</x:v>
      </x:c>
      <x:c r="AI8" s="17" t="n">
        <x:v>0</x:v>
      </x:c>
      <x:c r="AJ8" s="17" t="n">
        <x:v>0</x:v>
      </x:c>
      <x:c r="AK8" s="17" t="n">
        <x:v>2</x:v>
      </x:c>
      <x:c r="AL8" s="17" t="n">
        <x:v>0</x:v>
      </x:c>
      <x:c r="AM8" s="17" t="n">
        <x:v>1</x:v>
      </x:c>
    </x:row>
    <x:row r="9" ht="22" customHeight="1">
      <x:c r="A9" s="17" t="n">
        <x:v>5</x:v>
      </x:c>
      <x:c r="B9" s="17" t="str">
        <x:v>竹子</x:v>
      </x:c>
      <x:c r="C9" s="17" t="str">
        <x:v>农田</x:v>
      </x:c>
      <x:c r="D9" s="17" t="n">
        <x:f>'01_数值调参'!G9</x:f>
        <x:v>10</x:v>
      </x:c>
      <x:c r="E9" s="17" t="n">
        <x:v>0</x:v>
      </x:c>
      <x:c r="F9" s="17" t="n">
        <x:v>0</x:v>
      </x:c>
      <x:c r="G9" s="17" t="n">
        <x:v>1</x:v>
      </x:c>
      <x:c r="H9" s="17" t="n">
        <x:v>0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0</x:v>
      </x:c>
      <x:c r="N9" s="17" t="n">
        <x:v>0</x:v>
      </x:c>
      <x:c r="O9" s="17" t="n">
        <x:v>0</x:v>
      </x:c>
      <x:c r="P9" s="17" t="n">
        <x:v>0</x:v>
      </x:c>
      <x:c r="Q9" s="17" t="n">
        <x:v>0</x:v>
      </x:c>
      <x:c r="R9" s="17" t="n">
        <x:v>0</x:v>
      </x:c>
      <x:c r="S9" s="17" t="n">
        <x:v>2</x:v>
      </x:c>
      <x:c r="T9" s="17" t="n">
        <x:v>3</x:v>
      </x:c>
      <x:c r="U9" s="17" t="n">
        <x:v>4</x:v>
      </x:c>
      <x:c r="V9" s="17" t="n">
        <x:v>2</x:v>
      </x:c>
      <x:c r="W9" s="17" t="n">
        <x:v>1</x:v>
      </x:c>
      <x:c r="X9" s="17" t="n">
        <x:v>2</x:v>
      </x:c>
      <x:c r="Y9" s="17" t="n">
        <x:v>0</x:v>
      </x:c>
      <x:c r="Z9" s="17" t="n">
        <x:v>3</x:v>
      </x:c>
      <x:c r="AA9" s="17" t="n">
        <x:v>4</x:v>
      </x:c>
      <x:c r="AB9" s="17" t="n">
        <x:v>3</x:v>
      </x:c>
      <x:c r="AC9" s="17" t="n">
        <x:v>0</x:v>
      </x:c>
      <x:c r="AD9" s="17" t="n">
        <x:v>0</x:v>
      </x:c>
      <x:c r="AE9" s="17" t="n">
        <x:v>0</x:v>
      </x:c>
      <x:c r="AF9" s="17" t="n">
        <x:v>0</x:v>
      </x:c>
      <x:c r="AG9" s="17" t="n">
        <x:v>0</x:v>
      </x:c>
      <x:c r="AH9" s="17" t="n">
        <x:v>2</x:v>
      </x:c>
      <x:c r="AI9" s="17" t="n">
        <x:v>0</x:v>
      </x:c>
      <x:c r="AJ9" s="17" t="n">
        <x:v>2</x:v>
      </x:c>
      <x:c r="AK9" s="17" t="n">
        <x:v>0</x:v>
      </x:c>
      <x:c r="AL9" s="17" t="n">
        <x:v>2</x:v>
      </x:c>
      <x:c r="AM9" s="17" t="n">
        <x:v>6</x:v>
      </x:c>
    </x:row>
    <x:row r="10" ht="22" customHeight="1">
      <x:c r="A10" s="17" t="n">
        <x:v>10</x:v>
      </x:c>
      <x:c r="B10" s="17" t="str">
        <x:v>香绒草</x:v>
      </x:c>
      <x:c r="C10" s="17" t="str">
        <x:v>农田</x:v>
      </x:c>
      <x:c r="D10" s="17" t="n">
        <x:f>'01_数值调参'!H9</x:f>
        <x:v>15</x:v>
      </x:c>
      <x:c r="E10" s="17" t="n">
        <x:v>0</x:v>
      </x:c>
      <x:c r="F10" s="17" t="n">
        <x:v>0</x:v>
      </x:c>
      <x:c r="G10" s="17" t="n">
        <x:v>0</x:v>
      </x:c>
      <x:c r="H10" s="17" t="n">
        <x:v>1</x:v>
      </x:c>
      <x:c r="I10" s="17" t="n">
        <x:v>0</x:v>
      </x:c>
      <x:c r="J10" s="17" t="n">
        <x:v>0</x:v>
      </x:c>
      <x:c r="K10" s="17" t="n">
        <x:v>0</x:v>
      </x:c>
      <x:c r="L10" s="17" t="n">
        <x:v>0</x:v>
      </x:c>
      <x:c r="M10" s="17" t="n">
        <x:v>0</x:v>
      </x:c>
      <x:c r="N10" s="17" t="n">
        <x:v>0</x:v>
      </x:c>
      <x:c r="O10" s="17" t="n">
        <x:v>0</x:v>
      </x:c>
      <x:c r="P10" s="17" t="n">
        <x:v>2</x:v>
      </x:c>
      <x:c r="Q10" s="17" t="n">
        <x:v>2</x:v>
      </x:c>
      <x:c r="R10" s="17" t="n">
        <x:v>0</x:v>
      </x:c>
      <x:c r="S10" s="17" t="n">
        <x:v>0</x:v>
      </x:c>
      <x:c r="T10" s="17" t="n">
        <x:v>0</x:v>
      </x:c>
      <x:c r="U10" s="17" t="n">
        <x:v>0</x:v>
      </x:c>
      <x:c r="V10" s="17" t="n">
        <x:v>0</x:v>
      </x:c>
      <x:c r="W10" s="17" t="n">
        <x:v>0</x:v>
      </x:c>
      <x:c r="X10" s="17" t="n">
        <x:v>0</x:v>
      </x:c>
      <x:c r="Y10" s="17" t="n">
        <x:v>0</x:v>
      </x:c>
      <x:c r="Z10" s="17" t="n">
        <x:v>0</x:v>
      </x:c>
      <x:c r="AA10" s="17" t="n">
        <x:v>0</x:v>
      </x:c>
      <x:c r="AB10" s="17" t="n">
        <x:v>0</x:v>
      </x:c>
      <x:c r="AC10" s="17" t="n">
        <x:v>0</x:v>
      </x:c>
      <x:c r="AD10" s="17" t="n">
        <x:v>0</x:v>
      </x:c>
      <x:c r="AE10" s="17" t="n">
        <x:v>0</x:v>
      </x:c>
      <x:c r="AF10" s="17" t="n">
        <x:v>0</x:v>
      </x:c>
      <x:c r="AG10" s="17" t="n">
        <x:v>0</x:v>
      </x:c>
      <x:c r="AH10" s="17" t="n">
        <x:v>2</x:v>
      </x:c>
      <x:c r="AI10" s="17" t="n">
        <x:v>2</x:v>
      </x:c>
      <x:c r="AJ10" s="17" t="n">
        <x:v>0</x:v>
      </x:c>
      <x:c r="AK10" s="17" t="n">
        <x:v>4</x:v>
      </x:c>
      <x:c r="AL10" s="17" t="n">
        <x:v>2</x:v>
      </x:c>
      <x:c r="AM10" s="17" t="n">
        <x:v>0</x:v>
      </x:c>
    </x:row>
    <x:row r="11" ht="22" customHeight="1">
      <x:c r="A11" s="17" t="n">
        <x:v>15</x:v>
      </x:c>
      <x:c r="B11" s="17" t="str">
        <x:v>薰衣草</x:v>
      </x:c>
      <x:c r="C11" s="17" t="str">
        <x:v>农田</x:v>
      </x:c>
      <x:c r="D11" s="17" t="n">
        <x:f>'01_数值调参'!I9</x:f>
        <x:v>20</x:v>
      </x:c>
      <x:c r="E11" s="17" t="n">
        <x:v>0</x:v>
      </x:c>
      <x:c r="F11" s="17" t="n">
        <x:v>0</x:v>
      </x:c>
      <x:c r="G11" s="17" t="n">
        <x:v>0</x:v>
      </x:c>
      <x:c r="H11" s="17" t="n">
        <x:v>0</x:v>
      </x:c>
      <x:c r="I11" s="17" t="n">
        <x:v>1</x:v>
      </x:c>
      <x:c r="J11" s="17" t="n">
        <x:v>0</x:v>
      </x:c>
      <x:c r="K11" s="17" t="n">
        <x:v>0</x:v>
      </x:c>
      <x:c r="L11" s="17" t="n">
        <x:v>0</x:v>
      </x:c>
      <x:c r="M11" s="17" t="n">
        <x:v>0</x:v>
      </x:c>
      <x:c r="N11" s="17" t="n">
        <x:v>0</x:v>
      </x:c>
      <x:c r="O11" s="17" t="n">
        <x:v>0</x:v>
      </x:c>
      <x:c r="P11" s="17" t="n">
        <x:v>0</x:v>
      </x:c>
      <x:c r="Q11" s="17" t="n">
        <x:v>0</x:v>
      </x:c>
      <x:c r="R11" s="17" t="n">
        <x:v>0</x:v>
      </x:c>
      <x:c r="S11" s="17" t="n">
        <x:v>0</x:v>
      </x:c>
      <x:c r="T11" s="17" t="n">
        <x:v>0</x:v>
      </x:c>
      <x:c r="U11" s="17" t="n">
        <x:v>0</x:v>
      </x:c>
      <x:c r="V11" s="17" t="n">
        <x:v>0</x:v>
      </x:c>
      <x:c r="W11" s="17" t="n">
        <x:v>0</x:v>
      </x:c>
      <x:c r="X11" s="17" t="n">
        <x:v>0</x:v>
      </x:c>
      <x:c r="Y11" s="17" t="n">
        <x:v>0</x:v>
      </x:c>
      <x:c r="Z11" s="17" t="n">
        <x:v>0</x:v>
      </x:c>
      <x:c r="AA11" s="17" t="n">
        <x:v>0</x:v>
      </x:c>
      <x:c r="AB11" s="17" t="n">
        <x:v>0</x:v>
      </x:c>
      <x:c r="AC11" s="17" t="n">
        <x:v>0</x:v>
      </x:c>
      <x:c r="AD11" s="17" t="n">
        <x:v>2</x:v>
      </x:c>
      <x:c r="AE11" s="17" t="n">
        <x:v>0</x:v>
      </x:c>
      <x:c r="AF11" s="17" t="n">
        <x:v>0</x:v>
      </x:c>
      <x:c r="AG11" s="17" t="n">
        <x:v>0</x:v>
      </x:c>
      <x:c r="AH11" s="17" t="n">
        <x:v>0</x:v>
      </x:c>
      <x:c r="AI11" s="17" t="n">
        <x:v>2</x:v>
      </x:c>
      <x:c r="AJ11" s="17" t="n">
        <x:v>2</x:v>
      </x:c>
      <x:c r="AK11" s="17" t="n">
        <x:v>0</x:v>
      </x:c>
      <x:c r="AL11" s="17" t="n">
        <x:v>2</x:v>
      </x:c>
      <x:c r="AM11" s="17" t="n">
        <x:v>0</x:v>
      </x:c>
    </x:row>
    <x:row r="12" ht="22" customHeight="1">
      <x:c r="A12" s="17" t="n">
        <x:v>17</x:v>
      </x:c>
      <x:c r="B12" s="17" t="str">
        <x:v>芍药花</x:v>
      </x:c>
      <x:c r="C12" s="17" t="str">
        <x:v>农田</x:v>
      </x:c>
      <x:c r="D12" s="17" t="n">
        <x:f>'01_数值调参'!J9</x:f>
        <x:v>30</x:v>
      </x:c>
      <x:c r="E12" s="17" t="n">
        <x:v>0</x:v>
      </x:c>
      <x:c r="F12" s="17" t="n">
        <x:v>0</x:v>
      </x:c>
      <x:c r="G12" s="17" t="n">
        <x:v>0</x:v>
      </x:c>
      <x:c r="H12" s="17" t="n">
        <x:v>0</x:v>
      </x:c>
      <x:c r="I12" s="17" t="n">
        <x:v>0</x:v>
      </x:c>
      <x:c r="J12" s="17" t="n">
        <x:v>1</x:v>
      </x:c>
      <x:c r="K12" s="17" t="n">
        <x:v>0</x:v>
      </x:c>
      <x:c r="L12" s="17" t="n">
        <x:v>0</x:v>
      </x:c>
      <x:c r="M12" s="17" t="n">
        <x:v>0</x:v>
      </x:c>
      <x:c r="N12" s="17" t="n">
        <x:v>0</x:v>
      </x:c>
      <x:c r="O12" s="17" t="n">
        <x:v>0</x:v>
      </x:c>
      <x:c r="P12" s="17" t="n">
        <x:v>0</x:v>
      </x:c>
      <x:c r="Q12" s="17" t="n">
        <x:v>0</x:v>
      </x:c>
      <x:c r="R12" s="17" t="n">
        <x:v>0</x:v>
      </x:c>
      <x:c r="S12" s="17" t="n">
        <x:v>0</x:v>
      </x:c>
      <x:c r="T12" s="17" t="n">
        <x:v>0</x:v>
      </x:c>
      <x:c r="U12" s="17" t="n">
        <x:v>0</x:v>
      </x:c>
      <x:c r="V12" s="17" t="n">
        <x:v>2</x:v>
      </x:c>
      <x:c r="W12" s="17" t="n">
        <x:v>0</x:v>
      </x:c>
      <x:c r="X12" s="17" t="n">
        <x:v>0</x:v>
      </x:c>
      <x:c r="Y12" s="17" t="n">
        <x:v>0</x:v>
      </x:c>
      <x:c r="Z12" s="17" t="n">
        <x:v>0</x:v>
      </x:c>
      <x:c r="AA12" s="17" t="n">
        <x:v>0</x:v>
      </x:c>
      <x:c r="AB12" s="17" t="n">
        <x:v>0</x:v>
      </x:c>
      <x:c r="AC12" s="17" t="n">
        <x:v>0</x:v>
      </x:c>
      <x:c r="AD12" s="17" t="n">
        <x:v>0</x:v>
      </x:c>
      <x:c r="AE12" s="17" t="n">
        <x:v>3</x:v>
      </x:c>
      <x:c r="AF12" s="17" t="n">
        <x:v>0</x:v>
      </x:c>
      <x:c r="AG12" s="17" t="n">
        <x:v>0</x:v>
      </x:c>
      <x:c r="AH12" s="17" t="n">
        <x:v>0</x:v>
      </x:c>
      <x:c r="AI12" s="17" t="n">
        <x:v>0</x:v>
      </x:c>
      <x:c r="AJ12" s="17" t="n">
        <x:v>3</x:v>
      </x:c>
      <x:c r="AK12" s="17" t="n">
        <x:v>0</x:v>
      </x:c>
      <x:c r="AL12" s="17" t="n">
        <x:v>0</x:v>
      </x:c>
      <x:c r="AM12" s="17" t="n">
        <x:v>2</x:v>
      </x:c>
    </x:row>
    <x:row r="13" ht="22" customHeight="1">
      <x:c r="A13" s="17" t="n">
        <x:v>24</x:v>
      </x:c>
      <x:c r="B13" s="17" t="str">
        <x:v>墨水花</x:v>
      </x:c>
      <x:c r="C13" s="17" t="str">
        <x:v>农田</x:v>
      </x:c>
      <x:c r="D13" s="17" t="n">
        <x:f>'01_数值调参'!K9</x:f>
        <x:v>60</x:v>
      </x:c>
      <x:c r="E13" s="17" t="n">
        <x:v>0</x:v>
      </x:c>
      <x:c r="F13" s="17" t="n">
        <x:v>0</x:v>
      </x:c>
      <x:c r="G13" s="17" t="n">
        <x:v>0</x:v>
      </x:c>
      <x:c r="H13" s="17" t="n">
        <x:v>0</x:v>
      </x:c>
      <x:c r="I13" s="17" t="n">
        <x:v>0</x:v>
      </x:c>
      <x:c r="J13" s="17" t="n">
        <x:v>0</x:v>
      </x:c>
      <x:c r="K13" s="17" t="n">
        <x:v>1</x:v>
      </x:c>
      <x:c r="L13" s="17" t="n">
        <x:v>0</x:v>
      </x:c>
      <x:c r="M13" s="17" t="n">
        <x:v>0</x:v>
      </x:c>
      <x:c r="N13" s="17" t="n">
        <x:v>0</x:v>
      </x:c>
      <x:c r="O13" s="17" t="n">
        <x:v>0</x:v>
      </x:c>
      <x:c r="P13" s="17" t="n">
        <x:v>0</x:v>
      </x:c>
      <x:c r="Q13" s="17" t="n">
        <x:v>0</x:v>
      </x:c>
      <x:c r="R13" s="17" t="n">
        <x:v>2</x:v>
      </x:c>
      <x:c r="S13" s="17" t="n">
        <x:v>0</x:v>
      </x:c>
      <x:c r="T13" s="17" t="n">
        <x:v>0</x:v>
      </x:c>
      <x:c r="U13" s="17" t="n">
        <x:v>0</x:v>
      </x:c>
      <x:c r="V13" s="17" t="n">
        <x:v>0</x:v>
      </x:c>
      <x:c r="W13" s="17" t="n">
        <x:v>0</x:v>
      </x:c>
      <x:c r="X13" s="17" t="n">
        <x:v>0</x:v>
      </x:c>
      <x:c r="Y13" s="17" t="n">
        <x:v>0</x:v>
      </x:c>
      <x:c r="Z13" s="17" t="n">
        <x:v>0</x:v>
      </x:c>
      <x:c r="AA13" s="17" t="n">
        <x:v>0</x:v>
      </x:c>
      <x:c r="AB13" s="17" t="n">
        <x:v>0</x:v>
      </x:c>
      <x:c r="AC13" s="17" t="n">
        <x:v>0</x:v>
      </x:c>
      <x:c r="AD13" s="17" t="n">
        <x:v>0</x:v>
      </x:c>
      <x:c r="AE13" s="17" t="n">
        <x:v>0</x:v>
      </x:c>
      <x:c r="AF13" s="17" t="n">
        <x:v>3</x:v>
      </x:c>
      <x:c r="AG13" s="17" t="n">
        <x:v>0</x:v>
      </x:c>
      <x:c r="AH13" s="17" t="n">
        <x:v>0</x:v>
      </x:c>
      <x:c r="AI13" s="17" t="n">
        <x:v>0</x:v>
      </x:c>
      <x:c r="AJ13" s="17" t="n">
        <x:v>0</x:v>
      </x:c>
      <x:c r="AK13" s="17" t="n">
        <x:v>3</x:v>
      </x:c>
      <x:c r="AL13" s="17" t="n">
        <x:v>0</x:v>
      </x:c>
      <x:c r="AM13" s="17" t="n">
        <x:v>0</x:v>
      </x:c>
    </x:row>
    <x:row r="14" ht="22" customHeight="1">
      <x:c r="A14" s="17" t="n">
        <x:v>30</x:v>
      </x:c>
      <x:c r="B14" s="17" t="str">
        <x:v>蜡烛花</x:v>
      </x:c>
      <x:c r="C14" s="17" t="str">
        <x:v>农田</x:v>
      </x:c>
      <x:c r="D14" s="17" t="n">
        <x:f>'01_数值调参'!L9</x:f>
        <x:v>90</x:v>
      </x:c>
      <x:c r="E14" s="17" t="n">
        <x:v>0</x:v>
      </x:c>
      <x:c r="F14" s="17" t="n">
        <x:v>0</x:v>
      </x:c>
      <x:c r="G14" s="17" t="n">
        <x:v>0</x:v>
      </x:c>
      <x:c r="H14" s="17" t="n">
        <x:v>0</x:v>
      </x:c>
      <x:c r="I14" s="17" t="n">
        <x:v>0</x:v>
      </x:c>
      <x:c r="J14" s="17" t="n">
        <x:v>0</x:v>
      </x:c>
      <x:c r="K14" s="17" t="n">
        <x:v>0</x:v>
      </x:c>
      <x:c r="L14" s="17" t="n">
        <x:v>1</x:v>
      </x:c>
      <x:c r="M14" s="17" t="n">
        <x:v>0</x:v>
      </x:c>
      <x:c r="N14" s="17" t="n">
        <x:v>0</x:v>
      </x:c>
      <x:c r="O14" s="17" t="n">
        <x:v>0</x:v>
      </x:c>
      <x:c r="P14" s="17" t="n">
        <x:v>0</x:v>
      </x:c>
      <x:c r="Q14" s="17" t="n">
        <x:v>0</x:v>
      </x:c>
      <x:c r="R14" s="17" t="n">
        <x:v>0</x:v>
      </x:c>
      <x:c r="S14" s="17" t="n">
        <x:v>0</x:v>
      </x:c>
      <x:c r="T14" s="17" t="n">
        <x:v>0</x:v>
      </x:c>
      <x:c r="U14" s="17" t="n">
        <x:v>0</x:v>
      </x:c>
      <x:c r="V14" s="17" t="n">
        <x:v>0</x:v>
      </x:c>
      <x:c r="W14" s="17" t="n">
        <x:v>0</x:v>
      </x:c>
      <x:c r="X14" s="17" t="n">
        <x:v>0</x:v>
      </x:c>
      <x:c r="Y14" s="17" t="n">
        <x:v>0</x:v>
      </x:c>
      <x:c r="Z14" s="17" t="n">
        <x:v>0</x:v>
      </x:c>
      <x:c r="AA14" s="17" t="n">
        <x:v>0</x:v>
      </x:c>
      <x:c r="AB14" s="17" t="n">
        <x:v>0</x:v>
      </x:c>
      <x:c r="AC14" s="17" t="n">
        <x:v>3</x:v>
      </x:c>
      <x:c r="AD14" s="17" t="n">
        <x:v>0</x:v>
      </x:c>
      <x:c r="AE14" s="17" t="n">
        <x:v>0</x:v>
      </x:c>
      <x:c r="AF14" s="17" t="n">
        <x:v>0</x:v>
      </x:c>
      <x:c r="AG14" s="17" t="n">
        <x:v>3</x:v>
      </x:c>
      <x:c r="AH14" s="17" t="n">
        <x:v>0</x:v>
      </x:c>
      <x:c r="AI14" s="17" t="n">
        <x:v>0</x:v>
      </x:c>
      <x:c r="AJ14" s="17" t="n">
        <x:v>0</x:v>
      </x:c>
      <x:c r="AK14" s="17" t="n">
        <x:v>0</x:v>
      </x:c>
      <x:c r="AL14" s="17" t="n">
        <x:v>0</x:v>
      </x:c>
      <x:c r="AM14" s="17" t="n">
        <x:v>2</x:v>
      </x:c>
    </x:row>
    <x:row r="15" ht="22" customHeight="1">
      <x:c r="A15" s="17" t="n">
        <x:v>35</x:v>
      </x:c>
      <x:c r="B15" s="17" t="str">
        <x:v>浆果珍珠</x:v>
      </x:c>
      <x:c r="C15" s="17" t="str">
        <x:v>农田</x:v>
      </x:c>
      <x:c r="D15" s="17" t="n">
        <x:f>'01_数值调参'!M9</x:f>
        <x:v>120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  <x:c r="I15" s="17" t="n">
        <x:v>0</x:v>
      </x:c>
      <x:c r="J15" s="17" t="n">
        <x:v>0</x:v>
      </x:c>
      <x:c r="K15" s="17" t="n">
        <x:v>0</x:v>
      </x:c>
      <x:c r="L15" s="17" t="n">
        <x:v>0</x:v>
      </x:c>
      <x:c r="M15" s="17" t="n">
        <x:v>1</x:v>
      </x:c>
      <x:c r="N15" s="17" t="n">
        <x:v>0</x:v>
      </x:c>
      <x:c r="O15" s="17" t="n">
        <x:v>0</x:v>
      </x:c>
      <x:c r="P15" s="17" t="n">
        <x:v>0</x:v>
      </x:c>
      <x:c r="Q15" s="17" t="n">
        <x:v>0</x:v>
      </x:c>
      <x:c r="R15" s="17" t="n">
        <x:v>0</x:v>
      </x:c>
      <x:c r="S15" s="17" t="n">
        <x:v>0</x:v>
      </x:c>
      <x:c r="T15" s="17" t="n">
        <x:v>0</x:v>
      </x:c>
      <x:c r="U15" s="17" t="n">
        <x:v>0</x:v>
      </x:c>
      <x:c r="V15" s="17" t="n">
        <x:v>0</x:v>
      </x:c>
      <x:c r="W15" s="17" t="n">
        <x:v>2</x:v>
      </x:c>
      <x:c r="X15" s="17" t="n">
        <x:v>0</x:v>
      </x:c>
      <x:c r="Y15" s="17" t="n">
        <x:v>0</x:v>
      </x:c>
      <x:c r="Z15" s="17" t="n">
        <x:v>0</x:v>
      </x:c>
      <x:c r="AA15" s="17" t="n">
        <x:v>0</x:v>
      </x:c>
      <x:c r="AB15" s="17" t="n">
        <x:v>0</x:v>
      </x:c>
      <x:c r="AC15" s="17" t="n">
        <x:v>0</x:v>
      </x:c>
      <x:c r="AD15" s="17" t="n">
        <x:v>0</x:v>
      </x:c>
      <x:c r="AE15" s="17" t="n">
        <x:v>0</x:v>
      </x:c>
      <x:c r="AF15" s="17" t="n">
        <x:v>0</x:v>
      </x:c>
      <x:c r="AG15" s="17" t="n">
        <x:v>0</x:v>
      </x:c>
      <x:c r="AH15" s="17" t="n">
        <x:v>0</x:v>
      </x:c>
      <x:c r="AI15" s="17" t="n">
        <x:v>0</x:v>
      </x:c>
      <x:c r="AJ15" s="17" t="n">
        <x:v>0</x:v>
      </x:c>
      <x:c r="AK15" s="17" t="n">
        <x:v>0</x:v>
      </x:c>
      <x:c r="AL15" s="17" t="n">
        <x:v>0</x:v>
      </x:c>
      <x:c r="AM15" s="17" t="n">
        <x:v>0</x:v>
      </x:c>
    </x:row>
    <x:row r="16" ht="22" customHeight="1">
      <x:c r="A16" s="17" t="n">
        <x:v>3</x:v>
      </x:c>
      <x:c r="B16" s="17" t="str">
        <x:v>芦苇丝</x:v>
      </x:c>
      <x:c r="C16" s="17" t="str">
        <x:v>研磨机</x:v>
      </x:c>
      <x:c r="D16" s="17" t="n">
        <x:f>'01_数值调参'!N9</x:f>
        <x:v>5</x:v>
      </x:c>
      <x:c r="E16" s="17" t="n">
        <x:v>0</x:v>
      </x:c>
      <x:c r="F16" s="17" t="n">
        <x:v>0</x:v>
      </x:c>
      <x:c r="G16" s="17" t="n">
        <x:v>0</x:v>
      </x:c>
      <x:c r="H16" s="17" t="n">
        <x:v>0</x:v>
      </x:c>
      <x:c r="I16" s="17" t="n">
        <x:v>0</x:v>
      </x:c>
      <x:c r="J16" s="17" t="n">
        <x:v>0</x:v>
      </x:c>
      <x:c r="K16" s="17" t="n">
        <x:v>0</x:v>
      </x:c>
      <x:c r="L16" s="17" t="n">
        <x:v>0</x:v>
      </x:c>
      <x:c r="M16" s="17" t="n">
        <x:v>0</x:v>
      </x:c>
      <x:c r="N16" s="17" t="n">
        <x:v>1</x:v>
      </x:c>
      <x:c r="O16" s="17" t="n">
        <x:v>0</x:v>
      </x:c>
      <x:c r="P16" s="17" t="n">
        <x:v>0</x:v>
      </x:c>
      <x:c r="Q16" s="17" t="n">
        <x:v>0</x:v>
      </x:c>
      <x:c r="R16" s="17" t="n">
        <x:v>0</x:v>
      </x:c>
      <x:c r="S16" s="17" t="n">
        <x:v>0</x:v>
      </x:c>
      <x:c r="T16" s="17" t="n">
        <x:v>0</x:v>
      </x:c>
      <x:c r="U16" s="17" t="n">
        <x:v>0</x:v>
      </x:c>
      <x:c r="V16" s="17" t="n">
        <x:v>0</x:v>
      </x:c>
      <x:c r="W16" s="17" t="n">
        <x:v>0</x:v>
      </x:c>
      <x:c r="X16" s="17" t="n">
        <x:v>1</x:v>
      </x:c>
      <x:c r="Y16" s="17" t="n">
        <x:v>0</x:v>
      </x:c>
      <x:c r="Z16" s="17" t="n">
        <x:v>0</x:v>
      </x:c>
      <x:c r="AA16" s="17" t="n">
        <x:v>0</x:v>
      </x:c>
      <x:c r="AB16" s="17" t="n">
        <x:v>1</x:v>
      </x:c>
      <x:c r="AC16" s="17" t="n">
        <x:v>1</x:v>
      </x:c>
      <x:c r="AD16" s="17" t="n">
        <x:v>0</x:v>
      </x:c>
      <x:c r="AE16" s="17" t="n">
        <x:v>0</x:v>
      </x:c>
      <x:c r="AF16" s="17" t="n">
        <x:v>0</x:v>
      </x:c>
      <x:c r="AG16" s="17" t="n">
        <x:v>0</x:v>
      </x:c>
      <x:c r="AH16" s="17" t="n">
        <x:v>0</x:v>
      </x:c>
      <x:c r="AI16" s="17" t="n">
        <x:v>0</x:v>
      </x:c>
      <x:c r="AJ16" s="17" t="n">
        <x:v>0</x:v>
      </x:c>
      <x:c r="AK16" s="17" t="n">
        <x:v>0</x:v>
      </x:c>
      <x:c r="AL16" s="17" t="n">
        <x:v>1</x:v>
      </x:c>
      <x:c r="AM16" s="17" t="n">
        <x:v>0</x:v>
      </x:c>
    </x:row>
    <x:row r="17" ht="22" customHeight="1">
      <x:c r="A17" s="17" t="n">
        <x:v>4</x:v>
      </x:c>
      <x:c r="B17" s="17" t="str">
        <x:v>棉绒团</x:v>
      </x:c>
      <x:c r="C17" s="17" t="str">
        <x:v>研磨机</x:v>
      </x:c>
      <x:c r="D17" s="17" t="n">
        <x:f>'01_数值调参'!O9</x:f>
        <x:v>10</x:v>
      </x:c>
      <x:c r="E17" s="17" t="n">
        <x:v>0</x:v>
      </x:c>
      <x:c r="F17" s="17" t="n">
        <x:v>0</x:v>
      </x:c>
      <x:c r="G17" s="17" t="n">
        <x:v>0</x:v>
      </x:c>
      <x:c r="H17" s="17" t="n">
        <x:v>0</x:v>
      </x:c>
      <x:c r="I17" s="17" t="n">
        <x:v>0</x:v>
      </x:c>
      <x:c r="J17" s="17" t="n">
        <x:v>0</x:v>
      </x:c>
      <x:c r="K17" s="17" t="n">
        <x:v>0</x:v>
      </x:c>
      <x:c r="L17" s="17" t="n">
        <x:v>0</x:v>
      </x:c>
      <x:c r="M17" s="17" t="n">
        <x:v>0</x:v>
      </x:c>
      <x:c r="N17" s="17" t="n">
        <x:v>0</x:v>
      </x:c>
      <x:c r="O17" s="17" t="n">
        <x:v>1</x:v>
      </x:c>
      <x:c r="P17" s="17" t="n">
        <x:v>0</x:v>
      </x:c>
      <x:c r="Q17" s="17" t="n">
        <x:v>0</x:v>
      </x:c>
      <x:c r="R17" s="17" t="n">
        <x:v>0</x:v>
      </x:c>
      <x:c r="S17" s="17" t="n">
        <x:v>0</x:v>
      </x:c>
      <x:c r="T17" s="17" t="n">
        <x:v>0</x:v>
      </x:c>
      <x:c r="U17" s="17" t="n">
        <x:v>0</x:v>
      </x:c>
      <x:c r="V17" s="17" t="n">
        <x:v>0</x:v>
      </x:c>
      <x:c r="W17" s="17" t="n">
        <x:v>0</x:v>
      </x:c>
      <x:c r="X17" s="17" t="n">
        <x:v>0</x:v>
      </x:c>
      <x:c r="Y17" s="17" t="n">
        <x:v>1</x:v>
      </x:c>
      <x:c r="Z17" s="17" t="n">
        <x:v>0</x:v>
      </x:c>
      <x:c r="AA17" s="17" t="n">
        <x:v>1</x:v>
      </x:c>
      <x:c r="AB17" s="17" t="n">
        <x:v>0</x:v>
      </x:c>
      <x:c r="AC17" s="17" t="n">
        <x:v>0</x:v>
      </x:c>
      <x:c r="AD17" s="17" t="n">
        <x:v>0</x:v>
      </x:c>
      <x:c r="AE17" s="17" t="n">
        <x:v>0</x:v>
      </x:c>
      <x:c r="AF17" s="17" t="n">
        <x:v>0</x:v>
      </x:c>
      <x:c r="AG17" s="17" t="n">
        <x:v>0</x:v>
      </x:c>
      <x:c r="AH17" s="17" t="n">
        <x:v>0</x:v>
      </x:c>
      <x:c r="AI17" s="17" t="n">
        <x:v>0</x:v>
      </x:c>
      <x:c r="AJ17" s="17" t="n">
        <x:v>0</x:v>
      </x:c>
      <x:c r="AK17" s="17" t="n">
        <x:v>0</x:v>
      </x:c>
      <x:c r="AL17" s="17" t="n">
        <x:v>0</x:v>
      </x:c>
      <x:c r="AM17" s="17" t="n">
        <x:v>1</x:v>
      </x:c>
    </x:row>
    <x:row r="18" ht="22" customHeight="1">
      <x:c r="A18" s="17" t="n">
        <x:v>12</x:v>
      </x:c>
      <x:c r="B18" s="17" t="str">
        <x:v>绒香粉</x:v>
      </x:c>
      <x:c r="C18" s="17" t="str">
        <x:v>研磨机</x:v>
      </x:c>
      <x:c r="D18" s="17" t="n">
        <x:f>'01_数值调参'!P9</x:f>
        <x:v>20</x:v>
      </x:c>
      <x:c r="E18" s="17" t="n">
        <x:v>0</x:v>
      </x:c>
      <x:c r="F18" s="17" t="n">
        <x:v>0</x:v>
      </x:c>
      <x:c r="G18" s="17" t="n">
        <x:v>0</x:v>
      </x:c>
      <x:c r="H18" s="17" t="n">
        <x:v>0</x:v>
      </x:c>
      <x:c r="I18" s="17" t="n">
        <x:v>0</x:v>
      </x:c>
      <x:c r="J18" s="17" t="n">
        <x:v>0</x:v>
      </x:c>
      <x:c r="K18" s="17" t="n">
        <x:v>0</x:v>
      </x:c>
      <x:c r="L18" s="17" t="n">
        <x:v>0</x:v>
      </x:c>
      <x:c r="M18" s="17" t="n">
        <x:v>0</x:v>
      </x:c>
      <x:c r="N18" s="17" t="n">
        <x:v>0</x:v>
      </x:c>
      <x:c r="O18" s="17" t="n">
        <x:v>0</x:v>
      </x:c>
      <x:c r="P18" s="17" t="n">
        <x:v>1</x:v>
      </x:c>
      <x:c r="Q18" s="17" t="n">
        <x:v>0</x:v>
      </x:c>
      <x:c r="R18" s="17" t="n">
        <x:v>0</x:v>
      </x:c>
      <x:c r="S18" s="17" t="n">
        <x:v>0</x:v>
      </x:c>
      <x:c r="T18" s="17" t="n">
        <x:v>0</x:v>
      </x:c>
      <x:c r="U18" s="17" t="n">
        <x:v>0</x:v>
      </x:c>
      <x:c r="V18" s="17" t="n">
        <x:v>0</x:v>
      </x:c>
      <x:c r="W18" s="17" t="n">
        <x:v>0</x:v>
      </x:c>
      <x:c r="X18" s="17" t="n">
        <x:v>0</x:v>
      </x:c>
      <x:c r="Y18" s="17" t="n">
        <x:v>0</x:v>
      </x:c>
      <x:c r="Z18" s="17" t="n">
        <x:v>0</x:v>
      </x:c>
      <x:c r="AA18" s="17" t="n">
        <x:v>0</x:v>
      </x:c>
      <x:c r="AB18" s="17" t="n">
        <x:v>0</x:v>
      </x:c>
      <x:c r="AC18" s="17" t="n">
        <x:v>0</x:v>
      </x:c>
      <x:c r="AD18" s="17" t="n">
        <x:v>0</x:v>
      </x:c>
      <x:c r="AE18" s="17" t="n">
        <x:v>0</x:v>
      </x:c>
      <x:c r="AF18" s="17" t="n">
        <x:v>0</x:v>
      </x:c>
      <x:c r="AG18" s="17" t="n">
        <x:v>0</x:v>
      </x:c>
      <x:c r="AH18" s="17" t="n">
        <x:v>1</x:v>
      </x:c>
      <x:c r="AI18" s="17" t="n">
        <x:v>1</x:v>
      </x:c>
      <x:c r="AJ18" s="17" t="n">
        <x:v>0</x:v>
      </x:c>
      <x:c r="AK18" s="17" t="n">
        <x:v>0</x:v>
      </x:c>
      <x:c r="AL18" s="17" t="n">
        <x:v>1</x:v>
      </x:c>
      <x:c r="AM18" s="17" t="n">
        <x:v>0</x:v>
      </x:c>
    </x:row>
    <x:row r="19" ht="22" customHeight="1">
      <x:c r="A19" s="17" t="n">
        <x:v>22</x:v>
      </x:c>
      <x:c r="B19" s="17" t="str">
        <x:v>云朵香粉</x:v>
      </x:c>
      <x:c r="C19" s="17" t="str">
        <x:v>研磨机</x:v>
      </x:c>
      <x:c r="D19" s="17" t="n">
        <x:f>'01_数值调参'!Q9</x:f>
        <x:v>30</x:v>
      </x:c>
      <x:c r="E19" s="17" t="n">
        <x:v>0</x:v>
      </x:c>
      <x:c r="F19" s="17" t="n">
        <x:v>0</x:v>
      </x:c>
      <x:c r="G19" s="17" t="n">
        <x:v>0</x:v>
      </x:c>
      <x:c r="H19" s="17" t="n">
        <x:v>0</x:v>
      </x:c>
      <x:c r="I19" s="17" t="n">
        <x:v>0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7" t="n">
        <x:v>0</x:v>
      </x:c>
      <x:c r="P19" s="17" t="n">
        <x:v>0</x:v>
      </x:c>
      <x:c r="Q19" s="17" t="n">
        <x:v>1</x:v>
      </x:c>
      <x:c r="R19" s="17" t="n">
        <x:v>0</x:v>
      </x:c>
      <x:c r="S19" s="17" t="n">
        <x:v>0</x:v>
      </x:c>
      <x:c r="T19" s="17" t="n">
        <x:v>0</x:v>
      </x:c>
      <x:c r="U19" s="17" t="n">
        <x:v>0</x:v>
      </x:c>
      <x:c r="V19" s="17" t="n">
        <x:v>0</x:v>
      </x:c>
      <x:c r="W19" s="17" t="n">
        <x:v>0</x:v>
      </x:c>
      <x:c r="X19" s="17" t="n">
        <x:v>0</x:v>
      </x:c>
      <x:c r="Y19" s="17" t="n">
        <x:v>0</x:v>
      </x:c>
      <x:c r="Z19" s="17" t="n">
        <x:v>0</x:v>
      </x:c>
      <x:c r="AA19" s="17" t="n">
        <x:v>0</x:v>
      </x:c>
      <x:c r="AB19" s="17" t="n">
        <x:v>0</x:v>
      </x:c>
      <x:c r="AC19" s="17" t="n">
        <x:v>0</x:v>
      </x:c>
      <x:c r="AD19" s="17" t="n">
        <x:v>0</x:v>
      </x:c>
      <x:c r="AE19" s="17" t="n">
        <x:v>0</x:v>
      </x:c>
      <x:c r="AF19" s="17" t="n">
        <x:v>0</x:v>
      </x:c>
      <x:c r="AG19" s="17" t="n">
        <x:v>0</x:v>
      </x:c>
      <x:c r="AH19" s="17" t="n">
        <x:v>0</x:v>
      </x:c>
      <x:c r="AI19" s="17" t="n">
        <x:v>0</x:v>
      </x:c>
      <x:c r="AJ19" s="17" t="n">
        <x:v>0</x:v>
      </x:c>
      <x:c r="AK19" s="17" t="n">
        <x:v>1</x:v>
      </x:c>
      <x:c r="AL19" s="17" t="n">
        <x:v>0</x:v>
      </x:c>
      <x:c r="AM19" s="17" t="n">
        <x:v>0</x:v>
      </x:c>
    </x:row>
    <x:row r="20" ht="22" customHeight="1">
      <x:c r="A20" s="17" t="n">
        <x:v>33</x:v>
      </x:c>
      <x:c r="B20" s="17" t="str">
        <x:v>乌云绒团</x:v>
      </x:c>
      <x:c r="C20" s="17" t="str">
        <x:v>研磨机</x:v>
      </x:c>
      <x:c r="D20" s="17" t="n">
        <x:f>'01_数值调参'!R9</x:f>
        <x:v>60</x:v>
      </x:c>
      <x:c r="E20" s="17" t="n">
        <x:v>0</x:v>
      </x:c>
      <x:c r="F20" s="17" t="n">
        <x:v>0</x:v>
      </x:c>
      <x:c r="G20" s="17" t="n">
        <x:v>0</x:v>
      </x:c>
      <x:c r="H20" s="17" t="n">
        <x:v>0</x:v>
      </x:c>
      <x:c r="I20" s="17" t="n">
        <x:v>0</x:v>
      </x:c>
      <x:c r="J20" s="17" t="n">
        <x:v>0</x:v>
      </x:c>
      <x:c r="K20" s="17" t="n">
        <x:v>0</x:v>
      </x:c>
      <x:c r="L20" s="17" t="n">
        <x:v>0</x:v>
      </x:c>
      <x:c r="M20" s="17" t="n">
        <x:v>0</x:v>
      </x:c>
      <x:c r="N20" s="17" t="n">
        <x:v>0</x:v>
      </x:c>
      <x:c r="O20" s="17" t="n">
        <x:v>0</x:v>
      </x:c>
      <x:c r="P20" s="17" t="n">
        <x:v>0</x:v>
      </x:c>
      <x:c r="Q20" s="17" t="n">
        <x:v>0</x:v>
      </x:c>
      <x:c r="R20" s="17" t="n">
        <x:v>1</x:v>
      </x:c>
      <x:c r="S20" s="17" t="n">
        <x:v>0</x:v>
      </x:c>
      <x:c r="T20" s="17" t="n">
        <x:v>0</x:v>
      </x:c>
      <x:c r="U20" s="17" t="n">
        <x:v>0</x:v>
      </x:c>
      <x:c r="V20" s="17" t="n">
        <x:v>0</x:v>
      </x:c>
      <x:c r="W20" s="17" t="n">
        <x:v>0</x:v>
      </x:c>
      <x:c r="X20" s="17" t="n">
        <x:v>0</x:v>
      </x:c>
      <x:c r="Y20" s="17" t="n">
        <x:v>0</x:v>
      </x:c>
      <x:c r="Z20" s="17" t="n">
        <x:v>0</x:v>
      </x:c>
      <x:c r="AA20" s="17" t="n">
        <x:v>0</x:v>
      </x:c>
      <x:c r="AB20" s="17" t="n">
        <x:v>0</x:v>
      </x:c>
      <x:c r="AC20" s="17" t="n">
        <x:v>0</x:v>
      </x:c>
      <x:c r="AD20" s="17" t="n">
        <x:v>0</x:v>
      </x:c>
      <x:c r="AE20" s="17" t="n">
        <x:v>0</x:v>
      </x:c>
      <x:c r="AF20" s="17" t="n">
        <x:v>0</x:v>
      </x:c>
      <x:c r="AG20" s="17" t="n">
        <x:v>0</x:v>
      </x:c>
      <x:c r="AH20" s="17" t="n">
        <x:v>0</x:v>
      </x:c>
      <x:c r="AI20" s="17" t="n">
        <x:v>0</x:v>
      </x:c>
      <x:c r="AJ20" s="17" t="n">
        <x:v>0</x:v>
      </x:c>
      <x:c r="AK20" s="17" t="n">
        <x:v>0</x:v>
      </x:c>
      <x:c r="AL20" s="17" t="n">
        <x:v>0</x:v>
      </x:c>
      <x:c r="AM20" s="17" t="n">
        <x:v>0</x:v>
      </x:c>
    </x:row>
    <x:row r="21" ht="22" customHeight="1">
      <x:c r="A21" s="17" t="n">
        <x:v>6</x:v>
      </x:c>
      <x:c r="B21" s="17" t="str">
        <x:v>竹条</x:v>
      </x:c>
      <x:c r="C21" s="17" t="str">
        <x:v>切割机</x:v>
      </x:c>
      <x:c r="D21" s="17" t="n">
        <x:f>'01_数值调参'!S9</x:f>
        <x:v>10</x:v>
      </x:c>
      <x:c r="E21" s="17" t="n">
        <x:v>0</x:v>
      </x:c>
      <x:c r="F21" s="17" t="n">
        <x:v>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 t="n">
        <x:v>0</x:v>
      </x:c>
      <x:c r="O21" s="17" t="n">
        <x:v>0</x:v>
      </x:c>
      <x:c r="P21" s="17" t="n">
        <x:v>0</x:v>
      </x:c>
      <x:c r="Q21" s="17" t="n">
        <x:v>0</x:v>
      </x:c>
      <x:c r="R21" s="17" t="n">
        <x:v>0</x:v>
      </x:c>
      <x:c r="S21" s="17" t="n">
        <x:v>1</x:v>
      </x:c>
      <x:c r="T21" s="17" t="n">
        <x:v>0</x:v>
      </x:c>
      <x:c r="U21" s="17" t="n">
        <x:v>0</x:v>
      </x:c>
      <x:c r="V21" s="17" t="n">
        <x:v>0</x:v>
      </x:c>
      <x:c r="W21" s="17" t="n">
        <x:v>0</x:v>
      </x:c>
      <x:c r="X21" s="17" t="n">
        <x:v>1</x:v>
      </x:c>
      <x:c r="Y21" s="17" t="n">
        <x:v>0</x:v>
      </x:c>
      <x:c r="Z21" s="17" t="n">
        <x:v>0</x:v>
      </x:c>
      <x:c r="AA21" s="17" t="n">
        <x:v>0</x:v>
      </x:c>
      <x:c r="AB21" s="17" t="n">
        <x:v>0</x:v>
      </x:c>
      <x:c r="AC21" s="17" t="n">
        <x:v>0</x:v>
      </x:c>
      <x:c r="AD21" s="17" t="n">
        <x:v>0</x:v>
      </x:c>
      <x:c r="AE21" s="17" t="n">
        <x:v>0</x:v>
      </x:c>
      <x:c r="AF21" s="17" t="n">
        <x:v>0</x:v>
      </x:c>
      <x:c r="AG21" s="17" t="n">
        <x:v>0</x:v>
      </x:c>
      <x:c r="AH21" s="17" t="n">
        <x:v>1</x:v>
      </x:c>
      <x:c r="AI21" s="17" t="n">
        <x:v>0</x:v>
      </x:c>
      <x:c r="AJ21" s="17" t="n">
        <x:v>1</x:v>
      </x:c>
      <x:c r="AK21" s="17" t="n">
        <x:v>0</x:v>
      </x:c>
      <x:c r="AL21" s="17" t="n">
        <x:v>1</x:v>
      </x:c>
      <x:c r="AM21" s="17" t="n">
        <x:v>0</x:v>
      </x:c>
    </x:row>
    <x:row r="22" ht="22" customHeight="1">
      <x:c r="A22" s="17" t="n">
        <x:v>7</x:v>
      </x:c>
      <x:c r="B22" s="17" t="str">
        <x:v>薄竹片</x:v>
      </x:c>
      <x:c r="C22" s="17" t="str">
        <x:v>切割机</x:v>
      </x:c>
      <x:c r="D22" s="17" t="n">
        <x:f>'01_数值调参'!T9</x:f>
        <x:v>20</x:v>
      </x:c>
      <x:c r="E22" s="17" t="n">
        <x:v>0</x:v>
      </x:c>
      <x:c r="F22" s="17" t="n">
        <x:v>0</x:v>
      </x:c>
      <x:c r="G22" s="17" t="n">
        <x:v>0</x:v>
      </x:c>
      <x:c r="H22" s="17" t="n">
        <x:v>0</x:v>
      </x:c>
      <x:c r="I22" s="17" t="n">
        <x:v>0</x:v>
      </x:c>
      <x:c r="J22" s="17" t="n">
        <x:v>0</x:v>
      </x:c>
      <x:c r="K22" s="17" t="n">
        <x:v>0</x:v>
      </x:c>
      <x:c r="L22" s="17" t="n">
        <x:v>0</x:v>
      </x:c>
      <x:c r="M22" s="17" t="n">
        <x:v>0</x:v>
      </x:c>
      <x:c r="N22" s="17" t="n">
        <x:v>0</x:v>
      </x:c>
      <x:c r="O22" s="17" t="n">
        <x:v>0</x:v>
      </x:c>
      <x:c r="P22" s="17" t="n">
        <x:v>0</x:v>
      </x:c>
      <x:c r="Q22" s="17" t="n">
        <x:v>0</x:v>
      </x:c>
      <x:c r="R22" s="17" t="n">
        <x:v>0</x:v>
      </x:c>
      <x:c r="S22" s="17" t="n">
        <x:v>0</x:v>
      </x:c>
      <x:c r="T22" s="17" t="n">
        <x:v>1</x:v>
      </x:c>
      <x:c r="U22" s="17" t="n">
        <x:v>0</x:v>
      </x:c>
      <x:c r="V22" s="17" t="n">
        <x:v>0</x:v>
      </x:c>
      <x:c r="W22" s="17" t="n">
        <x:v>0</x:v>
      </x:c>
      <x:c r="X22" s="17" t="n">
        <x:v>0</x:v>
      </x:c>
      <x:c r="Y22" s="17" t="n">
        <x:v>0</x:v>
      </x:c>
      <x:c r="Z22" s="17" t="n">
        <x:v>1</x:v>
      </x:c>
      <x:c r="AA22" s="17" t="n">
        <x:v>0</x:v>
      </x:c>
      <x:c r="AB22" s="17" t="n">
        <x:v>1</x:v>
      </x:c>
      <x:c r="AC22" s="17" t="n">
        <x:v>0</x:v>
      </x:c>
      <x:c r="AD22" s="17" t="n">
        <x:v>0</x:v>
      </x:c>
      <x:c r="AE22" s="17" t="n">
        <x:v>0</x:v>
      </x:c>
      <x:c r="AF22" s="17" t="n">
        <x:v>0</x:v>
      </x:c>
      <x:c r="AG22" s="17" t="n">
        <x:v>0</x:v>
      </x:c>
      <x:c r="AH22" s="17" t="n">
        <x:v>0</x:v>
      </x:c>
      <x:c r="AI22" s="17" t="n">
        <x:v>0</x:v>
      </x:c>
      <x:c r="AJ22" s="17" t="n">
        <x:v>0</x:v>
      </x:c>
      <x:c r="AK22" s="17" t="n">
        <x:v>0</x:v>
      </x:c>
      <x:c r="AL22" s="17" t="n">
        <x:v>0</x:v>
      </x:c>
      <x:c r="AM22" s="17" t="n">
        <x:v>0</x:v>
      </x:c>
    </x:row>
    <x:row r="23" ht="22" customHeight="1">
      <x:c r="A23" s="17" t="n">
        <x:v>20</x:v>
      </x:c>
      <x:c r="B23" s="17" t="str">
        <x:v>小竹框</x:v>
      </x:c>
      <x:c r="C23" s="17" t="str">
        <x:v>切割机</x:v>
      </x:c>
      <x:c r="D23" s="17" t="n">
        <x:f>'01_数值调参'!U9</x:f>
        <x:v>30</x:v>
      </x:c>
      <x:c r="E23" s="17" t="n">
        <x:v>0</x:v>
      </x:c>
      <x:c r="F23" s="17" t="n">
        <x:v>0</x:v>
      </x:c>
      <x:c r="G23" s="17" t="n">
        <x:v>0</x:v>
      </x:c>
      <x:c r="H23" s="17" t="n">
        <x:v>0</x:v>
      </x:c>
      <x:c r="I23" s="17" t="n">
        <x:v>0</x:v>
      </x:c>
      <x:c r="J23" s="17" t="n">
        <x:v>0</x:v>
      </x:c>
      <x:c r="K23" s="17" t="n">
        <x:v>0</x:v>
      </x:c>
      <x:c r="L23" s="17" t="n">
        <x:v>0</x:v>
      </x:c>
      <x:c r="M23" s="17" t="n">
        <x:v>0</x:v>
      </x:c>
      <x:c r="N23" s="17" t="n">
        <x:v>0</x:v>
      </x:c>
      <x:c r="O23" s="17" t="n">
        <x:v>0</x:v>
      </x:c>
      <x:c r="P23" s="17" t="n">
        <x:v>0</x:v>
      </x:c>
      <x:c r="Q23" s="17" t="n">
        <x:v>0</x:v>
      </x:c>
      <x:c r="R23" s="17" t="n">
        <x:v>0</x:v>
      </x:c>
      <x:c r="S23" s="17" t="n">
        <x:v>0</x:v>
      </x:c>
      <x:c r="T23" s="17" t="n">
        <x:v>0</x:v>
      </x:c>
      <x:c r="U23" s="17" t="n">
        <x:v>1</x:v>
      </x:c>
      <x:c r="V23" s="17" t="n">
        <x:v>0</x:v>
      </x:c>
      <x:c r="W23" s="17" t="n">
        <x:v>0</x:v>
      </x:c>
      <x:c r="X23" s="17" t="n">
        <x:v>0</x:v>
      </x:c>
      <x:c r="Y23" s="17" t="n">
        <x:v>0</x:v>
      </x:c>
      <x:c r="Z23" s="17" t="n">
        <x:v>0</x:v>
      </x:c>
      <x:c r="AA23" s="17" t="n">
        <x:v>1</x:v>
      </x:c>
      <x:c r="AB23" s="17" t="n">
        <x:v>0</x:v>
      </x:c>
      <x:c r="AC23" s="17" t="n">
        <x:v>0</x:v>
      </x:c>
      <x:c r="AD23" s="17" t="n">
        <x:v>0</x:v>
      </x:c>
      <x:c r="AE23" s="17" t="n">
        <x:v>0</x:v>
      </x:c>
      <x:c r="AF23" s="17" t="n">
        <x:v>0</x:v>
      </x:c>
      <x:c r="AG23" s="17" t="n">
        <x:v>0</x:v>
      </x:c>
      <x:c r="AH23" s="17" t="n">
        <x:v>0</x:v>
      </x:c>
      <x:c r="AI23" s="17" t="n">
        <x:v>0</x:v>
      </x:c>
      <x:c r="AJ23" s="17" t="n">
        <x:v>0</x:v>
      </x:c>
      <x:c r="AK23" s="17" t="n">
        <x:v>0</x:v>
      </x:c>
      <x:c r="AL23" s="17" t="n">
        <x:v>0</x:v>
      </x:c>
      <x:c r="AM23" s="17" t="n">
        <x:v>1</x:v>
      </x:c>
    </x:row>
    <x:row r="24" ht="22" customHeight="1">
      <x:c r="A24" s="17" t="n">
        <x:v>28</x:v>
      </x:c>
      <x:c r="B24" s="17" t="str">
        <x:v>花瓣竹板</x:v>
      </x:c>
      <x:c r="C24" s="17" t="str">
        <x:v>切割机</x:v>
      </x:c>
      <x:c r="D24" s="17" t="n">
        <x:f>'01_数值调参'!V9</x:f>
        <x:v>45</x:v>
      </x:c>
      <x:c r="E24" s="17" t="n">
        <x:v>0</x:v>
      </x:c>
      <x:c r="F24" s="17" t="n">
        <x:v>0</x:v>
      </x:c>
      <x:c r="G24" s="17" t="n">
        <x:v>0</x:v>
      </x:c>
      <x:c r="H24" s="17" t="n">
        <x:v>0</x:v>
      </x:c>
      <x:c r="I24" s="17" t="n">
        <x:v>0</x:v>
      </x:c>
      <x:c r="J24" s="17" t="n">
        <x:v>0</x:v>
      </x:c>
      <x:c r="K24" s="17" t="n">
        <x:v>0</x:v>
      </x:c>
      <x:c r="L24" s="17" t="n">
        <x:v>0</x:v>
      </x:c>
      <x:c r="M24" s="17" t="n">
        <x:v>0</x:v>
      </x:c>
      <x:c r="N24" s="17" t="n">
        <x:v>0</x:v>
      </x:c>
      <x:c r="O24" s="17" t="n">
        <x:v>0</x:v>
      </x:c>
      <x:c r="P24" s="17" t="n">
        <x:v>0</x:v>
      </x:c>
      <x:c r="Q24" s="17" t="n">
        <x:v>0</x:v>
      </x:c>
      <x:c r="R24" s="17" t="n">
        <x:v>0</x:v>
      </x:c>
      <x:c r="S24" s="17" t="n">
        <x:v>0</x:v>
      </x:c>
      <x:c r="T24" s="17" t="n">
        <x:v>0</x:v>
      </x:c>
      <x:c r="U24" s="17" t="n">
        <x:v>0</x:v>
      </x:c>
      <x:c r="V24" s="17" t="n">
        <x:v>1</x:v>
      </x:c>
      <x:c r="W24" s="17" t="n">
        <x:v>0</x:v>
      </x:c>
      <x:c r="X24" s="17" t="n">
        <x:v>0</x:v>
      </x:c>
      <x:c r="Y24" s="17" t="n">
        <x:v>0</x:v>
      </x:c>
      <x:c r="Z24" s="17" t="n">
        <x:v>0</x:v>
      </x:c>
      <x:c r="AA24" s="17" t="n">
        <x:v>0</x:v>
      </x:c>
      <x:c r="AB24" s="17" t="n">
        <x:v>0</x:v>
      </x:c>
      <x:c r="AC24" s="17" t="n">
        <x:v>0</x:v>
      </x:c>
      <x:c r="AD24" s="17" t="n">
        <x:v>0</x:v>
      </x:c>
      <x:c r="AE24" s="17" t="n">
        <x:v>0</x:v>
      </x:c>
      <x:c r="AF24" s="17" t="n">
        <x:v>0</x:v>
      </x:c>
      <x:c r="AG24" s="17" t="n">
        <x:v>0</x:v>
      </x:c>
      <x:c r="AH24" s="17" t="n">
        <x:v>0</x:v>
      </x:c>
      <x:c r="AI24" s="17" t="n">
        <x:v>0</x:v>
      </x:c>
      <x:c r="AJ24" s="17" t="n">
        <x:v>0</x:v>
      </x:c>
      <x:c r="AK24" s="17" t="n">
        <x:v>0</x:v>
      </x:c>
      <x:c r="AL24" s="17" t="n">
        <x:v>0</x:v>
      </x:c>
      <x:c r="AM24" s="17" t="n">
        <x:v>1</x:v>
      </x:c>
    </x:row>
    <x:row r="25" ht="22" customHeight="1">
      <x:c r="A25" s="17" t="n">
        <x:v>36</x:v>
      </x:c>
      <x:c r="B25" s="17" t="str">
        <x:v>珍珠衣帽架</x:v>
      </x:c>
      <x:c r="C25" s="17" t="str">
        <x:v>切割机</x:v>
      </x:c>
      <x:c r="D25" s="17" t="n">
        <x:f>'01_数值调参'!W9</x:f>
        <x:v>60</x:v>
      </x:c>
      <x:c r="E25" s="17" t="n">
        <x:v>0</x:v>
      </x:c>
      <x:c r="F25" s="17" t="n">
        <x:v>0</x:v>
      </x:c>
      <x:c r="G25" s="17" t="n">
        <x:v>0</x:v>
      </x:c>
      <x:c r="H25" s="17" t="n">
        <x:v>0</x:v>
      </x:c>
      <x:c r="I25" s="17" t="n">
        <x:v>0</x:v>
      </x:c>
      <x:c r="J25" s="17" t="n">
        <x:v>0</x:v>
      </x:c>
      <x:c r="K25" s="17" t="n">
        <x:v>0</x:v>
      </x:c>
      <x:c r="L25" s="17" t="n">
        <x:v>0</x:v>
      </x:c>
      <x:c r="M25" s="17" t="n">
        <x:v>0</x:v>
      </x:c>
      <x:c r="N25" s="17" t="n">
        <x:v>0</x:v>
      </x:c>
      <x:c r="O25" s="17" t="n">
        <x:v>0</x:v>
      </x:c>
      <x:c r="P25" s="17" t="n">
        <x:v>0</x:v>
      </x:c>
      <x:c r="Q25" s="17" t="n">
        <x:v>0</x:v>
      </x:c>
      <x:c r="R25" s="17" t="n">
        <x:v>0</x:v>
      </x:c>
      <x:c r="S25" s="17" t="n">
        <x:v>0</x:v>
      </x:c>
      <x:c r="T25" s="17" t="n">
        <x:v>0</x:v>
      </x:c>
      <x:c r="U25" s="17" t="n">
        <x:v>0</x:v>
      </x:c>
      <x:c r="V25" s="17" t="n">
        <x:v>0</x:v>
      </x:c>
      <x:c r="W25" s="17" t="n">
        <x:v>1</x:v>
      </x:c>
      <x:c r="X25" s="17" t="n">
        <x:v>0</x:v>
      </x:c>
      <x:c r="Y25" s="17" t="n">
        <x:v>0</x:v>
      </x:c>
      <x:c r="Z25" s="17" t="n">
        <x:v>0</x:v>
      </x:c>
      <x:c r="AA25" s="17" t="n">
        <x:v>0</x:v>
      </x:c>
      <x:c r="AB25" s="17" t="n">
        <x:v>0</x:v>
      </x:c>
      <x:c r="AC25" s="17" t="n">
        <x:v>0</x:v>
      </x:c>
      <x:c r="AD25" s="17" t="n">
        <x:v>0</x:v>
      </x:c>
      <x:c r="AE25" s="17" t="n">
        <x:v>0</x:v>
      </x:c>
      <x:c r="AF25" s="17" t="n">
        <x:v>0</x:v>
      </x:c>
      <x:c r="AG25" s="17" t="n">
        <x:v>0</x:v>
      </x:c>
      <x:c r="AH25" s="17" t="n">
        <x:v>0</x:v>
      </x:c>
      <x:c r="AI25" s="17" t="n">
        <x:v>0</x:v>
      </x:c>
      <x:c r="AJ25" s="17" t="n">
        <x:v>0</x:v>
      </x:c>
      <x:c r="AK25" s="17" t="n">
        <x:v>0</x:v>
      </x:c>
      <x:c r="AL25" s="17" t="n">
        <x:v>0</x:v>
      </x:c>
      <x:c r="AM25" s="17" t="n">
        <x:v>0</x:v>
      </x:c>
    </x:row>
    <x:row r="26" ht="22" customHeight="1">
      <x:c r="A26" s="17" t="n">
        <x:v>14</x:v>
      </x:c>
      <x:c r="B26" s="17" t="str">
        <x:v>竹编小垫</x:v>
      </x:c>
      <x:c r="C26" s="17" t="str">
        <x:v>纺织机</x:v>
      </x:c>
      <x:c r="D26" s="17" t="n">
        <x:f>'01_数值调参'!X9</x:f>
        <x:v>30</x:v>
      </x:c>
      <x:c r="E26" s="17" t="n">
        <x:v>0</x:v>
      </x:c>
      <x:c r="F26" s="17" t="n">
        <x:v>0</x:v>
      </x:c>
      <x:c r="G26" s="17" t="n">
        <x:v>0</x:v>
      </x:c>
      <x:c r="H26" s="17" t="n">
        <x:v>0</x:v>
      </x:c>
      <x:c r="I26" s="17" t="n">
        <x:v>0</x:v>
      </x:c>
      <x:c r="J26" s="17" t="n">
        <x:v>0</x:v>
      </x:c>
      <x:c r="K26" s="17" t="n">
        <x:v>0</x:v>
      </x:c>
      <x:c r="L26" s="17" t="n">
        <x:v>0</x:v>
      </x:c>
      <x:c r="M26" s="17" t="n">
        <x:v>0</x:v>
      </x:c>
      <x:c r="N26" s="17" t="n">
        <x:v>0</x:v>
      </x:c>
      <x:c r="O26" s="17" t="n">
        <x:v>0</x:v>
      </x:c>
      <x:c r="P26" s="17" t="n">
        <x:v>0</x:v>
      </x:c>
      <x:c r="Q26" s="17" t="n">
        <x:v>0</x:v>
      </x:c>
      <x:c r="R26" s="17" t="n">
        <x:v>0</x:v>
      </x:c>
      <x:c r="S26" s="17" t="n">
        <x:v>0</x:v>
      </x:c>
      <x:c r="T26" s="17" t="n">
        <x:v>0</x:v>
      </x:c>
      <x:c r="U26" s="17" t="n">
        <x:v>0</x:v>
      </x:c>
      <x:c r="V26" s="17" t="n">
        <x:v>0</x:v>
      </x:c>
      <x:c r="W26" s="17" t="n">
        <x:v>0</x:v>
      </x:c>
      <x:c r="X26" s="17" t="n">
        <x:v>1</x:v>
      </x:c>
      <x:c r="Y26" s="17" t="n">
        <x:v>0</x:v>
      </x:c>
      <x:c r="Z26" s="17" t="n">
        <x:v>0</x:v>
      </x:c>
      <x:c r="AA26" s="17" t="n">
        <x:v>0</x:v>
      </x:c>
      <x:c r="AB26" s="17" t="n">
        <x:v>0</x:v>
      </x:c>
      <x:c r="AC26" s="17" t="n">
        <x:v>0</x:v>
      </x:c>
      <x:c r="AD26" s="17" t="n">
        <x:v>0</x:v>
      </x:c>
      <x:c r="AE26" s="17" t="n">
        <x:v>0</x:v>
      </x:c>
      <x:c r="AF26" s="17" t="n">
        <x:v>0</x:v>
      </x:c>
      <x:c r="AG26" s="17" t="n">
        <x:v>0</x:v>
      </x:c>
      <x:c r="AH26" s="17" t="n">
        <x:v>0</x:v>
      </x:c>
      <x:c r="AI26" s="17" t="n">
        <x:v>0</x:v>
      </x:c>
      <x:c r="AJ26" s="17" t="n">
        <x:v>0</x:v>
      </x:c>
      <x:c r="AK26" s="17" t="n">
        <x:v>0</x:v>
      </x:c>
      <x:c r="AL26" s="17" t="n">
        <x:v>1</x:v>
      </x:c>
      <x:c r="AM26" s="17" t="n">
        <x:v>0</x:v>
      </x:c>
    </x:row>
    <x:row r="27" ht="22" customHeight="1">
      <x:c r="A27" s="17" t="n">
        <x:v>16</x:v>
      </x:c>
      <x:c r="B27" s="17" t="str">
        <x:v>软棉布</x:v>
      </x:c>
      <x:c r="C27" s="17" t="str">
        <x:v>纺织机</x:v>
      </x:c>
      <x:c r="D27" s="17" t="n">
        <x:f>'01_数值调参'!Y9</x:f>
        <x:v>45</x:v>
      </x:c>
      <x:c r="E27" s="17" t="n">
        <x:v>0</x:v>
      </x:c>
      <x:c r="F27" s="17" t="n">
        <x:v>0</x:v>
      </x:c>
      <x:c r="G27" s="17" t="n">
        <x:v>0</x:v>
      </x:c>
      <x:c r="H27" s="17" t="n">
        <x:v>0</x:v>
      </x:c>
      <x:c r="I27" s="17" t="n">
        <x:v>0</x:v>
      </x:c>
      <x:c r="J27" s="17" t="n">
        <x:v>0</x:v>
      </x:c>
      <x:c r="K27" s="17" t="n">
        <x:v>0</x:v>
      </x:c>
      <x:c r="L27" s="17" t="n">
        <x:v>0</x:v>
      </x:c>
      <x:c r="M27" s="17" t="n">
        <x:v>0</x:v>
      </x:c>
      <x:c r="N27" s="17" t="n">
        <x:v>0</x:v>
      </x:c>
      <x:c r="O27" s="17" t="n">
        <x:v>0</x:v>
      </x:c>
      <x:c r="P27" s="17" t="n">
        <x:v>0</x:v>
      </x:c>
      <x:c r="Q27" s="17" t="n">
        <x:v>0</x:v>
      </x:c>
      <x:c r="R27" s="17" t="n">
        <x:v>0</x:v>
      </x:c>
      <x:c r="S27" s="17" t="n">
        <x:v>0</x:v>
      </x:c>
      <x:c r="T27" s="17" t="n">
        <x:v>0</x:v>
      </x:c>
      <x:c r="U27" s="17" t="n">
        <x:v>0</x:v>
      </x:c>
      <x:c r="V27" s="17" t="n">
        <x:v>0</x:v>
      </x:c>
      <x:c r="W27" s="17" t="n">
        <x:v>0</x:v>
      </x:c>
      <x:c r="X27" s="17" t="n">
        <x:v>0</x:v>
      </x:c>
      <x:c r="Y27" s="17" t="n">
        <x:v>1</x:v>
      </x:c>
      <x:c r="Z27" s="17" t="n">
        <x:v>0</x:v>
      </x:c>
      <x:c r="AA27" s="17" t="n">
        <x:v>0</x:v>
      </x:c>
      <x:c r="AB27" s="17" t="n">
        <x:v>0</x:v>
      </x:c>
      <x:c r="AC27" s="17" t="n">
        <x:v>0</x:v>
      </x:c>
      <x:c r="AD27" s="17" t="n">
        <x:v>0</x:v>
      </x:c>
      <x:c r="AE27" s="17" t="n">
        <x:v>0</x:v>
      </x:c>
      <x:c r="AF27" s="17" t="n">
        <x:v>0</x:v>
      </x:c>
      <x:c r="AG27" s="17" t="n">
        <x:v>0</x:v>
      </x:c>
      <x:c r="AH27" s="17" t="n">
        <x:v>0</x:v>
      </x:c>
      <x:c r="AI27" s="17" t="n">
        <x:v>0</x:v>
      </x:c>
      <x:c r="AJ27" s="17" t="n">
        <x:v>0</x:v>
      </x:c>
      <x:c r="AK27" s="17" t="n">
        <x:v>0</x:v>
      </x:c>
      <x:c r="AL27" s="17" t="n">
        <x:v>0</x:v>
      </x:c>
      <x:c r="AM27" s="17" t="n">
        <x:v>0</x:v>
      </x:c>
    </x:row>
    <x:row r="28" ht="22" customHeight="1">
      <x:c r="A28" s="17" t="n">
        <x:v>21</x:v>
      </x:c>
      <x:c r="B28" s="17" t="str">
        <x:v>竹帘</x:v>
      </x:c>
      <x:c r="C28" s="17" t="str">
        <x:v>纺织机</x:v>
      </x:c>
      <x:c r="D28" s="17" t="n">
        <x:f>'01_数值调参'!Z9</x:f>
        <x:v>60</x:v>
      </x:c>
      <x:c r="E28" s="17" t="n">
        <x:v>0</x:v>
      </x:c>
      <x:c r="F28" s="17" t="n">
        <x:v>0</x:v>
      </x:c>
      <x:c r="G28" s="17" t="n">
        <x:v>0</x:v>
      </x:c>
      <x:c r="H28" s="17" t="n">
        <x:v>0</x:v>
      </x:c>
      <x:c r="I28" s="17" t="n">
        <x:v>0</x:v>
      </x:c>
      <x:c r="J28" s="17" t="n">
        <x:v>0</x:v>
      </x:c>
      <x:c r="K28" s="17" t="n">
        <x:v>0</x:v>
      </x:c>
      <x:c r="L28" s="17" t="n">
        <x:v>0</x:v>
      </x:c>
      <x:c r="M28" s="17" t="n">
        <x:v>0</x:v>
      </x:c>
      <x:c r="N28" s="17" t="n">
        <x:v>0</x:v>
      </x:c>
      <x:c r="O28" s="17" t="n">
        <x:v>0</x:v>
      </x:c>
      <x:c r="P28" s="17" t="n">
        <x:v>0</x:v>
      </x:c>
      <x:c r="Q28" s="17" t="n">
        <x:v>0</x:v>
      </x:c>
      <x:c r="R28" s="17" t="n">
        <x:v>0</x:v>
      </x:c>
      <x:c r="S28" s="17" t="n">
        <x:v>0</x:v>
      </x:c>
      <x:c r="T28" s="17" t="n">
        <x:v>0</x:v>
      </x:c>
      <x:c r="U28" s="17" t="n">
        <x:v>0</x:v>
      </x:c>
      <x:c r="V28" s="17" t="n">
        <x:v>0</x:v>
      </x:c>
      <x:c r="W28" s="17" t="n">
        <x:v>0</x:v>
      </x:c>
      <x:c r="X28" s="17" t="n">
        <x:v>0</x:v>
      </x:c>
      <x:c r="Y28" s="17" t="n">
        <x:v>0</x:v>
      </x:c>
      <x:c r="Z28" s="17" t="n">
        <x:v>1</x:v>
      </x:c>
      <x:c r="AA28" s="17" t="n">
        <x:v>0</x:v>
      </x:c>
      <x:c r="AB28" s="17" t="n">
        <x:v>0</x:v>
      </x:c>
      <x:c r="AC28" s="17" t="n">
        <x:v>0</x:v>
      </x:c>
      <x:c r="AD28" s="17" t="n">
        <x:v>0</x:v>
      </x:c>
      <x:c r="AE28" s="17" t="n">
        <x:v>0</x:v>
      </x:c>
      <x:c r="AF28" s="17" t="n">
        <x:v>0</x:v>
      </x:c>
      <x:c r="AG28" s="17" t="n">
        <x:v>0</x:v>
      </x:c>
      <x:c r="AH28" s="17" t="n">
        <x:v>0</x:v>
      </x:c>
      <x:c r="AI28" s="17" t="n">
        <x:v>0</x:v>
      </x:c>
      <x:c r="AJ28" s="17" t="n">
        <x:v>0</x:v>
      </x:c>
      <x:c r="AK28" s="17" t="n">
        <x:v>0</x:v>
      </x:c>
      <x:c r="AL28" s="17" t="n">
        <x:v>0</x:v>
      </x:c>
      <x:c r="AM28" s="17" t="n">
        <x:v>0</x:v>
      </x:c>
    </x:row>
    <x:row r="29" ht="22" customHeight="1">
      <x:c r="A29" s="17" t="n">
        <x:v>27</x:v>
      </x:c>
      <x:c r="B29" s="17" t="str">
        <x:v>绒绒灯罩</x:v>
      </x:c>
      <x:c r="C29" s="17" t="str">
        <x:v>纺织机</x:v>
      </x:c>
      <x:c r="D29" s="17" t="n">
        <x:f>'01_数值调参'!AA9</x:f>
        <x:v>120</x:v>
      </x:c>
      <x:c r="E29" s="17" t="n">
        <x:v>0</x:v>
      </x:c>
      <x:c r="F29" s="17" t="n">
        <x:v>0</x:v>
      </x:c>
      <x:c r="G29" s="17" t="n">
        <x:v>0</x:v>
      </x:c>
      <x:c r="H29" s="17" t="n">
        <x:v>0</x:v>
      </x:c>
      <x:c r="I29" s="17" t="n">
        <x:v>0</x:v>
      </x:c>
      <x:c r="J29" s="17" t="n">
        <x:v>0</x:v>
      </x:c>
      <x:c r="K29" s="17" t="n">
        <x:v>0</x:v>
      </x:c>
      <x:c r="L29" s="17" t="n">
        <x:v>0</x:v>
      </x:c>
      <x:c r="M29" s="17" t="n">
        <x:v>0</x:v>
      </x:c>
      <x:c r="N29" s="17" t="n">
        <x:v>0</x:v>
      </x:c>
      <x:c r="O29" s="17" t="n">
        <x:v>0</x:v>
      </x:c>
      <x:c r="P29" s="17" t="n">
        <x:v>0</x:v>
      </x:c>
      <x:c r="Q29" s="17" t="n">
        <x:v>0</x:v>
      </x:c>
      <x:c r="R29" s="17" t="n">
        <x:v>0</x:v>
      </x:c>
      <x:c r="S29" s="17" t="n">
        <x:v>0</x:v>
      </x:c>
      <x:c r="T29" s="17" t="n">
        <x:v>0</x:v>
      </x:c>
      <x:c r="U29" s="17" t="n">
        <x:v>0</x:v>
      </x:c>
      <x:c r="V29" s="17" t="n">
        <x:v>0</x:v>
      </x:c>
      <x:c r="W29" s="17" t="n">
        <x:v>0</x:v>
      </x:c>
      <x:c r="X29" s="17" t="n">
        <x:v>0</x:v>
      </x:c>
      <x:c r="Y29" s="17" t="n">
        <x:v>0</x:v>
      </x:c>
      <x:c r="Z29" s="17" t="n">
        <x:v>0</x:v>
      </x:c>
      <x:c r="AA29" s="17" t="n">
        <x:v>1</x:v>
      </x:c>
      <x:c r="AB29" s="17" t="n">
        <x:v>0</x:v>
      </x:c>
      <x:c r="AC29" s="17" t="n">
        <x:v>0</x:v>
      </x:c>
      <x:c r="AD29" s="17" t="n">
        <x:v>0</x:v>
      </x:c>
      <x:c r="AE29" s="17" t="n">
        <x:v>0</x:v>
      </x:c>
      <x:c r="AF29" s="17" t="n">
        <x:v>0</x:v>
      </x:c>
      <x:c r="AG29" s="17" t="n">
        <x:v>0</x:v>
      </x:c>
      <x:c r="AH29" s="17" t="n">
        <x:v>0</x:v>
      </x:c>
      <x:c r="AI29" s="17" t="n">
        <x:v>0</x:v>
      </x:c>
      <x:c r="AJ29" s="17" t="n">
        <x:v>0</x:v>
      </x:c>
      <x:c r="AK29" s="17" t="n">
        <x:v>0</x:v>
      </x:c>
      <x:c r="AL29" s="17" t="n">
        <x:v>0</x:v>
      </x:c>
      <x:c r="AM29" s="17" t="n">
        <x:v>1</x:v>
      </x:c>
    </x:row>
    <x:row r="30" ht="22" customHeight="1">
      <x:c r="A30" s="17" t="n">
        <x:v>32</x:v>
      </x:c>
      <x:c r="B30" s="17" t="str">
        <x:v>软边小席</x:v>
      </x:c>
      <x:c r="C30" s="17" t="str">
        <x:v>纺织机</x:v>
      </x:c>
      <x:c r="D30" s="17" t="n">
        <x:f>'01_数值调参'!AB9</x:f>
        <x:v>150</x:v>
      </x:c>
      <x:c r="E30" s="17" t="n">
        <x:v>0</x:v>
      </x:c>
      <x:c r="F30" s="17" t="n">
        <x:v>0</x:v>
      </x:c>
      <x:c r="G30" s="17" t="n">
        <x:v>0</x:v>
      </x:c>
      <x:c r="H30" s="17" t="n">
        <x:v>0</x:v>
      </x:c>
      <x:c r="I30" s="17" t="n">
        <x:v>0</x:v>
      </x:c>
      <x:c r="J30" s="17" t="n">
        <x:v>0</x:v>
      </x:c>
      <x:c r="K30" s="17" t="n">
        <x:v>0</x:v>
      </x:c>
      <x:c r="L30" s="17" t="n">
        <x:v>0</x:v>
      </x:c>
      <x:c r="M30" s="17" t="n">
        <x:v>0</x:v>
      </x:c>
      <x:c r="N30" s="17" t="n">
        <x:v>0</x:v>
      </x:c>
      <x:c r="O30" s="17" t="n">
        <x:v>0</x:v>
      </x:c>
      <x:c r="P30" s="17" t="n">
        <x:v>0</x:v>
      </x:c>
      <x:c r="Q30" s="17" t="n">
        <x:v>0</x:v>
      </x:c>
      <x:c r="R30" s="17" t="n">
        <x:v>0</x:v>
      </x:c>
      <x:c r="S30" s="17" t="n">
        <x:v>0</x:v>
      </x:c>
      <x:c r="T30" s="17" t="n">
        <x:v>0</x:v>
      </x:c>
      <x:c r="U30" s="17" t="n">
        <x:v>0</x:v>
      </x:c>
      <x:c r="V30" s="17" t="n">
        <x:v>0</x:v>
      </x:c>
      <x:c r="W30" s="17" t="n">
        <x:v>0</x:v>
      </x:c>
      <x:c r="X30" s="17" t="n">
        <x:v>0</x:v>
      </x:c>
      <x:c r="Y30" s="17" t="n">
        <x:v>0</x:v>
      </x:c>
      <x:c r="Z30" s="17" t="n">
        <x:v>0</x:v>
      </x:c>
      <x:c r="AA30" s="17" t="n">
        <x:v>0</x:v>
      </x:c>
      <x:c r="AB30" s="17" t="n">
        <x:v>1</x:v>
      </x:c>
      <x:c r="AC30" s="17" t="n">
        <x:v>0</x:v>
      </x:c>
      <x:c r="AD30" s="17" t="n">
        <x:v>0</x:v>
      </x:c>
      <x:c r="AE30" s="17" t="n">
        <x:v>0</x:v>
      </x:c>
      <x:c r="AF30" s="17" t="n">
        <x:v>0</x:v>
      </x:c>
      <x:c r="AG30" s="17" t="n">
        <x:v>0</x:v>
      </x:c>
      <x:c r="AH30" s="17" t="n">
        <x:v>0</x:v>
      </x:c>
      <x:c r="AI30" s="17" t="n">
        <x:v>0</x:v>
      </x:c>
      <x:c r="AJ30" s="17" t="n">
        <x:v>0</x:v>
      </x:c>
      <x:c r="AK30" s="17" t="n">
        <x:v>0</x:v>
      </x:c>
      <x:c r="AL30" s="17" t="n">
        <x:v>0</x:v>
      </x:c>
      <x:c r="AM30" s="17" t="n">
        <x:v>0</x:v>
      </x:c>
    </x:row>
    <x:row r="31" ht="22" customHeight="1">
      <x:c r="A31" s="17" t="n">
        <x:v>37</x:v>
      </x:c>
      <x:c r="B31" s="17" t="str">
        <x:v>雨滴篮子</x:v>
      </x:c>
      <x:c r="C31" s="17" t="str">
        <x:v>纺织机</x:v>
      </x:c>
      <x:c r="D31" s="17" t="n">
        <x:f>'01_数值调参'!AC9</x:f>
        <x:v>180</x:v>
      </x:c>
      <x:c r="E31" s="17" t="n">
        <x:v>0</x:v>
      </x:c>
      <x:c r="F31" s="17" t="n">
        <x:v>0</x:v>
      </x:c>
      <x:c r="G31" s="17" t="n">
        <x:v>0</x:v>
      </x:c>
      <x:c r="H31" s="17" t="n">
        <x:v>0</x:v>
      </x:c>
      <x:c r="I31" s="17" t="n">
        <x:v>0</x:v>
      </x:c>
      <x:c r="J31" s="17" t="n">
        <x:v>0</x:v>
      </x:c>
      <x:c r="K31" s="17" t="n">
        <x:v>0</x:v>
      </x:c>
      <x:c r="L31" s="17" t="n">
        <x:v>0</x:v>
      </x:c>
      <x:c r="M31" s="17" t="n">
        <x:v>0</x:v>
      </x:c>
      <x:c r="N31" s="17" t="n">
        <x:v>0</x:v>
      </x:c>
      <x:c r="O31" s="17" t="n">
        <x:v>0</x:v>
      </x:c>
      <x:c r="P31" s="17" t="n">
        <x:v>0</x:v>
      </x:c>
      <x:c r="Q31" s="17" t="n">
        <x:v>0</x:v>
      </x:c>
      <x:c r="R31" s="17" t="n">
        <x:v>0</x:v>
      </x:c>
      <x:c r="S31" s="17" t="n">
        <x:v>0</x:v>
      </x:c>
      <x:c r="T31" s="17" t="n">
        <x:v>0</x:v>
      </x:c>
      <x:c r="U31" s="17" t="n">
        <x:v>0</x:v>
      </x:c>
      <x:c r="V31" s="17" t="n">
        <x:v>0</x:v>
      </x:c>
      <x:c r="W31" s="17" t="n">
        <x:v>0</x:v>
      </x:c>
      <x:c r="X31" s="17" t="n">
        <x:v>0</x:v>
      </x:c>
      <x:c r="Y31" s="17" t="n">
        <x:v>0</x:v>
      </x:c>
      <x:c r="Z31" s="17" t="n">
        <x:v>0</x:v>
      </x:c>
      <x:c r="AA31" s="17" t="n">
        <x:v>0</x:v>
      </x:c>
      <x:c r="AB31" s="17" t="n">
        <x:v>0</x:v>
      </x:c>
      <x:c r="AC31" s="17" t="n">
        <x:v>1</x:v>
      </x:c>
      <x:c r="AD31" s="17" t="n">
        <x:v>0</x:v>
      </x:c>
      <x:c r="AE31" s="17" t="n">
        <x:v>0</x:v>
      </x:c>
      <x:c r="AF31" s="17" t="n">
        <x:v>0</x:v>
      </x:c>
      <x:c r="AG31" s="17" t="n">
        <x:v>0</x:v>
      </x:c>
      <x:c r="AH31" s="17" t="n">
        <x:v>0</x:v>
      </x:c>
      <x:c r="AI31" s="17" t="n">
        <x:v>0</x:v>
      </x:c>
      <x:c r="AJ31" s="17" t="n">
        <x:v>0</x:v>
      </x:c>
      <x:c r="AK31" s="17" t="n">
        <x:v>0</x:v>
      </x:c>
      <x:c r="AL31" s="17" t="n">
        <x:v>0</x:v>
      </x:c>
      <x:c r="AM31" s="17" t="n">
        <x:v>0</x:v>
      </x:c>
    </x:row>
    <x:row r="32" ht="22" customHeight="1">
      <x:c r="A32" s="17" t="n">
        <x:v>13</x:v>
      </x:c>
      <x:c r="B32" s="17" t="str">
        <x:v>薰衣草精油</x:v>
      </x:c>
      <x:c r="C32" s="17" t="str">
        <x:v>萃取机</x:v>
      </x:c>
      <x:c r="D32" s="17" t="n">
        <x:f>'01_数值调参'!AD9</x:f>
        <x:v>20</x:v>
      </x:c>
      <x:c r="E32" s="17" t="n">
        <x:v>0</x:v>
      </x:c>
      <x:c r="F32" s="17" t="n">
        <x:v>0</x:v>
      </x:c>
      <x:c r="G32" s="17" t="n">
        <x:v>0</x:v>
      </x:c>
      <x:c r="H32" s="17" t="n">
        <x:v>0</x:v>
      </x:c>
      <x:c r="I32" s="17" t="n">
        <x:v>0</x:v>
      </x:c>
      <x:c r="J32" s="17" t="n">
        <x:v>0</x:v>
      </x:c>
      <x:c r="K32" s="17" t="n">
        <x:v>0</x:v>
      </x:c>
      <x:c r="L32" s="17" t="n">
        <x:v>0</x:v>
      </x:c>
      <x:c r="M32" s="17" t="n">
        <x:v>0</x:v>
      </x:c>
      <x:c r="N32" s="17" t="n">
        <x:v>0</x:v>
      </x:c>
      <x:c r="O32" s="17" t="n">
        <x:v>0</x:v>
      </x:c>
      <x:c r="P32" s="17" t="n">
        <x:v>0</x:v>
      </x:c>
      <x:c r="Q32" s="17" t="n">
        <x:v>0</x:v>
      </x:c>
      <x:c r="R32" s="17" t="n">
        <x:v>0</x:v>
      </x:c>
      <x:c r="S32" s="17" t="n">
        <x:v>0</x:v>
      </x:c>
      <x:c r="T32" s="17" t="n">
        <x:v>0</x:v>
      </x:c>
      <x:c r="U32" s="17" t="n">
        <x:v>0</x:v>
      </x:c>
      <x:c r="V32" s="17" t="n">
        <x:v>0</x:v>
      </x:c>
      <x:c r="W32" s="17" t="n">
        <x:v>0</x:v>
      </x:c>
      <x:c r="X32" s="17" t="n">
        <x:v>0</x:v>
      </x:c>
      <x:c r="Y32" s="17" t="n">
        <x:v>0</x:v>
      </x:c>
      <x:c r="Z32" s="17" t="n">
        <x:v>0</x:v>
      </x:c>
      <x:c r="AA32" s="17" t="n">
        <x:v>0</x:v>
      </x:c>
      <x:c r="AB32" s="17" t="n">
        <x:v>0</x:v>
      </x:c>
      <x:c r="AC32" s="17" t="n">
        <x:v>0</x:v>
      </x:c>
      <x:c r="AD32" s="17" t="n">
        <x:v>1</x:v>
      </x:c>
      <x:c r="AE32" s="17" t="n">
        <x:v>0</x:v>
      </x:c>
      <x:c r="AF32" s="17" t="n">
        <x:v>0</x:v>
      </x:c>
      <x:c r="AG32" s="17" t="n">
        <x:v>0</x:v>
      </x:c>
      <x:c r="AH32" s="17" t="n">
        <x:v>0</x:v>
      </x:c>
      <x:c r="AI32" s="17" t="n">
        <x:v>1</x:v>
      </x:c>
      <x:c r="AJ32" s="17" t="n">
        <x:v>0</x:v>
      </x:c>
      <x:c r="AK32" s="17" t="n">
        <x:v>0</x:v>
      </x:c>
      <x:c r="AL32" s="17" t="n">
        <x:v>0</x:v>
      </x:c>
      <x:c r="AM32" s="17" t="n">
        <x:v>0</x:v>
      </x:c>
    </x:row>
    <x:row r="33" ht="22" customHeight="1">
      <x:c r="A33" s="17" t="n">
        <x:v>18</x:v>
      </x:c>
      <x:c r="B33" s="17" t="str">
        <x:v>花瓣香水</x:v>
      </x:c>
      <x:c r="C33" s="17" t="str">
        <x:v>萃取机</x:v>
      </x:c>
      <x:c r="D33" s="17" t="n">
        <x:f>'01_数值调参'!AE9</x:f>
        <x:v>45</x:v>
      </x:c>
      <x:c r="E33" s="17" t="n">
        <x:v>0</x:v>
      </x:c>
      <x:c r="F33" s="17" t="n">
        <x:v>0</x:v>
      </x:c>
      <x:c r="G33" s="17" t="n">
        <x:v>0</x:v>
      </x:c>
      <x:c r="H33" s="17" t="n">
        <x:v>0</x:v>
      </x:c>
      <x:c r="I33" s="17" t="n">
        <x:v>0</x:v>
      </x:c>
      <x:c r="J33" s="17" t="n">
        <x:v>0</x:v>
      </x:c>
      <x:c r="K33" s="17" t="n">
        <x:v>0</x:v>
      </x:c>
      <x:c r="L33" s="17" t="n">
        <x:v>0</x:v>
      </x:c>
      <x:c r="M33" s="17" t="n">
        <x:v>0</x:v>
      </x:c>
      <x:c r="N33" s="17" t="n">
        <x:v>0</x:v>
      </x:c>
      <x:c r="O33" s="17" t="n">
        <x:v>0</x:v>
      </x:c>
      <x:c r="P33" s="17" t="n">
        <x:v>0</x:v>
      </x:c>
      <x:c r="Q33" s="17" t="n">
        <x:v>0</x:v>
      </x:c>
      <x:c r="R33" s="17" t="n">
        <x:v>0</x:v>
      </x:c>
      <x:c r="S33" s="17" t="n">
        <x:v>0</x:v>
      </x:c>
      <x:c r="T33" s="17" t="n">
        <x:v>0</x:v>
      </x:c>
      <x:c r="U33" s="17" t="n">
        <x:v>0</x:v>
      </x:c>
      <x:c r="V33" s="17" t="n">
        <x:v>0</x:v>
      </x:c>
      <x:c r="W33" s="17" t="n">
        <x:v>0</x:v>
      </x:c>
      <x:c r="X33" s="17" t="n">
        <x:v>0</x:v>
      </x:c>
      <x:c r="Y33" s="17" t="n">
        <x:v>0</x:v>
      </x:c>
      <x:c r="Z33" s="17" t="n">
        <x:v>0</x:v>
      </x:c>
      <x:c r="AA33" s="17" t="n">
        <x:v>0</x:v>
      </x:c>
      <x:c r="AB33" s="17" t="n">
        <x:v>0</x:v>
      </x:c>
      <x:c r="AC33" s="17" t="n">
        <x:v>0</x:v>
      </x:c>
      <x:c r="AD33" s="17" t="n">
        <x:v>0</x:v>
      </x:c>
      <x:c r="AE33" s="17" t="n">
        <x:v>1</x:v>
      </x:c>
      <x:c r="AF33" s="17" t="n">
        <x:v>0</x:v>
      </x:c>
      <x:c r="AG33" s="17" t="n">
        <x:v>0</x:v>
      </x:c>
      <x:c r="AH33" s="17" t="n">
        <x:v>0</x:v>
      </x:c>
      <x:c r="AI33" s="17" t="n">
        <x:v>0</x:v>
      </x:c>
      <x:c r="AJ33" s="17" t="n">
        <x:v>1</x:v>
      </x:c>
      <x:c r="AK33" s="17" t="n">
        <x:v>0</x:v>
      </x:c>
      <x:c r="AL33" s="17" t="n">
        <x:v>0</x:v>
      </x:c>
      <x:c r="AM33" s="17" t="n">
        <x:v>0</x:v>
      </x:c>
    </x:row>
    <x:row r="34" ht="22" customHeight="1">
      <x:c r="A34" s="17" t="n">
        <x:v>25</x:v>
      </x:c>
      <x:c r="B34" s="17" t="str">
        <x:v>墨汁</x:v>
      </x:c>
      <x:c r="C34" s="17" t="str">
        <x:v>萃取机</x:v>
      </x:c>
      <x:c r="D34" s="17" t="n">
        <x:f>'01_数值调参'!AF9</x:f>
        <x:v>60</x:v>
      </x:c>
      <x:c r="E34" s="17" t="n">
        <x:v>0</x:v>
      </x:c>
      <x:c r="F34" s="17" t="n">
        <x:v>0</x:v>
      </x:c>
      <x:c r="G34" s="17" t="n">
        <x:v>0</x:v>
      </x:c>
      <x:c r="H34" s="17" t="n">
        <x:v>0</x:v>
      </x:c>
      <x:c r="I34" s="17" t="n">
        <x:v>0</x:v>
      </x:c>
      <x:c r="J34" s="17" t="n">
        <x:v>0</x:v>
      </x:c>
      <x:c r="K34" s="17" t="n">
        <x:v>0</x:v>
      </x:c>
      <x:c r="L34" s="17" t="n">
        <x:v>0</x:v>
      </x:c>
      <x:c r="M34" s="17" t="n">
        <x:v>0</x:v>
      </x:c>
      <x:c r="N34" s="17" t="n">
        <x:v>0</x:v>
      </x:c>
      <x:c r="O34" s="17" t="n">
        <x:v>0</x:v>
      </x:c>
      <x:c r="P34" s="17" t="n">
        <x:v>0</x:v>
      </x:c>
      <x:c r="Q34" s="17" t="n">
        <x:v>0</x:v>
      </x:c>
      <x:c r="R34" s="17" t="n">
        <x:v>0</x:v>
      </x:c>
      <x:c r="S34" s="17" t="n">
        <x:v>0</x:v>
      </x:c>
      <x:c r="T34" s="17" t="n">
        <x:v>0</x:v>
      </x:c>
      <x:c r="U34" s="17" t="n">
        <x:v>0</x:v>
      </x:c>
      <x:c r="V34" s="17" t="n">
        <x:v>0</x:v>
      </x:c>
      <x:c r="W34" s="17" t="n">
        <x:v>0</x:v>
      </x:c>
      <x:c r="X34" s="17" t="n">
        <x:v>0</x:v>
      </x:c>
      <x:c r="Y34" s="17" t="n">
        <x:v>0</x:v>
      </x:c>
      <x:c r="Z34" s="17" t="n">
        <x:v>0</x:v>
      </x:c>
      <x:c r="AA34" s="17" t="n">
        <x:v>0</x:v>
      </x:c>
      <x:c r="AB34" s="17" t="n">
        <x:v>0</x:v>
      </x:c>
      <x:c r="AC34" s="17" t="n">
        <x:v>0</x:v>
      </x:c>
      <x:c r="AD34" s="17" t="n">
        <x:v>0</x:v>
      </x:c>
      <x:c r="AE34" s="17" t="n">
        <x:v>0</x:v>
      </x:c>
      <x:c r="AF34" s="17" t="n">
        <x:v>1</x:v>
      </x:c>
      <x:c r="AG34" s="17" t="n">
        <x:v>0</x:v>
      </x:c>
      <x:c r="AH34" s="17" t="n">
        <x:v>0</x:v>
      </x:c>
      <x:c r="AI34" s="17" t="n">
        <x:v>0</x:v>
      </x:c>
      <x:c r="AJ34" s="17" t="n">
        <x:v>0</x:v>
      </x:c>
      <x:c r="AK34" s="17" t="n">
        <x:v>1</x:v>
      </x:c>
      <x:c r="AL34" s="17" t="n">
        <x:v>0</x:v>
      </x:c>
      <x:c r="AM34" s="17" t="n">
        <x:v>0</x:v>
      </x:c>
    </x:row>
    <x:row r="35" ht="22" customHeight="1">
      <x:c r="A35" s="17" t="n">
        <x:v>31</x:v>
      </x:c>
      <x:c r="B35" s="17" t="str">
        <x:v>花蜡</x:v>
      </x:c>
      <x:c r="C35" s="17" t="str">
        <x:v>萃取机</x:v>
      </x:c>
      <x:c r="D35" s="17" t="n">
        <x:f>'01_数值调参'!AG9</x:f>
        <x:v>90</x:v>
      </x:c>
      <x:c r="E35" s="17" t="n">
        <x:v>0</x:v>
      </x:c>
      <x:c r="F35" s="17" t="n">
        <x:v>0</x:v>
      </x:c>
      <x:c r="G35" s="17" t="n">
        <x:v>0</x:v>
      </x:c>
      <x:c r="H35" s="17" t="n">
        <x:v>0</x:v>
      </x:c>
      <x:c r="I35" s="17" t="n">
        <x:v>0</x:v>
      </x:c>
      <x:c r="J35" s="17" t="n">
        <x:v>0</x:v>
      </x:c>
      <x:c r="K35" s="17" t="n">
        <x:v>0</x:v>
      </x:c>
      <x:c r="L35" s="17" t="n">
        <x:v>0</x:v>
      </x:c>
      <x:c r="M35" s="17" t="n">
        <x:v>0</x:v>
      </x:c>
      <x:c r="N35" s="17" t="n">
        <x:v>0</x:v>
      </x:c>
      <x:c r="O35" s="17" t="n">
        <x:v>0</x:v>
      </x:c>
      <x:c r="P35" s="17" t="n">
        <x:v>0</x:v>
      </x:c>
      <x:c r="Q35" s="17" t="n">
        <x:v>0</x:v>
      </x:c>
      <x:c r="R35" s="17" t="n">
        <x:v>0</x:v>
      </x:c>
      <x:c r="S35" s="17" t="n">
        <x:v>0</x:v>
      </x:c>
      <x:c r="T35" s="17" t="n">
        <x:v>0</x:v>
      </x:c>
      <x:c r="U35" s="17" t="n">
        <x:v>0</x:v>
      </x:c>
      <x:c r="V35" s="17" t="n">
        <x:v>0</x:v>
      </x:c>
      <x:c r="W35" s="17" t="n">
        <x:v>0</x:v>
      </x:c>
      <x:c r="X35" s="17" t="n">
        <x:v>0</x:v>
      </x:c>
      <x:c r="Y35" s="17" t="n">
        <x:v>0</x:v>
      </x:c>
      <x:c r="Z35" s="17" t="n">
        <x:v>0</x:v>
      </x:c>
      <x:c r="AA35" s="17" t="n">
        <x:v>0</x:v>
      </x:c>
      <x:c r="AB35" s="17" t="n">
        <x:v>0</x:v>
      </x:c>
      <x:c r="AC35" s="17" t="n">
        <x:v>1</x:v>
      </x:c>
      <x:c r="AD35" s="17" t="n">
        <x:v>0</x:v>
      </x:c>
      <x:c r="AE35" s="17" t="n">
        <x:v>0</x:v>
      </x:c>
      <x:c r="AF35" s="17" t="n">
        <x:v>0</x:v>
      </x:c>
      <x:c r="AG35" s="17" t="n">
        <x:v>1</x:v>
      </x:c>
      <x:c r="AH35" s="17" t="n">
        <x:v>0</x:v>
      </x:c>
      <x:c r="AI35" s="17" t="n">
        <x:v>0</x:v>
      </x:c>
      <x:c r="AJ35" s="17" t="n">
        <x:v>0</x:v>
      </x:c>
      <x:c r="AK35" s="17" t="n">
        <x:v>0</x:v>
      </x:c>
      <x:c r="AL35" s="17" t="n">
        <x:v>0</x:v>
      </x:c>
      <x:c r="AM35" s="17" t="n">
        <x:v>0</x:v>
      </x:c>
    </x:row>
    <x:row r="36" ht="22" customHeight="1">
      <x:c r="A36" s="17" t="n">
        <x:v>19</x:v>
      </x:c>
      <x:c r="B36" s="17" t="str">
        <x:v>竹炭画笔</x:v>
      </x:c>
      <x:c r="C36" s="17" t="str">
        <x:v>窑炉</x:v>
      </x:c>
      <x:c r="D36" s="17" t="n">
        <x:f>'01_数值调参'!AH9</x:f>
        <x:v>45</x:v>
      </x:c>
      <x:c r="E36" s="17" t="n">
        <x:v>0</x:v>
      </x:c>
      <x:c r="F36" s="17" t="n">
        <x:v>0</x:v>
      </x:c>
      <x:c r="G36" s="17" t="n">
        <x:v>0</x:v>
      </x:c>
      <x:c r="H36" s="17" t="n">
        <x:v>0</x:v>
      </x:c>
      <x:c r="I36" s="17" t="n">
        <x:v>0</x:v>
      </x:c>
      <x:c r="J36" s="17" t="n">
        <x:v>0</x:v>
      </x:c>
      <x:c r="K36" s="17" t="n">
        <x:v>0</x:v>
      </x:c>
      <x:c r="L36" s="17" t="n">
        <x:v>0</x:v>
      </x:c>
      <x:c r="M36" s="17" t="n">
        <x:v>0</x:v>
      </x:c>
      <x:c r="N36" s="17" t="n">
        <x:v>0</x:v>
      </x:c>
      <x:c r="O36" s="17" t="n">
        <x:v>0</x:v>
      </x:c>
      <x:c r="P36" s="17" t="n">
        <x:v>0</x:v>
      </x:c>
      <x:c r="Q36" s="17" t="n">
        <x:v>0</x:v>
      </x:c>
      <x:c r="R36" s="17" t="n">
        <x:v>0</x:v>
      </x:c>
      <x:c r="S36" s="17" t="n">
        <x:v>0</x:v>
      </x:c>
      <x:c r="T36" s="17" t="n">
        <x:v>0</x:v>
      </x:c>
      <x:c r="U36" s="17" t="n">
        <x:v>0</x:v>
      </x:c>
      <x:c r="V36" s="17" t="n">
        <x:v>0</x:v>
      </x:c>
      <x:c r="W36" s="17" t="n">
        <x:v>0</x:v>
      </x:c>
      <x:c r="X36" s="17" t="n">
        <x:v>0</x:v>
      </x:c>
      <x:c r="Y36" s="17" t="n">
        <x:v>0</x:v>
      </x:c>
      <x:c r="Z36" s="17" t="n">
        <x:v>0</x:v>
      </x:c>
      <x:c r="AA36" s="17" t="n">
        <x:v>0</x:v>
      </x:c>
      <x:c r="AB36" s="17" t="n">
        <x:v>0</x:v>
      </x:c>
      <x:c r="AC36" s="17" t="n">
        <x:v>0</x:v>
      </x:c>
      <x:c r="AD36" s="17" t="n">
        <x:v>0</x:v>
      </x:c>
      <x:c r="AE36" s="17" t="n">
        <x:v>0</x:v>
      </x:c>
      <x:c r="AF36" s="17" t="n">
        <x:v>0</x:v>
      </x:c>
      <x:c r="AG36" s="17" t="n">
        <x:v>0</x:v>
      </x:c>
      <x:c r="AH36" s="17" t="n">
        <x:v>1</x:v>
      </x:c>
      <x:c r="AI36" s="17" t="n">
        <x:v>0</x:v>
      </x:c>
      <x:c r="AJ36" s="17" t="n">
        <x:v>0</x:v>
      </x:c>
      <x:c r="AK36" s="17" t="n">
        <x:v>0</x:v>
      </x:c>
      <x:c r="AL36" s="17" t="n">
        <x:v>0</x:v>
      </x:c>
      <x:c r="AM36" s="17" t="n">
        <x:v>0</x:v>
      </x:c>
    </x:row>
    <x:row r="37" ht="22" customHeight="1">
      <x:c r="A37" s="17" t="n">
        <x:v>23</x:v>
      </x:c>
      <x:c r="B37" s="17" t="str">
        <x:v>薰衣草香棒</x:v>
      </x:c>
      <x:c r="C37" s="17" t="str">
        <x:v>窑炉</x:v>
      </x:c>
      <x:c r="D37" s="17" t="n">
        <x:f>'01_数值调参'!AI9</x:f>
        <x:v>60</x:v>
      </x:c>
      <x:c r="E37" s="17" t="n">
        <x:v>0</x:v>
      </x:c>
      <x:c r="F37" s="17" t="n">
        <x:v>0</x:v>
      </x:c>
      <x:c r="G37" s="17" t="n">
        <x:v>0</x:v>
      </x:c>
      <x:c r="H37" s="17" t="n">
        <x:v>0</x:v>
      </x:c>
      <x:c r="I37" s="17" t="n">
        <x:v>0</x:v>
      </x:c>
      <x:c r="J37" s="17" t="n">
        <x:v>0</x:v>
      </x:c>
      <x:c r="K37" s="17" t="n">
        <x:v>0</x:v>
      </x:c>
      <x:c r="L37" s="17" t="n">
        <x:v>0</x:v>
      </x:c>
      <x:c r="M37" s="17" t="n">
        <x:v>0</x:v>
      </x:c>
      <x:c r="N37" s="17" t="n">
        <x:v>0</x:v>
      </x:c>
      <x:c r="O37" s="17" t="n">
        <x:v>0</x:v>
      </x:c>
      <x:c r="P37" s="17" t="n">
        <x:v>0</x:v>
      </x:c>
      <x:c r="Q37" s="17" t="n">
        <x:v>0</x:v>
      </x:c>
      <x:c r="R37" s="17" t="n">
        <x:v>0</x:v>
      </x:c>
      <x:c r="S37" s="17" t="n">
        <x:v>0</x:v>
      </x:c>
      <x:c r="T37" s="17" t="n">
        <x:v>0</x:v>
      </x:c>
      <x:c r="U37" s="17" t="n">
        <x:v>0</x:v>
      </x:c>
      <x:c r="V37" s="17" t="n">
        <x:v>0</x:v>
      </x:c>
      <x:c r="W37" s="17" t="n">
        <x:v>0</x:v>
      </x:c>
      <x:c r="X37" s="17" t="n">
        <x:v>0</x:v>
      </x:c>
      <x:c r="Y37" s="17" t="n">
        <x:v>0</x:v>
      </x:c>
      <x:c r="Z37" s="17" t="n">
        <x:v>0</x:v>
      </x:c>
      <x:c r="AA37" s="17" t="n">
        <x:v>0</x:v>
      </x:c>
      <x:c r="AB37" s="17" t="n">
        <x:v>0</x:v>
      </x:c>
      <x:c r="AC37" s="17" t="n">
        <x:v>0</x:v>
      </x:c>
      <x:c r="AD37" s="17" t="n">
        <x:v>0</x:v>
      </x:c>
      <x:c r="AE37" s="17" t="n">
        <x:v>0</x:v>
      </x:c>
      <x:c r="AF37" s="17" t="n">
        <x:v>0</x:v>
      </x:c>
      <x:c r="AG37" s="17" t="n">
        <x:v>0</x:v>
      </x:c>
      <x:c r="AH37" s="17" t="n">
        <x:v>0</x:v>
      </x:c>
      <x:c r="AI37" s="17" t="n">
        <x:v>1</x:v>
      </x:c>
      <x:c r="AJ37" s="17" t="n">
        <x:v>0</x:v>
      </x:c>
      <x:c r="AK37" s="17" t="n">
        <x:v>0</x:v>
      </x:c>
      <x:c r="AL37" s="17" t="n">
        <x:v>0</x:v>
      </x:c>
      <x:c r="AM37" s="17" t="n">
        <x:v>0</x:v>
      </x:c>
    </x:row>
    <x:row r="38" ht="22" customHeight="1">
      <x:c r="A38" s="17" t="n">
        <x:v>26</x:v>
      </x:c>
      <x:c r="B38" s="17" t="str">
        <x:v>竹制盆景</x:v>
      </x:c>
      <x:c r="C38" s="17" t="str">
        <x:v>窑炉</x:v>
      </x:c>
      <x:c r="D38" s="17" t="n">
        <x:f>'01_数值调参'!AJ9</x:f>
        <x:v>90</x:v>
      </x:c>
      <x:c r="E38" s="17" t="n">
        <x:v>0</x:v>
      </x:c>
      <x:c r="F38" s="17" t="n">
        <x:v>0</x:v>
      </x:c>
      <x:c r="G38" s="17" t="n">
        <x:v>0</x:v>
      </x:c>
      <x:c r="H38" s="17" t="n">
        <x:v>0</x:v>
      </x:c>
      <x:c r="I38" s="17" t="n">
        <x:v>0</x:v>
      </x:c>
      <x:c r="J38" s="17" t="n">
        <x:v>0</x:v>
      </x:c>
      <x:c r="K38" s="17" t="n">
        <x:v>0</x:v>
      </x:c>
      <x:c r="L38" s="17" t="n">
        <x:v>0</x:v>
      </x:c>
      <x:c r="M38" s="17" t="n">
        <x:v>0</x:v>
      </x:c>
      <x:c r="N38" s="17" t="n">
        <x:v>0</x:v>
      </x:c>
      <x:c r="O38" s="17" t="n">
        <x:v>0</x:v>
      </x:c>
      <x:c r="P38" s="17" t="n">
        <x:v>0</x:v>
      </x:c>
      <x:c r="Q38" s="17" t="n">
        <x:v>0</x:v>
      </x:c>
      <x:c r="R38" s="17" t="n">
        <x:v>0</x:v>
      </x:c>
      <x:c r="S38" s="17" t="n">
        <x:v>0</x:v>
      </x:c>
      <x:c r="T38" s="17" t="n">
        <x:v>0</x:v>
      </x:c>
      <x:c r="U38" s="17" t="n">
        <x:v>0</x:v>
      </x:c>
      <x:c r="V38" s="17" t="n">
        <x:v>0</x:v>
      </x:c>
      <x:c r="W38" s="17" t="n">
        <x:v>0</x:v>
      </x:c>
      <x:c r="X38" s="17" t="n">
        <x:v>0</x:v>
      </x:c>
      <x:c r="Y38" s="17" t="n">
        <x:v>0</x:v>
      </x:c>
      <x:c r="Z38" s="17" t="n">
        <x:v>0</x:v>
      </x:c>
      <x:c r="AA38" s="17" t="n">
        <x:v>0</x:v>
      </x:c>
      <x:c r="AB38" s="17" t="n">
        <x:v>0</x:v>
      </x:c>
      <x:c r="AC38" s="17" t="n">
        <x:v>0</x:v>
      </x:c>
      <x:c r="AD38" s="17" t="n">
        <x:v>0</x:v>
      </x:c>
      <x:c r="AE38" s="17" t="n">
        <x:v>0</x:v>
      </x:c>
      <x:c r="AF38" s="17" t="n">
        <x:v>0</x:v>
      </x:c>
      <x:c r="AG38" s="17" t="n">
        <x:v>0</x:v>
      </x:c>
      <x:c r="AH38" s="17" t="n">
        <x:v>0</x:v>
      </x:c>
      <x:c r="AI38" s="17" t="n">
        <x:v>0</x:v>
      </x:c>
      <x:c r="AJ38" s="17" t="n">
        <x:v>1</x:v>
      </x:c>
      <x:c r="AK38" s="17" t="n">
        <x:v>0</x:v>
      </x:c>
      <x:c r="AL38" s="17" t="n">
        <x:v>0</x:v>
      </x:c>
      <x:c r="AM38" s="17" t="n">
        <x:v>0</x:v>
      </x:c>
    </x:row>
    <x:row r="39" ht="22" customHeight="1">
      <x:c r="A39" s="17" t="n">
        <x:v>29</x:v>
      </x:c>
      <x:c r="B39" s="17" t="str">
        <x:v>圈圈蚊香</x:v>
      </x:c>
      <x:c r="C39" s="17" t="str">
        <x:v>窑炉</x:v>
      </x:c>
      <x:c r="D39" s="17" t="n">
        <x:f>'01_数值调参'!AK9</x:f>
        <x:v>120</x:v>
      </x:c>
      <x:c r="E39" s="17" t="n">
        <x:v>0</x:v>
      </x:c>
      <x:c r="F39" s="17" t="n">
        <x:v>0</x:v>
      </x:c>
      <x:c r="G39" s="17" t="n">
        <x:v>0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v>0</x:v>
      </x:c>
      <x:c r="M39" s="17" t="n">
        <x:v>0</x:v>
      </x:c>
      <x:c r="N39" s="17" t="n">
        <x:v>0</x:v>
      </x:c>
      <x:c r="O39" s="17" t="n">
        <x:v>0</x:v>
      </x:c>
      <x:c r="P39" s="17" t="n">
        <x:v>0</x:v>
      </x:c>
      <x:c r="Q39" s="17" t="n">
        <x:v>0</x:v>
      </x:c>
      <x:c r="R39" s="17" t="n">
        <x:v>0</x:v>
      </x:c>
      <x:c r="S39" s="17" t="n">
        <x:v>0</x:v>
      </x:c>
      <x:c r="T39" s="17" t="n">
        <x:v>0</x:v>
      </x:c>
      <x:c r="U39" s="17" t="n">
        <x:v>0</x:v>
      </x:c>
      <x:c r="V39" s="17" t="n">
        <x:v>0</x:v>
      </x:c>
      <x:c r="W39" s="17" t="n">
        <x:v>0</x:v>
      </x:c>
      <x:c r="X39" s="17" t="n">
        <x:v>0</x:v>
      </x:c>
      <x:c r="Y39" s="17" t="n">
        <x:v>0</x:v>
      </x:c>
      <x:c r="Z39" s="17" t="n">
        <x:v>0</x:v>
      </x:c>
      <x:c r="AA39" s="17" t="n">
        <x:v>0</x:v>
      </x:c>
      <x:c r="AB39" s="17" t="n">
        <x:v>0</x:v>
      </x:c>
      <x:c r="AC39" s="17" t="n">
        <x:v>0</x:v>
      </x:c>
      <x:c r="AD39" s="17" t="n">
        <x:v>0</x:v>
      </x:c>
      <x:c r="AE39" s="17" t="n">
        <x:v>0</x:v>
      </x:c>
      <x:c r="AF39" s="17" t="n">
        <x:v>0</x:v>
      </x:c>
      <x:c r="AG39" s="17" t="n">
        <x:v>0</x:v>
      </x:c>
      <x:c r="AH39" s="17" t="n">
        <x:v>0</x:v>
      </x:c>
      <x:c r="AI39" s="17" t="n">
        <x:v>0</x:v>
      </x:c>
      <x:c r="AJ39" s="17" t="n">
        <x:v>0</x:v>
      </x:c>
      <x:c r="AK39" s="17" t="n">
        <x:v>1</x:v>
      </x:c>
      <x:c r="AL39" s="17" t="n">
        <x:v>0</x:v>
      </x:c>
      <x:c r="AM39" s="17" t="n">
        <x:v>0</x:v>
      </x:c>
    </x:row>
    <x:row r="40" ht="22" customHeight="1">
      <x:c r="A40" s="17" t="n">
        <x:v>34</x:v>
      </x:c>
      <x:c r="B40" s="17" t="str">
        <x:v>薰衣草软垫</x:v>
      </x:c>
      <x:c r="C40" s="17" t="str">
        <x:v>窑炉</x:v>
      </x:c>
      <x:c r="D40" s="17" t="n">
        <x:f>'01_数值调参'!AL9</x:f>
        <x:v>150</x:v>
      </x:c>
      <x:c r="E40" s="17" t="n">
        <x:v>0</x:v>
      </x:c>
      <x:c r="F40" s="17" t="n">
        <x:v>0</x:v>
      </x:c>
      <x:c r="G40" s="17" t="n">
        <x:v>0</x:v>
      </x:c>
      <x:c r="H40" s="17" t="n">
        <x:v>0</x:v>
      </x:c>
      <x:c r="I40" s="17" t="n">
        <x:v>0</x:v>
      </x:c>
      <x:c r="J40" s="17" t="n">
        <x:v>0</x:v>
      </x:c>
      <x:c r="K40" s="17" t="n">
        <x:v>0</x:v>
      </x:c>
      <x:c r="L40" s="17" t="n">
        <x:v>0</x:v>
      </x:c>
      <x:c r="M40" s="17" t="n">
        <x:v>0</x:v>
      </x:c>
      <x:c r="N40" s="17" t="n">
        <x:v>0</x:v>
      </x:c>
      <x:c r="O40" s="17" t="n">
        <x:v>0</x:v>
      </x:c>
      <x:c r="P40" s="17" t="n">
        <x:v>0</x:v>
      </x:c>
      <x:c r="Q40" s="17" t="n">
        <x:v>0</x:v>
      </x:c>
      <x:c r="R40" s="17" t="n">
        <x:v>0</x:v>
      </x:c>
      <x:c r="S40" s="17" t="n">
        <x:v>0</x:v>
      </x:c>
      <x:c r="T40" s="17" t="n">
        <x:v>0</x:v>
      </x:c>
      <x:c r="U40" s="17" t="n">
        <x:v>0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0</x:v>
      </x:c>
      <x:c r="AA40" s="17" t="n">
        <x:v>0</x:v>
      </x:c>
      <x:c r="AB40" s="17" t="n">
        <x:v>0</x:v>
      </x:c>
      <x:c r="AC40" s="17" t="n">
        <x:v>0</x:v>
      </x:c>
      <x:c r="AD40" s="17" t="n">
        <x:v>0</x:v>
      </x:c>
      <x:c r="AE40" s="17" t="n">
        <x:v>0</x:v>
      </x:c>
      <x:c r="AF40" s="17" t="n">
        <x:v>0</x:v>
      </x:c>
      <x:c r="AG40" s="17" t="n">
        <x:v>0</x:v>
      </x:c>
      <x:c r="AH40" s="17" t="n">
        <x:v>0</x:v>
      </x:c>
      <x:c r="AI40" s="17" t="n">
        <x:v>0</x:v>
      </x:c>
      <x:c r="AJ40" s="17" t="n">
        <x:v>0</x:v>
      </x:c>
      <x:c r="AK40" s="17" t="n">
        <x:v>0</x:v>
      </x:c>
      <x:c r="AL40" s="17" t="n">
        <x:v>1</x:v>
      </x:c>
      <x:c r="AM40" s="17" t="n">
        <x:v>0</x:v>
      </x:c>
    </x:row>
    <x:row r="41" ht="22" customHeight="1">
      <x:c r="A41" s="17" t="n">
        <x:v>38</x:v>
      </x:c>
      <x:c r="B41" s="17" t="str">
        <x:v>花瓣小灯</x:v>
      </x:c>
      <x:c r="C41" s="17" t="str">
        <x:v>窑炉</x:v>
      </x:c>
      <x:c r="D41" s="17" t="n">
        <x:f>'01_数值调参'!AM9</x:f>
        <x:v>180</x:v>
      </x:c>
      <x:c r="E41" s="17" t="n">
        <x:v>0</x:v>
      </x:c>
      <x:c r="F41" s="17" t="n">
        <x:v>0</x:v>
      </x:c>
      <x:c r="G41" s="17" t="n">
        <x:v>0</x:v>
      </x:c>
      <x:c r="H41" s="17" t="n">
        <x:v>0</x:v>
      </x:c>
      <x:c r="I41" s="17" t="n">
        <x:v>0</x:v>
      </x:c>
      <x:c r="J41" s="17" t="n">
        <x:v>0</x:v>
      </x:c>
      <x:c r="K41" s="17" t="n">
        <x:v>0</x:v>
      </x:c>
      <x:c r="L41" s="17" t="n">
        <x:v>0</x:v>
      </x:c>
      <x:c r="M41" s="17" t="n">
        <x:v>0</x:v>
      </x:c>
      <x:c r="N41" s="17" t="n">
        <x:v>0</x:v>
      </x:c>
      <x:c r="O41" s="17" t="n">
        <x:v>0</x:v>
      </x:c>
      <x:c r="P41" s="17" t="n">
        <x:v>0</x:v>
      </x:c>
      <x:c r="Q41" s="17" t="n">
        <x:v>0</x:v>
      </x:c>
      <x:c r="R41" s="17" t="n">
        <x:v>0</x:v>
      </x:c>
      <x:c r="S41" s="17" t="n">
        <x:v>0</x:v>
      </x:c>
      <x:c r="T41" s="17" t="n">
        <x:v>0</x:v>
      </x:c>
      <x:c r="U41" s="17" t="n">
        <x:v>0</x:v>
      </x:c>
      <x:c r="V41" s="17" t="n">
        <x:v>0</x:v>
      </x:c>
      <x:c r="W41" s="17" t="n">
        <x:v>0</x:v>
      </x:c>
      <x:c r="X41" s="17" t="n">
        <x:v>0</x:v>
      </x:c>
      <x:c r="Y41" s="17" t="n">
        <x:v>0</x:v>
      </x:c>
      <x:c r="Z41" s="17" t="n">
        <x:v>0</x:v>
      </x:c>
      <x:c r="AA41" s="17" t="n">
        <x:v>0</x:v>
      </x:c>
      <x:c r="AB41" s="17" t="n">
        <x:v>0</x:v>
      </x:c>
      <x:c r="AC41" s="17" t="n">
        <x:v>0</x:v>
      </x:c>
      <x:c r="AD41" s="17" t="n">
        <x:v>0</x:v>
      </x:c>
      <x:c r="AE41" s="17" t="n">
        <x:v>0</x:v>
      </x:c>
      <x:c r="AF41" s="17" t="n">
        <x:v>0</x:v>
      </x:c>
      <x:c r="AG41" s="17" t="n">
        <x:v>0</x:v>
      </x:c>
      <x:c r="AH41" s="17" t="n">
        <x:v>0</x:v>
      </x:c>
      <x:c r="AI41" s="17" t="n">
        <x:v>0</x:v>
      </x:c>
      <x:c r="AJ41" s="17" t="n">
        <x:v>0</x:v>
      </x:c>
      <x:c r="AK41" s="17" t="n">
        <x:v>0</x:v>
      </x:c>
      <x:c r="AL41" s="17" t="n">
        <x:v>0</x:v>
      </x:c>
      <x:c r="AM41" s="17" t="n">
        <x:v>1</x:v>
      </x:c>
    </x:row>
    <x:row r="42" ht="22" customHeight="1">
      <x:c r="A42" s="9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9"/>
      <x:c r="U42" s="9"/>
      <x:c r="V42" s="9"/>
      <x:c r="W42" s="9"/>
      <x:c r="X42" s="9"/>
      <x:c r="Y42" s="9"/>
      <x:c r="Z42" s="9"/>
      <x:c r="AA42" s="9"/>
      <x:c r="AB42" s="9"/>
      <x:c r="AC42" s="9"/>
      <x:c r="AD42" s="9"/>
      <x:c r="AE42" s="9"/>
      <x:c r="AF42" s="9"/>
      <x:c r="AG42" s="9"/>
      <x:c r="AH42" s="9"/>
      <x:c r="AI42" s="9"/>
      <x:c r="AJ42" s="9"/>
      <x:c r="AK42" s="9"/>
      <x:c r="AL42" s="9"/>
      <x:c r="AM42" s="9"/>
    </x:row>
    <x:row r="43" ht="22" customHeight="1">
      <x:c r="A43" s="9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9"/>
      <x:c r="M43" s="9"/>
      <x:c r="N43" s="9"/>
      <x:c r="O43" s="9"/>
      <x:c r="P43" s="9"/>
      <x:c r="Q43" s="9"/>
      <x:c r="R43" s="9"/>
      <x:c r="S43" s="9"/>
      <x:c r="T43" s="9"/>
      <x:c r="U43" s="9"/>
      <x:c r="V43" s="9"/>
      <x:c r="W43" s="9"/>
      <x:c r="X43" s="9"/>
      <x:c r="Y43" s="9"/>
      <x:c r="Z43" s="9"/>
      <x:c r="AA43" s="9"/>
      <x:c r="AB43" s="9"/>
      <x:c r="AC43" s="9"/>
      <x:c r="AD43" s="9"/>
      <x:c r="AE43" s="9"/>
      <x:c r="AF43" s="9"/>
      <x:c r="AG43" s="9"/>
      <x:c r="AH43" s="9"/>
      <x:c r="AI43" s="9"/>
      <x:c r="AJ43" s="9"/>
      <x:c r="AK43" s="9"/>
      <x:c r="AL43" s="9"/>
      <x:c r="AM43" s="9"/>
    </x:row>
    <x:row r="44" ht="22" customHeight="1">
      <x:c r="A44" s="9" t="str">
        <x:v>深度迭代</x:v>
      </x:c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9"/>
      <x:c r="M44" s="9"/>
      <x:c r="N44" s="9"/>
      <x:c r="O44" s="9"/>
      <x:c r="P44" s="9"/>
      <x:c r="Q44" s="9"/>
      <x:c r="R44" s="9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  <x:c r="AI44" s="9"/>
      <x:c r="AJ44" s="9"/>
      <x:c r="AK44" s="9"/>
      <x:c r="AL44" s="9"/>
      <x:c r="AM44" s="9"/>
    </x:row>
    <x:row r="45" ht="22" customHeight="1">
      <x:c r="A45" s="9" t="n">
        <x:v>0</x:v>
      </x:c>
      <x:c r="B45" s="9"/>
      <x:c r="C45" s="9"/>
      <x:c r="D45" s="9"/>
      <x:c r="E45" s="9" t="n">
        <x:v>0</x:v>
      </x:c>
      <x:c r="F45" s="9" t="n">
        <x:v>0</x:v>
      </x:c>
      <x:c r="G45" s="9" t="n">
        <x:v>0</x:v>
      </x:c>
      <x:c r="H45" s="9" t="n">
        <x:v>0</x:v>
      </x:c>
      <x:c r="I45" s="9" t="n">
        <x:v>0</x:v>
      </x:c>
      <x:c r="J45" s="9" t="n">
        <x:v>0</x:v>
      </x:c>
      <x:c r="K45" s="9" t="n">
        <x:v>0</x:v>
      </x:c>
      <x:c r="L45" s="9" t="n">
        <x:v>0</x:v>
      </x:c>
      <x:c r="M45" s="9" t="n">
        <x:v>0</x:v>
      </x:c>
      <x:c r="N45" s="9" t="n">
        <x:v>0</x:v>
      </x:c>
      <x:c r="O45" s="9" t="n">
        <x:v>0</x:v>
      </x:c>
      <x:c r="P45" s="9" t="n">
        <x:v>0</x:v>
      </x:c>
      <x:c r="Q45" s="9" t="n">
        <x:v>0</x:v>
      </x:c>
      <x:c r="R45" s="9" t="n">
        <x:v>0</x:v>
      </x:c>
      <x:c r="S45" s="9" t="n">
        <x:v>0</x:v>
      </x:c>
      <x:c r="T45" s="9" t="n">
        <x:v>0</x:v>
      </x:c>
      <x:c r="U45" s="9" t="n">
        <x:v>0</x:v>
      </x:c>
      <x:c r="V45" s="9" t="n">
        <x:v>0</x:v>
      </x:c>
      <x:c r="W45" s="9" t="n">
        <x:v>0</x:v>
      </x:c>
      <x:c r="X45" s="9" t="n">
        <x:v>0</x:v>
      </x:c>
      <x:c r="Y45" s="9" t="n">
        <x:v>0</x:v>
      </x:c>
      <x:c r="Z45" s="9" t="n">
        <x:v>0</x:v>
      </x:c>
      <x:c r="AA45" s="9" t="n">
        <x:v>0</x:v>
      </x:c>
      <x:c r="AB45" s="9" t="n">
        <x:v>0</x:v>
      </x:c>
      <x:c r="AC45" s="9" t="n">
        <x:v>0</x:v>
      </x:c>
      <x:c r="AD45" s="9" t="n">
        <x:v>0</x:v>
      </x:c>
      <x:c r="AE45" s="9" t="n">
        <x:v>0</x:v>
      </x:c>
      <x:c r="AF45" s="9" t="n">
        <x:v>0</x:v>
      </x:c>
      <x:c r="AG45" s="9" t="n">
        <x:v>0</x:v>
      </x:c>
      <x:c r="AH45" s="9" t="n">
        <x:v>0</x:v>
      </x:c>
      <x:c r="AI45" s="9" t="n">
        <x:v>0</x:v>
      </x:c>
      <x:c r="AJ45" s="9" t="n">
        <x:v>0</x:v>
      </x:c>
      <x:c r="AK45" s="9" t="n">
        <x:v>0</x:v>
      </x:c>
      <x:c r="AL45" s="9" t="n">
        <x:v>0</x:v>
      </x:c>
      <x:c r="AM45" s="9" t="n">
        <x:v>0</x:v>
      </x:c>
    </x:row>
    <x:row r="46" ht="22" customHeight="1">
      <x:c r="A46" s="9" t="n">
        <x:v>1</x:v>
      </x:c>
      <x:c r="B46" s="9"/>
      <x:c r="C46" s="9"/>
      <x:c r="D46" s="9"/>
      <x:c r="E46" s="9" t="n">
        <x:f>MAX(IF('01_数值调参'!E18&lt;0,'03_全链计算'!E45+1,0),IF('01_数值调参'!E19&lt;0,'03_全链计算'!F45+1,0),IF('01_数值调参'!E20&lt;0,'03_全链计算'!G45+1,0),IF('01_数值调参'!E21&lt;0,'03_全链计算'!H45+1,0),IF('01_数值调参'!E22&lt;0,'03_全链计算'!I45+1,0),IF('01_数值调参'!E23&lt;0,'03_全链计算'!J45+1,0),IF('01_数值调参'!E24&lt;0,'03_全链计算'!K45+1,0),IF('01_数值调参'!E25&lt;0,'03_全链计算'!L45+1,0),IF('01_数值调参'!E26&lt;0,'03_全链计算'!M45+1,0),IF('01_数值调参'!E27&lt;0,'03_全链计算'!N45+1,0),IF('01_数值调参'!E28&lt;0,'03_全链计算'!O45+1,0),IF('01_数值调参'!E29&lt;0,'03_全链计算'!P45+1,0),IF('01_数值调参'!E30&lt;0,'03_全链计算'!Q45+1,0),IF('01_数值调参'!E31&lt;0,'03_全链计算'!R45+1,0),IF('01_数值调参'!E32&lt;0,'03_全链计算'!S45+1,0),IF('01_数值调参'!E33&lt;0,'03_全链计算'!T45+1,0),IF('01_数值调参'!E34&lt;0,'03_全链计算'!U45+1,0),IF('01_数值调参'!E35&lt;0,'03_全链计算'!V45+1,0),IF('01_数值调参'!E36&lt;0,'03_全链计算'!W45+1,0),IF('01_数值调参'!E37&lt;0,'03_全链计算'!X45+1,0),IF('01_数值调参'!E38&lt;0,'03_全链计算'!Y45+1,0),IF('01_数值调参'!E39&lt;0,'03_全链计算'!Z45+1,0),IF('01_数值调参'!E40&lt;0,'03_全链计算'!AA45+1,0),IF('01_数值调参'!E41&lt;0,'03_全链计算'!AB45+1,0),IF('01_数值调参'!E42&lt;0,'03_全链计算'!AC45+1,0),IF('01_数值调参'!E43&lt;0,'03_全链计算'!AD45+1,0),IF('01_数值调参'!E44&lt;0,'03_全链计算'!AE45+1,0),IF('01_数值调参'!E45&lt;0,'03_全链计算'!AF45+1,0),IF('01_数值调参'!E46&lt;0,'03_全链计算'!AG45+1,0),IF('01_数值调参'!E47&lt;0,'03_全链计算'!AH45+1,0),IF('01_数值调参'!E48&lt;0,'03_全链计算'!AI45+1,0),IF('01_数值调参'!E49&lt;0,'03_全链计算'!AJ45+1,0),IF('01_数值调参'!E50&lt;0,'03_全链计算'!AK45+1,0),IF('01_数值调参'!E51&lt;0,'03_全链计算'!AL45+1,0),IF('01_数值调参'!E52&lt;0,'03_全链计算'!AM45+1,0))</x:f>
        <x:v>0</x:v>
      </x:c>
      <x:c r="F46" s="9" t="n">
        <x:f>MAX(IF('01_数值调参'!F18&lt;0,'03_全链计算'!E45+1,0),IF('01_数值调参'!F19&lt;0,'03_全链计算'!F45+1,0),IF('01_数值调参'!F20&lt;0,'03_全链计算'!G45+1,0),IF('01_数值调参'!F21&lt;0,'03_全链计算'!H45+1,0),IF('01_数值调参'!F22&lt;0,'03_全链计算'!I45+1,0),IF('01_数值调参'!F23&lt;0,'03_全链计算'!J45+1,0),IF('01_数值调参'!F24&lt;0,'03_全链计算'!K45+1,0),IF('01_数值调参'!F25&lt;0,'03_全链计算'!L45+1,0),IF('01_数值调参'!F26&lt;0,'03_全链计算'!M45+1,0),IF('01_数值调参'!F27&lt;0,'03_全链计算'!N45+1,0),IF('01_数值调参'!F28&lt;0,'03_全链计算'!O45+1,0),IF('01_数值调参'!F29&lt;0,'03_全链计算'!P45+1,0),IF('01_数值调参'!F30&lt;0,'03_全链计算'!Q45+1,0),IF('01_数值调参'!F31&lt;0,'03_全链计算'!R45+1,0),IF('01_数值调参'!F32&lt;0,'03_全链计算'!S45+1,0),IF('01_数值调参'!F33&lt;0,'03_全链计算'!T45+1,0),IF('01_数值调参'!F34&lt;0,'03_全链计算'!U45+1,0),IF('01_数值调参'!F35&lt;0,'03_全链计算'!V45+1,0),IF('01_数值调参'!F36&lt;0,'03_全链计算'!W45+1,0),IF('01_数值调参'!F37&lt;0,'03_全链计算'!X45+1,0),IF('01_数值调参'!F38&lt;0,'03_全链计算'!Y45+1,0),IF('01_数值调参'!F39&lt;0,'03_全链计算'!Z45+1,0),IF('01_数值调参'!F40&lt;0,'03_全链计算'!AA45+1,0),IF('01_数值调参'!F41&lt;0,'03_全链计算'!AB45+1,0),IF('01_数值调参'!F42&lt;0,'03_全链计算'!AC45+1,0),IF('01_数值调参'!F43&lt;0,'03_全链计算'!AD45+1,0),IF('01_数值调参'!F44&lt;0,'03_全链计算'!AE45+1,0),IF('01_数值调参'!F45&lt;0,'03_全链计算'!AF45+1,0),IF('01_数值调参'!F46&lt;0,'03_全链计算'!AG45+1,0),IF('01_数值调参'!F47&lt;0,'03_全链计算'!AH45+1,0),IF('01_数值调参'!F48&lt;0,'03_全链计算'!AI45+1,0),IF('01_数值调参'!F49&lt;0,'03_全链计算'!AJ45+1,0),IF('01_数值调参'!F50&lt;0,'03_全链计算'!AK45+1,0),IF('01_数值调参'!F51&lt;0,'03_全链计算'!AL45+1,0),IF('01_数值调参'!F52&lt;0,'03_全链计算'!AM45+1,0))</x:f>
        <x:v>0</x:v>
      </x:c>
      <x:c r="G46" s="9" t="n">
        <x:f>MAX(IF('01_数值调参'!G18&lt;0,'03_全链计算'!E45+1,0),IF('01_数值调参'!G19&lt;0,'03_全链计算'!F45+1,0),IF('01_数值调参'!G20&lt;0,'03_全链计算'!G45+1,0),IF('01_数值调参'!G21&lt;0,'03_全链计算'!H45+1,0),IF('01_数值调参'!G22&lt;0,'03_全链计算'!I45+1,0),IF('01_数值调参'!G23&lt;0,'03_全链计算'!J45+1,0),IF('01_数值调参'!G24&lt;0,'03_全链计算'!K45+1,0),IF('01_数值调参'!G25&lt;0,'03_全链计算'!L45+1,0),IF('01_数值调参'!G26&lt;0,'03_全链计算'!M45+1,0),IF('01_数值调参'!G27&lt;0,'03_全链计算'!N45+1,0),IF('01_数值调参'!G28&lt;0,'03_全链计算'!O45+1,0),IF('01_数值调参'!G29&lt;0,'03_全链计算'!P45+1,0),IF('01_数值调参'!G30&lt;0,'03_全链计算'!Q45+1,0),IF('01_数值调参'!G31&lt;0,'03_全链计算'!R45+1,0),IF('01_数值调参'!G32&lt;0,'03_全链计算'!S45+1,0),IF('01_数值调参'!G33&lt;0,'03_全链计算'!T45+1,0),IF('01_数值调参'!G34&lt;0,'03_全链计算'!U45+1,0),IF('01_数值调参'!G35&lt;0,'03_全链计算'!V45+1,0),IF('01_数值调参'!G36&lt;0,'03_全链计算'!W45+1,0),IF('01_数值调参'!G37&lt;0,'03_全链计算'!X45+1,0),IF('01_数值调参'!G38&lt;0,'03_全链计算'!Y45+1,0),IF('01_数值调参'!G39&lt;0,'03_全链计算'!Z45+1,0),IF('01_数值调参'!G40&lt;0,'03_全链计算'!AA45+1,0),IF('01_数值调参'!G41&lt;0,'03_全链计算'!AB45+1,0),IF('01_数值调参'!G42&lt;0,'03_全链计算'!AC45+1,0),IF('01_数值调参'!G43&lt;0,'03_全链计算'!AD45+1,0),IF('01_数值调参'!G44&lt;0,'03_全链计算'!AE45+1,0),IF('01_数值调参'!G45&lt;0,'03_全链计算'!AF45+1,0),IF('01_数值调参'!G46&lt;0,'03_全链计算'!AG45+1,0),IF('01_数值调参'!G47&lt;0,'03_全链计算'!AH45+1,0),IF('01_数值调参'!G48&lt;0,'03_全链计算'!AI45+1,0),IF('01_数值调参'!G49&lt;0,'03_全链计算'!AJ45+1,0),IF('01_数值调参'!G50&lt;0,'03_全链计算'!AK45+1,0),IF('01_数值调参'!G51&lt;0,'03_全链计算'!AL45+1,0),IF('01_数值调参'!G52&lt;0,'03_全链计算'!AM45+1,0))</x:f>
        <x:v>0</x:v>
      </x:c>
      <x:c r="H46" s="9" t="n">
        <x:f>MAX(IF('01_数值调参'!H18&lt;0,'03_全链计算'!E45+1,0),IF('01_数值调参'!H19&lt;0,'03_全链计算'!F45+1,0),IF('01_数值调参'!H20&lt;0,'03_全链计算'!G45+1,0),IF('01_数值调参'!H21&lt;0,'03_全链计算'!H45+1,0),IF('01_数值调参'!H22&lt;0,'03_全链计算'!I45+1,0),IF('01_数值调参'!H23&lt;0,'03_全链计算'!J45+1,0),IF('01_数值调参'!H24&lt;0,'03_全链计算'!K45+1,0),IF('01_数值调参'!H25&lt;0,'03_全链计算'!L45+1,0),IF('01_数值调参'!H26&lt;0,'03_全链计算'!M45+1,0),IF('01_数值调参'!H27&lt;0,'03_全链计算'!N45+1,0),IF('01_数值调参'!H28&lt;0,'03_全链计算'!O45+1,0),IF('01_数值调参'!H29&lt;0,'03_全链计算'!P45+1,0),IF('01_数值调参'!H30&lt;0,'03_全链计算'!Q45+1,0),IF('01_数值调参'!H31&lt;0,'03_全链计算'!R45+1,0),IF('01_数值调参'!H32&lt;0,'03_全链计算'!S45+1,0),IF('01_数值调参'!H33&lt;0,'03_全链计算'!T45+1,0),IF('01_数值调参'!H34&lt;0,'03_全链计算'!U45+1,0),IF('01_数值调参'!H35&lt;0,'03_全链计算'!V45+1,0),IF('01_数值调参'!H36&lt;0,'03_全链计算'!W45+1,0),IF('01_数值调参'!H37&lt;0,'03_全链计算'!X45+1,0),IF('01_数值调参'!H38&lt;0,'03_全链计算'!Y45+1,0),IF('01_数值调参'!H39&lt;0,'03_全链计算'!Z45+1,0),IF('01_数值调参'!H40&lt;0,'03_全链计算'!AA45+1,0),IF('01_数值调参'!H41&lt;0,'03_全链计算'!AB45+1,0),IF('01_数值调参'!H42&lt;0,'03_全链计算'!AC45+1,0),IF('01_数值调参'!H43&lt;0,'03_全链计算'!AD45+1,0),IF('01_数值调参'!H44&lt;0,'03_全链计算'!AE45+1,0),IF('01_数值调参'!H45&lt;0,'03_全链计算'!AF45+1,0),IF('01_数值调参'!H46&lt;0,'03_全链计算'!AG45+1,0),IF('01_数值调参'!H47&lt;0,'03_全链计算'!AH45+1,0),IF('01_数值调参'!H48&lt;0,'03_全链计算'!AI45+1,0),IF('01_数值调参'!H49&lt;0,'03_全链计算'!AJ45+1,0),IF('01_数值调参'!H50&lt;0,'03_全链计算'!AK45+1,0),IF('01_数值调参'!H51&lt;0,'03_全链计算'!AL45+1,0),IF('01_数值调参'!H52&lt;0,'03_全链计算'!AM45+1,0))</x:f>
        <x:v>0</x:v>
      </x:c>
      <x:c r="I46" s="9" t="n">
        <x:f>MAX(IF('01_数值调参'!I18&lt;0,'03_全链计算'!E45+1,0),IF('01_数值调参'!I19&lt;0,'03_全链计算'!F45+1,0),IF('01_数值调参'!I20&lt;0,'03_全链计算'!G45+1,0),IF('01_数值调参'!I21&lt;0,'03_全链计算'!H45+1,0),IF('01_数值调参'!I22&lt;0,'03_全链计算'!I45+1,0),IF('01_数值调参'!I23&lt;0,'03_全链计算'!J45+1,0),IF('01_数值调参'!I24&lt;0,'03_全链计算'!K45+1,0),IF('01_数值调参'!I25&lt;0,'03_全链计算'!L45+1,0),IF('01_数值调参'!I26&lt;0,'03_全链计算'!M45+1,0),IF('01_数值调参'!I27&lt;0,'03_全链计算'!N45+1,0),IF('01_数值调参'!I28&lt;0,'03_全链计算'!O45+1,0),IF('01_数值调参'!I29&lt;0,'03_全链计算'!P45+1,0),IF('01_数值调参'!I30&lt;0,'03_全链计算'!Q45+1,0),IF('01_数值调参'!I31&lt;0,'03_全链计算'!R45+1,0),IF('01_数值调参'!I32&lt;0,'03_全链计算'!S45+1,0),IF('01_数值调参'!I33&lt;0,'03_全链计算'!T45+1,0),IF('01_数值调参'!I34&lt;0,'03_全链计算'!U45+1,0),IF('01_数值调参'!I35&lt;0,'03_全链计算'!V45+1,0),IF('01_数值调参'!I36&lt;0,'03_全链计算'!W45+1,0),IF('01_数值调参'!I37&lt;0,'03_全链计算'!X45+1,0),IF('01_数值调参'!I38&lt;0,'03_全链计算'!Y45+1,0),IF('01_数值调参'!I39&lt;0,'03_全链计算'!Z45+1,0),IF('01_数值调参'!I40&lt;0,'03_全链计算'!AA45+1,0),IF('01_数值调参'!I41&lt;0,'03_全链计算'!AB45+1,0),IF('01_数值调参'!I42&lt;0,'03_全链计算'!AC45+1,0),IF('01_数值调参'!I43&lt;0,'03_全链计算'!AD45+1,0),IF('01_数值调参'!I44&lt;0,'03_全链计算'!AE45+1,0),IF('01_数值调参'!I45&lt;0,'03_全链计算'!AF45+1,0),IF('01_数值调参'!I46&lt;0,'03_全链计算'!AG45+1,0),IF('01_数值调参'!I47&lt;0,'03_全链计算'!AH45+1,0),IF('01_数值调参'!I48&lt;0,'03_全链计算'!AI45+1,0),IF('01_数值调参'!I49&lt;0,'03_全链计算'!AJ45+1,0),IF('01_数值调参'!I50&lt;0,'03_全链计算'!AK45+1,0),IF('01_数值调参'!I51&lt;0,'03_全链计算'!AL45+1,0),IF('01_数值调参'!I52&lt;0,'03_全链计算'!AM45+1,0))</x:f>
        <x:v>0</x:v>
      </x:c>
      <x:c r="J46" s="9" t="n">
        <x:f>MAX(IF('01_数值调参'!J18&lt;0,'03_全链计算'!E45+1,0),IF('01_数值调参'!J19&lt;0,'03_全链计算'!F45+1,0),IF('01_数值调参'!J20&lt;0,'03_全链计算'!G45+1,0),IF('01_数值调参'!J21&lt;0,'03_全链计算'!H45+1,0),IF('01_数值调参'!J22&lt;0,'03_全链计算'!I45+1,0),IF('01_数值调参'!J23&lt;0,'03_全链计算'!J45+1,0),IF('01_数值调参'!J24&lt;0,'03_全链计算'!K45+1,0),IF('01_数值调参'!J25&lt;0,'03_全链计算'!L45+1,0),IF('01_数值调参'!J26&lt;0,'03_全链计算'!M45+1,0),IF('01_数值调参'!J27&lt;0,'03_全链计算'!N45+1,0),IF('01_数值调参'!J28&lt;0,'03_全链计算'!O45+1,0),IF('01_数值调参'!J29&lt;0,'03_全链计算'!P45+1,0),IF('01_数值调参'!J30&lt;0,'03_全链计算'!Q45+1,0),IF('01_数值调参'!J31&lt;0,'03_全链计算'!R45+1,0),IF('01_数值调参'!J32&lt;0,'03_全链计算'!S45+1,0),IF('01_数值调参'!J33&lt;0,'03_全链计算'!T45+1,0),IF('01_数值调参'!J34&lt;0,'03_全链计算'!U45+1,0),IF('01_数值调参'!J35&lt;0,'03_全链计算'!V45+1,0),IF('01_数值调参'!J36&lt;0,'03_全链计算'!W45+1,0),IF('01_数值调参'!J37&lt;0,'03_全链计算'!X45+1,0),IF('01_数值调参'!J38&lt;0,'03_全链计算'!Y45+1,0),IF('01_数值调参'!J39&lt;0,'03_全链计算'!Z45+1,0),IF('01_数值调参'!J40&lt;0,'03_全链计算'!AA45+1,0),IF('01_数值调参'!J41&lt;0,'03_全链计算'!AB45+1,0),IF('01_数值调参'!J42&lt;0,'03_全链计算'!AC45+1,0),IF('01_数值调参'!J43&lt;0,'03_全链计算'!AD45+1,0),IF('01_数值调参'!J44&lt;0,'03_全链计算'!AE45+1,0),IF('01_数值调参'!J45&lt;0,'03_全链计算'!AF45+1,0),IF('01_数值调参'!J46&lt;0,'03_全链计算'!AG45+1,0),IF('01_数值调参'!J47&lt;0,'03_全链计算'!AH45+1,0),IF('01_数值调参'!J48&lt;0,'03_全链计算'!AI45+1,0),IF('01_数值调参'!J49&lt;0,'03_全链计算'!AJ45+1,0),IF('01_数值调参'!J50&lt;0,'03_全链计算'!AK45+1,0),IF('01_数值调参'!J51&lt;0,'03_全链计算'!AL45+1,0),IF('01_数值调参'!J52&lt;0,'03_全链计算'!AM45+1,0))</x:f>
        <x:v>0</x:v>
      </x:c>
      <x:c r="K46" s="9" t="n">
        <x:f>MAX(IF('01_数值调参'!K18&lt;0,'03_全链计算'!E45+1,0),IF('01_数值调参'!K19&lt;0,'03_全链计算'!F45+1,0),IF('01_数值调参'!K20&lt;0,'03_全链计算'!G45+1,0),IF('01_数值调参'!K21&lt;0,'03_全链计算'!H45+1,0),IF('01_数值调参'!K22&lt;0,'03_全链计算'!I45+1,0),IF('01_数值调参'!K23&lt;0,'03_全链计算'!J45+1,0),IF('01_数值调参'!K24&lt;0,'03_全链计算'!K45+1,0),IF('01_数值调参'!K25&lt;0,'03_全链计算'!L45+1,0),IF('01_数值调参'!K26&lt;0,'03_全链计算'!M45+1,0),IF('01_数值调参'!K27&lt;0,'03_全链计算'!N45+1,0),IF('01_数值调参'!K28&lt;0,'03_全链计算'!O45+1,0),IF('01_数值调参'!K29&lt;0,'03_全链计算'!P45+1,0),IF('01_数值调参'!K30&lt;0,'03_全链计算'!Q45+1,0),IF('01_数值调参'!K31&lt;0,'03_全链计算'!R45+1,0),IF('01_数值调参'!K32&lt;0,'03_全链计算'!S45+1,0),IF('01_数值调参'!K33&lt;0,'03_全链计算'!T45+1,0),IF('01_数值调参'!K34&lt;0,'03_全链计算'!U45+1,0),IF('01_数值调参'!K35&lt;0,'03_全链计算'!V45+1,0),IF('01_数值调参'!K36&lt;0,'03_全链计算'!W45+1,0),IF('01_数值调参'!K37&lt;0,'03_全链计算'!X45+1,0),IF('01_数值调参'!K38&lt;0,'03_全链计算'!Y45+1,0),IF('01_数值调参'!K39&lt;0,'03_全链计算'!Z45+1,0),IF('01_数值调参'!K40&lt;0,'03_全链计算'!AA45+1,0),IF('01_数值调参'!K41&lt;0,'03_全链计算'!AB45+1,0),IF('01_数值调参'!K42&lt;0,'03_全链计算'!AC45+1,0),IF('01_数值调参'!K43&lt;0,'03_全链计算'!AD45+1,0),IF('01_数值调参'!K44&lt;0,'03_全链计算'!AE45+1,0),IF('01_数值调参'!K45&lt;0,'03_全链计算'!AF45+1,0),IF('01_数值调参'!K46&lt;0,'03_全链计算'!AG45+1,0),IF('01_数值调参'!K47&lt;0,'03_全链计算'!AH45+1,0),IF('01_数值调参'!K48&lt;0,'03_全链计算'!AI45+1,0),IF('01_数值调参'!K49&lt;0,'03_全链计算'!AJ45+1,0),IF('01_数值调参'!K50&lt;0,'03_全链计算'!AK45+1,0),IF('01_数值调参'!K51&lt;0,'03_全链计算'!AL45+1,0),IF('01_数值调参'!K52&lt;0,'03_全链计算'!AM45+1,0))</x:f>
        <x:v>0</x:v>
      </x:c>
      <x:c r="L46" s="9" t="n">
        <x:f>MAX(IF('01_数值调参'!L18&lt;0,'03_全链计算'!E45+1,0),IF('01_数值调参'!L19&lt;0,'03_全链计算'!F45+1,0),IF('01_数值调参'!L20&lt;0,'03_全链计算'!G45+1,0),IF('01_数值调参'!L21&lt;0,'03_全链计算'!H45+1,0),IF('01_数值调参'!L22&lt;0,'03_全链计算'!I45+1,0),IF('01_数值调参'!L23&lt;0,'03_全链计算'!J45+1,0),IF('01_数值调参'!L24&lt;0,'03_全链计算'!K45+1,0),IF('01_数值调参'!L25&lt;0,'03_全链计算'!L45+1,0),IF('01_数值调参'!L26&lt;0,'03_全链计算'!M45+1,0),IF('01_数值调参'!L27&lt;0,'03_全链计算'!N45+1,0),IF('01_数值调参'!L28&lt;0,'03_全链计算'!O45+1,0),IF('01_数值调参'!L29&lt;0,'03_全链计算'!P45+1,0),IF('01_数值调参'!L30&lt;0,'03_全链计算'!Q45+1,0),IF('01_数值调参'!L31&lt;0,'03_全链计算'!R45+1,0),IF('01_数值调参'!L32&lt;0,'03_全链计算'!S45+1,0),IF('01_数值调参'!L33&lt;0,'03_全链计算'!T45+1,0),IF('01_数值调参'!L34&lt;0,'03_全链计算'!U45+1,0),IF('01_数值调参'!L35&lt;0,'03_全链计算'!V45+1,0),IF('01_数值调参'!L36&lt;0,'03_全链计算'!W45+1,0),IF('01_数值调参'!L37&lt;0,'03_全链计算'!X45+1,0),IF('01_数值调参'!L38&lt;0,'03_全链计算'!Y45+1,0),IF('01_数值调参'!L39&lt;0,'03_全链计算'!Z45+1,0),IF('01_数值调参'!L40&lt;0,'03_全链计算'!AA45+1,0),IF('01_数值调参'!L41&lt;0,'03_全链计算'!AB45+1,0),IF('01_数值调参'!L42&lt;0,'03_全链计算'!AC45+1,0),IF('01_数值调参'!L43&lt;0,'03_全链计算'!AD45+1,0),IF('01_数值调参'!L44&lt;0,'03_全链计算'!AE45+1,0),IF('01_数值调参'!L45&lt;0,'03_全链计算'!AF45+1,0),IF('01_数值调参'!L46&lt;0,'03_全链计算'!AG45+1,0),IF('01_数值调参'!L47&lt;0,'03_全链计算'!AH45+1,0),IF('01_数值调参'!L48&lt;0,'03_全链计算'!AI45+1,0),IF('01_数值调参'!L49&lt;0,'03_全链计算'!AJ45+1,0),IF('01_数值调参'!L50&lt;0,'03_全链计算'!AK45+1,0),IF('01_数值调参'!L51&lt;0,'03_全链计算'!AL45+1,0),IF('01_数值调参'!L52&lt;0,'03_全链计算'!AM45+1,0))</x:f>
        <x:v>0</x:v>
      </x:c>
      <x:c r="M46" s="9" t="n">
        <x:f>MAX(IF('01_数值调参'!M18&lt;0,'03_全链计算'!E45+1,0),IF('01_数值调参'!M19&lt;0,'03_全链计算'!F45+1,0),IF('01_数值调参'!M20&lt;0,'03_全链计算'!G45+1,0),IF('01_数值调参'!M21&lt;0,'03_全链计算'!H45+1,0),IF('01_数值调参'!M22&lt;0,'03_全链计算'!I45+1,0),IF('01_数值调参'!M23&lt;0,'03_全链计算'!J45+1,0),IF('01_数值调参'!M24&lt;0,'03_全链计算'!K45+1,0),IF('01_数值调参'!M25&lt;0,'03_全链计算'!L45+1,0),IF('01_数值调参'!M26&lt;0,'03_全链计算'!M45+1,0),IF('01_数值调参'!M27&lt;0,'03_全链计算'!N45+1,0),IF('01_数值调参'!M28&lt;0,'03_全链计算'!O45+1,0),IF('01_数值调参'!M29&lt;0,'03_全链计算'!P45+1,0),IF('01_数值调参'!M30&lt;0,'03_全链计算'!Q45+1,0),IF('01_数值调参'!M31&lt;0,'03_全链计算'!R45+1,0),IF('01_数值调参'!M32&lt;0,'03_全链计算'!S45+1,0),IF('01_数值调参'!M33&lt;0,'03_全链计算'!T45+1,0),IF('01_数值调参'!M34&lt;0,'03_全链计算'!U45+1,0),IF('01_数值调参'!M35&lt;0,'03_全链计算'!V45+1,0),IF('01_数值调参'!M36&lt;0,'03_全链计算'!W45+1,0),IF('01_数值调参'!M37&lt;0,'03_全链计算'!X45+1,0),IF('01_数值调参'!M38&lt;0,'03_全链计算'!Y45+1,0),IF('01_数值调参'!M39&lt;0,'03_全链计算'!Z45+1,0),IF('01_数值调参'!M40&lt;0,'03_全链计算'!AA45+1,0),IF('01_数值调参'!M41&lt;0,'03_全链计算'!AB45+1,0),IF('01_数值调参'!M42&lt;0,'03_全链计算'!AC45+1,0),IF('01_数值调参'!M43&lt;0,'03_全链计算'!AD45+1,0),IF('01_数值调参'!M44&lt;0,'03_全链计算'!AE45+1,0),IF('01_数值调参'!M45&lt;0,'03_全链计算'!AF45+1,0),IF('01_数值调参'!M46&lt;0,'03_全链计算'!AG45+1,0),IF('01_数值调参'!M47&lt;0,'03_全链计算'!AH45+1,0),IF('01_数值调参'!M48&lt;0,'03_全链计算'!AI45+1,0),IF('01_数值调参'!M49&lt;0,'03_全链计算'!AJ45+1,0),IF('01_数值调参'!M50&lt;0,'03_全链计算'!AK45+1,0),IF('01_数值调参'!M51&lt;0,'03_全链计算'!AL45+1,0),IF('01_数值调参'!M52&lt;0,'03_全链计算'!AM45+1,0))</x:f>
        <x:v>0</x:v>
      </x:c>
      <x:c r="N46" s="9" t="n">
        <x:f>MAX(IF('01_数值调参'!N18&lt;0,'03_全链计算'!E45+1,0),IF('01_数值调参'!N19&lt;0,'03_全链计算'!F45+1,0),IF('01_数值调参'!N20&lt;0,'03_全链计算'!G45+1,0),IF('01_数值调参'!N21&lt;0,'03_全链计算'!H45+1,0),IF('01_数值调参'!N22&lt;0,'03_全链计算'!I45+1,0),IF('01_数值调参'!N23&lt;0,'03_全链计算'!J45+1,0),IF('01_数值调参'!N24&lt;0,'03_全链计算'!K45+1,0),IF('01_数值调参'!N25&lt;0,'03_全链计算'!L45+1,0),IF('01_数值调参'!N26&lt;0,'03_全链计算'!M45+1,0),IF('01_数值调参'!N27&lt;0,'03_全链计算'!N45+1,0),IF('01_数值调参'!N28&lt;0,'03_全链计算'!O45+1,0),IF('01_数值调参'!N29&lt;0,'03_全链计算'!P45+1,0),IF('01_数值调参'!N30&lt;0,'03_全链计算'!Q45+1,0),IF('01_数值调参'!N31&lt;0,'03_全链计算'!R45+1,0),IF('01_数值调参'!N32&lt;0,'03_全链计算'!S45+1,0),IF('01_数值调参'!N33&lt;0,'03_全链计算'!T45+1,0),IF('01_数值调参'!N34&lt;0,'03_全链计算'!U45+1,0),IF('01_数值调参'!N35&lt;0,'03_全链计算'!V45+1,0),IF('01_数值调参'!N36&lt;0,'03_全链计算'!W45+1,0),IF('01_数值调参'!N37&lt;0,'03_全链计算'!X45+1,0),IF('01_数值调参'!N38&lt;0,'03_全链计算'!Y45+1,0),IF('01_数值调参'!N39&lt;0,'03_全链计算'!Z45+1,0),IF('01_数值调参'!N40&lt;0,'03_全链计算'!AA45+1,0),IF('01_数值调参'!N41&lt;0,'03_全链计算'!AB45+1,0),IF('01_数值调参'!N42&lt;0,'03_全链计算'!AC45+1,0),IF('01_数值调参'!N43&lt;0,'03_全链计算'!AD45+1,0),IF('01_数值调参'!N44&lt;0,'03_全链计算'!AE45+1,0),IF('01_数值调参'!N45&lt;0,'03_全链计算'!AF45+1,0),IF('01_数值调参'!N46&lt;0,'03_全链计算'!AG45+1,0),IF('01_数值调参'!N47&lt;0,'03_全链计算'!AH45+1,0),IF('01_数值调参'!N48&lt;0,'03_全链计算'!AI45+1,0),IF('01_数值调参'!N49&lt;0,'03_全链计算'!AJ45+1,0),IF('01_数值调参'!N50&lt;0,'03_全链计算'!AK45+1,0),IF('01_数值调参'!N51&lt;0,'03_全链计算'!AL45+1,0),IF('01_数值调参'!N52&lt;0,'03_全链计算'!AM45+1,0))</x:f>
        <x:v>1</x:v>
      </x:c>
      <x:c r="O46" s="9" t="n">
        <x:f>MAX(IF('01_数值调参'!O18&lt;0,'03_全链计算'!E45+1,0),IF('01_数值调参'!O19&lt;0,'03_全链计算'!F45+1,0),IF('01_数值调参'!O20&lt;0,'03_全链计算'!G45+1,0),IF('01_数值调参'!O21&lt;0,'03_全链计算'!H45+1,0),IF('01_数值调参'!O22&lt;0,'03_全链计算'!I45+1,0),IF('01_数值调参'!O23&lt;0,'03_全链计算'!J45+1,0),IF('01_数值调参'!O24&lt;0,'03_全链计算'!K45+1,0),IF('01_数值调参'!O25&lt;0,'03_全链计算'!L45+1,0),IF('01_数值调参'!O26&lt;0,'03_全链计算'!M45+1,0),IF('01_数值调参'!O27&lt;0,'03_全链计算'!N45+1,0),IF('01_数值调参'!O28&lt;0,'03_全链计算'!O45+1,0),IF('01_数值调参'!O29&lt;0,'03_全链计算'!P45+1,0),IF('01_数值调参'!O30&lt;0,'03_全链计算'!Q45+1,0),IF('01_数值调参'!O31&lt;0,'03_全链计算'!R45+1,0),IF('01_数值调参'!O32&lt;0,'03_全链计算'!S45+1,0),IF('01_数值调参'!O33&lt;0,'03_全链计算'!T45+1,0),IF('01_数值调参'!O34&lt;0,'03_全链计算'!U45+1,0),IF('01_数值调参'!O35&lt;0,'03_全链计算'!V45+1,0),IF('01_数值调参'!O36&lt;0,'03_全链计算'!W45+1,0),IF('01_数值调参'!O37&lt;0,'03_全链计算'!X45+1,0),IF('01_数值调参'!O38&lt;0,'03_全链计算'!Y45+1,0),IF('01_数值调参'!O39&lt;0,'03_全链计算'!Z45+1,0),IF('01_数值调参'!O40&lt;0,'03_全链计算'!AA45+1,0),IF('01_数值调参'!O41&lt;0,'03_全链计算'!AB45+1,0),IF('01_数值调参'!O42&lt;0,'03_全链计算'!AC45+1,0),IF('01_数值调参'!O43&lt;0,'03_全链计算'!AD45+1,0),IF('01_数值调参'!O44&lt;0,'03_全链计算'!AE45+1,0),IF('01_数值调参'!O45&lt;0,'03_全链计算'!AF45+1,0),IF('01_数值调参'!O46&lt;0,'03_全链计算'!AG45+1,0),IF('01_数值调参'!O47&lt;0,'03_全链计算'!AH45+1,0),IF('01_数值调参'!O48&lt;0,'03_全链计算'!AI45+1,0),IF('01_数值调参'!O49&lt;0,'03_全链计算'!AJ45+1,0),IF('01_数值调参'!O50&lt;0,'03_全链计算'!AK45+1,0),IF('01_数值调参'!O51&lt;0,'03_全链计算'!AL45+1,0),IF('01_数值调参'!O52&lt;0,'03_全链计算'!AM45+1,0))</x:f>
        <x:v>1</x:v>
      </x:c>
      <x:c r="P46" s="9" t="n">
        <x:f>MAX(IF('01_数值调参'!P18&lt;0,'03_全链计算'!E45+1,0),IF('01_数值调参'!P19&lt;0,'03_全链计算'!F45+1,0),IF('01_数值调参'!P20&lt;0,'03_全链计算'!G45+1,0),IF('01_数值调参'!P21&lt;0,'03_全链计算'!H45+1,0),IF('01_数值调参'!P22&lt;0,'03_全链计算'!I45+1,0),IF('01_数值调参'!P23&lt;0,'03_全链计算'!J45+1,0),IF('01_数值调参'!P24&lt;0,'03_全链计算'!K45+1,0),IF('01_数值调参'!P25&lt;0,'03_全链计算'!L45+1,0),IF('01_数值调参'!P26&lt;0,'03_全链计算'!M45+1,0),IF('01_数值调参'!P27&lt;0,'03_全链计算'!N45+1,0),IF('01_数值调参'!P28&lt;0,'03_全链计算'!O45+1,0),IF('01_数值调参'!P29&lt;0,'03_全链计算'!P45+1,0),IF('01_数值调参'!P30&lt;0,'03_全链计算'!Q45+1,0),IF('01_数值调参'!P31&lt;0,'03_全链计算'!R45+1,0),IF('01_数值调参'!P32&lt;0,'03_全链计算'!S45+1,0),IF('01_数值调参'!P33&lt;0,'03_全链计算'!T45+1,0),IF('01_数值调参'!P34&lt;0,'03_全链计算'!U45+1,0),IF('01_数值调参'!P35&lt;0,'03_全链计算'!V45+1,0),IF('01_数值调参'!P36&lt;0,'03_全链计算'!W45+1,0),IF('01_数值调参'!P37&lt;0,'03_全链计算'!X45+1,0),IF('01_数值调参'!P38&lt;0,'03_全链计算'!Y45+1,0),IF('01_数值调参'!P39&lt;0,'03_全链计算'!Z45+1,0),IF('01_数值调参'!P40&lt;0,'03_全链计算'!AA45+1,0),IF('01_数值调参'!P41&lt;0,'03_全链计算'!AB45+1,0),IF('01_数值调参'!P42&lt;0,'03_全链计算'!AC45+1,0),IF('01_数值调参'!P43&lt;0,'03_全链计算'!AD45+1,0),IF('01_数值调参'!P44&lt;0,'03_全链计算'!AE45+1,0),IF('01_数值调参'!P45&lt;0,'03_全链计算'!AF45+1,0),IF('01_数值调参'!P46&lt;0,'03_全链计算'!AG45+1,0),IF('01_数值调参'!P47&lt;0,'03_全链计算'!AH45+1,0),IF('01_数值调参'!P48&lt;0,'03_全链计算'!AI45+1,0),IF('01_数值调参'!P49&lt;0,'03_全链计算'!AJ45+1,0),IF('01_数值调参'!P50&lt;0,'03_全链计算'!AK45+1,0),IF('01_数值调参'!P51&lt;0,'03_全链计算'!AL45+1,0),IF('01_数值调参'!P52&lt;0,'03_全链计算'!AM45+1,0))</x:f>
        <x:v>1</x:v>
      </x:c>
      <x:c r="Q46" s="9" t="n">
        <x:f>MAX(IF('01_数值调参'!Q18&lt;0,'03_全链计算'!E45+1,0),IF('01_数值调参'!Q19&lt;0,'03_全链计算'!F45+1,0),IF('01_数值调参'!Q20&lt;0,'03_全链计算'!G45+1,0),IF('01_数值调参'!Q21&lt;0,'03_全链计算'!H45+1,0),IF('01_数值调参'!Q22&lt;0,'03_全链计算'!I45+1,0),IF('01_数值调参'!Q23&lt;0,'03_全链计算'!J45+1,0),IF('01_数值调参'!Q24&lt;0,'03_全链计算'!K45+1,0),IF('01_数值调参'!Q25&lt;0,'03_全链计算'!L45+1,0),IF('01_数值调参'!Q26&lt;0,'03_全链计算'!M45+1,0),IF('01_数值调参'!Q27&lt;0,'03_全链计算'!N45+1,0),IF('01_数值调参'!Q28&lt;0,'03_全链计算'!O45+1,0),IF('01_数值调参'!Q29&lt;0,'03_全链计算'!P45+1,0),IF('01_数值调参'!Q30&lt;0,'03_全链计算'!Q45+1,0),IF('01_数值调参'!Q31&lt;0,'03_全链计算'!R45+1,0),IF('01_数值调参'!Q32&lt;0,'03_全链计算'!S45+1,0),IF('01_数值调参'!Q33&lt;0,'03_全链计算'!T45+1,0),IF('01_数值调参'!Q34&lt;0,'03_全链计算'!U45+1,0),IF('01_数值调参'!Q35&lt;0,'03_全链计算'!V45+1,0),IF('01_数值调参'!Q36&lt;0,'03_全链计算'!W45+1,0),IF('01_数值调参'!Q37&lt;0,'03_全链计算'!X45+1,0),IF('01_数值调参'!Q38&lt;0,'03_全链计算'!Y45+1,0),IF('01_数值调参'!Q39&lt;0,'03_全链计算'!Z45+1,0),IF('01_数值调参'!Q40&lt;0,'03_全链计算'!AA45+1,0),IF('01_数值调参'!Q41&lt;0,'03_全链计算'!AB45+1,0),IF('01_数值调参'!Q42&lt;0,'03_全链计算'!AC45+1,0),IF('01_数值调参'!Q43&lt;0,'03_全链计算'!AD45+1,0),IF('01_数值调参'!Q44&lt;0,'03_全链计算'!AE45+1,0),IF('01_数值调参'!Q45&lt;0,'03_全链计算'!AF45+1,0),IF('01_数值调参'!Q46&lt;0,'03_全链计算'!AG45+1,0),IF('01_数值调参'!Q47&lt;0,'03_全链计算'!AH45+1,0),IF('01_数值调参'!Q48&lt;0,'03_全链计算'!AI45+1,0),IF('01_数值调参'!Q49&lt;0,'03_全链计算'!AJ45+1,0),IF('01_数值调参'!Q50&lt;0,'03_全链计算'!AK45+1,0),IF('01_数值调参'!Q51&lt;0,'03_全链计算'!AL45+1,0),IF('01_数值调参'!Q52&lt;0,'03_全链计算'!AM45+1,0))</x:f>
        <x:v>1</x:v>
      </x:c>
      <x:c r="R46" s="9" t="n">
        <x:f>MAX(IF('01_数值调参'!R18&lt;0,'03_全链计算'!E45+1,0),IF('01_数值调参'!R19&lt;0,'03_全链计算'!F45+1,0),IF('01_数值调参'!R20&lt;0,'03_全链计算'!G45+1,0),IF('01_数值调参'!R21&lt;0,'03_全链计算'!H45+1,0),IF('01_数值调参'!R22&lt;0,'03_全链计算'!I45+1,0),IF('01_数值调参'!R23&lt;0,'03_全链计算'!J45+1,0),IF('01_数值调参'!R24&lt;0,'03_全链计算'!K45+1,0),IF('01_数值调参'!R25&lt;0,'03_全链计算'!L45+1,0),IF('01_数值调参'!R26&lt;0,'03_全链计算'!M45+1,0),IF('01_数值调参'!R27&lt;0,'03_全链计算'!N45+1,0),IF('01_数值调参'!R28&lt;0,'03_全链计算'!O45+1,0),IF('01_数值调参'!R29&lt;0,'03_全链计算'!P45+1,0),IF('01_数值调参'!R30&lt;0,'03_全链计算'!Q45+1,0),IF('01_数值调参'!R31&lt;0,'03_全链计算'!R45+1,0),IF('01_数值调参'!R32&lt;0,'03_全链计算'!S45+1,0),IF('01_数值调参'!R33&lt;0,'03_全链计算'!T45+1,0),IF('01_数值调参'!R34&lt;0,'03_全链计算'!U45+1,0),IF('01_数值调参'!R35&lt;0,'03_全链计算'!V45+1,0),IF('01_数值调参'!R36&lt;0,'03_全链计算'!W45+1,0),IF('01_数值调参'!R37&lt;0,'03_全链计算'!X45+1,0),IF('01_数值调参'!R38&lt;0,'03_全链计算'!Y45+1,0),IF('01_数值调参'!R39&lt;0,'03_全链计算'!Z45+1,0),IF('01_数值调参'!R40&lt;0,'03_全链计算'!AA45+1,0),IF('01_数值调参'!R41&lt;0,'03_全链计算'!AB45+1,0),IF('01_数值调参'!R42&lt;0,'03_全链计算'!AC45+1,0),IF('01_数值调参'!R43&lt;0,'03_全链计算'!AD45+1,0),IF('01_数值调参'!R44&lt;0,'03_全链计算'!AE45+1,0),IF('01_数值调参'!R45&lt;0,'03_全链计算'!AF45+1,0),IF('01_数值调参'!R46&lt;0,'03_全链计算'!AG45+1,0),IF('01_数值调参'!R47&lt;0,'03_全链计算'!AH45+1,0),IF('01_数值调参'!R48&lt;0,'03_全链计算'!AI45+1,0),IF('01_数值调参'!R49&lt;0,'03_全链计算'!AJ45+1,0),IF('01_数值调参'!R50&lt;0,'03_全链计算'!AK45+1,0),IF('01_数值调参'!R51&lt;0,'03_全链计算'!AL45+1,0),IF('01_数值调参'!R52&lt;0,'03_全链计算'!AM45+1,0))</x:f>
        <x:v>1</x:v>
      </x:c>
      <x:c r="S46" s="9" t="n">
        <x:f>MAX(IF('01_数值调参'!S18&lt;0,'03_全链计算'!E45+1,0),IF('01_数值调参'!S19&lt;0,'03_全链计算'!F45+1,0),IF('01_数值调参'!S20&lt;0,'03_全链计算'!G45+1,0),IF('01_数值调参'!S21&lt;0,'03_全链计算'!H45+1,0),IF('01_数值调参'!S22&lt;0,'03_全链计算'!I45+1,0),IF('01_数值调参'!S23&lt;0,'03_全链计算'!J45+1,0),IF('01_数值调参'!S24&lt;0,'03_全链计算'!K45+1,0),IF('01_数值调参'!S25&lt;0,'03_全链计算'!L45+1,0),IF('01_数值调参'!S26&lt;0,'03_全链计算'!M45+1,0),IF('01_数值调参'!S27&lt;0,'03_全链计算'!N45+1,0),IF('01_数值调参'!S28&lt;0,'03_全链计算'!O45+1,0),IF('01_数值调参'!S29&lt;0,'03_全链计算'!P45+1,0),IF('01_数值调参'!S30&lt;0,'03_全链计算'!Q45+1,0),IF('01_数值调参'!S31&lt;0,'03_全链计算'!R45+1,0),IF('01_数值调参'!S32&lt;0,'03_全链计算'!S45+1,0),IF('01_数值调参'!S33&lt;0,'03_全链计算'!T45+1,0),IF('01_数值调参'!S34&lt;0,'03_全链计算'!U45+1,0),IF('01_数值调参'!S35&lt;0,'03_全链计算'!V45+1,0),IF('01_数值调参'!S36&lt;0,'03_全链计算'!W45+1,0),IF('01_数值调参'!S37&lt;0,'03_全链计算'!X45+1,0),IF('01_数值调参'!S38&lt;0,'03_全链计算'!Y45+1,0),IF('01_数值调参'!S39&lt;0,'03_全链计算'!Z45+1,0),IF('01_数值调参'!S40&lt;0,'03_全链计算'!AA45+1,0),IF('01_数值调参'!S41&lt;0,'03_全链计算'!AB45+1,0),IF('01_数值调参'!S42&lt;0,'03_全链计算'!AC45+1,0),IF('01_数值调参'!S43&lt;0,'03_全链计算'!AD45+1,0),IF('01_数值调参'!S44&lt;0,'03_全链计算'!AE45+1,0),IF('01_数值调参'!S45&lt;0,'03_全链计算'!AF45+1,0),IF('01_数值调参'!S46&lt;0,'03_全链计算'!AG45+1,0),IF('01_数值调参'!S47&lt;0,'03_全链计算'!AH45+1,0),IF('01_数值调参'!S48&lt;0,'03_全链计算'!AI45+1,0),IF('01_数值调参'!S49&lt;0,'03_全链计算'!AJ45+1,0),IF('01_数值调参'!S50&lt;0,'03_全链计算'!AK45+1,0),IF('01_数值调参'!S51&lt;0,'03_全链计算'!AL45+1,0),IF('01_数值调参'!S52&lt;0,'03_全链计算'!AM45+1,0))</x:f>
        <x:v>1</x:v>
      </x:c>
      <x:c r="T46" s="9" t="n">
        <x:f>MAX(IF('01_数值调参'!T18&lt;0,'03_全链计算'!E45+1,0),IF('01_数值调参'!T19&lt;0,'03_全链计算'!F45+1,0),IF('01_数值调参'!T20&lt;0,'03_全链计算'!G45+1,0),IF('01_数值调参'!T21&lt;0,'03_全链计算'!H45+1,0),IF('01_数值调参'!T22&lt;0,'03_全链计算'!I45+1,0),IF('01_数值调参'!T23&lt;0,'03_全链计算'!J45+1,0),IF('01_数值调参'!T24&lt;0,'03_全链计算'!K45+1,0),IF('01_数值调参'!T25&lt;0,'03_全链计算'!L45+1,0),IF('01_数值调参'!T26&lt;0,'03_全链计算'!M45+1,0),IF('01_数值调参'!T27&lt;0,'03_全链计算'!N45+1,0),IF('01_数值调参'!T28&lt;0,'03_全链计算'!O45+1,0),IF('01_数值调参'!T29&lt;0,'03_全链计算'!P45+1,0),IF('01_数值调参'!T30&lt;0,'03_全链计算'!Q45+1,0),IF('01_数值调参'!T31&lt;0,'03_全链计算'!R45+1,0),IF('01_数值调参'!T32&lt;0,'03_全链计算'!S45+1,0),IF('01_数值调参'!T33&lt;0,'03_全链计算'!T45+1,0),IF('01_数值调参'!T34&lt;0,'03_全链计算'!U45+1,0),IF('01_数值调参'!T35&lt;0,'03_全链计算'!V45+1,0),IF('01_数值调参'!T36&lt;0,'03_全链计算'!W45+1,0),IF('01_数值调参'!T37&lt;0,'03_全链计算'!X45+1,0),IF('01_数值调参'!T38&lt;0,'03_全链计算'!Y45+1,0),IF('01_数值调参'!T39&lt;0,'03_全链计算'!Z45+1,0),IF('01_数值调参'!T40&lt;0,'03_全链计算'!AA45+1,0),IF('01_数值调参'!T41&lt;0,'03_全链计算'!AB45+1,0),IF('01_数值调参'!T42&lt;0,'03_全链计算'!AC45+1,0),IF('01_数值调参'!T43&lt;0,'03_全链计算'!AD45+1,0),IF('01_数值调参'!T44&lt;0,'03_全链计算'!AE45+1,0),IF('01_数值调参'!T45&lt;0,'03_全链计算'!AF45+1,0),IF('01_数值调参'!T46&lt;0,'03_全链计算'!AG45+1,0),IF('01_数值调参'!T47&lt;0,'03_全链计算'!AH45+1,0),IF('01_数值调参'!T48&lt;0,'03_全链计算'!AI45+1,0),IF('01_数值调参'!T49&lt;0,'03_全链计算'!AJ45+1,0),IF('01_数值调参'!T50&lt;0,'03_全链计算'!AK45+1,0),IF('01_数值调参'!T51&lt;0,'03_全链计算'!AL45+1,0),IF('01_数值调参'!T52&lt;0,'03_全链计算'!AM45+1,0))</x:f>
        <x:v>1</x:v>
      </x:c>
      <x:c r="U46" s="9" t="n">
        <x:f>MAX(IF('01_数值调参'!U18&lt;0,'03_全链计算'!E45+1,0),IF('01_数值调参'!U19&lt;0,'03_全链计算'!F45+1,0),IF('01_数值调参'!U20&lt;0,'03_全链计算'!G45+1,0),IF('01_数值调参'!U21&lt;0,'03_全链计算'!H45+1,0),IF('01_数值调参'!U22&lt;0,'03_全链计算'!I45+1,0),IF('01_数值调参'!U23&lt;0,'03_全链计算'!J45+1,0),IF('01_数值调参'!U24&lt;0,'03_全链计算'!K45+1,0),IF('01_数值调参'!U25&lt;0,'03_全链计算'!L45+1,0),IF('01_数值调参'!U26&lt;0,'03_全链计算'!M45+1,0),IF('01_数值调参'!U27&lt;0,'03_全链计算'!N45+1,0),IF('01_数值调参'!U28&lt;0,'03_全链计算'!O45+1,0),IF('01_数值调参'!U29&lt;0,'03_全链计算'!P45+1,0),IF('01_数值调参'!U30&lt;0,'03_全链计算'!Q45+1,0),IF('01_数值调参'!U31&lt;0,'03_全链计算'!R45+1,0),IF('01_数值调参'!U32&lt;0,'03_全链计算'!S45+1,0),IF('01_数值调参'!U33&lt;0,'03_全链计算'!T45+1,0),IF('01_数值调参'!U34&lt;0,'03_全链计算'!U45+1,0),IF('01_数值调参'!U35&lt;0,'03_全链计算'!V45+1,0),IF('01_数值调参'!U36&lt;0,'03_全链计算'!W45+1,0),IF('01_数值调参'!U37&lt;0,'03_全链计算'!X45+1,0),IF('01_数值调参'!U38&lt;0,'03_全链计算'!Y45+1,0),IF('01_数值调参'!U39&lt;0,'03_全链计算'!Z45+1,0),IF('01_数值调参'!U40&lt;0,'03_全链计算'!AA45+1,0),IF('01_数值调参'!U41&lt;0,'03_全链计算'!AB45+1,0),IF('01_数值调参'!U42&lt;0,'03_全链计算'!AC45+1,0),IF('01_数值调参'!U43&lt;0,'03_全链计算'!AD45+1,0),IF('01_数值调参'!U44&lt;0,'03_全链计算'!AE45+1,0),IF('01_数值调参'!U45&lt;0,'03_全链计算'!AF45+1,0),IF('01_数值调参'!U46&lt;0,'03_全链计算'!AG45+1,0),IF('01_数值调参'!U47&lt;0,'03_全链计算'!AH45+1,0),IF('01_数值调参'!U48&lt;0,'03_全链计算'!AI45+1,0),IF('01_数值调参'!U49&lt;0,'03_全链计算'!AJ45+1,0),IF('01_数值调参'!U50&lt;0,'03_全链计算'!AK45+1,0),IF('01_数值调参'!U51&lt;0,'03_全链计算'!AL45+1,0),IF('01_数值调参'!U52&lt;0,'03_全链计算'!AM45+1,0))</x:f>
        <x:v>1</x:v>
      </x:c>
      <x:c r="V46" s="9" t="n">
        <x:f>MAX(IF('01_数值调参'!V18&lt;0,'03_全链计算'!E45+1,0),IF('01_数值调参'!V19&lt;0,'03_全链计算'!F45+1,0),IF('01_数值调参'!V20&lt;0,'03_全链计算'!G45+1,0),IF('01_数值调参'!V21&lt;0,'03_全链计算'!H45+1,0),IF('01_数值调参'!V22&lt;0,'03_全链计算'!I45+1,0),IF('01_数值调参'!V23&lt;0,'03_全链计算'!J45+1,0),IF('01_数值调参'!V24&lt;0,'03_全链计算'!K45+1,0),IF('01_数值调参'!V25&lt;0,'03_全链计算'!L45+1,0),IF('01_数值调参'!V26&lt;0,'03_全链计算'!M45+1,0),IF('01_数值调参'!V27&lt;0,'03_全链计算'!N45+1,0),IF('01_数值调参'!V28&lt;0,'03_全链计算'!O45+1,0),IF('01_数值调参'!V29&lt;0,'03_全链计算'!P45+1,0),IF('01_数值调参'!V30&lt;0,'03_全链计算'!Q45+1,0),IF('01_数值调参'!V31&lt;0,'03_全链计算'!R45+1,0),IF('01_数值调参'!V32&lt;0,'03_全链计算'!S45+1,0),IF('01_数值调参'!V33&lt;0,'03_全链计算'!T45+1,0),IF('01_数值调参'!V34&lt;0,'03_全链计算'!U45+1,0),IF('01_数值调参'!V35&lt;0,'03_全链计算'!V45+1,0),IF('01_数值调参'!V36&lt;0,'03_全链计算'!W45+1,0),IF('01_数值调参'!V37&lt;0,'03_全链计算'!X45+1,0),IF('01_数值调参'!V38&lt;0,'03_全链计算'!Y45+1,0),IF('01_数值调参'!V39&lt;0,'03_全链计算'!Z45+1,0),IF('01_数值调参'!V40&lt;0,'03_全链计算'!AA45+1,0),IF('01_数值调参'!V41&lt;0,'03_全链计算'!AB45+1,0),IF('01_数值调参'!V42&lt;0,'03_全链计算'!AC45+1,0),IF('01_数值调参'!V43&lt;0,'03_全链计算'!AD45+1,0),IF('01_数值调参'!V44&lt;0,'03_全链计算'!AE45+1,0),IF('01_数值调参'!V45&lt;0,'03_全链计算'!AF45+1,0),IF('01_数值调参'!V46&lt;0,'03_全链计算'!AG45+1,0),IF('01_数值调参'!V47&lt;0,'03_全链计算'!AH45+1,0),IF('01_数值调参'!V48&lt;0,'03_全链计算'!AI45+1,0),IF('01_数值调参'!V49&lt;0,'03_全链计算'!AJ45+1,0),IF('01_数值调参'!V50&lt;0,'03_全链计算'!AK45+1,0),IF('01_数值调参'!V51&lt;0,'03_全链计算'!AL45+1,0),IF('01_数值调参'!V52&lt;0,'03_全链计算'!AM45+1,0))</x:f>
        <x:v>1</x:v>
      </x:c>
      <x:c r="W46" s="9" t="n">
        <x:f>MAX(IF('01_数值调参'!W18&lt;0,'03_全链计算'!E45+1,0),IF('01_数值调参'!W19&lt;0,'03_全链计算'!F45+1,0),IF('01_数值调参'!W20&lt;0,'03_全链计算'!G45+1,0),IF('01_数值调参'!W21&lt;0,'03_全链计算'!H45+1,0),IF('01_数值调参'!W22&lt;0,'03_全链计算'!I45+1,0),IF('01_数值调参'!W23&lt;0,'03_全链计算'!J45+1,0),IF('01_数值调参'!W24&lt;0,'03_全链计算'!K45+1,0),IF('01_数值调参'!W25&lt;0,'03_全链计算'!L45+1,0),IF('01_数值调参'!W26&lt;0,'03_全链计算'!M45+1,0),IF('01_数值调参'!W27&lt;0,'03_全链计算'!N45+1,0),IF('01_数值调参'!W28&lt;0,'03_全链计算'!O45+1,0),IF('01_数值调参'!W29&lt;0,'03_全链计算'!P45+1,0),IF('01_数值调参'!W30&lt;0,'03_全链计算'!Q45+1,0),IF('01_数值调参'!W31&lt;0,'03_全链计算'!R45+1,0),IF('01_数值调参'!W32&lt;0,'03_全链计算'!S45+1,0),IF('01_数值调参'!W33&lt;0,'03_全链计算'!T45+1,0),IF('01_数值调参'!W34&lt;0,'03_全链计算'!U45+1,0),IF('01_数值调参'!W35&lt;0,'03_全链计算'!V45+1,0),IF('01_数值调参'!W36&lt;0,'03_全链计算'!W45+1,0),IF('01_数值调参'!W37&lt;0,'03_全链计算'!X45+1,0),IF('01_数值调参'!W38&lt;0,'03_全链计算'!Y45+1,0),IF('01_数值调参'!W39&lt;0,'03_全链计算'!Z45+1,0),IF('01_数值调参'!W40&lt;0,'03_全链计算'!AA45+1,0),IF('01_数值调参'!W41&lt;0,'03_全链计算'!AB45+1,0),IF('01_数值调参'!W42&lt;0,'03_全链计算'!AC45+1,0),IF('01_数值调参'!W43&lt;0,'03_全链计算'!AD45+1,0),IF('01_数值调参'!W44&lt;0,'03_全链计算'!AE45+1,0),IF('01_数值调参'!W45&lt;0,'03_全链计算'!AF45+1,0),IF('01_数值调参'!W46&lt;0,'03_全链计算'!AG45+1,0),IF('01_数值调参'!W47&lt;0,'03_全链计算'!AH45+1,0),IF('01_数值调参'!W48&lt;0,'03_全链计算'!AI45+1,0),IF('01_数值调参'!W49&lt;0,'03_全链计算'!AJ45+1,0),IF('01_数值调参'!W50&lt;0,'03_全链计算'!AK45+1,0),IF('01_数值调参'!W51&lt;0,'03_全链计算'!AL45+1,0),IF('01_数值调参'!W52&lt;0,'03_全链计算'!AM45+1,0))</x:f>
        <x:v>1</x:v>
      </x:c>
      <x:c r="X46" s="9" t="n">
        <x:f>MAX(IF('01_数值调参'!X18&lt;0,'03_全链计算'!E45+1,0),IF('01_数值调参'!X19&lt;0,'03_全链计算'!F45+1,0),IF('01_数值调参'!X20&lt;0,'03_全链计算'!G45+1,0),IF('01_数值调参'!X21&lt;0,'03_全链计算'!H45+1,0),IF('01_数值调参'!X22&lt;0,'03_全链计算'!I45+1,0),IF('01_数值调参'!X23&lt;0,'03_全链计算'!J45+1,0),IF('01_数值调参'!X24&lt;0,'03_全链计算'!K45+1,0),IF('01_数值调参'!X25&lt;0,'03_全链计算'!L45+1,0),IF('01_数值调参'!X26&lt;0,'03_全链计算'!M45+1,0),IF('01_数值调参'!X27&lt;0,'03_全链计算'!N45+1,0),IF('01_数值调参'!X28&lt;0,'03_全链计算'!O45+1,0),IF('01_数值调参'!X29&lt;0,'03_全链计算'!P45+1,0),IF('01_数值调参'!X30&lt;0,'03_全链计算'!Q45+1,0),IF('01_数值调参'!X31&lt;0,'03_全链计算'!R45+1,0),IF('01_数值调参'!X32&lt;0,'03_全链计算'!S45+1,0),IF('01_数值调参'!X33&lt;0,'03_全链计算'!T45+1,0),IF('01_数值调参'!X34&lt;0,'03_全链计算'!U45+1,0),IF('01_数值调参'!X35&lt;0,'03_全链计算'!V45+1,0),IF('01_数值调参'!X36&lt;0,'03_全链计算'!W45+1,0),IF('01_数值调参'!X37&lt;0,'03_全链计算'!X45+1,0),IF('01_数值调参'!X38&lt;0,'03_全链计算'!Y45+1,0),IF('01_数值调参'!X39&lt;0,'03_全链计算'!Z45+1,0),IF('01_数值调参'!X40&lt;0,'03_全链计算'!AA45+1,0),IF('01_数值调参'!X41&lt;0,'03_全链计算'!AB45+1,0),IF('01_数值调参'!X42&lt;0,'03_全链计算'!AC45+1,0),IF('01_数值调参'!X43&lt;0,'03_全链计算'!AD45+1,0),IF('01_数值调参'!X44&lt;0,'03_全链计算'!AE45+1,0),IF('01_数值调参'!X45&lt;0,'03_全链计算'!AF45+1,0),IF('01_数值调参'!X46&lt;0,'03_全链计算'!AG45+1,0),IF('01_数值调参'!X47&lt;0,'03_全链计算'!AH45+1,0),IF('01_数值调参'!X48&lt;0,'03_全链计算'!AI45+1,0),IF('01_数值调参'!X49&lt;0,'03_全链计算'!AJ45+1,0),IF('01_数值调参'!X50&lt;0,'03_全链计算'!AK45+1,0),IF('01_数值调参'!X51&lt;0,'03_全链计算'!AL45+1,0),IF('01_数值调参'!X52&lt;0,'03_全链计算'!AM45+1,0))</x:f>
        <x:v>1</x:v>
      </x:c>
      <x:c r="Y46" s="9" t="n">
        <x:f>MAX(IF('01_数值调参'!Y18&lt;0,'03_全链计算'!E45+1,0),IF('01_数值调参'!Y19&lt;0,'03_全链计算'!F45+1,0),IF('01_数值调参'!Y20&lt;0,'03_全链计算'!G45+1,0),IF('01_数值调参'!Y21&lt;0,'03_全链计算'!H45+1,0),IF('01_数值调参'!Y22&lt;0,'03_全链计算'!I45+1,0),IF('01_数值调参'!Y23&lt;0,'03_全链计算'!J45+1,0),IF('01_数值调参'!Y24&lt;0,'03_全链计算'!K45+1,0),IF('01_数值调参'!Y25&lt;0,'03_全链计算'!L45+1,0),IF('01_数值调参'!Y26&lt;0,'03_全链计算'!M45+1,0),IF('01_数值调参'!Y27&lt;0,'03_全链计算'!N45+1,0),IF('01_数值调参'!Y28&lt;0,'03_全链计算'!O45+1,0),IF('01_数值调参'!Y29&lt;0,'03_全链计算'!P45+1,0),IF('01_数值调参'!Y30&lt;0,'03_全链计算'!Q45+1,0),IF('01_数值调参'!Y31&lt;0,'03_全链计算'!R45+1,0),IF('01_数值调参'!Y32&lt;0,'03_全链计算'!S45+1,0),IF('01_数值调参'!Y33&lt;0,'03_全链计算'!T45+1,0),IF('01_数值调参'!Y34&lt;0,'03_全链计算'!U45+1,0),IF('01_数值调参'!Y35&lt;0,'03_全链计算'!V45+1,0),IF('01_数值调参'!Y36&lt;0,'03_全链计算'!W45+1,0),IF('01_数值调参'!Y37&lt;0,'03_全链计算'!X45+1,0),IF('01_数值调参'!Y38&lt;0,'03_全链计算'!Y45+1,0),IF('01_数值调参'!Y39&lt;0,'03_全链计算'!Z45+1,0),IF('01_数值调参'!Y40&lt;0,'03_全链计算'!AA45+1,0),IF('01_数值调参'!Y41&lt;0,'03_全链计算'!AB45+1,0),IF('01_数值调参'!Y42&lt;0,'03_全链计算'!AC45+1,0),IF('01_数值调参'!Y43&lt;0,'03_全链计算'!AD45+1,0),IF('01_数值调参'!Y44&lt;0,'03_全链计算'!AE45+1,0),IF('01_数值调参'!Y45&lt;0,'03_全链计算'!AF45+1,0),IF('01_数值调参'!Y46&lt;0,'03_全链计算'!AG45+1,0),IF('01_数值调参'!Y47&lt;0,'03_全链计算'!AH45+1,0),IF('01_数值调参'!Y48&lt;0,'03_全链计算'!AI45+1,0),IF('01_数值调参'!Y49&lt;0,'03_全链计算'!AJ45+1,0),IF('01_数值调参'!Y50&lt;0,'03_全链计算'!AK45+1,0),IF('01_数值调参'!Y51&lt;0,'03_全链计算'!AL45+1,0),IF('01_数值调参'!Y52&lt;0,'03_全链计算'!AM45+1,0))</x:f>
        <x:v>1</x:v>
      </x:c>
      <x:c r="Z46" s="9" t="n">
        <x:f>MAX(IF('01_数值调参'!Z18&lt;0,'03_全链计算'!E45+1,0),IF('01_数值调参'!Z19&lt;0,'03_全链计算'!F45+1,0),IF('01_数值调参'!Z20&lt;0,'03_全链计算'!G45+1,0),IF('01_数值调参'!Z21&lt;0,'03_全链计算'!H45+1,0),IF('01_数值调参'!Z22&lt;0,'03_全链计算'!I45+1,0),IF('01_数值调参'!Z23&lt;0,'03_全链计算'!J45+1,0),IF('01_数值调参'!Z24&lt;0,'03_全链计算'!K45+1,0),IF('01_数值调参'!Z25&lt;0,'03_全链计算'!L45+1,0),IF('01_数值调参'!Z26&lt;0,'03_全链计算'!M45+1,0),IF('01_数值调参'!Z27&lt;0,'03_全链计算'!N45+1,0),IF('01_数值调参'!Z28&lt;0,'03_全链计算'!O45+1,0),IF('01_数值调参'!Z29&lt;0,'03_全链计算'!P45+1,0),IF('01_数值调参'!Z30&lt;0,'03_全链计算'!Q45+1,0),IF('01_数值调参'!Z31&lt;0,'03_全链计算'!R45+1,0),IF('01_数值调参'!Z32&lt;0,'03_全链计算'!S45+1,0),IF('01_数值调参'!Z33&lt;0,'03_全链计算'!T45+1,0),IF('01_数值调参'!Z34&lt;0,'03_全链计算'!U45+1,0),IF('01_数值调参'!Z35&lt;0,'03_全链计算'!V45+1,0),IF('01_数值调参'!Z36&lt;0,'03_全链计算'!W45+1,0),IF('01_数值调参'!Z37&lt;0,'03_全链计算'!X45+1,0),IF('01_数值调参'!Z38&lt;0,'03_全链计算'!Y45+1,0),IF('01_数值调参'!Z39&lt;0,'03_全链计算'!Z45+1,0),IF('01_数值调参'!Z40&lt;0,'03_全链计算'!AA45+1,0),IF('01_数值调参'!Z41&lt;0,'03_全链计算'!AB45+1,0),IF('01_数值调参'!Z42&lt;0,'03_全链计算'!AC45+1,0),IF('01_数值调参'!Z43&lt;0,'03_全链计算'!AD45+1,0),IF('01_数值调参'!Z44&lt;0,'03_全链计算'!AE45+1,0),IF('01_数值调参'!Z45&lt;0,'03_全链计算'!AF45+1,0),IF('01_数值调参'!Z46&lt;0,'03_全链计算'!AG45+1,0),IF('01_数值调参'!Z47&lt;0,'03_全链计算'!AH45+1,0),IF('01_数值调参'!Z48&lt;0,'03_全链计算'!AI45+1,0),IF('01_数值调参'!Z49&lt;0,'03_全链计算'!AJ45+1,0),IF('01_数值调参'!Z50&lt;0,'03_全链计算'!AK45+1,0),IF('01_数值调参'!Z51&lt;0,'03_全链计算'!AL45+1,0),IF('01_数值调参'!Z52&lt;0,'03_全链计算'!AM45+1,0))</x:f>
        <x:v>1</x:v>
      </x:c>
      <x:c r="AA46" s="9" t="n">
        <x:f>MAX(IF('01_数值调参'!AA18&lt;0,'03_全链计算'!E45+1,0),IF('01_数值调参'!AA19&lt;0,'03_全链计算'!F45+1,0),IF('01_数值调参'!AA20&lt;0,'03_全链计算'!G45+1,0),IF('01_数值调参'!AA21&lt;0,'03_全链计算'!H45+1,0),IF('01_数值调参'!AA22&lt;0,'03_全链计算'!I45+1,0),IF('01_数值调参'!AA23&lt;0,'03_全链计算'!J45+1,0),IF('01_数值调参'!AA24&lt;0,'03_全链计算'!K45+1,0),IF('01_数值调参'!AA25&lt;0,'03_全链计算'!L45+1,0),IF('01_数值调参'!AA26&lt;0,'03_全链计算'!M45+1,0),IF('01_数值调参'!AA27&lt;0,'03_全链计算'!N45+1,0),IF('01_数值调参'!AA28&lt;0,'03_全链计算'!O45+1,0),IF('01_数值调参'!AA29&lt;0,'03_全链计算'!P45+1,0),IF('01_数值调参'!AA30&lt;0,'03_全链计算'!Q45+1,0),IF('01_数值调参'!AA31&lt;0,'03_全链计算'!R45+1,0),IF('01_数值调参'!AA32&lt;0,'03_全链计算'!S45+1,0),IF('01_数值调参'!AA33&lt;0,'03_全链计算'!T45+1,0),IF('01_数值调参'!AA34&lt;0,'03_全链计算'!U45+1,0),IF('01_数值调参'!AA35&lt;0,'03_全链计算'!V45+1,0),IF('01_数值调参'!AA36&lt;0,'03_全链计算'!W45+1,0),IF('01_数值调参'!AA37&lt;0,'03_全链计算'!X45+1,0),IF('01_数值调参'!AA38&lt;0,'03_全链计算'!Y45+1,0),IF('01_数值调参'!AA39&lt;0,'03_全链计算'!Z45+1,0),IF('01_数值调参'!AA40&lt;0,'03_全链计算'!AA45+1,0),IF('01_数值调参'!AA41&lt;0,'03_全链计算'!AB45+1,0),IF('01_数值调参'!AA42&lt;0,'03_全链计算'!AC45+1,0),IF('01_数值调参'!AA43&lt;0,'03_全链计算'!AD45+1,0),IF('01_数值调参'!AA44&lt;0,'03_全链计算'!AE45+1,0),IF('01_数值调参'!AA45&lt;0,'03_全链计算'!AF45+1,0),IF('01_数值调参'!AA46&lt;0,'03_全链计算'!AG45+1,0),IF('01_数值调参'!AA47&lt;0,'03_全链计算'!AH45+1,0),IF('01_数值调参'!AA48&lt;0,'03_全链计算'!AI45+1,0),IF('01_数值调参'!AA49&lt;0,'03_全链计算'!AJ45+1,0),IF('01_数值调参'!AA50&lt;0,'03_全链计算'!AK45+1,0),IF('01_数值调参'!AA51&lt;0,'03_全链计算'!AL45+1,0),IF('01_数值调参'!AA52&lt;0,'03_全链计算'!AM45+1,0))</x:f>
        <x:v>1</x:v>
      </x:c>
      <x:c r="AB46" s="9" t="n">
        <x:f>MAX(IF('01_数值调参'!AB18&lt;0,'03_全链计算'!E45+1,0),IF('01_数值调参'!AB19&lt;0,'03_全链计算'!F45+1,0),IF('01_数值调参'!AB20&lt;0,'03_全链计算'!G45+1,0),IF('01_数值调参'!AB21&lt;0,'03_全链计算'!H45+1,0),IF('01_数值调参'!AB22&lt;0,'03_全链计算'!I45+1,0),IF('01_数值调参'!AB23&lt;0,'03_全链计算'!J45+1,0),IF('01_数值调参'!AB24&lt;0,'03_全链计算'!K45+1,0),IF('01_数值调参'!AB25&lt;0,'03_全链计算'!L45+1,0),IF('01_数值调参'!AB26&lt;0,'03_全链计算'!M45+1,0),IF('01_数值调参'!AB27&lt;0,'03_全链计算'!N45+1,0),IF('01_数值调参'!AB28&lt;0,'03_全链计算'!O45+1,0),IF('01_数值调参'!AB29&lt;0,'03_全链计算'!P45+1,0),IF('01_数值调参'!AB30&lt;0,'03_全链计算'!Q45+1,0),IF('01_数值调参'!AB31&lt;0,'03_全链计算'!R45+1,0),IF('01_数值调参'!AB32&lt;0,'03_全链计算'!S45+1,0),IF('01_数值调参'!AB33&lt;0,'03_全链计算'!T45+1,0),IF('01_数值调参'!AB34&lt;0,'03_全链计算'!U45+1,0),IF('01_数值调参'!AB35&lt;0,'03_全链计算'!V45+1,0),IF('01_数值调参'!AB36&lt;0,'03_全链计算'!W45+1,0),IF('01_数值调参'!AB37&lt;0,'03_全链计算'!X45+1,0),IF('01_数值调参'!AB38&lt;0,'03_全链计算'!Y45+1,0),IF('01_数值调参'!AB39&lt;0,'03_全链计算'!Z45+1,0),IF('01_数值调参'!AB40&lt;0,'03_全链计算'!AA45+1,0),IF('01_数值调参'!AB41&lt;0,'03_全链计算'!AB45+1,0),IF('01_数值调参'!AB42&lt;0,'03_全链计算'!AC45+1,0),IF('01_数值调参'!AB43&lt;0,'03_全链计算'!AD45+1,0),IF('01_数值调参'!AB44&lt;0,'03_全链计算'!AE45+1,0),IF('01_数值调参'!AB45&lt;0,'03_全链计算'!AF45+1,0),IF('01_数值调参'!AB46&lt;0,'03_全链计算'!AG45+1,0),IF('01_数值调参'!AB47&lt;0,'03_全链计算'!AH45+1,0),IF('01_数值调参'!AB48&lt;0,'03_全链计算'!AI45+1,0),IF('01_数值调参'!AB49&lt;0,'03_全链计算'!AJ45+1,0),IF('01_数值调参'!AB50&lt;0,'03_全链计算'!AK45+1,0),IF('01_数值调参'!AB51&lt;0,'03_全链计算'!AL45+1,0),IF('01_数值调参'!AB52&lt;0,'03_全链计算'!AM45+1,0))</x:f>
        <x:v>1</x:v>
      </x:c>
      <x:c r="AC46" s="9" t="n">
        <x:f>MAX(IF('01_数值调参'!AC18&lt;0,'03_全链计算'!E45+1,0),IF('01_数值调参'!AC19&lt;0,'03_全链计算'!F45+1,0),IF('01_数值调参'!AC20&lt;0,'03_全链计算'!G45+1,0),IF('01_数值调参'!AC21&lt;0,'03_全链计算'!H45+1,0),IF('01_数值调参'!AC22&lt;0,'03_全链计算'!I45+1,0),IF('01_数值调参'!AC23&lt;0,'03_全链计算'!J45+1,0),IF('01_数值调参'!AC24&lt;0,'03_全链计算'!K45+1,0),IF('01_数值调参'!AC25&lt;0,'03_全链计算'!L45+1,0),IF('01_数值调参'!AC26&lt;0,'03_全链计算'!M45+1,0),IF('01_数值调参'!AC27&lt;0,'03_全链计算'!N45+1,0),IF('01_数值调参'!AC28&lt;0,'03_全链计算'!O45+1,0),IF('01_数值调参'!AC29&lt;0,'03_全链计算'!P45+1,0),IF('01_数值调参'!AC30&lt;0,'03_全链计算'!Q45+1,0),IF('01_数值调参'!AC31&lt;0,'03_全链计算'!R45+1,0),IF('01_数值调参'!AC32&lt;0,'03_全链计算'!S45+1,0),IF('01_数值调参'!AC33&lt;0,'03_全链计算'!T45+1,0),IF('01_数值调参'!AC34&lt;0,'03_全链计算'!U45+1,0),IF('01_数值调参'!AC35&lt;0,'03_全链计算'!V45+1,0),IF('01_数值调参'!AC36&lt;0,'03_全链计算'!W45+1,0),IF('01_数值调参'!AC37&lt;0,'03_全链计算'!X45+1,0),IF('01_数值调参'!AC38&lt;0,'03_全链计算'!Y45+1,0),IF('01_数值调参'!AC39&lt;0,'03_全链计算'!Z45+1,0),IF('01_数值调参'!AC40&lt;0,'03_全链计算'!AA45+1,0),IF('01_数值调参'!AC41&lt;0,'03_全链计算'!AB45+1,0),IF('01_数值调参'!AC42&lt;0,'03_全链计算'!AC45+1,0),IF('01_数值调参'!AC43&lt;0,'03_全链计算'!AD45+1,0),IF('01_数值调参'!AC44&lt;0,'03_全链计算'!AE45+1,0),IF('01_数值调参'!AC45&lt;0,'03_全链计算'!AF45+1,0),IF('01_数值调参'!AC46&lt;0,'03_全链计算'!AG45+1,0),IF('01_数值调参'!AC47&lt;0,'03_全链计算'!AH45+1,0),IF('01_数值调参'!AC48&lt;0,'03_全链计算'!AI45+1,0),IF('01_数值调参'!AC49&lt;0,'03_全链计算'!AJ45+1,0),IF('01_数值调参'!AC50&lt;0,'03_全链计算'!AK45+1,0),IF('01_数值调参'!AC51&lt;0,'03_全链计算'!AL45+1,0),IF('01_数值调参'!AC52&lt;0,'03_全链计算'!AM45+1,0))</x:f>
        <x:v>1</x:v>
      </x:c>
      <x:c r="AD46" s="9" t="n">
        <x:f>MAX(IF('01_数值调参'!AD18&lt;0,'03_全链计算'!E45+1,0),IF('01_数值调参'!AD19&lt;0,'03_全链计算'!F45+1,0),IF('01_数值调参'!AD20&lt;0,'03_全链计算'!G45+1,0),IF('01_数值调参'!AD21&lt;0,'03_全链计算'!H45+1,0),IF('01_数值调参'!AD22&lt;0,'03_全链计算'!I45+1,0),IF('01_数值调参'!AD23&lt;0,'03_全链计算'!J45+1,0),IF('01_数值调参'!AD24&lt;0,'03_全链计算'!K45+1,0),IF('01_数值调参'!AD25&lt;0,'03_全链计算'!L45+1,0),IF('01_数值调参'!AD26&lt;0,'03_全链计算'!M45+1,0),IF('01_数值调参'!AD27&lt;0,'03_全链计算'!N45+1,0),IF('01_数值调参'!AD28&lt;0,'03_全链计算'!O45+1,0),IF('01_数值调参'!AD29&lt;0,'03_全链计算'!P45+1,0),IF('01_数值调参'!AD30&lt;0,'03_全链计算'!Q45+1,0),IF('01_数值调参'!AD31&lt;0,'03_全链计算'!R45+1,0),IF('01_数值调参'!AD32&lt;0,'03_全链计算'!S45+1,0),IF('01_数值调参'!AD33&lt;0,'03_全链计算'!T45+1,0),IF('01_数值调参'!AD34&lt;0,'03_全链计算'!U45+1,0),IF('01_数值调参'!AD35&lt;0,'03_全链计算'!V45+1,0),IF('01_数值调参'!AD36&lt;0,'03_全链计算'!W45+1,0),IF('01_数值调参'!AD37&lt;0,'03_全链计算'!X45+1,0),IF('01_数值调参'!AD38&lt;0,'03_全链计算'!Y45+1,0),IF('01_数值调参'!AD39&lt;0,'03_全链计算'!Z45+1,0),IF('01_数值调参'!AD40&lt;0,'03_全链计算'!AA45+1,0),IF('01_数值调参'!AD41&lt;0,'03_全链计算'!AB45+1,0),IF('01_数值调参'!AD42&lt;0,'03_全链计算'!AC45+1,0),IF('01_数值调参'!AD43&lt;0,'03_全链计算'!AD45+1,0),IF('01_数值调参'!AD44&lt;0,'03_全链计算'!AE45+1,0),IF('01_数值调参'!AD45&lt;0,'03_全链计算'!AF45+1,0),IF('01_数值调参'!AD46&lt;0,'03_全链计算'!AG45+1,0),IF('01_数值调参'!AD47&lt;0,'03_全链计算'!AH45+1,0),IF('01_数值调参'!AD48&lt;0,'03_全链计算'!AI45+1,0),IF('01_数值调参'!AD49&lt;0,'03_全链计算'!AJ45+1,0),IF('01_数值调参'!AD50&lt;0,'03_全链计算'!AK45+1,0),IF('01_数值调参'!AD51&lt;0,'03_全链计算'!AL45+1,0),IF('01_数值调参'!AD52&lt;0,'03_全链计算'!AM45+1,0))</x:f>
        <x:v>1</x:v>
      </x:c>
      <x:c r="AE46" s="9" t="n">
        <x:f>MAX(IF('01_数值调参'!AE18&lt;0,'03_全链计算'!E45+1,0),IF('01_数值调参'!AE19&lt;0,'03_全链计算'!F45+1,0),IF('01_数值调参'!AE20&lt;0,'03_全链计算'!G45+1,0),IF('01_数值调参'!AE21&lt;0,'03_全链计算'!H45+1,0),IF('01_数值调参'!AE22&lt;0,'03_全链计算'!I45+1,0),IF('01_数值调参'!AE23&lt;0,'03_全链计算'!J45+1,0),IF('01_数值调参'!AE24&lt;0,'03_全链计算'!K45+1,0),IF('01_数值调参'!AE25&lt;0,'03_全链计算'!L45+1,0),IF('01_数值调参'!AE26&lt;0,'03_全链计算'!M45+1,0),IF('01_数值调参'!AE27&lt;0,'03_全链计算'!N45+1,0),IF('01_数值调参'!AE28&lt;0,'03_全链计算'!O45+1,0),IF('01_数值调参'!AE29&lt;0,'03_全链计算'!P45+1,0),IF('01_数值调参'!AE30&lt;0,'03_全链计算'!Q45+1,0),IF('01_数值调参'!AE31&lt;0,'03_全链计算'!R45+1,0),IF('01_数值调参'!AE32&lt;0,'03_全链计算'!S45+1,0),IF('01_数值调参'!AE33&lt;0,'03_全链计算'!T45+1,0),IF('01_数值调参'!AE34&lt;0,'03_全链计算'!U45+1,0),IF('01_数值调参'!AE35&lt;0,'03_全链计算'!V45+1,0),IF('01_数值调参'!AE36&lt;0,'03_全链计算'!W45+1,0),IF('01_数值调参'!AE37&lt;0,'03_全链计算'!X45+1,0),IF('01_数值调参'!AE38&lt;0,'03_全链计算'!Y45+1,0),IF('01_数值调参'!AE39&lt;0,'03_全链计算'!Z45+1,0),IF('01_数值调参'!AE40&lt;0,'03_全链计算'!AA45+1,0),IF('01_数值调参'!AE41&lt;0,'03_全链计算'!AB45+1,0),IF('01_数值调参'!AE42&lt;0,'03_全链计算'!AC45+1,0),IF('01_数值调参'!AE43&lt;0,'03_全链计算'!AD45+1,0),IF('01_数值调参'!AE44&lt;0,'03_全链计算'!AE45+1,0),IF('01_数值调参'!AE45&lt;0,'03_全链计算'!AF45+1,0),IF('01_数值调参'!AE46&lt;0,'03_全链计算'!AG45+1,0),IF('01_数值调参'!AE47&lt;0,'03_全链计算'!AH45+1,0),IF('01_数值调参'!AE48&lt;0,'03_全链计算'!AI45+1,0),IF('01_数值调参'!AE49&lt;0,'03_全链计算'!AJ45+1,0),IF('01_数值调参'!AE50&lt;0,'03_全链计算'!AK45+1,0),IF('01_数值调参'!AE51&lt;0,'03_全链计算'!AL45+1,0),IF('01_数值调参'!AE52&lt;0,'03_全链计算'!AM45+1,0))</x:f>
        <x:v>1</x:v>
      </x:c>
      <x:c r="AF46" s="9" t="n">
        <x:f>MAX(IF('01_数值调参'!AF18&lt;0,'03_全链计算'!E45+1,0),IF('01_数值调参'!AF19&lt;0,'03_全链计算'!F45+1,0),IF('01_数值调参'!AF20&lt;0,'03_全链计算'!G45+1,0),IF('01_数值调参'!AF21&lt;0,'03_全链计算'!H45+1,0),IF('01_数值调参'!AF22&lt;0,'03_全链计算'!I45+1,0),IF('01_数值调参'!AF23&lt;0,'03_全链计算'!J45+1,0),IF('01_数值调参'!AF24&lt;0,'03_全链计算'!K45+1,0),IF('01_数值调参'!AF25&lt;0,'03_全链计算'!L45+1,0),IF('01_数值调参'!AF26&lt;0,'03_全链计算'!M45+1,0),IF('01_数值调参'!AF27&lt;0,'03_全链计算'!N45+1,0),IF('01_数值调参'!AF28&lt;0,'03_全链计算'!O45+1,0),IF('01_数值调参'!AF29&lt;0,'03_全链计算'!P45+1,0),IF('01_数值调参'!AF30&lt;0,'03_全链计算'!Q45+1,0),IF('01_数值调参'!AF31&lt;0,'03_全链计算'!R45+1,0),IF('01_数值调参'!AF32&lt;0,'03_全链计算'!S45+1,0),IF('01_数值调参'!AF33&lt;0,'03_全链计算'!T45+1,0),IF('01_数值调参'!AF34&lt;0,'03_全链计算'!U45+1,0),IF('01_数值调参'!AF35&lt;0,'03_全链计算'!V45+1,0),IF('01_数值调参'!AF36&lt;0,'03_全链计算'!W45+1,0),IF('01_数值调参'!AF37&lt;0,'03_全链计算'!X45+1,0),IF('01_数值调参'!AF38&lt;0,'03_全链计算'!Y45+1,0),IF('01_数值调参'!AF39&lt;0,'03_全链计算'!Z45+1,0),IF('01_数值调参'!AF40&lt;0,'03_全链计算'!AA45+1,0),IF('01_数值调参'!AF41&lt;0,'03_全链计算'!AB45+1,0),IF('01_数值调参'!AF42&lt;0,'03_全链计算'!AC45+1,0),IF('01_数值调参'!AF43&lt;0,'03_全链计算'!AD45+1,0),IF('01_数值调参'!AF44&lt;0,'03_全链计算'!AE45+1,0),IF('01_数值调参'!AF45&lt;0,'03_全链计算'!AF45+1,0),IF('01_数值调参'!AF46&lt;0,'03_全链计算'!AG45+1,0),IF('01_数值调参'!AF47&lt;0,'03_全链计算'!AH45+1,0),IF('01_数值调参'!AF48&lt;0,'03_全链计算'!AI45+1,0),IF('01_数值调参'!AF49&lt;0,'03_全链计算'!AJ45+1,0),IF('01_数值调参'!AF50&lt;0,'03_全链计算'!AK45+1,0),IF('01_数值调参'!AF51&lt;0,'03_全链计算'!AL45+1,0),IF('01_数值调参'!AF52&lt;0,'03_全链计算'!AM45+1,0))</x:f>
        <x:v>1</x:v>
      </x:c>
      <x:c r="AG46" s="9" t="n">
        <x:f>MAX(IF('01_数值调参'!AG18&lt;0,'03_全链计算'!E45+1,0),IF('01_数值调参'!AG19&lt;0,'03_全链计算'!F45+1,0),IF('01_数值调参'!AG20&lt;0,'03_全链计算'!G45+1,0),IF('01_数值调参'!AG21&lt;0,'03_全链计算'!H45+1,0),IF('01_数值调参'!AG22&lt;0,'03_全链计算'!I45+1,0),IF('01_数值调参'!AG23&lt;0,'03_全链计算'!J45+1,0),IF('01_数值调参'!AG24&lt;0,'03_全链计算'!K45+1,0),IF('01_数值调参'!AG25&lt;0,'03_全链计算'!L45+1,0),IF('01_数值调参'!AG26&lt;0,'03_全链计算'!M45+1,0),IF('01_数值调参'!AG27&lt;0,'03_全链计算'!N45+1,0),IF('01_数值调参'!AG28&lt;0,'03_全链计算'!O45+1,0),IF('01_数值调参'!AG29&lt;0,'03_全链计算'!P45+1,0),IF('01_数值调参'!AG30&lt;0,'03_全链计算'!Q45+1,0),IF('01_数值调参'!AG31&lt;0,'03_全链计算'!R45+1,0),IF('01_数值调参'!AG32&lt;0,'03_全链计算'!S45+1,0),IF('01_数值调参'!AG33&lt;0,'03_全链计算'!T45+1,0),IF('01_数值调参'!AG34&lt;0,'03_全链计算'!U45+1,0),IF('01_数值调参'!AG35&lt;0,'03_全链计算'!V45+1,0),IF('01_数值调参'!AG36&lt;0,'03_全链计算'!W45+1,0),IF('01_数值调参'!AG37&lt;0,'03_全链计算'!X45+1,0),IF('01_数值调参'!AG38&lt;0,'03_全链计算'!Y45+1,0),IF('01_数值调参'!AG39&lt;0,'03_全链计算'!Z45+1,0),IF('01_数值调参'!AG40&lt;0,'03_全链计算'!AA45+1,0),IF('01_数值调参'!AG41&lt;0,'03_全链计算'!AB45+1,0),IF('01_数值调参'!AG42&lt;0,'03_全链计算'!AC45+1,0),IF('01_数值调参'!AG43&lt;0,'03_全链计算'!AD45+1,0),IF('01_数值调参'!AG44&lt;0,'03_全链计算'!AE45+1,0),IF('01_数值调参'!AG45&lt;0,'03_全链计算'!AF45+1,0),IF('01_数值调参'!AG46&lt;0,'03_全链计算'!AG45+1,0),IF('01_数值调参'!AG47&lt;0,'03_全链计算'!AH45+1,0),IF('01_数值调参'!AG48&lt;0,'03_全链计算'!AI45+1,0),IF('01_数值调参'!AG49&lt;0,'03_全链计算'!AJ45+1,0),IF('01_数值调参'!AG50&lt;0,'03_全链计算'!AK45+1,0),IF('01_数值调参'!AG51&lt;0,'03_全链计算'!AL45+1,0),IF('01_数值调参'!AG52&lt;0,'03_全链计算'!AM45+1,0))</x:f>
        <x:v>1</x:v>
      </x:c>
      <x:c r="AH46" s="9" t="n">
        <x:f>MAX(IF('01_数值调参'!AH18&lt;0,'03_全链计算'!E45+1,0),IF('01_数值调参'!AH19&lt;0,'03_全链计算'!F45+1,0),IF('01_数值调参'!AH20&lt;0,'03_全链计算'!G45+1,0),IF('01_数值调参'!AH21&lt;0,'03_全链计算'!H45+1,0),IF('01_数值调参'!AH22&lt;0,'03_全链计算'!I45+1,0),IF('01_数值调参'!AH23&lt;0,'03_全链计算'!J45+1,0),IF('01_数值调参'!AH24&lt;0,'03_全链计算'!K45+1,0),IF('01_数值调参'!AH25&lt;0,'03_全链计算'!L45+1,0),IF('01_数值调参'!AH26&lt;0,'03_全链计算'!M45+1,0),IF('01_数值调参'!AH27&lt;0,'03_全链计算'!N45+1,0),IF('01_数值调参'!AH28&lt;0,'03_全链计算'!O45+1,0),IF('01_数值调参'!AH29&lt;0,'03_全链计算'!P45+1,0),IF('01_数值调参'!AH30&lt;0,'03_全链计算'!Q45+1,0),IF('01_数值调参'!AH31&lt;0,'03_全链计算'!R45+1,0),IF('01_数值调参'!AH32&lt;0,'03_全链计算'!S45+1,0),IF('01_数值调参'!AH33&lt;0,'03_全链计算'!T45+1,0),IF('01_数值调参'!AH34&lt;0,'03_全链计算'!U45+1,0),IF('01_数值调参'!AH35&lt;0,'03_全链计算'!V45+1,0),IF('01_数值调参'!AH36&lt;0,'03_全链计算'!W45+1,0),IF('01_数值调参'!AH37&lt;0,'03_全链计算'!X45+1,0),IF('01_数值调参'!AH38&lt;0,'03_全链计算'!Y45+1,0),IF('01_数值调参'!AH39&lt;0,'03_全链计算'!Z45+1,0),IF('01_数值调参'!AH40&lt;0,'03_全链计算'!AA45+1,0),IF('01_数值调参'!AH41&lt;0,'03_全链计算'!AB45+1,0),IF('01_数值调参'!AH42&lt;0,'03_全链计算'!AC45+1,0),IF('01_数值调参'!AH43&lt;0,'03_全链计算'!AD45+1,0),IF('01_数值调参'!AH44&lt;0,'03_全链计算'!AE45+1,0),IF('01_数值调参'!AH45&lt;0,'03_全链计算'!AF45+1,0),IF('01_数值调参'!AH46&lt;0,'03_全链计算'!AG45+1,0),IF('01_数值调参'!AH47&lt;0,'03_全链计算'!AH45+1,0),IF('01_数值调参'!AH48&lt;0,'03_全链计算'!AI45+1,0),IF('01_数值调参'!AH49&lt;0,'03_全链计算'!AJ45+1,0),IF('01_数值调参'!AH50&lt;0,'03_全链计算'!AK45+1,0),IF('01_数值调参'!AH51&lt;0,'03_全链计算'!AL45+1,0),IF('01_数值调参'!AH52&lt;0,'03_全链计算'!AM45+1,0))</x:f>
        <x:v>1</x:v>
      </x:c>
      <x:c r="AI46" s="9" t="n">
        <x:f>MAX(IF('01_数值调参'!AI18&lt;0,'03_全链计算'!E45+1,0),IF('01_数值调参'!AI19&lt;0,'03_全链计算'!F45+1,0),IF('01_数值调参'!AI20&lt;0,'03_全链计算'!G45+1,0),IF('01_数值调参'!AI21&lt;0,'03_全链计算'!H45+1,0),IF('01_数值调参'!AI22&lt;0,'03_全链计算'!I45+1,0),IF('01_数值调参'!AI23&lt;0,'03_全链计算'!J45+1,0),IF('01_数值调参'!AI24&lt;0,'03_全链计算'!K45+1,0),IF('01_数值调参'!AI25&lt;0,'03_全链计算'!L45+1,0),IF('01_数值调参'!AI26&lt;0,'03_全链计算'!M45+1,0),IF('01_数值调参'!AI27&lt;0,'03_全链计算'!N45+1,0),IF('01_数值调参'!AI28&lt;0,'03_全链计算'!O45+1,0),IF('01_数值调参'!AI29&lt;0,'03_全链计算'!P45+1,0),IF('01_数值调参'!AI30&lt;0,'03_全链计算'!Q45+1,0),IF('01_数值调参'!AI31&lt;0,'03_全链计算'!R45+1,0),IF('01_数值调参'!AI32&lt;0,'03_全链计算'!S45+1,0),IF('01_数值调参'!AI33&lt;0,'03_全链计算'!T45+1,0),IF('01_数值调参'!AI34&lt;0,'03_全链计算'!U45+1,0),IF('01_数值调参'!AI35&lt;0,'03_全链计算'!V45+1,0),IF('01_数值调参'!AI36&lt;0,'03_全链计算'!W45+1,0),IF('01_数值调参'!AI37&lt;0,'03_全链计算'!X45+1,0),IF('01_数值调参'!AI38&lt;0,'03_全链计算'!Y45+1,0),IF('01_数值调参'!AI39&lt;0,'03_全链计算'!Z45+1,0),IF('01_数值调参'!AI40&lt;0,'03_全链计算'!AA45+1,0),IF('01_数值调参'!AI41&lt;0,'03_全链计算'!AB45+1,0),IF('01_数值调参'!AI42&lt;0,'03_全链计算'!AC45+1,0),IF('01_数值调参'!AI43&lt;0,'03_全链计算'!AD45+1,0),IF('01_数值调参'!AI44&lt;0,'03_全链计算'!AE45+1,0),IF('01_数值调参'!AI45&lt;0,'03_全链计算'!AF45+1,0),IF('01_数值调参'!AI46&lt;0,'03_全链计算'!AG45+1,0),IF('01_数值调参'!AI47&lt;0,'03_全链计算'!AH45+1,0),IF('01_数值调参'!AI48&lt;0,'03_全链计算'!AI45+1,0),IF('01_数值调参'!AI49&lt;0,'03_全链计算'!AJ45+1,0),IF('01_数值调参'!AI50&lt;0,'03_全链计算'!AK45+1,0),IF('01_数值调参'!AI51&lt;0,'03_全链计算'!AL45+1,0),IF('01_数值调参'!AI52&lt;0,'03_全链计算'!AM45+1,0))</x:f>
        <x:v>1</x:v>
      </x:c>
      <x:c r="AJ46" s="9" t="n">
        <x:f>MAX(IF('01_数值调参'!AJ18&lt;0,'03_全链计算'!E45+1,0),IF('01_数值调参'!AJ19&lt;0,'03_全链计算'!F45+1,0),IF('01_数值调参'!AJ20&lt;0,'03_全链计算'!G45+1,0),IF('01_数值调参'!AJ21&lt;0,'03_全链计算'!H45+1,0),IF('01_数值调参'!AJ22&lt;0,'03_全链计算'!I45+1,0),IF('01_数值调参'!AJ23&lt;0,'03_全链计算'!J45+1,0),IF('01_数值调参'!AJ24&lt;0,'03_全链计算'!K45+1,0),IF('01_数值调参'!AJ25&lt;0,'03_全链计算'!L45+1,0),IF('01_数值调参'!AJ26&lt;0,'03_全链计算'!M45+1,0),IF('01_数值调参'!AJ27&lt;0,'03_全链计算'!N45+1,0),IF('01_数值调参'!AJ28&lt;0,'03_全链计算'!O45+1,0),IF('01_数值调参'!AJ29&lt;0,'03_全链计算'!P45+1,0),IF('01_数值调参'!AJ30&lt;0,'03_全链计算'!Q45+1,0),IF('01_数值调参'!AJ31&lt;0,'03_全链计算'!R45+1,0),IF('01_数值调参'!AJ32&lt;0,'03_全链计算'!S45+1,0),IF('01_数值调参'!AJ33&lt;0,'03_全链计算'!T45+1,0),IF('01_数值调参'!AJ34&lt;0,'03_全链计算'!U45+1,0),IF('01_数值调参'!AJ35&lt;0,'03_全链计算'!V45+1,0),IF('01_数值调参'!AJ36&lt;0,'03_全链计算'!W45+1,0),IF('01_数值调参'!AJ37&lt;0,'03_全链计算'!X45+1,0),IF('01_数值调参'!AJ38&lt;0,'03_全链计算'!Y45+1,0),IF('01_数值调参'!AJ39&lt;0,'03_全链计算'!Z45+1,0),IF('01_数值调参'!AJ40&lt;0,'03_全链计算'!AA45+1,0),IF('01_数值调参'!AJ41&lt;0,'03_全链计算'!AB45+1,0),IF('01_数值调参'!AJ42&lt;0,'03_全链计算'!AC45+1,0),IF('01_数值调参'!AJ43&lt;0,'03_全链计算'!AD45+1,0),IF('01_数值调参'!AJ44&lt;0,'03_全链计算'!AE45+1,0),IF('01_数值调参'!AJ45&lt;0,'03_全链计算'!AF45+1,0),IF('01_数值调参'!AJ46&lt;0,'03_全链计算'!AG45+1,0),IF('01_数值调参'!AJ47&lt;0,'03_全链计算'!AH45+1,0),IF('01_数值调参'!AJ48&lt;0,'03_全链计算'!AI45+1,0),IF('01_数值调参'!AJ49&lt;0,'03_全链计算'!AJ45+1,0),IF('01_数值调参'!AJ50&lt;0,'03_全链计算'!AK45+1,0),IF('01_数值调参'!AJ51&lt;0,'03_全链计算'!AL45+1,0),IF('01_数值调参'!AJ52&lt;0,'03_全链计算'!AM45+1,0))</x:f>
        <x:v>1</x:v>
      </x:c>
      <x:c r="AK46" s="9" t="n">
        <x:f>MAX(IF('01_数值调参'!AK18&lt;0,'03_全链计算'!E45+1,0),IF('01_数值调参'!AK19&lt;0,'03_全链计算'!F45+1,0),IF('01_数值调参'!AK20&lt;0,'03_全链计算'!G45+1,0),IF('01_数值调参'!AK21&lt;0,'03_全链计算'!H45+1,0),IF('01_数值调参'!AK22&lt;0,'03_全链计算'!I45+1,0),IF('01_数值调参'!AK23&lt;0,'03_全链计算'!J45+1,0),IF('01_数值调参'!AK24&lt;0,'03_全链计算'!K45+1,0),IF('01_数值调参'!AK25&lt;0,'03_全链计算'!L45+1,0),IF('01_数值调参'!AK26&lt;0,'03_全链计算'!M45+1,0),IF('01_数值调参'!AK27&lt;0,'03_全链计算'!N45+1,0),IF('01_数值调参'!AK28&lt;0,'03_全链计算'!O45+1,0),IF('01_数值调参'!AK29&lt;0,'03_全链计算'!P45+1,0),IF('01_数值调参'!AK30&lt;0,'03_全链计算'!Q45+1,0),IF('01_数值调参'!AK31&lt;0,'03_全链计算'!R45+1,0),IF('01_数值调参'!AK32&lt;0,'03_全链计算'!S45+1,0),IF('01_数值调参'!AK33&lt;0,'03_全链计算'!T45+1,0),IF('01_数值调参'!AK34&lt;0,'03_全链计算'!U45+1,0),IF('01_数值调参'!AK35&lt;0,'03_全链计算'!V45+1,0),IF('01_数值调参'!AK36&lt;0,'03_全链计算'!W45+1,0),IF('01_数值调参'!AK37&lt;0,'03_全链计算'!X45+1,0),IF('01_数值调参'!AK38&lt;0,'03_全链计算'!Y45+1,0),IF('01_数值调参'!AK39&lt;0,'03_全链计算'!Z45+1,0),IF('01_数值调参'!AK40&lt;0,'03_全链计算'!AA45+1,0),IF('01_数值调参'!AK41&lt;0,'03_全链计算'!AB45+1,0),IF('01_数值调参'!AK42&lt;0,'03_全链计算'!AC45+1,0),IF('01_数值调参'!AK43&lt;0,'03_全链计算'!AD45+1,0),IF('01_数值调参'!AK44&lt;0,'03_全链计算'!AE45+1,0),IF('01_数值调参'!AK45&lt;0,'03_全链计算'!AF45+1,0),IF('01_数值调参'!AK46&lt;0,'03_全链计算'!AG45+1,0),IF('01_数值调参'!AK47&lt;0,'03_全链计算'!AH45+1,0),IF('01_数值调参'!AK48&lt;0,'03_全链计算'!AI45+1,0),IF('01_数值调参'!AK49&lt;0,'03_全链计算'!AJ45+1,0),IF('01_数值调参'!AK50&lt;0,'03_全链计算'!AK45+1,0),IF('01_数值调参'!AK51&lt;0,'03_全链计算'!AL45+1,0),IF('01_数值调参'!AK52&lt;0,'03_全链计算'!AM45+1,0))</x:f>
        <x:v>1</x:v>
      </x:c>
      <x:c r="AL46" s="9" t="n">
        <x:f>MAX(IF('01_数值调参'!AL18&lt;0,'03_全链计算'!E45+1,0),IF('01_数值调参'!AL19&lt;0,'03_全链计算'!F45+1,0),IF('01_数值调参'!AL20&lt;0,'03_全链计算'!G45+1,0),IF('01_数值调参'!AL21&lt;0,'03_全链计算'!H45+1,0),IF('01_数值调参'!AL22&lt;0,'03_全链计算'!I45+1,0),IF('01_数值调参'!AL23&lt;0,'03_全链计算'!J45+1,0),IF('01_数值调参'!AL24&lt;0,'03_全链计算'!K45+1,0),IF('01_数值调参'!AL25&lt;0,'03_全链计算'!L45+1,0),IF('01_数值调参'!AL26&lt;0,'03_全链计算'!M45+1,0),IF('01_数值调参'!AL27&lt;0,'03_全链计算'!N45+1,0),IF('01_数值调参'!AL28&lt;0,'03_全链计算'!O45+1,0),IF('01_数值调参'!AL29&lt;0,'03_全链计算'!P45+1,0),IF('01_数值调参'!AL30&lt;0,'03_全链计算'!Q45+1,0),IF('01_数值调参'!AL31&lt;0,'03_全链计算'!R45+1,0),IF('01_数值调参'!AL32&lt;0,'03_全链计算'!S45+1,0),IF('01_数值调参'!AL33&lt;0,'03_全链计算'!T45+1,0),IF('01_数值调参'!AL34&lt;0,'03_全链计算'!U45+1,0),IF('01_数值调参'!AL35&lt;0,'03_全链计算'!V45+1,0),IF('01_数值调参'!AL36&lt;0,'03_全链计算'!W45+1,0),IF('01_数值调参'!AL37&lt;0,'03_全链计算'!X45+1,0),IF('01_数值调参'!AL38&lt;0,'03_全链计算'!Y45+1,0),IF('01_数值调参'!AL39&lt;0,'03_全链计算'!Z45+1,0),IF('01_数值调参'!AL40&lt;0,'03_全链计算'!AA45+1,0),IF('01_数值调参'!AL41&lt;0,'03_全链计算'!AB45+1,0),IF('01_数值调参'!AL42&lt;0,'03_全链计算'!AC45+1,0),IF('01_数值调参'!AL43&lt;0,'03_全链计算'!AD45+1,0),IF('01_数值调参'!AL44&lt;0,'03_全链计算'!AE45+1,0),IF('01_数值调参'!AL45&lt;0,'03_全链计算'!AF45+1,0),IF('01_数值调参'!AL46&lt;0,'03_全链计算'!AG45+1,0),IF('01_数值调参'!AL47&lt;0,'03_全链计算'!AH45+1,0),IF('01_数值调参'!AL48&lt;0,'03_全链计算'!AI45+1,0),IF('01_数值调参'!AL49&lt;0,'03_全链计算'!AJ45+1,0),IF('01_数值调参'!AL50&lt;0,'03_全链计算'!AK45+1,0),IF('01_数值调参'!AL51&lt;0,'03_全链计算'!AL45+1,0),IF('01_数值调参'!AL52&lt;0,'03_全链计算'!AM45+1,0))</x:f>
        <x:v>1</x:v>
      </x:c>
      <x:c r="AM46" s="9" t="n">
        <x:f>MAX(IF('01_数值调参'!AM18&lt;0,'03_全链计算'!E45+1,0),IF('01_数值调参'!AM19&lt;0,'03_全链计算'!F45+1,0),IF('01_数值调参'!AM20&lt;0,'03_全链计算'!G45+1,0),IF('01_数值调参'!AM21&lt;0,'03_全链计算'!H45+1,0),IF('01_数值调参'!AM22&lt;0,'03_全链计算'!I45+1,0),IF('01_数值调参'!AM23&lt;0,'03_全链计算'!J45+1,0),IF('01_数值调参'!AM24&lt;0,'03_全链计算'!K45+1,0),IF('01_数值调参'!AM25&lt;0,'03_全链计算'!L45+1,0),IF('01_数值调参'!AM26&lt;0,'03_全链计算'!M45+1,0),IF('01_数值调参'!AM27&lt;0,'03_全链计算'!N45+1,0),IF('01_数值调参'!AM28&lt;0,'03_全链计算'!O45+1,0),IF('01_数值调参'!AM29&lt;0,'03_全链计算'!P45+1,0),IF('01_数值调参'!AM30&lt;0,'03_全链计算'!Q45+1,0),IF('01_数值调参'!AM31&lt;0,'03_全链计算'!R45+1,0),IF('01_数值调参'!AM32&lt;0,'03_全链计算'!S45+1,0),IF('01_数值调参'!AM33&lt;0,'03_全链计算'!T45+1,0),IF('01_数值调参'!AM34&lt;0,'03_全链计算'!U45+1,0),IF('01_数值调参'!AM35&lt;0,'03_全链计算'!V45+1,0),IF('01_数值调参'!AM36&lt;0,'03_全链计算'!W45+1,0),IF('01_数值调参'!AM37&lt;0,'03_全链计算'!X45+1,0),IF('01_数值调参'!AM38&lt;0,'03_全链计算'!Y45+1,0),IF('01_数值调参'!AM39&lt;0,'03_全链计算'!Z45+1,0),IF('01_数值调参'!AM40&lt;0,'03_全链计算'!AA45+1,0),IF('01_数值调参'!AM41&lt;0,'03_全链计算'!AB45+1,0),IF('01_数值调参'!AM42&lt;0,'03_全链计算'!AC45+1,0),IF('01_数值调参'!AM43&lt;0,'03_全链计算'!AD45+1,0),IF('01_数值调参'!AM44&lt;0,'03_全链计算'!AE45+1,0),IF('01_数值调参'!AM45&lt;0,'03_全链计算'!AF45+1,0),IF('01_数值调参'!AM46&lt;0,'03_全链计算'!AG45+1,0),IF('01_数值调参'!AM47&lt;0,'03_全链计算'!AH45+1,0),IF('01_数值调参'!AM48&lt;0,'03_全链计算'!AI45+1,0),IF('01_数值调参'!AM49&lt;0,'03_全链计算'!AJ45+1,0),IF('01_数值调参'!AM50&lt;0,'03_全链计算'!AK45+1,0),IF('01_数值调参'!AM51&lt;0,'03_全链计算'!AL45+1,0),IF('01_数值调参'!AM52&lt;0,'03_全链计算'!AM45+1,0))</x:f>
        <x:v>1</x:v>
      </x:c>
    </x:row>
    <x:row r="47" ht="22" customHeight="1">
      <x:c r="A47" s="9" t="n">
        <x:v>2</x:v>
      </x:c>
      <x:c r="B47" s="9"/>
      <x:c r="C47" s="9"/>
      <x:c r="D47" s="9"/>
      <x:c r="E47" s="9" t="n">
        <x:f>MAX(IF('01_数值调参'!E18&lt;0,'03_全链计算'!E46+1,0),IF('01_数值调参'!E19&lt;0,'03_全链计算'!F46+1,0),IF('01_数值调参'!E20&lt;0,'03_全链计算'!G46+1,0),IF('01_数值调参'!E21&lt;0,'03_全链计算'!H46+1,0),IF('01_数值调参'!E22&lt;0,'03_全链计算'!I46+1,0),IF('01_数值调参'!E23&lt;0,'03_全链计算'!J46+1,0),IF('01_数值调参'!E24&lt;0,'03_全链计算'!K46+1,0),IF('01_数值调参'!E25&lt;0,'03_全链计算'!L46+1,0),IF('01_数值调参'!E26&lt;0,'03_全链计算'!M46+1,0),IF('01_数值调参'!E27&lt;0,'03_全链计算'!N46+1,0),IF('01_数值调参'!E28&lt;0,'03_全链计算'!O46+1,0),IF('01_数值调参'!E29&lt;0,'03_全链计算'!P46+1,0),IF('01_数值调参'!E30&lt;0,'03_全链计算'!Q46+1,0),IF('01_数值调参'!E31&lt;0,'03_全链计算'!R46+1,0),IF('01_数值调参'!E32&lt;0,'03_全链计算'!S46+1,0),IF('01_数值调参'!E33&lt;0,'03_全链计算'!T46+1,0),IF('01_数值调参'!E34&lt;0,'03_全链计算'!U46+1,0),IF('01_数值调参'!E35&lt;0,'03_全链计算'!V46+1,0),IF('01_数值调参'!E36&lt;0,'03_全链计算'!W46+1,0),IF('01_数值调参'!E37&lt;0,'03_全链计算'!X46+1,0),IF('01_数值调参'!E38&lt;0,'03_全链计算'!Y46+1,0),IF('01_数值调参'!E39&lt;0,'03_全链计算'!Z46+1,0),IF('01_数值调参'!E40&lt;0,'03_全链计算'!AA46+1,0),IF('01_数值调参'!E41&lt;0,'03_全链计算'!AB46+1,0),IF('01_数值调参'!E42&lt;0,'03_全链计算'!AC46+1,0),IF('01_数值调参'!E43&lt;0,'03_全链计算'!AD46+1,0),IF('01_数值调参'!E44&lt;0,'03_全链计算'!AE46+1,0),IF('01_数值调参'!E45&lt;0,'03_全链计算'!AF46+1,0),IF('01_数值调参'!E46&lt;0,'03_全链计算'!AG46+1,0),IF('01_数值调参'!E47&lt;0,'03_全链计算'!AH46+1,0),IF('01_数值调参'!E48&lt;0,'03_全链计算'!AI46+1,0),IF('01_数值调参'!E49&lt;0,'03_全链计算'!AJ46+1,0),IF('01_数值调参'!E50&lt;0,'03_全链计算'!AK46+1,0),IF('01_数值调参'!E51&lt;0,'03_全链计算'!AL46+1,0),IF('01_数值调参'!E52&lt;0,'03_全链计算'!AM46+1,0))</x:f>
        <x:v>0</x:v>
      </x:c>
      <x:c r="F47" s="9" t="n">
        <x:f>MAX(IF('01_数值调参'!F18&lt;0,'03_全链计算'!E46+1,0),IF('01_数值调参'!F19&lt;0,'03_全链计算'!F46+1,0),IF('01_数值调参'!F20&lt;0,'03_全链计算'!G46+1,0),IF('01_数值调参'!F21&lt;0,'03_全链计算'!H46+1,0),IF('01_数值调参'!F22&lt;0,'03_全链计算'!I46+1,0),IF('01_数值调参'!F23&lt;0,'03_全链计算'!J46+1,0),IF('01_数值调参'!F24&lt;0,'03_全链计算'!K46+1,0),IF('01_数值调参'!F25&lt;0,'03_全链计算'!L46+1,0),IF('01_数值调参'!F26&lt;0,'03_全链计算'!M46+1,0),IF('01_数值调参'!F27&lt;0,'03_全链计算'!N46+1,0),IF('01_数值调参'!F28&lt;0,'03_全链计算'!O46+1,0),IF('01_数值调参'!F29&lt;0,'03_全链计算'!P46+1,0),IF('01_数值调参'!F30&lt;0,'03_全链计算'!Q46+1,0),IF('01_数值调参'!F31&lt;0,'03_全链计算'!R46+1,0),IF('01_数值调参'!F32&lt;0,'03_全链计算'!S46+1,0),IF('01_数值调参'!F33&lt;0,'03_全链计算'!T46+1,0),IF('01_数值调参'!F34&lt;0,'03_全链计算'!U46+1,0),IF('01_数值调参'!F35&lt;0,'03_全链计算'!V46+1,0),IF('01_数值调参'!F36&lt;0,'03_全链计算'!W46+1,0),IF('01_数值调参'!F37&lt;0,'03_全链计算'!X46+1,0),IF('01_数值调参'!F38&lt;0,'03_全链计算'!Y46+1,0),IF('01_数值调参'!F39&lt;0,'03_全链计算'!Z46+1,0),IF('01_数值调参'!F40&lt;0,'03_全链计算'!AA46+1,0),IF('01_数值调参'!F41&lt;0,'03_全链计算'!AB46+1,0),IF('01_数值调参'!F42&lt;0,'03_全链计算'!AC46+1,0),IF('01_数值调参'!F43&lt;0,'03_全链计算'!AD46+1,0),IF('01_数值调参'!F44&lt;0,'03_全链计算'!AE46+1,0),IF('01_数值调参'!F45&lt;0,'03_全链计算'!AF46+1,0),IF('01_数值调参'!F46&lt;0,'03_全链计算'!AG46+1,0),IF('01_数值调参'!F47&lt;0,'03_全链计算'!AH46+1,0),IF('01_数值调参'!F48&lt;0,'03_全链计算'!AI46+1,0),IF('01_数值调参'!F49&lt;0,'03_全链计算'!AJ46+1,0),IF('01_数值调参'!F50&lt;0,'03_全链计算'!AK46+1,0),IF('01_数值调参'!F51&lt;0,'03_全链计算'!AL46+1,0),IF('01_数值调参'!F52&lt;0,'03_全链计算'!AM46+1,0))</x:f>
        <x:v>0</x:v>
      </x:c>
      <x:c r="G47" s="9" t="n">
        <x:f>MAX(IF('01_数值调参'!G18&lt;0,'03_全链计算'!E46+1,0),IF('01_数值调参'!G19&lt;0,'03_全链计算'!F46+1,0),IF('01_数值调参'!G20&lt;0,'03_全链计算'!G46+1,0),IF('01_数值调参'!G21&lt;0,'03_全链计算'!H46+1,0),IF('01_数值调参'!G22&lt;0,'03_全链计算'!I46+1,0),IF('01_数值调参'!G23&lt;0,'03_全链计算'!J46+1,0),IF('01_数值调参'!G24&lt;0,'03_全链计算'!K46+1,0),IF('01_数值调参'!G25&lt;0,'03_全链计算'!L46+1,0),IF('01_数值调参'!G26&lt;0,'03_全链计算'!M46+1,0),IF('01_数值调参'!G27&lt;0,'03_全链计算'!N46+1,0),IF('01_数值调参'!G28&lt;0,'03_全链计算'!O46+1,0),IF('01_数值调参'!G29&lt;0,'03_全链计算'!P46+1,0),IF('01_数值调参'!G30&lt;0,'03_全链计算'!Q46+1,0),IF('01_数值调参'!G31&lt;0,'03_全链计算'!R46+1,0),IF('01_数值调参'!G32&lt;0,'03_全链计算'!S46+1,0),IF('01_数值调参'!G33&lt;0,'03_全链计算'!T46+1,0),IF('01_数值调参'!G34&lt;0,'03_全链计算'!U46+1,0),IF('01_数值调参'!G35&lt;0,'03_全链计算'!V46+1,0),IF('01_数值调参'!G36&lt;0,'03_全链计算'!W46+1,0),IF('01_数值调参'!G37&lt;0,'03_全链计算'!X46+1,0),IF('01_数值调参'!G38&lt;0,'03_全链计算'!Y46+1,0),IF('01_数值调参'!G39&lt;0,'03_全链计算'!Z46+1,0),IF('01_数值调参'!G40&lt;0,'03_全链计算'!AA46+1,0),IF('01_数值调参'!G41&lt;0,'03_全链计算'!AB46+1,0),IF('01_数值调参'!G42&lt;0,'03_全链计算'!AC46+1,0),IF('01_数值调参'!G43&lt;0,'03_全链计算'!AD46+1,0),IF('01_数值调参'!G44&lt;0,'03_全链计算'!AE46+1,0),IF('01_数值调参'!G45&lt;0,'03_全链计算'!AF46+1,0),IF('01_数值调参'!G46&lt;0,'03_全链计算'!AG46+1,0),IF('01_数值调参'!G47&lt;0,'03_全链计算'!AH46+1,0),IF('01_数值调参'!G48&lt;0,'03_全链计算'!AI46+1,0),IF('01_数值调参'!G49&lt;0,'03_全链计算'!AJ46+1,0),IF('01_数值调参'!G50&lt;0,'03_全链计算'!AK46+1,0),IF('01_数值调参'!G51&lt;0,'03_全链计算'!AL46+1,0),IF('01_数值调参'!G52&lt;0,'03_全链计算'!AM46+1,0))</x:f>
        <x:v>0</x:v>
      </x:c>
      <x:c r="H47" s="9" t="n">
        <x:f>MAX(IF('01_数值调参'!H18&lt;0,'03_全链计算'!E46+1,0),IF('01_数值调参'!H19&lt;0,'03_全链计算'!F46+1,0),IF('01_数值调参'!H20&lt;0,'03_全链计算'!G46+1,0),IF('01_数值调参'!H21&lt;0,'03_全链计算'!H46+1,0),IF('01_数值调参'!H22&lt;0,'03_全链计算'!I46+1,0),IF('01_数值调参'!H23&lt;0,'03_全链计算'!J46+1,0),IF('01_数值调参'!H24&lt;0,'03_全链计算'!K46+1,0),IF('01_数值调参'!H25&lt;0,'03_全链计算'!L46+1,0),IF('01_数值调参'!H26&lt;0,'03_全链计算'!M46+1,0),IF('01_数值调参'!H27&lt;0,'03_全链计算'!N46+1,0),IF('01_数值调参'!H28&lt;0,'03_全链计算'!O46+1,0),IF('01_数值调参'!H29&lt;0,'03_全链计算'!P46+1,0),IF('01_数值调参'!H30&lt;0,'03_全链计算'!Q46+1,0),IF('01_数值调参'!H31&lt;0,'03_全链计算'!R46+1,0),IF('01_数值调参'!H32&lt;0,'03_全链计算'!S46+1,0),IF('01_数值调参'!H33&lt;0,'03_全链计算'!T46+1,0),IF('01_数值调参'!H34&lt;0,'03_全链计算'!U46+1,0),IF('01_数值调参'!H35&lt;0,'03_全链计算'!V46+1,0),IF('01_数值调参'!H36&lt;0,'03_全链计算'!W46+1,0),IF('01_数值调参'!H37&lt;0,'03_全链计算'!X46+1,0),IF('01_数值调参'!H38&lt;0,'03_全链计算'!Y46+1,0),IF('01_数值调参'!H39&lt;0,'03_全链计算'!Z46+1,0),IF('01_数值调参'!H40&lt;0,'03_全链计算'!AA46+1,0),IF('01_数值调参'!H41&lt;0,'03_全链计算'!AB46+1,0),IF('01_数值调参'!H42&lt;0,'03_全链计算'!AC46+1,0),IF('01_数值调参'!H43&lt;0,'03_全链计算'!AD46+1,0),IF('01_数值调参'!H44&lt;0,'03_全链计算'!AE46+1,0),IF('01_数值调参'!H45&lt;0,'03_全链计算'!AF46+1,0),IF('01_数值调参'!H46&lt;0,'03_全链计算'!AG46+1,0),IF('01_数值调参'!H47&lt;0,'03_全链计算'!AH46+1,0),IF('01_数值调参'!H48&lt;0,'03_全链计算'!AI46+1,0),IF('01_数值调参'!H49&lt;0,'03_全链计算'!AJ46+1,0),IF('01_数值调参'!H50&lt;0,'03_全链计算'!AK46+1,0),IF('01_数值调参'!H51&lt;0,'03_全链计算'!AL46+1,0),IF('01_数值调参'!H52&lt;0,'03_全链计算'!AM46+1,0))</x:f>
        <x:v>0</x:v>
      </x:c>
      <x:c r="I47" s="9" t="n">
        <x:f>MAX(IF('01_数值调参'!I18&lt;0,'03_全链计算'!E46+1,0),IF('01_数值调参'!I19&lt;0,'03_全链计算'!F46+1,0),IF('01_数值调参'!I20&lt;0,'03_全链计算'!G46+1,0),IF('01_数值调参'!I21&lt;0,'03_全链计算'!H46+1,0),IF('01_数值调参'!I22&lt;0,'03_全链计算'!I46+1,0),IF('01_数值调参'!I23&lt;0,'03_全链计算'!J46+1,0),IF('01_数值调参'!I24&lt;0,'03_全链计算'!K46+1,0),IF('01_数值调参'!I25&lt;0,'03_全链计算'!L46+1,0),IF('01_数值调参'!I26&lt;0,'03_全链计算'!M46+1,0),IF('01_数值调参'!I27&lt;0,'03_全链计算'!N46+1,0),IF('01_数值调参'!I28&lt;0,'03_全链计算'!O46+1,0),IF('01_数值调参'!I29&lt;0,'03_全链计算'!P46+1,0),IF('01_数值调参'!I30&lt;0,'03_全链计算'!Q46+1,0),IF('01_数值调参'!I31&lt;0,'03_全链计算'!R46+1,0),IF('01_数值调参'!I32&lt;0,'03_全链计算'!S46+1,0),IF('01_数值调参'!I33&lt;0,'03_全链计算'!T46+1,0),IF('01_数值调参'!I34&lt;0,'03_全链计算'!U46+1,0),IF('01_数值调参'!I35&lt;0,'03_全链计算'!V46+1,0),IF('01_数值调参'!I36&lt;0,'03_全链计算'!W46+1,0),IF('01_数值调参'!I37&lt;0,'03_全链计算'!X46+1,0),IF('01_数值调参'!I38&lt;0,'03_全链计算'!Y46+1,0),IF('01_数值调参'!I39&lt;0,'03_全链计算'!Z46+1,0),IF('01_数值调参'!I40&lt;0,'03_全链计算'!AA46+1,0),IF('01_数值调参'!I41&lt;0,'03_全链计算'!AB46+1,0),IF('01_数值调参'!I42&lt;0,'03_全链计算'!AC46+1,0),IF('01_数值调参'!I43&lt;0,'03_全链计算'!AD46+1,0),IF('01_数值调参'!I44&lt;0,'03_全链计算'!AE46+1,0),IF('01_数值调参'!I45&lt;0,'03_全链计算'!AF46+1,0),IF('01_数值调参'!I46&lt;0,'03_全链计算'!AG46+1,0),IF('01_数值调参'!I47&lt;0,'03_全链计算'!AH46+1,0),IF('01_数值调参'!I48&lt;0,'03_全链计算'!AI46+1,0),IF('01_数值调参'!I49&lt;0,'03_全链计算'!AJ46+1,0),IF('01_数值调参'!I50&lt;0,'03_全链计算'!AK46+1,0),IF('01_数值调参'!I51&lt;0,'03_全链计算'!AL46+1,0),IF('01_数值调参'!I52&lt;0,'03_全链计算'!AM46+1,0))</x:f>
        <x:v>0</x:v>
      </x:c>
      <x:c r="J47" s="9" t="n">
        <x:f>MAX(IF('01_数值调参'!J18&lt;0,'03_全链计算'!E46+1,0),IF('01_数值调参'!J19&lt;0,'03_全链计算'!F46+1,0),IF('01_数值调参'!J20&lt;0,'03_全链计算'!G46+1,0),IF('01_数值调参'!J21&lt;0,'03_全链计算'!H46+1,0),IF('01_数值调参'!J22&lt;0,'03_全链计算'!I46+1,0),IF('01_数值调参'!J23&lt;0,'03_全链计算'!J46+1,0),IF('01_数值调参'!J24&lt;0,'03_全链计算'!K46+1,0),IF('01_数值调参'!J25&lt;0,'03_全链计算'!L46+1,0),IF('01_数值调参'!J26&lt;0,'03_全链计算'!M46+1,0),IF('01_数值调参'!J27&lt;0,'03_全链计算'!N46+1,0),IF('01_数值调参'!J28&lt;0,'03_全链计算'!O46+1,0),IF('01_数值调参'!J29&lt;0,'03_全链计算'!P46+1,0),IF('01_数值调参'!J30&lt;0,'03_全链计算'!Q46+1,0),IF('01_数值调参'!J31&lt;0,'03_全链计算'!R46+1,0),IF('01_数值调参'!J32&lt;0,'03_全链计算'!S46+1,0),IF('01_数值调参'!J33&lt;0,'03_全链计算'!T46+1,0),IF('01_数值调参'!J34&lt;0,'03_全链计算'!U46+1,0),IF('01_数值调参'!J35&lt;0,'03_全链计算'!V46+1,0),IF('01_数值调参'!J36&lt;0,'03_全链计算'!W46+1,0),IF('01_数值调参'!J37&lt;0,'03_全链计算'!X46+1,0),IF('01_数值调参'!J38&lt;0,'03_全链计算'!Y46+1,0),IF('01_数值调参'!J39&lt;0,'03_全链计算'!Z46+1,0),IF('01_数值调参'!J40&lt;0,'03_全链计算'!AA46+1,0),IF('01_数值调参'!J41&lt;0,'03_全链计算'!AB46+1,0),IF('01_数值调参'!J42&lt;0,'03_全链计算'!AC46+1,0),IF('01_数值调参'!J43&lt;0,'03_全链计算'!AD46+1,0),IF('01_数值调参'!J44&lt;0,'03_全链计算'!AE46+1,0),IF('01_数值调参'!J45&lt;0,'03_全链计算'!AF46+1,0),IF('01_数值调参'!J46&lt;0,'03_全链计算'!AG46+1,0),IF('01_数值调参'!J47&lt;0,'03_全链计算'!AH46+1,0),IF('01_数值调参'!J48&lt;0,'03_全链计算'!AI46+1,0),IF('01_数值调参'!J49&lt;0,'03_全链计算'!AJ46+1,0),IF('01_数值调参'!J50&lt;0,'03_全链计算'!AK46+1,0),IF('01_数值调参'!J51&lt;0,'03_全链计算'!AL46+1,0),IF('01_数值调参'!J52&lt;0,'03_全链计算'!AM46+1,0))</x:f>
        <x:v>0</x:v>
      </x:c>
      <x:c r="K47" s="9" t="n">
        <x:f>MAX(IF('01_数值调参'!K18&lt;0,'03_全链计算'!E46+1,0),IF('01_数值调参'!K19&lt;0,'03_全链计算'!F46+1,0),IF('01_数值调参'!K20&lt;0,'03_全链计算'!G46+1,0),IF('01_数值调参'!K21&lt;0,'03_全链计算'!H46+1,0),IF('01_数值调参'!K22&lt;0,'03_全链计算'!I46+1,0),IF('01_数值调参'!K23&lt;0,'03_全链计算'!J46+1,0),IF('01_数值调参'!K24&lt;0,'03_全链计算'!K46+1,0),IF('01_数值调参'!K25&lt;0,'03_全链计算'!L46+1,0),IF('01_数值调参'!K26&lt;0,'03_全链计算'!M46+1,0),IF('01_数值调参'!K27&lt;0,'03_全链计算'!N46+1,0),IF('01_数值调参'!K28&lt;0,'03_全链计算'!O46+1,0),IF('01_数值调参'!K29&lt;0,'03_全链计算'!P46+1,0),IF('01_数值调参'!K30&lt;0,'03_全链计算'!Q46+1,0),IF('01_数值调参'!K31&lt;0,'03_全链计算'!R46+1,0),IF('01_数值调参'!K32&lt;0,'03_全链计算'!S46+1,0),IF('01_数值调参'!K33&lt;0,'03_全链计算'!T46+1,0),IF('01_数值调参'!K34&lt;0,'03_全链计算'!U46+1,0),IF('01_数值调参'!K35&lt;0,'03_全链计算'!V46+1,0),IF('01_数值调参'!K36&lt;0,'03_全链计算'!W46+1,0),IF('01_数值调参'!K37&lt;0,'03_全链计算'!X46+1,0),IF('01_数值调参'!K38&lt;0,'03_全链计算'!Y46+1,0),IF('01_数值调参'!K39&lt;0,'03_全链计算'!Z46+1,0),IF('01_数值调参'!K40&lt;0,'03_全链计算'!AA46+1,0),IF('01_数值调参'!K41&lt;0,'03_全链计算'!AB46+1,0),IF('01_数值调参'!K42&lt;0,'03_全链计算'!AC46+1,0),IF('01_数值调参'!K43&lt;0,'03_全链计算'!AD46+1,0),IF('01_数值调参'!K44&lt;0,'03_全链计算'!AE46+1,0),IF('01_数值调参'!K45&lt;0,'03_全链计算'!AF46+1,0),IF('01_数值调参'!K46&lt;0,'03_全链计算'!AG46+1,0),IF('01_数值调参'!K47&lt;0,'03_全链计算'!AH46+1,0),IF('01_数值调参'!K48&lt;0,'03_全链计算'!AI46+1,0),IF('01_数值调参'!K49&lt;0,'03_全链计算'!AJ46+1,0),IF('01_数值调参'!K50&lt;0,'03_全链计算'!AK46+1,0),IF('01_数值调参'!K51&lt;0,'03_全链计算'!AL46+1,0),IF('01_数值调参'!K52&lt;0,'03_全链计算'!AM46+1,0))</x:f>
        <x:v>0</x:v>
      </x:c>
      <x:c r="L47" s="9" t="n">
        <x:f>MAX(IF('01_数值调参'!L18&lt;0,'03_全链计算'!E46+1,0),IF('01_数值调参'!L19&lt;0,'03_全链计算'!F46+1,0),IF('01_数值调参'!L20&lt;0,'03_全链计算'!G46+1,0),IF('01_数值调参'!L21&lt;0,'03_全链计算'!H46+1,0),IF('01_数值调参'!L22&lt;0,'03_全链计算'!I46+1,0),IF('01_数值调参'!L23&lt;0,'03_全链计算'!J46+1,0),IF('01_数值调参'!L24&lt;0,'03_全链计算'!K46+1,0),IF('01_数值调参'!L25&lt;0,'03_全链计算'!L46+1,0),IF('01_数值调参'!L26&lt;0,'03_全链计算'!M46+1,0),IF('01_数值调参'!L27&lt;0,'03_全链计算'!N46+1,0),IF('01_数值调参'!L28&lt;0,'03_全链计算'!O46+1,0),IF('01_数值调参'!L29&lt;0,'03_全链计算'!P46+1,0),IF('01_数值调参'!L30&lt;0,'03_全链计算'!Q46+1,0),IF('01_数值调参'!L31&lt;0,'03_全链计算'!R46+1,0),IF('01_数值调参'!L32&lt;0,'03_全链计算'!S46+1,0),IF('01_数值调参'!L33&lt;0,'03_全链计算'!T46+1,0),IF('01_数值调参'!L34&lt;0,'03_全链计算'!U46+1,0),IF('01_数值调参'!L35&lt;0,'03_全链计算'!V46+1,0),IF('01_数值调参'!L36&lt;0,'03_全链计算'!W46+1,0),IF('01_数值调参'!L37&lt;0,'03_全链计算'!X46+1,0),IF('01_数值调参'!L38&lt;0,'03_全链计算'!Y46+1,0),IF('01_数值调参'!L39&lt;0,'03_全链计算'!Z46+1,0),IF('01_数值调参'!L40&lt;0,'03_全链计算'!AA46+1,0),IF('01_数值调参'!L41&lt;0,'03_全链计算'!AB46+1,0),IF('01_数值调参'!L42&lt;0,'03_全链计算'!AC46+1,0),IF('01_数值调参'!L43&lt;0,'03_全链计算'!AD46+1,0),IF('01_数值调参'!L44&lt;0,'03_全链计算'!AE46+1,0),IF('01_数值调参'!L45&lt;0,'03_全链计算'!AF46+1,0),IF('01_数值调参'!L46&lt;0,'03_全链计算'!AG46+1,0),IF('01_数值调参'!L47&lt;0,'03_全链计算'!AH46+1,0),IF('01_数值调参'!L48&lt;0,'03_全链计算'!AI46+1,0),IF('01_数值调参'!L49&lt;0,'03_全链计算'!AJ46+1,0),IF('01_数值调参'!L50&lt;0,'03_全链计算'!AK46+1,0),IF('01_数值调参'!L51&lt;0,'03_全链计算'!AL46+1,0),IF('01_数值调参'!L52&lt;0,'03_全链计算'!AM46+1,0))</x:f>
        <x:v>0</x:v>
      </x:c>
      <x:c r="M47" s="9" t="n">
        <x:f>MAX(IF('01_数值调参'!M18&lt;0,'03_全链计算'!E46+1,0),IF('01_数值调参'!M19&lt;0,'03_全链计算'!F46+1,0),IF('01_数值调参'!M20&lt;0,'03_全链计算'!G46+1,0),IF('01_数值调参'!M21&lt;0,'03_全链计算'!H46+1,0),IF('01_数值调参'!M22&lt;0,'03_全链计算'!I46+1,0),IF('01_数值调参'!M23&lt;0,'03_全链计算'!J46+1,0),IF('01_数值调参'!M24&lt;0,'03_全链计算'!K46+1,0),IF('01_数值调参'!M25&lt;0,'03_全链计算'!L46+1,0),IF('01_数值调参'!M26&lt;0,'03_全链计算'!M46+1,0),IF('01_数值调参'!M27&lt;0,'03_全链计算'!N46+1,0),IF('01_数值调参'!M28&lt;0,'03_全链计算'!O46+1,0),IF('01_数值调参'!M29&lt;0,'03_全链计算'!P46+1,0),IF('01_数值调参'!M30&lt;0,'03_全链计算'!Q46+1,0),IF('01_数值调参'!M31&lt;0,'03_全链计算'!R46+1,0),IF('01_数值调参'!M32&lt;0,'03_全链计算'!S46+1,0),IF('01_数值调参'!M33&lt;0,'03_全链计算'!T46+1,0),IF('01_数值调参'!M34&lt;0,'03_全链计算'!U46+1,0),IF('01_数值调参'!M35&lt;0,'03_全链计算'!V46+1,0),IF('01_数值调参'!M36&lt;0,'03_全链计算'!W46+1,0),IF('01_数值调参'!M37&lt;0,'03_全链计算'!X46+1,0),IF('01_数值调参'!M38&lt;0,'03_全链计算'!Y46+1,0),IF('01_数值调参'!M39&lt;0,'03_全链计算'!Z46+1,0),IF('01_数值调参'!M40&lt;0,'03_全链计算'!AA46+1,0),IF('01_数值调参'!M41&lt;0,'03_全链计算'!AB46+1,0),IF('01_数值调参'!M42&lt;0,'03_全链计算'!AC46+1,0),IF('01_数值调参'!M43&lt;0,'03_全链计算'!AD46+1,0),IF('01_数值调参'!M44&lt;0,'03_全链计算'!AE46+1,0),IF('01_数值调参'!M45&lt;0,'03_全链计算'!AF46+1,0),IF('01_数值调参'!M46&lt;0,'03_全链计算'!AG46+1,0),IF('01_数值调参'!M47&lt;0,'03_全链计算'!AH46+1,0),IF('01_数值调参'!M48&lt;0,'03_全链计算'!AI46+1,0),IF('01_数值调参'!M49&lt;0,'03_全链计算'!AJ46+1,0),IF('01_数值调参'!M50&lt;0,'03_全链计算'!AK46+1,0),IF('01_数值调参'!M51&lt;0,'03_全链计算'!AL46+1,0),IF('01_数值调参'!M52&lt;0,'03_全链计算'!AM46+1,0))</x:f>
        <x:v>0</x:v>
      </x:c>
      <x:c r="N47" s="9" t="n">
        <x:f>MAX(IF('01_数值调参'!N18&lt;0,'03_全链计算'!E46+1,0),IF('01_数值调参'!N19&lt;0,'03_全链计算'!F46+1,0),IF('01_数值调参'!N20&lt;0,'03_全链计算'!G46+1,0),IF('01_数值调参'!N21&lt;0,'03_全链计算'!H46+1,0),IF('01_数值调参'!N22&lt;0,'03_全链计算'!I46+1,0),IF('01_数值调参'!N23&lt;0,'03_全链计算'!J46+1,0),IF('01_数值调参'!N24&lt;0,'03_全链计算'!K46+1,0),IF('01_数值调参'!N25&lt;0,'03_全链计算'!L46+1,0),IF('01_数值调参'!N26&lt;0,'03_全链计算'!M46+1,0),IF('01_数值调参'!N27&lt;0,'03_全链计算'!N46+1,0),IF('01_数值调参'!N28&lt;0,'03_全链计算'!O46+1,0),IF('01_数值调参'!N29&lt;0,'03_全链计算'!P46+1,0),IF('01_数值调参'!N30&lt;0,'03_全链计算'!Q46+1,0),IF('01_数值调参'!N31&lt;0,'03_全链计算'!R46+1,0),IF('01_数值调参'!N32&lt;0,'03_全链计算'!S46+1,0),IF('01_数值调参'!N33&lt;0,'03_全链计算'!T46+1,0),IF('01_数值调参'!N34&lt;0,'03_全链计算'!U46+1,0),IF('01_数值调参'!N35&lt;0,'03_全链计算'!V46+1,0),IF('01_数值调参'!N36&lt;0,'03_全链计算'!W46+1,0),IF('01_数值调参'!N37&lt;0,'03_全链计算'!X46+1,0),IF('01_数值调参'!N38&lt;0,'03_全链计算'!Y46+1,0),IF('01_数值调参'!N39&lt;0,'03_全链计算'!Z46+1,0),IF('01_数值调参'!N40&lt;0,'03_全链计算'!AA46+1,0),IF('01_数值调参'!N41&lt;0,'03_全链计算'!AB46+1,0),IF('01_数值调参'!N42&lt;0,'03_全链计算'!AC46+1,0),IF('01_数值调参'!N43&lt;0,'03_全链计算'!AD46+1,0),IF('01_数值调参'!N44&lt;0,'03_全链计算'!AE46+1,0),IF('01_数值调参'!N45&lt;0,'03_全链计算'!AF46+1,0),IF('01_数值调参'!N46&lt;0,'03_全链计算'!AG46+1,0),IF('01_数值调参'!N47&lt;0,'03_全链计算'!AH46+1,0),IF('01_数值调参'!N48&lt;0,'03_全链计算'!AI46+1,0),IF('01_数值调参'!N49&lt;0,'03_全链计算'!AJ46+1,0),IF('01_数值调参'!N50&lt;0,'03_全链计算'!AK46+1,0),IF('01_数值调参'!N51&lt;0,'03_全链计算'!AL46+1,0),IF('01_数值调参'!N52&lt;0,'03_全链计算'!AM46+1,0))</x:f>
        <x:v>1</x:v>
      </x:c>
      <x:c r="O47" s="9" t="n">
        <x:f>MAX(IF('01_数值调参'!O18&lt;0,'03_全链计算'!E46+1,0),IF('01_数值调参'!O19&lt;0,'03_全链计算'!F46+1,0),IF('01_数值调参'!O20&lt;0,'03_全链计算'!G46+1,0),IF('01_数值调参'!O21&lt;0,'03_全链计算'!H46+1,0),IF('01_数值调参'!O22&lt;0,'03_全链计算'!I46+1,0),IF('01_数值调参'!O23&lt;0,'03_全链计算'!J46+1,0),IF('01_数值调参'!O24&lt;0,'03_全链计算'!K46+1,0),IF('01_数值调参'!O25&lt;0,'03_全链计算'!L46+1,0),IF('01_数值调参'!O26&lt;0,'03_全链计算'!M46+1,0),IF('01_数值调参'!O27&lt;0,'03_全链计算'!N46+1,0),IF('01_数值调参'!O28&lt;0,'03_全链计算'!O46+1,0),IF('01_数值调参'!O29&lt;0,'03_全链计算'!P46+1,0),IF('01_数值调参'!O30&lt;0,'03_全链计算'!Q46+1,0),IF('01_数值调参'!O31&lt;0,'03_全链计算'!R46+1,0),IF('01_数值调参'!O32&lt;0,'03_全链计算'!S46+1,0),IF('01_数值调参'!O33&lt;0,'03_全链计算'!T46+1,0),IF('01_数值调参'!O34&lt;0,'03_全链计算'!U46+1,0),IF('01_数值调参'!O35&lt;0,'03_全链计算'!V46+1,0),IF('01_数值调参'!O36&lt;0,'03_全链计算'!W46+1,0),IF('01_数值调参'!O37&lt;0,'03_全链计算'!X46+1,0),IF('01_数值调参'!O38&lt;0,'03_全链计算'!Y46+1,0),IF('01_数值调参'!O39&lt;0,'03_全链计算'!Z46+1,0),IF('01_数值调参'!O40&lt;0,'03_全链计算'!AA46+1,0),IF('01_数值调参'!O41&lt;0,'03_全链计算'!AB46+1,0),IF('01_数值调参'!O42&lt;0,'03_全链计算'!AC46+1,0),IF('01_数值调参'!O43&lt;0,'03_全链计算'!AD46+1,0),IF('01_数值调参'!O44&lt;0,'03_全链计算'!AE46+1,0),IF('01_数值调参'!O45&lt;0,'03_全链计算'!AF46+1,0),IF('01_数值调参'!O46&lt;0,'03_全链计算'!AG46+1,0),IF('01_数值调参'!O47&lt;0,'03_全链计算'!AH46+1,0),IF('01_数值调参'!O48&lt;0,'03_全链计算'!AI46+1,0),IF('01_数值调参'!O49&lt;0,'03_全链计算'!AJ46+1,0),IF('01_数值调参'!O50&lt;0,'03_全链计算'!AK46+1,0),IF('01_数值调参'!O51&lt;0,'03_全链计算'!AL46+1,0),IF('01_数值调参'!O52&lt;0,'03_全链计算'!AM46+1,0))</x:f>
        <x:v>1</x:v>
      </x:c>
      <x:c r="P47" s="9" t="n">
        <x:f>MAX(IF('01_数值调参'!P18&lt;0,'03_全链计算'!E46+1,0),IF('01_数值调参'!P19&lt;0,'03_全链计算'!F46+1,0),IF('01_数值调参'!P20&lt;0,'03_全链计算'!G46+1,0),IF('01_数值调参'!P21&lt;0,'03_全链计算'!H46+1,0),IF('01_数值调参'!P22&lt;0,'03_全链计算'!I46+1,0),IF('01_数值调参'!P23&lt;0,'03_全链计算'!J46+1,0),IF('01_数值调参'!P24&lt;0,'03_全链计算'!K46+1,0),IF('01_数值调参'!P25&lt;0,'03_全链计算'!L46+1,0),IF('01_数值调参'!P26&lt;0,'03_全链计算'!M46+1,0),IF('01_数值调参'!P27&lt;0,'03_全链计算'!N46+1,0),IF('01_数值调参'!P28&lt;0,'03_全链计算'!O46+1,0),IF('01_数值调参'!P29&lt;0,'03_全链计算'!P46+1,0),IF('01_数值调参'!P30&lt;0,'03_全链计算'!Q46+1,0),IF('01_数值调参'!P31&lt;0,'03_全链计算'!R46+1,0),IF('01_数值调参'!P32&lt;0,'03_全链计算'!S46+1,0),IF('01_数值调参'!P33&lt;0,'03_全链计算'!T46+1,0),IF('01_数值调参'!P34&lt;0,'03_全链计算'!U46+1,0),IF('01_数值调参'!P35&lt;0,'03_全链计算'!V46+1,0),IF('01_数值调参'!P36&lt;0,'03_全链计算'!W46+1,0),IF('01_数值调参'!P37&lt;0,'03_全链计算'!X46+1,0),IF('01_数值调参'!P38&lt;0,'03_全链计算'!Y46+1,0),IF('01_数值调参'!P39&lt;0,'03_全链计算'!Z46+1,0),IF('01_数值调参'!P40&lt;0,'03_全链计算'!AA46+1,0),IF('01_数值调参'!P41&lt;0,'03_全链计算'!AB46+1,0),IF('01_数值调参'!P42&lt;0,'03_全链计算'!AC46+1,0),IF('01_数值调参'!P43&lt;0,'03_全链计算'!AD46+1,0),IF('01_数值调参'!P44&lt;0,'03_全链计算'!AE46+1,0),IF('01_数值调参'!P45&lt;0,'03_全链计算'!AF46+1,0),IF('01_数值调参'!P46&lt;0,'03_全链计算'!AG46+1,0),IF('01_数值调参'!P47&lt;0,'03_全链计算'!AH46+1,0),IF('01_数值调参'!P48&lt;0,'03_全链计算'!AI46+1,0),IF('01_数值调参'!P49&lt;0,'03_全链计算'!AJ46+1,0),IF('01_数值调参'!P50&lt;0,'03_全链计算'!AK46+1,0),IF('01_数值调参'!P51&lt;0,'03_全链计算'!AL46+1,0),IF('01_数值调参'!P52&lt;0,'03_全链计算'!AM46+1,0))</x:f>
        <x:v>1</x:v>
      </x:c>
      <x:c r="Q47" s="9" t="n">
        <x:f>MAX(IF('01_数值调参'!Q18&lt;0,'03_全链计算'!E46+1,0),IF('01_数值调参'!Q19&lt;0,'03_全链计算'!F46+1,0),IF('01_数值调参'!Q20&lt;0,'03_全链计算'!G46+1,0),IF('01_数值调参'!Q21&lt;0,'03_全链计算'!H46+1,0),IF('01_数值调参'!Q22&lt;0,'03_全链计算'!I46+1,0),IF('01_数值调参'!Q23&lt;0,'03_全链计算'!J46+1,0),IF('01_数值调参'!Q24&lt;0,'03_全链计算'!K46+1,0),IF('01_数值调参'!Q25&lt;0,'03_全链计算'!L46+1,0),IF('01_数值调参'!Q26&lt;0,'03_全链计算'!M46+1,0),IF('01_数值调参'!Q27&lt;0,'03_全链计算'!N46+1,0),IF('01_数值调参'!Q28&lt;0,'03_全链计算'!O46+1,0),IF('01_数值调参'!Q29&lt;0,'03_全链计算'!P46+1,0),IF('01_数值调参'!Q30&lt;0,'03_全链计算'!Q46+1,0),IF('01_数值调参'!Q31&lt;0,'03_全链计算'!R46+1,0),IF('01_数值调参'!Q32&lt;0,'03_全链计算'!S46+1,0),IF('01_数值调参'!Q33&lt;0,'03_全链计算'!T46+1,0),IF('01_数值调参'!Q34&lt;0,'03_全链计算'!U46+1,0),IF('01_数值调参'!Q35&lt;0,'03_全链计算'!V46+1,0),IF('01_数值调参'!Q36&lt;0,'03_全链计算'!W46+1,0),IF('01_数值调参'!Q37&lt;0,'03_全链计算'!X46+1,0),IF('01_数值调参'!Q38&lt;0,'03_全链计算'!Y46+1,0),IF('01_数值调参'!Q39&lt;0,'03_全链计算'!Z46+1,0),IF('01_数值调参'!Q40&lt;0,'03_全链计算'!AA46+1,0),IF('01_数值调参'!Q41&lt;0,'03_全链计算'!AB46+1,0),IF('01_数值调参'!Q42&lt;0,'03_全链计算'!AC46+1,0),IF('01_数值调参'!Q43&lt;0,'03_全链计算'!AD46+1,0),IF('01_数值调参'!Q44&lt;0,'03_全链计算'!AE46+1,0),IF('01_数值调参'!Q45&lt;0,'03_全链计算'!AF46+1,0),IF('01_数值调参'!Q46&lt;0,'03_全链计算'!AG46+1,0),IF('01_数值调参'!Q47&lt;0,'03_全链计算'!AH46+1,0),IF('01_数值调参'!Q48&lt;0,'03_全链计算'!AI46+1,0),IF('01_数值调参'!Q49&lt;0,'03_全链计算'!AJ46+1,0),IF('01_数值调参'!Q50&lt;0,'03_全链计算'!AK46+1,0),IF('01_数值调参'!Q51&lt;0,'03_全链计算'!AL46+1,0),IF('01_数值调参'!Q52&lt;0,'03_全链计算'!AM46+1,0))</x:f>
        <x:v>1</x:v>
      </x:c>
      <x:c r="R47" s="9" t="n">
        <x:f>MAX(IF('01_数值调参'!R18&lt;0,'03_全链计算'!E46+1,0),IF('01_数值调参'!R19&lt;0,'03_全链计算'!F46+1,0),IF('01_数值调参'!R20&lt;0,'03_全链计算'!G46+1,0),IF('01_数值调参'!R21&lt;0,'03_全链计算'!H46+1,0),IF('01_数值调参'!R22&lt;0,'03_全链计算'!I46+1,0),IF('01_数值调参'!R23&lt;0,'03_全链计算'!J46+1,0),IF('01_数值调参'!R24&lt;0,'03_全链计算'!K46+1,0),IF('01_数值调参'!R25&lt;0,'03_全链计算'!L46+1,0),IF('01_数值调参'!R26&lt;0,'03_全链计算'!M46+1,0),IF('01_数值调参'!R27&lt;0,'03_全链计算'!N46+1,0),IF('01_数值调参'!R28&lt;0,'03_全链计算'!O46+1,0),IF('01_数值调参'!R29&lt;0,'03_全链计算'!P46+1,0),IF('01_数值调参'!R30&lt;0,'03_全链计算'!Q46+1,0),IF('01_数值调参'!R31&lt;0,'03_全链计算'!R46+1,0),IF('01_数值调参'!R32&lt;0,'03_全链计算'!S46+1,0),IF('01_数值调参'!R33&lt;0,'03_全链计算'!T46+1,0),IF('01_数值调参'!R34&lt;0,'03_全链计算'!U46+1,0),IF('01_数值调参'!R35&lt;0,'03_全链计算'!V46+1,0),IF('01_数值调参'!R36&lt;0,'03_全链计算'!W46+1,0),IF('01_数值调参'!R37&lt;0,'03_全链计算'!X46+1,0),IF('01_数值调参'!R38&lt;0,'03_全链计算'!Y46+1,0),IF('01_数值调参'!R39&lt;0,'03_全链计算'!Z46+1,0),IF('01_数值调参'!R40&lt;0,'03_全链计算'!AA46+1,0),IF('01_数值调参'!R41&lt;0,'03_全链计算'!AB46+1,0),IF('01_数值调参'!R42&lt;0,'03_全链计算'!AC46+1,0),IF('01_数值调参'!R43&lt;0,'03_全链计算'!AD46+1,0),IF('01_数值调参'!R44&lt;0,'03_全链计算'!AE46+1,0),IF('01_数值调参'!R45&lt;0,'03_全链计算'!AF46+1,0),IF('01_数值调参'!R46&lt;0,'03_全链计算'!AG46+1,0),IF('01_数值调参'!R47&lt;0,'03_全链计算'!AH46+1,0),IF('01_数值调参'!R48&lt;0,'03_全链计算'!AI46+1,0),IF('01_数值调参'!R49&lt;0,'03_全链计算'!AJ46+1,0),IF('01_数值调参'!R50&lt;0,'03_全链计算'!AK46+1,0),IF('01_数值调参'!R51&lt;0,'03_全链计算'!AL46+1,0),IF('01_数值调参'!R52&lt;0,'03_全链计算'!AM46+1,0))</x:f>
        <x:v>1</x:v>
      </x:c>
      <x:c r="S47" s="9" t="n">
        <x:f>MAX(IF('01_数值调参'!S18&lt;0,'03_全链计算'!E46+1,0),IF('01_数值调参'!S19&lt;0,'03_全链计算'!F46+1,0),IF('01_数值调参'!S20&lt;0,'03_全链计算'!G46+1,0),IF('01_数值调参'!S21&lt;0,'03_全链计算'!H46+1,0),IF('01_数值调参'!S22&lt;0,'03_全链计算'!I46+1,0),IF('01_数值调参'!S23&lt;0,'03_全链计算'!J46+1,0),IF('01_数值调参'!S24&lt;0,'03_全链计算'!K46+1,0),IF('01_数值调参'!S25&lt;0,'03_全链计算'!L46+1,0),IF('01_数值调参'!S26&lt;0,'03_全链计算'!M46+1,0),IF('01_数值调参'!S27&lt;0,'03_全链计算'!N46+1,0),IF('01_数值调参'!S28&lt;0,'03_全链计算'!O46+1,0),IF('01_数值调参'!S29&lt;0,'03_全链计算'!P46+1,0),IF('01_数值调参'!S30&lt;0,'03_全链计算'!Q46+1,0),IF('01_数值调参'!S31&lt;0,'03_全链计算'!R46+1,0),IF('01_数值调参'!S32&lt;0,'03_全链计算'!S46+1,0),IF('01_数值调参'!S33&lt;0,'03_全链计算'!T46+1,0),IF('01_数值调参'!S34&lt;0,'03_全链计算'!U46+1,0),IF('01_数值调参'!S35&lt;0,'03_全链计算'!V46+1,0),IF('01_数值调参'!S36&lt;0,'03_全链计算'!W46+1,0),IF('01_数值调参'!S37&lt;0,'03_全链计算'!X46+1,0),IF('01_数值调参'!S38&lt;0,'03_全链计算'!Y46+1,0),IF('01_数值调参'!S39&lt;0,'03_全链计算'!Z46+1,0),IF('01_数值调参'!S40&lt;0,'03_全链计算'!AA46+1,0),IF('01_数值调参'!S41&lt;0,'03_全链计算'!AB46+1,0),IF('01_数值调参'!S42&lt;0,'03_全链计算'!AC46+1,0),IF('01_数值调参'!S43&lt;0,'03_全链计算'!AD46+1,0),IF('01_数值调参'!S44&lt;0,'03_全链计算'!AE46+1,0),IF('01_数值调参'!S45&lt;0,'03_全链计算'!AF46+1,0),IF('01_数值调参'!S46&lt;0,'03_全链计算'!AG46+1,0),IF('01_数值调参'!S47&lt;0,'03_全链计算'!AH46+1,0),IF('01_数值调参'!S48&lt;0,'03_全链计算'!AI46+1,0),IF('01_数值调参'!S49&lt;0,'03_全链计算'!AJ46+1,0),IF('01_数值调参'!S50&lt;0,'03_全链计算'!AK46+1,0),IF('01_数值调参'!S51&lt;0,'03_全链计算'!AL46+1,0),IF('01_数值调参'!S52&lt;0,'03_全链计算'!AM46+1,0))</x:f>
        <x:v>1</x:v>
      </x:c>
      <x:c r="T47" s="9" t="n">
        <x:f>MAX(IF('01_数值调参'!T18&lt;0,'03_全链计算'!E46+1,0),IF('01_数值调参'!T19&lt;0,'03_全链计算'!F46+1,0),IF('01_数值调参'!T20&lt;0,'03_全链计算'!G46+1,0),IF('01_数值调参'!T21&lt;0,'03_全链计算'!H46+1,0),IF('01_数值调参'!T22&lt;0,'03_全链计算'!I46+1,0),IF('01_数值调参'!T23&lt;0,'03_全链计算'!J46+1,0),IF('01_数值调参'!T24&lt;0,'03_全链计算'!K46+1,0),IF('01_数值调参'!T25&lt;0,'03_全链计算'!L46+1,0),IF('01_数值调参'!T26&lt;0,'03_全链计算'!M46+1,0),IF('01_数值调参'!T27&lt;0,'03_全链计算'!N46+1,0),IF('01_数值调参'!T28&lt;0,'03_全链计算'!O46+1,0),IF('01_数值调参'!T29&lt;0,'03_全链计算'!P46+1,0),IF('01_数值调参'!T30&lt;0,'03_全链计算'!Q46+1,0),IF('01_数值调参'!T31&lt;0,'03_全链计算'!R46+1,0),IF('01_数值调参'!T32&lt;0,'03_全链计算'!S46+1,0),IF('01_数值调参'!T33&lt;0,'03_全链计算'!T46+1,0),IF('01_数值调参'!T34&lt;0,'03_全链计算'!U46+1,0),IF('01_数值调参'!T35&lt;0,'03_全链计算'!V46+1,0),IF('01_数值调参'!T36&lt;0,'03_全链计算'!W46+1,0),IF('01_数值调参'!T37&lt;0,'03_全链计算'!X46+1,0),IF('01_数值调参'!T38&lt;0,'03_全链计算'!Y46+1,0),IF('01_数值调参'!T39&lt;0,'03_全链计算'!Z46+1,0),IF('01_数值调参'!T40&lt;0,'03_全链计算'!AA46+1,0),IF('01_数值调参'!T41&lt;0,'03_全链计算'!AB46+1,0),IF('01_数值调参'!T42&lt;0,'03_全链计算'!AC46+1,0),IF('01_数值调参'!T43&lt;0,'03_全链计算'!AD46+1,0),IF('01_数值调参'!T44&lt;0,'03_全链计算'!AE46+1,0),IF('01_数值调参'!T45&lt;0,'03_全链计算'!AF46+1,0),IF('01_数值调参'!T46&lt;0,'03_全链计算'!AG46+1,0),IF('01_数值调参'!T47&lt;0,'03_全链计算'!AH46+1,0),IF('01_数值调参'!T48&lt;0,'03_全链计算'!AI46+1,0),IF('01_数值调参'!T49&lt;0,'03_全链计算'!AJ46+1,0),IF('01_数值调参'!T50&lt;0,'03_全链计算'!AK46+1,0),IF('01_数值调参'!T51&lt;0,'03_全链计算'!AL46+1,0),IF('01_数值调参'!T52&lt;0,'03_全链计算'!AM46+1,0))</x:f>
        <x:v>1</x:v>
      </x:c>
      <x:c r="U47" s="9" t="n">
        <x:f>MAX(IF('01_数值调参'!U18&lt;0,'03_全链计算'!E46+1,0),IF('01_数值调参'!U19&lt;0,'03_全链计算'!F46+1,0),IF('01_数值调参'!U20&lt;0,'03_全链计算'!G46+1,0),IF('01_数值调参'!U21&lt;0,'03_全链计算'!H46+1,0),IF('01_数值调参'!U22&lt;0,'03_全链计算'!I46+1,0),IF('01_数值调参'!U23&lt;0,'03_全链计算'!J46+1,0),IF('01_数值调参'!U24&lt;0,'03_全链计算'!K46+1,0),IF('01_数值调参'!U25&lt;0,'03_全链计算'!L46+1,0),IF('01_数值调参'!U26&lt;0,'03_全链计算'!M46+1,0),IF('01_数值调参'!U27&lt;0,'03_全链计算'!N46+1,0),IF('01_数值调参'!U28&lt;0,'03_全链计算'!O46+1,0),IF('01_数值调参'!U29&lt;0,'03_全链计算'!P46+1,0),IF('01_数值调参'!U30&lt;0,'03_全链计算'!Q46+1,0),IF('01_数值调参'!U31&lt;0,'03_全链计算'!R46+1,0),IF('01_数值调参'!U32&lt;0,'03_全链计算'!S46+1,0),IF('01_数值调参'!U33&lt;0,'03_全链计算'!T46+1,0),IF('01_数值调参'!U34&lt;0,'03_全链计算'!U46+1,0),IF('01_数值调参'!U35&lt;0,'03_全链计算'!V46+1,0),IF('01_数值调参'!U36&lt;0,'03_全链计算'!W46+1,0),IF('01_数值调参'!U37&lt;0,'03_全链计算'!X46+1,0),IF('01_数值调参'!U38&lt;0,'03_全链计算'!Y46+1,0),IF('01_数值调参'!U39&lt;0,'03_全链计算'!Z46+1,0),IF('01_数值调参'!U40&lt;0,'03_全链计算'!AA46+1,0),IF('01_数值调参'!U41&lt;0,'03_全链计算'!AB46+1,0),IF('01_数值调参'!U42&lt;0,'03_全链计算'!AC46+1,0),IF('01_数值调参'!U43&lt;0,'03_全链计算'!AD46+1,0),IF('01_数值调参'!U44&lt;0,'03_全链计算'!AE46+1,0),IF('01_数值调参'!U45&lt;0,'03_全链计算'!AF46+1,0),IF('01_数值调参'!U46&lt;0,'03_全链计算'!AG46+1,0),IF('01_数值调参'!U47&lt;0,'03_全链计算'!AH46+1,0),IF('01_数值调参'!U48&lt;0,'03_全链计算'!AI46+1,0),IF('01_数值调参'!U49&lt;0,'03_全链计算'!AJ46+1,0),IF('01_数值调参'!U50&lt;0,'03_全链计算'!AK46+1,0),IF('01_数值调参'!U51&lt;0,'03_全链计算'!AL46+1,0),IF('01_数值调参'!U52&lt;0,'03_全链计算'!AM46+1,0))</x:f>
        <x:v>1</x:v>
      </x:c>
      <x:c r="V47" s="9" t="n">
        <x:f>MAX(IF('01_数值调参'!V18&lt;0,'03_全链计算'!E46+1,0),IF('01_数值调参'!V19&lt;0,'03_全链计算'!F46+1,0),IF('01_数值调参'!V20&lt;0,'03_全链计算'!G46+1,0),IF('01_数值调参'!V21&lt;0,'03_全链计算'!H46+1,0),IF('01_数值调参'!V22&lt;0,'03_全链计算'!I46+1,0),IF('01_数值调参'!V23&lt;0,'03_全链计算'!J46+1,0),IF('01_数值调参'!V24&lt;0,'03_全链计算'!K46+1,0),IF('01_数值调参'!V25&lt;0,'03_全链计算'!L46+1,0),IF('01_数值调参'!V26&lt;0,'03_全链计算'!M46+1,0),IF('01_数值调参'!V27&lt;0,'03_全链计算'!N46+1,0),IF('01_数值调参'!V28&lt;0,'03_全链计算'!O46+1,0),IF('01_数值调参'!V29&lt;0,'03_全链计算'!P46+1,0),IF('01_数值调参'!V30&lt;0,'03_全链计算'!Q46+1,0),IF('01_数值调参'!V31&lt;0,'03_全链计算'!R46+1,0),IF('01_数值调参'!V32&lt;0,'03_全链计算'!S46+1,0),IF('01_数值调参'!V33&lt;0,'03_全链计算'!T46+1,0),IF('01_数值调参'!V34&lt;0,'03_全链计算'!U46+1,0),IF('01_数值调参'!V35&lt;0,'03_全链计算'!V46+1,0),IF('01_数值调参'!V36&lt;0,'03_全链计算'!W46+1,0),IF('01_数值调参'!V37&lt;0,'03_全链计算'!X46+1,0),IF('01_数值调参'!V38&lt;0,'03_全链计算'!Y46+1,0),IF('01_数值调参'!V39&lt;0,'03_全链计算'!Z46+1,0),IF('01_数值调参'!V40&lt;0,'03_全链计算'!AA46+1,0),IF('01_数值调参'!V41&lt;0,'03_全链计算'!AB46+1,0),IF('01_数值调参'!V42&lt;0,'03_全链计算'!AC46+1,0),IF('01_数值调参'!V43&lt;0,'03_全链计算'!AD46+1,0),IF('01_数值调参'!V44&lt;0,'03_全链计算'!AE46+1,0),IF('01_数值调参'!V45&lt;0,'03_全链计算'!AF46+1,0),IF('01_数值调参'!V46&lt;0,'03_全链计算'!AG46+1,0),IF('01_数值调参'!V47&lt;0,'03_全链计算'!AH46+1,0),IF('01_数值调参'!V48&lt;0,'03_全链计算'!AI46+1,0),IF('01_数值调参'!V49&lt;0,'03_全链计算'!AJ46+1,0),IF('01_数值调参'!V50&lt;0,'03_全链计算'!AK46+1,0),IF('01_数值调参'!V51&lt;0,'03_全链计算'!AL46+1,0),IF('01_数值调参'!V52&lt;0,'03_全链计算'!AM46+1,0))</x:f>
        <x:v>1</x:v>
      </x:c>
      <x:c r="W47" s="9" t="n">
        <x:f>MAX(IF('01_数值调参'!W18&lt;0,'03_全链计算'!E46+1,0),IF('01_数值调参'!W19&lt;0,'03_全链计算'!F46+1,0),IF('01_数值调参'!W20&lt;0,'03_全链计算'!G46+1,0),IF('01_数值调参'!W21&lt;0,'03_全链计算'!H46+1,0),IF('01_数值调参'!W22&lt;0,'03_全链计算'!I46+1,0),IF('01_数值调参'!W23&lt;0,'03_全链计算'!J46+1,0),IF('01_数值调参'!W24&lt;0,'03_全链计算'!K46+1,0),IF('01_数值调参'!W25&lt;0,'03_全链计算'!L46+1,0),IF('01_数值调参'!W26&lt;0,'03_全链计算'!M46+1,0),IF('01_数值调参'!W27&lt;0,'03_全链计算'!N46+1,0),IF('01_数值调参'!W28&lt;0,'03_全链计算'!O46+1,0),IF('01_数值调参'!W29&lt;0,'03_全链计算'!P46+1,0),IF('01_数值调参'!W30&lt;0,'03_全链计算'!Q46+1,0),IF('01_数值调参'!W31&lt;0,'03_全链计算'!R46+1,0),IF('01_数值调参'!W32&lt;0,'03_全链计算'!S46+1,0),IF('01_数值调参'!W33&lt;0,'03_全链计算'!T46+1,0),IF('01_数值调参'!W34&lt;0,'03_全链计算'!U46+1,0),IF('01_数值调参'!W35&lt;0,'03_全链计算'!V46+1,0),IF('01_数值调参'!W36&lt;0,'03_全链计算'!W46+1,0),IF('01_数值调参'!W37&lt;0,'03_全链计算'!X46+1,0),IF('01_数值调参'!W38&lt;0,'03_全链计算'!Y46+1,0),IF('01_数值调参'!W39&lt;0,'03_全链计算'!Z46+1,0),IF('01_数值调参'!W40&lt;0,'03_全链计算'!AA46+1,0),IF('01_数值调参'!W41&lt;0,'03_全链计算'!AB46+1,0),IF('01_数值调参'!W42&lt;0,'03_全链计算'!AC46+1,0),IF('01_数值调参'!W43&lt;0,'03_全链计算'!AD46+1,0),IF('01_数值调参'!W44&lt;0,'03_全链计算'!AE46+1,0),IF('01_数值调参'!W45&lt;0,'03_全链计算'!AF46+1,0),IF('01_数值调参'!W46&lt;0,'03_全链计算'!AG46+1,0),IF('01_数值调参'!W47&lt;0,'03_全链计算'!AH46+1,0),IF('01_数值调参'!W48&lt;0,'03_全链计算'!AI46+1,0),IF('01_数值调参'!W49&lt;0,'03_全链计算'!AJ46+1,0),IF('01_数值调参'!W50&lt;0,'03_全链计算'!AK46+1,0),IF('01_数值调参'!W51&lt;0,'03_全链计算'!AL46+1,0),IF('01_数值调参'!W52&lt;0,'03_全链计算'!AM46+1,0))</x:f>
        <x:v>1</x:v>
      </x:c>
      <x:c r="X47" s="9" t="n">
        <x:f>MAX(IF('01_数值调参'!X18&lt;0,'03_全链计算'!E46+1,0),IF('01_数值调参'!X19&lt;0,'03_全链计算'!F46+1,0),IF('01_数值调参'!X20&lt;0,'03_全链计算'!G46+1,0),IF('01_数值调参'!X21&lt;0,'03_全链计算'!H46+1,0),IF('01_数值调参'!X22&lt;0,'03_全链计算'!I46+1,0),IF('01_数值调参'!X23&lt;0,'03_全链计算'!J46+1,0),IF('01_数值调参'!X24&lt;0,'03_全链计算'!K46+1,0),IF('01_数值调参'!X25&lt;0,'03_全链计算'!L46+1,0),IF('01_数值调参'!X26&lt;0,'03_全链计算'!M46+1,0),IF('01_数值调参'!X27&lt;0,'03_全链计算'!N46+1,0),IF('01_数值调参'!X28&lt;0,'03_全链计算'!O46+1,0),IF('01_数值调参'!X29&lt;0,'03_全链计算'!P46+1,0),IF('01_数值调参'!X30&lt;0,'03_全链计算'!Q46+1,0),IF('01_数值调参'!X31&lt;0,'03_全链计算'!R46+1,0),IF('01_数值调参'!X32&lt;0,'03_全链计算'!S46+1,0),IF('01_数值调参'!X33&lt;0,'03_全链计算'!T46+1,0),IF('01_数值调参'!X34&lt;0,'03_全链计算'!U46+1,0),IF('01_数值调参'!X35&lt;0,'03_全链计算'!V46+1,0),IF('01_数值调参'!X36&lt;0,'03_全链计算'!W46+1,0),IF('01_数值调参'!X37&lt;0,'03_全链计算'!X46+1,0),IF('01_数值调参'!X38&lt;0,'03_全链计算'!Y46+1,0),IF('01_数值调参'!X39&lt;0,'03_全链计算'!Z46+1,0),IF('01_数值调参'!X40&lt;0,'03_全链计算'!AA46+1,0),IF('01_数值调参'!X41&lt;0,'03_全链计算'!AB46+1,0),IF('01_数值调参'!X42&lt;0,'03_全链计算'!AC46+1,0),IF('01_数值调参'!X43&lt;0,'03_全链计算'!AD46+1,0),IF('01_数值调参'!X44&lt;0,'03_全链计算'!AE46+1,0),IF('01_数值调参'!X45&lt;0,'03_全链计算'!AF46+1,0),IF('01_数值调参'!X46&lt;0,'03_全链计算'!AG46+1,0),IF('01_数值调参'!X47&lt;0,'03_全链计算'!AH46+1,0),IF('01_数值调参'!X48&lt;0,'03_全链计算'!AI46+1,0),IF('01_数值调参'!X49&lt;0,'03_全链计算'!AJ46+1,0),IF('01_数值调参'!X50&lt;0,'03_全链计算'!AK46+1,0),IF('01_数值调参'!X51&lt;0,'03_全链计算'!AL46+1,0),IF('01_数值调参'!X52&lt;0,'03_全链计算'!AM46+1,0))</x:f>
        <x:v>2</x:v>
      </x:c>
      <x:c r="Y47" s="9" t="n">
        <x:f>MAX(IF('01_数值调参'!Y18&lt;0,'03_全链计算'!E46+1,0),IF('01_数值调参'!Y19&lt;0,'03_全链计算'!F46+1,0),IF('01_数值调参'!Y20&lt;0,'03_全链计算'!G46+1,0),IF('01_数值调参'!Y21&lt;0,'03_全链计算'!H46+1,0),IF('01_数值调参'!Y22&lt;0,'03_全链计算'!I46+1,0),IF('01_数值调参'!Y23&lt;0,'03_全链计算'!J46+1,0),IF('01_数值调参'!Y24&lt;0,'03_全链计算'!K46+1,0),IF('01_数值调参'!Y25&lt;0,'03_全链计算'!L46+1,0),IF('01_数值调参'!Y26&lt;0,'03_全链计算'!M46+1,0),IF('01_数值调参'!Y27&lt;0,'03_全链计算'!N46+1,0),IF('01_数值调参'!Y28&lt;0,'03_全链计算'!O46+1,0),IF('01_数值调参'!Y29&lt;0,'03_全链计算'!P46+1,0),IF('01_数值调参'!Y30&lt;0,'03_全链计算'!Q46+1,0),IF('01_数值调参'!Y31&lt;0,'03_全链计算'!R46+1,0),IF('01_数值调参'!Y32&lt;0,'03_全链计算'!S46+1,0),IF('01_数值调参'!Y33&lt;0,'03_全链计算'!T46+1,0),IF('01_数值调参'!Y34&lt;0,'03_全链计算'!U46+1,0),IF('01_数值调参'!Y35&lt;0,'03_全链计算'!V46+1,0),IF('01_数值调参'!Y36&lt;0,'03_全链计算'!W46+1,0),IF('01_数值调参'!Y37&lt;0,'03_全链计算'!X46+1,0),IF('01_数值调参'!Y38&lt;0,'03_全链计算'!Y46+1,0),IF('01_数值调参'!Y39&lt;0,'03_全链计算'!Z46+1,0),IF('01_数值调参'!Y40&lt;0,'03_全链计算'!AA46+1,0),IF('01_数值调参'!Y41&lt;0,'03_全链计算'!AB46+1,0),IF('01_数值调参'!Y42&lt;0,'03_全链计算'!AC46+1,0),IF('01_数值调参'!Y43&lt;0,'03_全链计算'!AD46+1,0),IF('01_数值调参'!Y44&lt;0,'03_全链计算'!AE46+1,0),IF('01_数值调参'!Y45&lt;0,'03_全链计算'!AF46+1,0),IF('01_数值调参'!Y46&lt;0,'03_全链计算'!AG46+1,0),IF('01_数值调参'!Y47&lt;0,'03_全链计算'!AH46+1,0),IF('01_数值调参'!Y48&lt;0,'03_全链计算'!AI46+1,0),IF('01_数值调参'!Y49&lt;0,'03_全链计算'!AJ46+1,0),IF('01_数值调参'!Y50&lt;0,'03_全链计算'!AK46+1,0),IF('01_数值调参'!Y51&lt;0,'03_全链计算'!AL46+1,0),IF('01_数值调参'!Y52&lt;0,'03_全链计算'!AM46+1,0))</x:f>
        <x:v>2</x:v>
      </x:c>
      <x:c r="Z47" s="9" t="n">
        <x:f>MAX(IF('01_数值调参'!Z18&lt;0,'03_全链计算'!E46+1,0),IF('01_数值调参'!Z19&lt;0,'03_全链计算'!F46+1,0),IF('01_数值调参'!Z20&lt;0,'03_全链计算'!G46+1,0),IF('01_数值调参'!Z21&lt;0,'03_全链计算'!H46+1,0),IF('01_数值调参'!Z22&lt;0,'03_全链计算'!I46+1,0),IF('01_数值调参'!Z23&lt;0,'03_全链计算'!J46+1,0),IF('01_数值调参'!Z24&lt;0,'03_全链计算'!K46+1,0),IF('01_数值调参'!Z25&lt;0,'03_全链计算'!L46+1,0),IF('01_数值调参'!Z26&lt;0,'03_全链计算'!M46+1,0),IF('01_数值调参'!Z27&lt;0,'03_全链计算'!N46+1,0),IF('01_数值调参'!Z28&lt;0,'03_全链计算'!O46+1,0),IF('01_数值调参'!Z29&lt;0,'03_全链计算'!P46+1,0),IF('01_数值调参'!Z30&lt;0,'03_全链计算'!Q46+1,0),IF('01_数值调参'!Z31&lt;0,'03_全链计算'!R46+1,0),IF('01_数值调参'!Z32&lt;0,'03_全链计算'!S46+1,0),IF('01_数值调参'!Z33&lt;0,'03_全链计算'!T46+1,0),IF('01_数值调参'!Z34&lt;0,'03_全链计算'!U46+1,0),IF('01_数值调参'!Z35&lt;0,'03_全链计算'!V46+1,0),IF('01_数值调参'!Z36&lt;0,'03_全链计算'!W46+1,0),IF('01_数值调参'!Z37&lt;0,'03_全链计算'!X46+1,0),IF('01_数值调参'!Z38&lt;0,'03_全链计算'!Y46+1,0),IF('01_数值调参'!Z39&lt;0,'03_全链计算'!Z46+1,0),IF('01_数值调参'!Z40&lt;0,'03_全链计算'!AA46+1,0),IF('01_数值调参'!Z41&lt;0,'03_全链计算'!AB46+1,0),IF('01_数值调参'!Z42&lt;0,'03_全链计算'!AC46+1,0),IF('01_数值调参'!Z43&lt;0,'03_全链计算'!AD46+1,0),IF('01_数值调参'!Z44&lt;0,'03_全链计算'!AE46+1,0),IF('01_数值调参'!Z45&lt;0,'03_全链计算'!AF46+1,0),IF('01_数值调参'!Z46&lt;0,'03_全链计算'!AG46+1,0),IF('01_数值调参'!Z47&lt;0,'03_全链计算'!AH46+1,0),IF('01_数值调参'!Z48&lt;0,'03_全链计算'!AI46+1,0),IF('01_数值调参'!Z49&lt;0,'03_全链计算'!AJ46+1,0),IF('01_数值调参'!Z50&lt;0,'03_全链计算'!AK46+1,0),IF('01_数值调参'!Z51&lt;0,'03_全链计算'!AL46+1,0),IF('01_数值调参'!Z52&lt;0,'03_全链计算'!AM46+1,0))</x:f>
        <x:v>2</x:v>
      </x:c>
      <x:c r="AA47" s="9" t="n">
        <x:f>MAX(IF('01_数值调参'!AA18&lt;0,'03_全链计算'!E46+1,0),IF('01_数值调参'!AA19&lt;0,'03_全链计算'!F46+1,0),IF('01_数值调参'!AA20&lt;0,'03_全链计算'!G46+1,0),IF('01_数值调参'!AA21&lt;0,'03_全链计算'!H46+1,0),IF('01_数值调参'!AA22&lt;0,'03_全链计算'!I46+1,0),IF('01_数值调参'!AA23&lt;0,'03_全链计算'!J46+1,0),IF('01_数值调参'!AA24&lt;0,'03_全链计算'!K46+1,0),IF('01_数值调参'!AA25&lt;0,'03_全链计算'!L46+1,0),IF('01_数值调参'!AA26&lt;0,'03_全链计算'!M46+1,0),IF('01_数值调参'!AA27&lt;0,'03_全链计算'!N46+1,0),IF('01_数值调参'!AA28&lt;0,'03_全链计算'!O46+1,0),IF('01_数值调参'!AA29&lt;0,'03_全链计算'!P46+1,0),IF('01_数值调参'!AA30&lt;0,'03_全链计算'!Q46+1,0),IF('01_数值调参'!AA31&lt;0,'03_全链计算'!R46+1,0),IF('01_数值调参'!AA32&lt;0,'03_全链计算'!S46+1,0),IF('01_数值调参'!AA33&lt;0,'03_全链计算'!T46+1,0),IF('01_数值调参'!AA34&lt;0,'03_全链计算'!U46+1,0),IF('01_数值调参'!AA35&lt;0,'03_全链计算'!V46+1,0),IF('01_数值调参'!AA36&lt;0,'03_全链计算'!W46+1,0),IF('01_数值调参'!AA37&lt;0,'03_全链计算'!X46+1,0),IF('01_数值调参'!AA38&lt;0,'03_全链计算'!Y46+1,0),IF('01_数值调参'!AA39&lt;0,'03_全链计算'!Z46+1,0),IF('01_数值调参'!AA40&lt;0,'03_全链计算'!AA46+1,0),IF('01_数值调参'!AA41&lt;0,'03_全链计算'!AB46+1,0),IF('01_数值调参'!AA42&lt;0,'03_全链计算'!AC46+1,0),IF('01_数值调参'!AA43&lt;0,'03_全链计算'!AD46+1,0),IF('01_数值调参'!AA44&lt;0,'03_全链计算'!AE46+1,0),IF('01_数值调参'!AA45&lt;0,'03_全链计算'!AF46+1,0),IF('01_数值调参'!AA46&lt;0,'03_全链计算'!AG46+1,0),IF('01_数值调参'!AA47&lt;0,'03_全链计算'!AH46+1,0),IF('01_数值调参'!AA48&lt;0,'03_全链计算'!AI46+1,0),IF('01_数值调参'!AA49&lt;0,'03_全链计算'!AJ46+1,0),IF('01_数值调参'!AA50&lt;0,'03_全链计算'!AK46+1,0),IF('01_数值调参'!AA51&lt;0,'03_全链计算'!AL46+1,0),IF('01_数值调参'!AA52&lt;0,'03_全链计算'!AM46+1,0))</x:f>
        <x:v>2</x:v>
      </x:c>
      <x:c r="AB47" s="9" t="n">
        <x:f>MAX(IF('01_数值调参'!AB18&lt;0,'03_全链计算'!E46+1,0),IF('01_数值调参'!AB19&lt;0,'03_全链计算'!F46+1,0),IF('01_数值调参'!AB20&lt;0,'03_全链计算'!G46+1,0),IF('01_数值调参'!AB21&lt;0,'03_全链计算'!H46+1,0),IF('01_数值调参'!AB22&lt;0,'03_全链计算'!I46+1,0),IF('01_数值调参'!AB23&lt;0,'03_全链计算'!J46+1,0),IF('01_数值调参'!AB24&lt;0,'03_全链计算'!K46+1,0),IF('01_数值调参'!AB25&lt;0,'03_全链计算'!L46+1,0),IF('01_数值调参'!AB26&lt;0,'03_全链计算'!M46+1,0),IF('01_数值调参'!AB27&lt;0,'03_全链计算'!N46+1,0),IF('01_数值调参'!AB28&lt;0,'03_全链计算'!O46+1,0),IF('01_数值调参'!AB29&lt;0,'03_全链计算'!P46+1,0),IF('01_数值调参'!AB30&lt;0,'03_全链计算'!Q46+1,0),IF('01_数值调参'!AB31&lt;0,'03_全链计算'!R46+1,0),IF('01_数值调参'!AB32&lt;0,'03_全链计算'!S46+1,0),IF('01_数值调参'!AB33&lt;0,'03_全链计算'!T46+1,0),IF('01_数值调参'!AB34&lt;0,'03_全链计算'!U46+1,0),IF('01_数值调参'!AB35&lt;0,'03_全链计算'!V46+1,0),IF('01_数值调参'!AB36&lt;0,'03_全链计算'!W46+1,0),IF('01_数值调参'!AB37&lt;0,'03_全链计算'!X46+1,0),IF('01_数值调参'!AB38&lt;0,'03_全链计算'!Y46+1,0),IF('01_数值调参'!AB39&lt;0,'03_全链计算'!Z46+1,0),IF('01_数值调参'!AB40&lt;0,'03_全链计算'!AA46+1,0),IF('01_数值调参'!AB41&lt;0,'03_全链计算'!AB46+1,0),IF('01_数值调参'!AB42&lt;0,'03_全链计算'!AC46+1,0),IF('01_数值调参'!AB43&lt;0,'03_全链计算'!AD46+1,0),IF('01_数值调参'!AB44&lt;0,'03_全链计算'!AE46+1,0),IF('01_数值调参'!AB45&lt;0,'03_全链计算'!AF46+1,0),IF('01_数值调参'!AB46&lt;0,'03_全链计算'!AG46+1,0),IF('01_数值调参'!AB47&lt;0,'03_全链计算'!AH46+1,0),IF('01_数值调参'!AB48&lt;0,'03_全链计算'!AI46+1,0),IF('01_数值调参'!AB49&lt;0,'03_全链计算'!AJ46+1,0),IF('01_数值调参'!AB50&lt;0,'03_全链计算'!AK46+1,0),IF('01_数值调参'!AB51&lt;0,'03_全链计算'!AL46+1,0),IF('01_数值调参'!AB52&lt;0,'03_全链计算'!AM46+1,0))</x:f>
        <x:v>2</x:v>
      </x:c>
      <x:c r="AC47" s="9" t="n">
        <x:f>MAX(IF('01_数值调参'!AC18&lt;0,'03_全链计算'!E46+1,0),IF('01_数值调参'!AC19&lt;0,'03_全链计算'!F46+1,0),IF('01_数值调参'!AC20&lt;0,'03_全链计算'!G46+1,0),IF('01_数值调参'!AC21&lt;0,'03_全链计算'!H46+1,0),IF('01_数值调参'!AC22&lt;0,'03_全链计算'!I46+1,0),IF('01_数值调参'!AC23&lt;0,'03_全链计算'!J46+1,0),IF('01_数值调参'!AC24&lt;0,'03_全链计算'!K46+1,0),IF('01_数值调参'!AC25&lt;0,'03_全链计算'!L46+1,0),IF('01_数值调参'!AC26&lt;0,'03_全链计算'!M46+1,0),IF('01_数值调参'!AC27&lt;0,'03_全链计算'!N46+1,0),IF('01_数值调参'!AC28&lt;0,'03_全链计算'!O46+1,0),IF('01_数值调参'!AC29&lt;0,'03_全链计算'!P46+1,0),IF('01_数值调参'!AC30&lt;0,'03_全链计算'!Q46+1,0),IF('01_数值调参'!AC31&lt;0,'03_全链计算'!R46+1,0),IF('01_数值调参'!AC32&lt;0,'03_全链计算'!S46+1,0),IF('01_数值调参'!AC33&lt;0,'03_全链计算'!T46+1,0),IF('01_数值调参'!AC34&lt;0,'03_全链计算'!U46+1,0),IF('01_数值调参'!AC35&lt;0,'03_全链计算'!V46+1,0),IF('01_数值调参'!AC36&lt;0,'03_全链计算'!W46+1,0),IF('01_数值调参'!AC37&lt;0,'03_全链计算'!X46+1,0),IF('01_数值调参'!AC38&lt;0,'03_全链计算'!Y46+1,0),IF('01_数值调参'!AC39&lt;0,'03_全链计算'!Z46+1,0),IF('01_数值调参'!AC40&lt;0,'03_全链计算'!AA46+1,0),IF('01_数值调参'!AC41&lt;0,'03_全链计算'!AB46+1,0),IF('01_数值调参'!AC42&lt;0,'03_全链计算'!AC46+1,0),IF('01_数值调参'!AC43&lt;0,'03_全链计算'!AD46+1,0),IF('01_数值调参'!AC44&lt;0,'03_全链计算'!AE46+1,0),IF('01_数值调参'!AC45&lt;0,'03_全链计算'!AF46+1,0),IF('01_数值调参'!AC46&lt;0,'03_全链计算'!AG46+1,0),IF('01_数值调参'!AC47&lt;0,'03_全链计算'!AH46+1,0),IF('01_数值调参'!AC48&lt;0,'03_全链计算'!AI46+1,0),IF('01_数值调参'!AC49&lt;0,'03_全链计算'!AJ46+1,0),IF('01_数值调参'!AC50&lt;0,'03_全链计算'!AK46+1,0),IF('01_数值调参'!AC51&lt;0,'03_全链计算'!AL46+1,0),IF('01_数值调参'!AC52&lt;0,'03_全链计算'!AM46+1,0))</x:f>
        <x:v>2</x:v>
      </x:c>
      <x:c r="AD47" s="9" t="n">
        <x:f>MAX(IF('01_数值调参'!AD18&lt;0,'03_全链计算'!E46+1,0),IF('01_数值调参'!AD19&lt;0,'03_全链计算'!F46+1,0),IF('01_数值调参'!AD20&lt;0,'03_全链计算'!G46+1,0),IF('01_数值调参'!AD21&lt;0,'03_全链计算'!H46+1,0),IF('01_数值调参'!AD22&lt;0,'03_全链计算'!I46+1,0),IF('01_数值调参'!AD23&lt;0,'03_全链计算'!J46+1,0),IF('01_数值调参'!AD24&lt;0,'03_全链计算'!K46+1,0),IF('01_数值调参'!AD25&lt;0,'03_全链计算'!L46+1,0),IF('01_数值调参'!AD26&lt;0,'03_全链计算'!M46+1,0),IF('01_数值调参'!AD27&lt;0,'03_全链计算'!N46+1,0),IF('01_数值调参'!AD28&lt;0,'03_全链计算'!O46+1,0),IF('01_数值调参'!AD29&lt;0,'03_全链计算'!P46+1,0),IF('01_数值调参'!AD30&lt;0,'03_全链计算'!Q46+1,0),IF('01_数值调参'!AD31&lt;0,'03_全链计算'!R46+1,0),IF('01_数值调参'!AD32&lt;0,'03_全链计算'!S46+1,0),IF('01_数值调参'!AD33&lt;0,'03_全链计算'!T46+1,0),IF('01_数值调参'!AD34&lt;0,'03_全链计算'!U46+1,0),IF('01_数值调参'!AD35&lt;0,'03_全链计算'!V46+1,0),IF('01_数值调参'!AD36&lt;0,'03_全链计算'!W46+1,0),IF('01_数值调参'!AD37&lt;0,'03_全链计算'!X46+1,0),IF('01_数值调参'!AD38&lt;0,'03_全链计算'!Y46+1,0),IF('01_数值调参'!AD39&lt;0,'03_全链计算'!Z46+1,0),IF('01_数值调参'!AD40&lt;0,'03_全链计算'!AA46+1,0),IF('01_数值调参'!AD41&lt;0,'03_全链计算'!AB46+1,0),IF('01_数值调参'!AD42&lt;0,'03_全链计算'!AC46+1,0),IF('01_数值调参'!AD43&lt;0,'03_全链计算'!AD46+1,0),IF('01_数值调参'!AD44&lt;0,'03_全链计算'!AE46+1,0),IF('01_数值调参'!AD45&lt;0,'03_全链计算'!AF46+1,0),IF('01_数值调参'!AD46&lt;0,'03_全链计算'!AG46+1,0),IF('01_数值调参'!AD47&lt;0,'03_全链计算'!AH46+1,0),IF('01_数值调参'!AD48&lt;0,'03_全链计算'!AI46+1,0),IF('01_数值调参'!AD49&lt;0,'03_全链计算'!AJ46+1,0),IF('01_数值调参'!AD50&lt;0,'03_全链计算'!AK46+1,0),IF('01_数值调参'!AD51&lt;0,'03_全链计算'!AL46+1,0),IF('01_数值调参'!AD52&lt;0,'03_全链计算'!AM46+1,0))</x:f>
        <x:v>1</x:v>
      </x:c>
      <x:c r="AE47" s="9" t="n">
        <x:f>MAX(IF('01_数值调参'!AE18&lt;0,'03_全链计算'!E46+1,0),IF('01_数值调参'!AE19&lt;0,'03_全链计算'!F46+1,0),IF('01_数值调参'!AE20&lt;0,'03_全链计算'!G46+1,0),IF('01_数值调参'!AE21&lt;0,'03_全链计算'!H46+1,0),IF('01_数值调参'!AE22&lt;0,'03_全链计算'!I46+1,0),IF('01_数值调参'!AE23&lt;0,'03_全链计算'!J46+1,0),IF('01_数值调参'!AE24&lt;0,'03_全链计算'!K46+1,0),IF('01_数值调参'!AE25&lt;0,'03_全链计算'!L46+1,0),IF('01_数值调参'!AE26&lt;0,'03_全链计算'!M46+1,0),IF('01_数值调参'!AE27&lt;0,'03_全链计算'!N46+1,0),IF('01_数值调参'!AE28&lt;0,'03_全链计算'!O46+1,0),IF('01_数值调参'!AE29&lt;0,'03_全链计算'!P46+1,0),IF('01_数值调参'!AE30&lt;0,'03_全链计算'!Q46+1,0),IF('01_数值调参'!AE31&lt;0,'03_全链计算'!R46+1,0),IF('01_数值调参'!AE32&lt;0,'03_全链计算'!S46+1,0),IF('01_数值调参'!AE33&lt;0,'03_全链计算'!T46+1,0),IF('01_数值调参'!AE34&lt;0,'03_全链计算'!U46+1,0),IF('01_数值调参'!AE35&lt;0,'03_全链计算'!V46+1,0),IF('01_数值调参'!AE36&lt;0,'03_全链计算'!W46+1,0),IF('01_数值调参'!AE37&lt;0,'03_全链计算'!X46+1,0),IF('01_数值调参'!AE38&lt;0,'03_全链计算'!Y46+1,0),IF('01_数值调参'!AE39&lt;0,'03_全链计算'!Z46+1,0),IF('01_数值调参'!AE40&lt;0,'03_全链计算'!AA46+1,0),IF('01_数值调参'!AE41&lt;0,'03_全链计算'!AB46+1,0),IF('01_数值调参'!AE42&lt;0,'03_全链计算'!AC46+1,0),IF('01_数值调参'!AE43&lt;0,'03_全链计算'!AD46+1,0),IF('01_数值调参'!AE44&lt;0,'03_全链计算'!AE46+1,0),IF('01_数值调参'!AE45&lt;0,'03_全链计算'!AF46+1,0),IF('01_数值调参'!AE46&lt;0,'03_全链计算'!AG46+1,0),IF('01_数值调参'!AE47&lt;0,'03_全链计算'!AH46+1,0),IF('01_数值调参'!AE48&lt;0,'03_全链计算'!AI46+1,0),IF('01_数值调参'!AE49&lt;0,'03_全链计算'!AJ46+1,0),IF('01_数值调参'!AE50&lt;0,'03_全链计算'!AK46+1,0),IF('01_数值调参'!AE51&lt;0,'03_全链计算'!AL46+1,0),IF('01_数值调参'!AE52&lt;0,'03_全链计算'!AM46+1,0))</x:f>
        <x:v>1</x:v>
      </x:c>
      <x:c r="AF47" s="9" t="n">
        <x:f>MAX(IF('01_数值调参'!AF18&lt;0,'03_全链计算'!E46+1,0),IF('01_数值调参'!AF19&lt;0,'03_全链计算'!F46+1,0),IF('01_数值调参'!AF20&lt;0,'03_全链计算'!G46+1,0),IF('01_数值调参'!AF21&lt;0,'03_全链计算'!H46+1,0),IF('01_数值调参'!AF22&lt;0,'03_全链计算'!I46+1,0),IF('01_数值调参'!AF23&lt;0,'03_全链计算'!J46+1,0),IF('01_数值调参'!AF24&lt;0,'03_全链计算'!K46+1,0),IF('01_数值调参'!AF25&lt;0,'03_全链计算'!L46+1,0),IF('01_数值调参'!AF26&lt;0,'03_全链计算'!M46+1,0),IF('01_数值调参'!AF27&lt;0,'03_全链计算'!N46+1,0),IF('01_数值调参'!AF28&lt;0,'03_全链计算'!O46+1,0),IF('01_数值调参'!AF29&lt;0,'03_全链计算'!P46+1,0),IF('01_数值调参'!AF30&lt;0,'03_全链计算'!Q46+1,0),IF('01_数值调参'!AF31&lt;0,'03_全链计算'!R46+1,0),IF('01_数值调参'!AF32&lt;0,'03_全链计算'!S46+1,0),IF('01_数值调参'!AF33&lt;0,'03_全链计算'!T46+1,0),IF('01_数值调参'!AF34&lt;0,'03_全链计算'!U46+1,0),IF('01_数值调参'!AF35&lt;0,'03_全链计算'!V46+1,0),IF('01_数值调参'!AF36&lt;0,'03_全链计算'!W46+1,0),IF('01_数值调参'!AF37&lt;0,'03_全链计算'!X46+1,0),IF('01_数值调参'!AF38&lt;0,'03_全链计算'!Y46+1,0),IF('01_数值调参'!AF39&lt;0,'03_全链计算'!Z46+1,0),IF('01_数值调参'!AF40&lt;0,'03_全链计算'!AA46+1,0),IF('01_数值调参'!AF41&lt;0,'03_全链计算'!AB46+1,0),IF('01_数值调参'!AF42&lt;0,'03_全链计算'!AC46+1,0),IF('01_数值调参'!AF43&lt;0,'03_全链计算'!AD46+1,0),IF('01_数值调参'!AF44&lt;0,'03_全链计算'!AE46+1,0),IF('01_数值调参'!AF45&lt;0,'03_全链计算'!AF46+1,0),IF('01_数值调参'!AF46&lt;0,'03_全链计算'!AG46+1,0),IF('01_数值调参'!AF47&lt;0,'03_全链计算'!AH46+1,0),IF('01_数值调参'!AF48&lt;0,'03_全链计算'!AI46+1,0),IF('01_数值调参'!AF49&lt;0,'03_全链计算'!AJ46+1,0),IF('01_数值调参'!AF50&lt;0,'03_全链计算'!AK46+1,0),IF('01_数值调参'!AF51&lt;0,'03_全链计算'!AL46+1,0),IF('01_数值调参'!AF52&lt;0,'03_全链计算'!AM46+1,0))</x:f>
        <x:v>1</x:v>
      </x:c>
      <x:c r="AG47" s="9" t="n">
        <x:f>MAX(IF('01_数值调参'!AG18&lt;0,'03_全链计算'!E46+1,0),IF('01_数值调参'!AG19&lt;0,'03_全链计算'!F46+1,0),IF('01_数值调参'!AG20&lt;0,'03_全链计算'!G46+1,0),IF('01_数值调参'!AG21&lt;0,'03_全链计算'!H46+1,0),IF('01_数值调参'!AG22&lt;0,'03_全链计算'!I46+1,0),IF('01_数值调参'!AG23&lt;0,'03_全链计算'!J46+1,0),IF('01_数值调参'!AG24&lt;0,'03_全链计算'!K46+1,0),IF('01_数值调参'!AG25&lt;0,'03_全链计算'!L46+1,0),IF('01_数值调参'!AG26&lt;0,'03_全链计算'!M46+1,0),IF('01_数值调参'!AG27&lt;0,'03_全链计算'!N46+1,0),IF('01_数值调参'!AG28&lt;0,'03_全链计算'!O46+1,0),IF('01_数值调参'!AG29&lt;0,'03_全链计算'!P46+1,0),IF('01_数值调参'!AG30&lt;0,'03_全链计算'!Q46+1,0),IF('01_数值调参'!AG31&lt;0,'03_全链计算'!R46+1,0),IF('01_数值调参'!AG32&lt;0,'03_全链计算'!S46+1,0),IF('01_数值调参'!AG33&lt;0,'03_全链计算'!T46+1,0),IF('01_数值调参'!AG34&lt;0,'03_全链计算'!U46+1,0),IF('01_数值调参'!AG35&lt;0,'03_全链计算'!V46+1,0),IF('01_数值调参'!AG36&lt;0,'03_全链计算'!W46+1,0),IF('01_数值调参'!AG37&lt;0,'03_全链计算'!X46+1,0),IF('01_数值调参'!AG38&lt;0,'03_全链计算'!Y46+1,0),IF('01_数值调参'!AG39&lt;0,'03_全链计算'!Z46+1,0),IF('01_数值调参'!AG40&lt;0,'03_全链计算'!AA46+1,0),IF('01_数值调参'!AG41&lt;0,'03_全链计算'!AB46+1,0),IF('01_数值调参'!AG42&lt;0,'03_全链计算'!AC46+1,0),IF('01_数值调参'!AG43&lt;0,'03_全链计算'!AD46+1,0),IF('01_数值调参'!AG44&lt;0,'03_全链计算'!AE46+1,0),IF('01_数值调参'!AG45&lt;0,'03_全链计算'!AF46+1,0),IF('01_数值调参'!AG46&lt;0,'03_全链计算'!AG46+1,0),IF('01_数值调参'!AG47&lt;0,'03_全链计算'!AH46+1,0),IF('01_数值调参'!AG48&lt;0,'03_全链计算'!AI46+1,0),IF('01_数值调参'!AG49&lt;0,'03_全链计算'!AJ46+1,0),IF('01_数值调参'!AG50&lt;0,'03_全链计算'!AK46+1,0),IF('01_数值调参'!AG51&lt;0,'03_全链计算'!AL46+1,0),IF('01_数值调参'!AG52&lt;0,'03_全链计算'!AM46+1,0))</x:f>
        <x:v>1</x:v>
      </x:c>
      <x:c r="AH47" s="9" t="n">
        <x:f>MAX(IF('01_数值调参'!AH18&lt;0,'03_全链计算'!E46+1,0),IF('01_数值调参'!AH19&lt;0,'03_全链计算'!F46+1,0),IF('01_数值调参'!AH20&lt;0,'03_全链计算'!G46+1,0),IF('01_数值调参'!AH21&lt;0,'03_全链计算'!H46+1,0),IF('01_数值调参'!AH22&lt;0,'03_全链计算'!I46+1,0),IF('01_数值调参'!AH23&lt;0,'03_全链计算'!J46+1,0),IF('01_数值调参'!AH24&lt;0,'03_全链计算'!K46+1,0),IF('01_数值调参'!AH25&lt;0,'03_全链计算'!L46+1,0),IF('01_数值调参'!AH26&lt;0,'03_全链计算'!M46+1,0),IF('01_数值调参'!AH27&lt;0,'03_全链计算'!N46+1,0),IF('01_数值调参'!AH28&lt;0,'03_全链计算'!O46+1,0),IF('01_数值调参'!AH29&lt;0,'03_全链计算'!P46+1,0),IF('01_数值调参'!AH30&lt;0,'03_全链计算'!Q46+1,0),IF('01_数值调参'!AH31&lt;0,'03_全链计算'!R46+1,0),IF('01_数值调参'!AH32&lt;0,'03_全链计算'!S46+1,0),IF('01_数值调参'!AH33&lt;0,'03_全链计算'!T46+1,0),IF('01_数值调参'!AH34&lt;0,'03_全链计算'!U46+1,0),IF('01_数值调参'!AH35&lt;0,'03_全链计算'!V46+1,0),IF('01_数值调参'!AH36&lt;0,'03_全链计算'!W46+1,0),IF('01_数值调参'!AH37&lt;0,'03_全链计算'!X46+1,0),IF('01_数值调参'!AH38&lt;0,'03_全链计算'!Y46+1,0),IF('01_数值调参'!AH39&lt;0,'03_全链计算'!Z46+1,0),IF('01_数值调参'!AH40&lt;0,'03_全链计算'!AA46+1,0),IF('01_数值调参'!AH41&lt;0,'03_全链计算'!AB46+1,0),IF('01_数值调参'!AH42&lt;0,'03_全链计算'!AC46+1,0),IF('01_数值调参'!AH43&lt;0,'03_全链计算'!AD46+1,0),IF('01_数值调参'!AH44&lt;0,'03_全链计算'!AE46+1,0),IF('01_数值调参'!AH45&lt;0,'03_全链计算'!AF46+1,0),IF('01_数值调参'!AH46&lt;0,'03_全链计算'!AG46+1,0),IF('01_数值调参'!AH47&lt;0,'03_全链计算'!AH46+1,0),IF('01_数值调参'!AH48&lt;0,'03_全链计算'!AI46+1,0),IF('01_数值调参'!AH49&lt;0,'03_全链计算'!AJ46+1,0),IF('01_数值调参'!AH50&lt;0,'03_全链计算'!AK46+1,0),IF('01_数值调参'!AH51&lt;0,'03_全链计算'!AL46+1,0),IF('01_数值调参'!AH52&lt;0,'03_全链计算'!AM46+1,0))</x:f>
        <x:v>2</x:v>
      </x:c>
      <x:c r="AI47" s="9" t="n">
        <x:f>MAX(IF('01_数值调参'!AI18&lt;0,'03_全链计算'!E46+1,0),IF('01_数值调参'!AI19&lt;0,'03_全链计算'!F46+1,0),IF('01_数值调参'!AI20&lt;0,'03_全链计算'!G46+1,0),IF('01_数值调参'!AI21&lt;0,'03_全链计算'!H46+1,0),IF('01_数值调参'!AI22&lt;0,'03_全链计算'!I46+1,0),IF('01_数值调参'!AI23&lt;0,'03_全链计算'!J46+1,0),IF('01_数值调参'!AI24&lt;0,'03_全链计算'!K46+1,0),IF('01_数值调参'!AI25&lt;0,'03_全链计算'!L46+1,0),IF('01_数值调参'!AI26&lt;0,'03_全链计算'!M46+1,0),IF('01_数值调参'!AI27&lt;0,'03_全链计算'!N46+1,0),IF('01_数值调参'!AI28&lt;0,'03_全链计算'!O46+1,0),IF('01_数值调参'!AI29&lt;0,'03_全链计算'!P46+1,0),IF('01_数值调参'!AI30&lt;0,'03_全链计算'!Q46+1,0),IF('01_数值调参'!AI31&lt;0,'03_全链计算'!R46+1,0),IF('01_数值调参'!AI32&lt;0,'03_全链计算'!S46+1,0),IF('01_数值调参'!AI33&lt;0,'03_全链计算'!T46+1,0),IF('01_数值调参'!AI34&lt;0,'03_全链计算'!U46+1,0),IF('01_数值调参'!AI35&lt;0,'03_全链计算'!V46+1,0),IF('01_数值调参'!AI36&lt;0,'03_全链计算'!W46+1,0),IF('01_数值调参'!AI37&lt;0,'03_全链计算'!X46+1,0),IF('01_数值调参'!AI38&lt;0,'03_全链计算'!Y46+1,0),IF('01_数值调参'!AI39&lt;0,'03_全链计算'!Z46+1,0),IF('01_数值调参'!AI40&lt;0,'03_全链计算'!AA46+1,0),IF('01_数值调参'!AI41&lt;0,'03_全链计算'!AB46+1,0),IF('01_数值调参'!AI42&lt;0,'03_全链计算'!AC46+1,0),IF('01_数值调参'!AI43&lt;0,'03_全链计算'!AD46+1,0),IF('01_数值调参'!AI44&lt;0,'03_全链计算'!AE46+1,0),IF('01_数值调参'!AI45&lt;0,'03_全链计算'!AF46+1,0),IF('01_数值调参'!AI46&lt;0,'03_全链计算'!AG46+1,0),IF('01_数值调参'!AI47&lt;0,'03_全链计算'!AH46+1,0),IF('01_数值调参'!AI48&lt;0,'03_全链计算'!AI46+1,0),IF('01_数值调参'!AI49&lt;0,'03_全链计算'!AJ46+1,0),IF('01_数值调参'!AI50&lt;0,'03_全链计算'!AK46+1,0),IF('01_数值调参'!AI51&lt;0,'03_全链计算'!AL46+1,0),IF('01_数值调参'!AI52&lt;0,'03_全链计算'!AM46+1,0))</x:f>
        <x:v>2</x:v>
      </x:c>
      <x:c r="AJ47" s="9" t="n">
        <x:f>MAX(IF('01_数值调参'!AJ18&lt;0,'03_全链计算'!E46+1,0),IF('01_数值调参'!AJ19&lt;0,'03_全链计算'!F46+1,0),IF('01_数值调参'!AJ20&lt;0,'03_全链计算'!G46+1,0),IF('01_数值调参'!AJ21&lt;0,'03_全链计算'!H46+1,0),IF('01_数值调参'!AJ22&lt;0,'03_全链计算'!I46+1,0),IF('01_数值调参'!AJ23&lt;0,'03_全链计算'!J46+1,0),IF('01_数值调参'!AJ24&lt;0,'03_全链计算'!K46+1,0),IF('01_数值调参'!AJ25&lt;0,'03_全链计算'!L46+1,0),IF('01_数值调参'!AJ26&lt;0,'03_全链计算'!M46+1,0),IF('01_数值调参'!AJ27&lt;0,'03_全链计算'!N46+1,0),IF('01_数值调参'!AJ28&lt;0,'03_全链计算'!O46+1,0),IF('01_数值调参'!AJ29&lt;0,'03_全链计算'!P46+1,0),IF('01_数值调参'!AJ30&lt;0,'03_全链计算'!Q46+1,0),IF('01_数值调参'!AJ31&lt;0,'03_全链计算'!R46+1,0),IF('01_数值调参'!AJ32&lt;0,'03_全链计算'!S46+1,0),IF('01_数值调参'!AJ33&lt;0,'03_全链计算'!T46+1,0),IF('01_数值调参'!AJ34&lt;0,'03_全链计算'!U46+1,0),IF('01_数值调参'!AJ35&lt;0,'03_全链计算'!V46+1,0),IF('01_数值调参'!AJ36&lt;0,'03_全链计算'!W46+1,0),IF('01_数值调参'!AJ37&lt;0,'03_全链计算'!X46+1,0),IF('01_数值调参'!AJ38&lt;0,'03_全链计算'!Y46+1,0),IF('01_数值调参'!AJ39&lt;0,'03_全链计算'!Z46+1,0),IF('01_数值调参'!AJ40&lt;0,'03_全链计算'!AA46+1,0),IF('01_数值调参'!AJ41&lt;0,'03_全链计算'!AB46+1,0),IF('01_数值调参'!AJ42&lt;0,'03_全链计算'!AC46+1,0),IF('01_数值调参'!AJ43&lt;0,'03_全链计算'!AD46+1,0),IF('01_数值调参'!AJ44&lt;0,'03_全链计算'!AE46+1,0),IF('01_数值调参'!AJ45&lt;0,'03_全链计算'!AF46+1,0),IF('01_数值调参'!AJ46&lt;0,'03_全链计算'!AG46+1,0),IF('01_数值调参'!AJ47&lt;0,'03_全链计算'!AH46+1,0),IF('01_数值调参'!AJ48&lt;0,'03_全链计算'!AI46+1,0),IF('01_数值调参'!AJ49&lt;0,'03_全链计算'!AJ46+1,0),IF('01_数值调参'!AJ50&lt;0,'03_全链计算'!AK46+1,0),IF('01_数值调参'!AJ51&lt;0,'03_全链计算'!AL46+1,0),IF('01_数值调参'!AJ52&lt;0,'03_全链计算'!AM46+1,0))</x:f>
        <x:v>2</x:v>
      </x:c>
      <x:c r="AK47" s="9" t="n">
        <x:f>MAX(IF('01_数值调参'!AK18&lt;0,'03_全链计算'!E46+1,0),IF('01_数值调参'!AK19&lt;0,'03_全链计算'!F46+1,0),IF('01_数值调参'!AK20&lt;0,'03_全链计算'!G46+1,0),IF('01_数值调参'!AK21&lt;0,'03_全链计算'!H46+1,0),IF('01_数值调参'!AK22&lt;0,'03_全链计算'!I46+1,0),IF('01_数值调参'!AK23&lt;0,'03_全链计算'!J46+1,0),IF('01_数值调参'!AK24&lt;0,'03_全链计算'!K46+1,0),IF('01_数值调参'!AK25&lt;0,'03_全链计算'!L46+1,0),IF('01_数值调参'!AK26&lt;0,'03_全链计算'!M46+1,0),IF('01_数值调参'!AK27&lt;0,'03_全链计算'!N46+1,0),IF('01_数值调参'!AK28&lt;0,'03_全链计算'!O46+1,0),IF('01_数值调参'!AK29&lt;0,'03_全链计算'!P46+1,0),IF('01_数值调参'!AK30&lt;0,'03_全链计算'!Q46+1,0),IF('01_数值调参'!AK31&lt;0,'03_全链计算'!R46+1,0),IF('01_数值调参'!AK32&lt;0,'03_全链计算'!S46+1,0),IF('01_数值调参'!AK33&lt;0,'03_全链计算'!T46+1,0),IF('01_数值调参'!AK34&lt;0,'03_全链计算'!U46+1,0),IF('01_数值调参'!AK35&lt;0,'03_全链计算'!V46+1,0),IF('01_数值调参'!AK36&lt;0,'03_全链计算'!W46+1,0),IF('01_数值调参'!AK37&lt;0,'03_全链计算'!X46+1,0),IF('01_数值调参'!AK38&lt;0,'03_全链计算'!Y46+1,0),IF('01_数值调参'!AK39&lt;0,'03_全链计算'!Z46+1,0),IF('01_数值调参'!AK40&lt;0,'03_全链计算'!AA46+1,0),IF('01_数值调参'!AK41&lt;0,'03_全链计算'!AB46+1,0),IF('01_数值调参'!AK42&lt;0,'03_全链计算'!AC46+1,0),IF('01_数值调参'!AK43&lt;0,'03_全链计算'!AD46+1,0),IF('01_数值调参'!AK44&lt;0,'03_全链计算'!AE46+1,0),IF('01_数值调参'!AK45&lt;0,'03_全链计算'!AF46+1,0),IF('01_数值调参'!AK46&lt;0,'03_全链计算'!AG46+1,0),IF('01_数值调参'!AK47&lt;0,'03_全链计算'!AH46+1,0),IF('01_数值调参'!AK48&lt;0,'03_全链计算'!AI46+1,0),IF('01_数值调参'!AK49&lt;0,'03_全链计算'!AJ46+1,0),IF('01_数值调参'!AK50&lt;0,'03_全链计算'!AK46+1,0),IF('01_数值调参'!AK51&lt;0,'03_全链计算'!AL46+1,0),IF('01_数值调参'!AK52&lt;0,'03_全链计算'!AM46+1,0))</x:f>
        <x:v>2</x:v>
      </x:c>
      <x:c r="AL47" s="9" t="n">
        <x:f>MAX(IF('01_数值调参'!AL18&lt;0,'03_全链计算'!E46+1,0),IF('01_数值调参'!AL19&lt;0,'03_全链计算'!F46+1,0),IF('01_数值调参'!AL20&lt;0,'03_全链计算'!G46+1,0),IF('01_数值调参'!AL21&lt;0,'03_全链计算'!H46+1,0),IF('01_数值调参'!AL22&lt;0,'03_全链计算'!I46+1,0),IF('01_数值调参'!AL23&lt;0,'03_全链计算'!J46+1,0),IF('01_数值调参'!AL24&lt;0,'03_全链计算'!K46+1,0),IF('01_数值调参'!AL25&lt;0,'03_全链计算'!L46+1,0),IF('01_数值调参'!AL26&lt;0,'03_全链计算'!M46+1,0),IF('01_数值调参'!AL27&lt;0,'03_全链计算'!N46+1,0),IF('01_数值调参'!AL28&lt;0,'03_全链计算'!O46+1,0),IF('01_数值调参'!AL29&lt;0,'03_全链计算'!P46+1,0),IF('01_数值调参'!AL30&lt;0,'03_全链计算'!Q46+1,0),IF('01_数值调参'!AL31&lt;0,'03_全链计算'!R46+1,0),IF('01_数值调参'!AL32&lt;0,'03_全链计算'!S46+1,0),IF('01_数值调参'!AL33&lt;0,'03_全链计算'!T46+1,0),IF('01_数值调参'!AL34&lt;0,'03_全链计算'!U46+1,0),IF('01_数值调参'!AL35&lt;0,'03_全链计算'!V46+1,0),IF('01_数值调参'!AL36&lt;0,'03_全链计算'!W46+1,0),IF('01_数值调参'!AL37&lt;0,'03_全链计算'!X46+1,0),IF('01_数值调参'!AL38&lt;0,'03_全链计算'!Y46+1,0),IF('01_数值调参'!AL39&lt;0,'03_全链计算'!Z46+1,0),IF('01_数值调参'!AL40&lt;0,'03_全链计算'!AA46+1,0),IF('01_数值调参'!AL41&lt;0,'03_全链计算'!AB46+1,0),IF('01_数值调参'!AL42&lt;0,'03_全链计算'!AC46+1,0),IF('01_数值调参'!AL43&lt;0,'03_全链计算'!AD46+1,0),IF('01_数值调参'!AL44&lt;0,'03_全链计算'!AE46+1,0),IF('01_数值调参'!AL45&lt;0,'03_全链计算'!AF46+1,0),IF('01_数值调参'!AL46&lt;0,'03_全链计算'!AG46+1,0),IF('01_数值调参'!AL47&lt;0,'03_全链计算'!AH46+1,0),IF('01_数值调参'!AL48&lt;0,'03_全链计算'!AI46+1,0),IF('01_数值调参'!AL49&lt;0,'03_全链计算'!AJ46+1,0),IF('01_数值调参'!AL50&lt;0,'03_全链计算'!AK46+1,0),IF('01_数值调参'!AL51&lt;0,'03_全链计算'!AL46+1,0),IF('01_数值调参'!AL52&lt;0,'03_全链计算'!AM46+1,0))</x:f>
        <x:v>2</x:v>
      </x:c>
      <x:c r="AM47" s="9" t="n">
        <x:f>MAX(IF('01_数值调参'!AM18&lt;0,'03_全链计算'!E46+1,0),IF('01_数值调参'!AM19&lt;0,'03_全链计算'!F46+1,0),IF('01_数值调参'!AM20&lt;0,'03_全链计算'!G46+1,0),IF('01_数值调参'!AM21&lt;0,'03_全链计算'!H46+1,0),IF('01_数值调参'!AM22&lt;0,'03_全链计算'!I46+1,0),IF('01_数值调参'!AM23&lt;0,'03_全链计算'!J46+1,0),IF('01_数值调参'!AM24&lt;0,'03_全链计算'!K46+1,0),IF('01_数值调参'!AM25&lt;0,'03_全链计算'!L46+1,0),IF('01_数值调参'!AM26&lt;0,'03_全链计算'!M46+1,0),IF('01_数值调参'!AM27&lt;0,'03_全链计算'!N46+1,0),IF('01_数值调参'!AM28&lt;0,'03_全链计算'!O46+1,0),IF('01_数值调参'!AM29&lt;0,'03_全链计算'!P46+1,0),IF('01_数值调参'!AM30&lt;0,'03_全链计算'!Q46+1,0),IF('01_数值调参'!AM31&lt;0,'03_全链计算'!R46+1,0),IF('01_数值调参'!AM32&lt;0,'03_全链计算'!S46+1,0),IF('01_数值调参'!AM33&lt;0,'03_全链计算'!T46+1,0),IF('01_数值调参'!AM34&lt;0,'03_全链计算'!U46+1,0),IF('01_数值调参'!AM35&lt;0,'03_全链计算'!V46+1,0),IF('01_数值调参'!AM36&lt;0,'03_全链计算'!W46+1,0),IF('01_数值调参'!AM37&lt;0,'03_全链计算'!X46+1,0),IF('01_数值调参'!AM38&lt;0,'03_全链计算'!Y46+1,0),IF('01_数值调参'!AM39&lt;0,'03_全链计算'!Z46+1,0),IF('01_数值调参'!AM40&lt;0,'03_全链计算'!AA46+1,0),IF('01_数值调参'!AM41&lt;0,'03_全链计算'!AB46+1,0),IF('01_数值调参'!AM42&lt;0,'03_全链计算'!AC46+1,0),IF('01_数值调参'!AM43&lt;0,'03_全链计算'!AD46+1,0),IF('01_数值调参'!AM44&lt;0,'03_全链计算'!AE46+1,0),IF('01_数值调参'!AM45&lt;0,'03_全链计算'!AF46+1,0),IF('01_数值调参'!AM46&lt;0,'03_全链计算'!AG46+1,0),IF('01_数值调参'!AM47&lt;0,'03_全链计算'!AH46+1,0),IF('01_数值调参'!AM48&lt;0,'03_全链计算'!AI46+1,0),IF('01_数值调参'!AM49&lt;0,'03_全链计算'!AJ46+1,0),IF('01_数值调参'!AM50&lt;0,'03_全链计算'!AK46+1,0),IF('01_数值调参'!AM51&lt;0,'03_全链计算'!AL46+1,0),IF('01_数值调参'!AM52&lt;0,'03_全链计算'!AM46+1,0))</x:f>
        <x:v>2</x:v>
      </x:c>
    </x:row>
    <x:row r="48" ht="22" customHeight="1">
      <x:c r="A48" s="9" t="n">
        <x:v>3</x:v>
      </x:c>
      <x:c r="B48" s="9"/>
      <x:c r="C48" s="9"/>
      <x:c r="D48" s="9"/>
      <x:c r="E48" s="9" t="n">
        <x:f>MAX(IF('01_数值调参'!E18&lt;0,'03_全链计算'!E47+1,0),IF('01_数值调参'!E19&lt;0,'03_全链计算'!F47+1,0),IF('01_数值调参'!E20&lt;0,'03_全链计算'!G47+1,0),IF('01_数值调参'!E21&lt;0,'03_全链计算'!H47+1,0),IF('01_数值调参'!E22&lt;0,'03_全链计算'!I47+1,0),IF('01_数值调参'!E23&lt;0,'03_全链计算'!J47+1,0),IF('01_数值调参'!E24&lt;0,'03_全链计算'!K47+1,0),IF('01_数值调参'!E25&lt;0,'03_全链计算'!L47+1,0),IF('01_数值调参'!E26&lt;0,'03_全链计算'!M47+1,0),IF('01_数值调参'!E27&lt;0,'03_全链计算'!N47+1,0),IF('01_数值调参'!E28&lt;0,'03_全链计算'!O47+1,0),IF('01_数值调参'!E29&lt;0,'03_全链计算'!P47+1,0),IF('01_数值调参'!E30&lt;0,'03_全链计算'!Q47+1,0),IF('01_数值调参'!E31&lt;0,'03_全链计算'!R47+1,0),IF('01_数值调参'!E32&lt;0,'03_全链计算'!S47+1,0),IF('01_数值调参'!E33&lt;0,'03_全链计算'!T47+1,0),IF('01_数值调参'!E34&lt;0,'03_全链计算'!U47+1,0),IF('01_数值调参'!E35&lt;0,'03_全链计算'!V47+1,0),IF('01_数值调参'!E36&lt;0,'03_全链计算'!W47+1,0),IF('01_数值调参'!E37&lt;0,'03_全链计算'!X47+1,0),IF('01_数值调参'!E38&lt;0,'03_全链计算'!Y47+1,0),IF('01_数值调参'!E39&lt;0,'03_全链计算'!Z47+1,0),IF('01_数值调参'!E40&lt;0,'03_全链计算'!AA47+1,0),IF('01_数值调参'!E41&lt;0,'03_全链计算'!AB47+1,0),IF('01_数值调参'!E42&lt;0,'03_全链计算'!AC47+1,0),IF('01_数值调参'!E43&lt;0,'03_全链计算'!AD47+1,0),IF('01_数值调参'!E44&lt;0,'03_全链计算'!AE47+1,0),IF('01_数值调参'!E45&lt;0,'03_全链计算'!AF47+1,0),IF('01_数值调参'!E46&lt;0,'03_全链计算'!AG47+1,0),IF('01_数值调参'!E47&lt;0,'03_全链计算'!AH47+1,0),IF('01_数值调参'!E48&lt;0,'03_全链计算'!AI47+1,0),IF('01_数值调参'!E49&lt;0,'03_全链计算'!AJ47+1,0),IF('01_数值调参'!E50&lt;0,'03_全链计算'!AK47+1,0),IF('01_数值调参'!E51&lt;0,'03_全链计算'!AL47+1,0),IF('01_数值调参'!E52&lt;0,'03_全链计算'!AM47+1,0))</x:f>
        <x:v>0</x:v>
      </x:c>
      <x:c r="F48" s="9" t="n">
        <x:f>MAX(IF('01_数值调参'!F18&lt;0,'03_全链计算'!E47+1,0),IF('01_数值调参'!F19&lt;0,'03_全链计算'!F47+1,0),IF('01_数值调参'!F20&lt;0,'03_全链计算'!G47+1,0),IF('01_数值调参'!F21&lt;0,'03_全链计算'!H47+1,0),IF('01_数值调参'!F22&lt;0,'03_全链计算'!I47+1,0),IF('01_数值调参'!F23&lt;0,'03_全链计算'!J47+1,0),IF('01_数值调参'!F24&lt;0,'03_全链计算'!K47+1,0),IF('01_数值调参'!F25&lt;0,'03_全链计算'!L47+1,0),IF('01_数值调参'!F26&lt;0,'03_全链计算'!M47+1,0),IF('01_数值调参'!F27&lt;0,'03_全链计算'!N47+1,0),IF('01_数值调参'!F28&lt;0,'03_全链计算'!O47+1,0),IF('01_数值调参'!F29&lt;0,'03_全链计算'!P47+1,0),IF('01_数值调参'!F30&lt;0,'03_全链计算'!Q47+1,0),IF('01_数值调参'!F31&lt;0,'03_全链计算'!R47+1,0),IF('01_数值调参'!F32&lt;0,'03_全链计算'!S47+1,0),IF('01_数值调参'!F33&lt;0,'03_全链计算'!T47+1,0),IF('01_数值调参'!F34&lt;0,'03_全链计算'!U47+1,0),IF('01_数值调参'!F35&lt;0,'03_全链计算'!V47+1,0),IF('01_数值调参'!F36&lt;0,'03_全链计算'!W47+1,0),IF('01_数值调参'!F37&lt;0,'03_全链计算'!X47+1,0),IF('01_数值调参'!F38&lt;0,'03_全链计算'!Y47+1,0),IF('01_数值调参'!F39&lt;0,'03_全链计算'!Z47+1,0),IF('01_数值调参'!F40&lt;0,'03_全链计算'!AA47+1,0),IF('01_数值调参'!F41&lt;0,'03_全链计算'!AB47+1,0),IF('01_数值调参'!F42&lt;0,'03_全链计算'!AC47+1,0),IF('01_数值调参'!F43&lt;0,'03_全链计算'!AD47+1,0),IF('01_数值调参'!F44&lt;0,'03_全链计算'!AE47+1,0),IF('01_数值调参'!F45&lt;0,'03_全链计算'!AF47+1,0),IF('01_数值调参'!F46&lt;0,'03_全链计算'!AG47+1,0),IF('01_数值调参'!F47&lt;0,'03_全链计算'!AH47+1,0),IF('01_数值调参'!F48&lt;0,'03_全链计算'!AI47+1,0),IF('01_数值调参'!F49&lt;0,'03_全链计算'!AJ47+1,0),IF('01_数值调参'!F50&lt;0,'03_全链计算'!AK47+1,0),IF('01_数值调参'!F51&lt;0,'03_全链计算'!AL47+1,0),IF('01_数值调参'!F52&lt;0,'03_全链计算'!AM47+1,0))</x:f>
        <x:v>0</x:v>
      </x:c>
      <x:c r="G48" s="9" t="n">
        <x:f>MAX(IF('01_数值调参'!G18&lt;0,'03_全链计算'!E47+1,0),IF('01_数值调参'!G19&lt;0,'03_全链计算'!F47+1,0),IF('01_数值调参'!G20&lt;0,'03_全链计算'!G47+1,0),IF('01_数值调参'!G21&lt;0,'03_全链计算'!H47+1,0),IF('01_数值调参'!G22&lt;0,'03_全链计算'!I47+1,0),IF('01_数值调参'!G23&lt;0,'03_全链计算'!J47+1,0),IF('01_数值调参'!G24&lt;0,'03_全链计算'!K47+1,0),IF('01_数值调参'!G25&lt;0,'03_全链计算'!L47+1,0),IF('01_数值调参'!G26&lt;0,'03_全链计算'!M47+1,0),IF('01_数值调参'!G27&lt;0,'03_全链计算'!N47+1,0),IF('01_数值调参'!G28&lt;0,'03_全链计算'!O47+1,0),IF('01_数值调参'!G29&lt;0,'03_全链计算'!P47+1,0),IF('01_数值调参'!G30&lt;0,'03_全链计算'!Q47+1,0),IF('01_数值调参'!G31&lt;0,'03_全链计算'!R47+1,0),IF('01_数值调参'!G32&lt;0,'03_全链计算'!S47+1,0),IF('01_数值调参'!G33&lt;0,'03_全链计算'!T47+1,0),IF('01_数值调参'!G34&lt;0,'03_全链计算'!U47+1,0),IF('01_数值调参'!G35&lt;0,'03_全链计算'!V47+1,0),IF('01_数值调参'!G36&lt;0,'03_全链计算'!W47+1,0),IF('01_数值调参'!G37&lt;0,'03_全链计算'!X47+1,0),IF('01_数值调参'!G38&lt;0,'03_全链计算'!Y47+1,0),IF('01_数值调参'!G39&lt;0,'03_全链计算'!Z47+1,0),IF('01_数值调参'!G40&lt;0,'03_全链计算'!AA47+1,0),IF('01_数值调参'!G41&lt;0,'03_全链计算'!AB47+1,0),IF('01_数值调参'!G42&lt;0,'03_全链计算'!AC47+1,0),IF('01_数值调参'!G43&lt;0,'03_全链计算'!AD47+1,0),IF('01_数值调参'!G44&lt;0,'03_全链计算'!AE47+1,0),IF('01_数值调参'!G45&lt;0,'03_全链计算'!AF47+1,0),IF('01_数值调参'!G46&lt;0,'03_全链计算'!AG47+1,0),IF('01_数值调参'!G47&lt;0,'03_全链计算'!AH47+1,0),IF('01_数值调参'!G48&lt;0,'03_全链计算'!AI47+1,0),IF('01_数值调参'!G49&lt;0,'03_全链计算'!AJ47+1,0),IF('01_数值调参'!G50&lt;0,'03_全链计算'!AK47+1,0),IF('01_数值调参'!G51&lt;0,'03_全链计算'!AL47+1,0),IF('01_数值调参'!G52&lt;0,'03_全链计算'!AM47+1,0))</x:f>
        <x:v>0</x:v>
      </x:c>
      <x:c r="H48" s="9" t="n">
        <x:f>MAX(IF('01_数值调参'!H18&lt;0,'03_全链计算'!E47+1,0),IF('01_数值调参'!H19&lt;0,'03_全链计算'!F47+1,0),IF('01_数值调参'!H20&lt;0,'03_全链计算'!G47+1,0),IF('01_数值调参'!H21&lt;0,'03_全链计算'!H47+1,0),IF('01_数值调参'!H22&lt;0,'03_全链计算'!I47+1,0),IF('01_数值调参'!H23&lt;0,'03_全链计算'!J47+1,0),IF('01_数值调参'!H24&lt;0,'03_全链计算'!K47+1,0),IF('01_数值调参'!H25&lt;0,'03_全链计算'!L47+1,0),IF('01_数值调参'!H26&lt;0,'03_全链计算'!M47+1,0),IF('01_数值调参'!H27&lt;0,'03_全链计算'!N47+1,0),IF('01_数值调参'!H28&lt;0,'03_全链计算'!O47+1,0),IF('01_数值调参'!H29&lt;0,'03_全链计算'!P47+1,0),IF('01_数值调参'!H30&lt;0,'03_全链计算'!Q47+1,0),IF('01_数值调参'!H31&lt;0,'03_全链计算'!R47+1,0),IF('01_数值调参'!H32&lt;0,'03_全链计算'!S47+1,0),IF('01_数值调参'!H33&lt;0,'03_全链计算'!T47+1,0),IF('01_数值调参'!H34&lt;0,'03_全链计算'!U47+1,0),IF('01_数值调参'!H35&lt;0,'03_全链计算'!V47+1,0),IF('01_数值调参'!H36&lt;0,'03_全链计算'!W47+1,0),IF('01_数值调参'!H37&lt;0,'03_全链计算'!X47+1,0),IF('01_数值调参'!H38&lt;0,'03_全链计算'!Y47+1,0),IF('01_数值调参'!H39&lt;0,'03_全链计算'!Z47+1,0),IF('01_数值调参'!H40&lt;0,'03_全链计算'!AA47+1,0),IF('01_数值调参'!H41&lt;0,'03_全链计算'!AB47+1,0),IF('01_数值调参'!H42&lt;0,'03_全链计算'!AC47+1,0),IF('01_数值调参'!H43&lt;0,'03_全链计算'!AD47+1,0),IF('01_数值调参'!H44&lt;0,'03_全链计算'!AE47+1,0),IF('01_数值调参'!H45&lt;0,'03_全链计算'!AF47+1,0),IF('01_数值调参'!H46&lt;0,'03_全链计算'!AG47+1,0),IF('01_数值调参'!H47&lt;0,'03_全链计算'!AH47+1,0),IF('01_数值调参'!H48&lt;0,'03_全链计算'!AI47+1,0),IF('01_数值调参'!H49&lt;0,'03_全链计算'!AJ47+1,0),IF('01_数值调参'!H50&lt;0,'03_全链计算'!AK47+1,0),IF('01_数值调参'!H51&lt;0,'03_全链计算'!AL47+1,0),IF('01_数值调参'!H52&lt;0,'03_全链计算'!AM47+1,0))</x:f>
        <x:v>0</x:v>
      </x:c>
      <x:c r="I48" s="9" t="n">
        <x:f>MAX(IF('01_数值调参'!I18&lt;0,'03_全链计算'!E47+1,0),IF('01_数值调参'!I19&lt;0,'03_全链计算'!F47+1,0),IF('01_数值调参'!I20&lt;0,'03_全链计算'!G47+1,0),IF('01_数值调参'!I21&lt;0,'03_全链计算'!H47+1,0),IF('01_数值调参'!I22&lt;0,'03_全链计算'!I47+1,0),IF('01_数值调参'!I23&lt;0,'03_全链计算'!J47+1,0),IF('01_数值调参'!I24&lt;0,'03_全链计算'!K47+1,0),IF('01_数值调参'!I25&lt;0,'03_全链计算'!L47+1,0),IF('01_数值调参'!I26&lt;0,'03_全链计算'!M47+1,0),IF('01_数值调参'!I27&lt;0,'03_全链计算'!N47+1,0),IF('01_数值调参'!I28&lt;0,'03_全链计算'!O47+1,0),IF('01_数值调参'!I29&lt;0,'03_全链计算'!P47+1,0),IF('01_数值调参'!I30&lt;0,'03_全链计算'!Q47+1,0),IF('01_数值调参'!I31&lt;0,'03_全链计算'!R47+1,0),IF('01_数值调参'!I32&lt;0,'03_全链计算'!S47+1,0),IF('01_数值调参'!I33&lt;0,'03_全链计算'!T47+1,0),IF('01_数值调参'!I34&lt;0,'03_全链计算'!U47+1,0),IF('01_数值调参'!I35&lt;0,'03_全链计算'!V47+1,0),IF('01_数值调参'!I36&lt;0,'03_全链计算'!W47+1,0),IF('01_数值调参'!I37&lt;0,'03_全链计算'!X47+1,0),IF('01_数值调参'!I38&lt;0,'03_全链计算'!Y47+1,0),IF('01_数值调参'!I39&lt;0,'03_全链计算'!Z47+1,0),IF('01_数值调参'!I40&lt;0,'03_全链计算'!AA47+1,0),IF('01_数值调参'!I41&lt;0,'03_全链计算'!AB47+1,0),IF('01_数值调参'!I42&lt;0,'03_全链计算'!AC47+1,0),IF('01_数值调参'!I43&lt;0,'03_全链计算'!AD47+1,0),IF('01_数值调参'!I44&lt;0,'03_全链计算'!AE47+1,0),IF('01_数值调参'!I45&lt;0,'03_全链计算'!AF47+1,0),IF('01_数值调参'!I46&lt;0,'03_全链计算'!AG47+1,0),IF('01_数值调参'!I47&lt;0,'03_全链计算'!AH47+1,0),IF('01_数值调参'!I48&lt;0,'03_全链计算'!AI47+1,0),IF('01_数值调参'!I49&lt;0,'03_全链计算'!AJ47+1,0),IF('01_数值调参'!I50&lt;0,'03_全链计算'!AK47+1,0),IF('01_数值调参'!I51&lt;0,'03_全链计算'!AL47+1,0),IF('01_数值调参'!I52&lt;0,'03_全链计算'!AM47+1,0))</x:f>
        <x:v>0</x:v>
      </x:c>
      <x:c r="J48" s="9" t="n">
        <x:f>MAX(IF('01_数值调参'!J18&lt;0,'03_全链计算'!E47+1,0),IF('01_数值调参'!J19&lt;0,'03_全链计算'!F47+1,0),IF('01_数值调参'!J20&lt;0,'03_全链计算'!G47+1,0),IF('01_数值调参'!J21&lt;0,'03_全链计算'!H47+1,0),IF('01_数值调参'!J22&lt;0,'03_全链计算'!I47+1,0),IF('01_数值调参'!J23&lt;0,'03_全链计算'!J47+1,0),IF('01_数值调参'!J24&lt;0,'03_全链计算'!K47+1,0),IF('01_数值调参'!J25&lt;0,'03_全链计算'!L47+1,0),IF('01_数值调参'!J26&lt;0,'03_全链计算'!M47+1,0),IF('01_数值调参'!J27&lt;0,'03_全链计算'!N47+1,0),IF('01_数值调参'!J28&lt;0,'03_全链计算'!O47+1,0),IF('01_数值调参'!J29&lt;0,'03_全链计算'!P47+1,0),IF('01_数值调参'!J30&lt;0,'03_全链计算'!Q47+1,0),IF('01_数值调参'!J31&lt;0,'03_全链计算'!R47+1,0),IF('01_数值调参'!J32&lt;0,'03_全链计算'!S47+1,0),IF('01_数值调参'!J33&lt;0,'03_全链计算'!T47+1,0),IF('01_数值调参'!J34&lt;0,'03_全链计算'!U47+1,0),IF('01_数值调参'!J35&lt;0,'03_全链计算'!V47+1,0),IF('01_数值调参'!J36&lt;0,'03_全链计算'!W47+1,0),IF('01_数值调参'!J37&lt;0,'03_全链计算'!X47+1,0),IF('01_数值调参'!J38&lt;0,'03_全链计算'!Y47+1,0),IF('01_数值调参'!J39&lt;0,'03_全链计算'!Z47+1,0),IF('01_数值调参'!J40&lt;0,'03_全链计算'!AA47+1,0),IF('01_数值调参'!J41&lt;0,'03_全链计算'!AB47+1,0),IF('01_数值调参'!J42&lt;0,'03_全链计算'!AC47+1,0),IF('01_数值调参'!J43&lt;0,'03_全链计算'!AD47+1,0),IF('01_数值调参'!J44&lt;0,'03_全链计算'!AE47+1,0),IF('01_数值调参'!J45&lt;0,'03_全链计算'!AF47+1,0),IF('01_数值调参'!J46&lt;0,'03_全链计算'!AG47+1,0),IF('01_数值调参'!J47&lt;0,'03_全链计算'!AH47+1,0),IF('01_数值调参'!J48&lt;0,'03_全链计算'!AI47+1,0),IF('01_数值调参'!J49&lt;0,'03_全链计算'!AJ47+1,0),IF('01_数值调参'!J50&lt;0,'03_全链计算'!AK47+1,0),IF('01_数值调参'!J51&lt;0,'03_全链计算'!AL47+1,0),IF('01_数值调参'!J52&lt;0,'03_全链计算'!AM47+1,0))</x:f>
        <x:v>0</x:v>
      </x:c>
      <x:c r="K48" s="9" t="n">
        <x:f>MAX(IF('01_数值调参'!K18&lt;0,'03_全链计算'!E47+1,0),IF('01_数值调参'!K19&lt;0,'03_全链计算'!F47+1,0),IF('01_数值调参'!K20&lt;0,'03_全链计算'!G47+1,0),IF('01_数值调参'!K21&lt;0,'03_全链计算'!H47+1,0),IF('01_数值调参'!K22&lt;0,'03_全链计算'!I47+1,0),IF('01_数值调参'!K23&lt;0,'03_全链计算'!J47+1,0),IF('01_数值调参'!K24&lt;0,'03_全链计算'!K47+1,0),IF('01_数值调参'!K25&lt;0,'03_全链计算'!L47+1,0),IF('01_数值调参'!K26&lt;0,'03_全链计算'!M47+1,0),IF('01_数值调参'!K27&lt;0,'03_全链计算'!N47+1,0),IF('01_数值调参'!K28&lt;0,'03_全链计算'!O47+1,0),IF('01_数值调参'!K29&lt;0,'03_全链计算'!P47+1,0),IF('01_数值调参'!K30&lt;0,'03_全链计算'!Q47+1,0),IF('01_数值调参'!K31&lt;0,'03_全链计算'!R47+1,0),IF('01_数值调参'!K32&lt;0,'03_全链计算'!S47+1,0),IF('01_数值调参'!K33&lt;0,'03_全链计算'!T47+1,0),IF('01_数值调参'!K34&lt;0,'03_全链计算'!U47+1,0),IF('01_数值调参'!K35&lt;0,'03_全链计算'!V47+1,0),IF('01_数值调参'!K36&lt;0,'03_全链计算'!W47+1,0),IF('01_数值调参'!K37&lt;0,'03_全链计算'!X47+1,0),IF('01_数值调参'!K38&lt;0,'03_全链计算'!Y47+1,0),IF('01_数值调参'!K39&lt;0,'03_全链计算'!Z47+1,0),IF('01_数值调参'!K40&lt;0,'03_全链计算'!AA47+1,0),IF('01_数值调参'!K41&lt;0,'03_全链计算'!AB47+1,0),IF('01_数值调参'!K42&lt;0,'03_全链计算'!AC47+1,0),IF('01_数值调参'!K43&lt;0,'03_全链计算'!AD47+1,0),IF('01_数值调参'!K44&lt;0,'03_全链计算'!AE47+1,0),IF('01_数值调参'!K45&lt;0,'03_全链计算'!AF47+1,0),IF('01_数值调参'!K46&lt;0,'03_全链计算'!AG47+1,0),IF('01_数值调参'!K47&lt;0,'03_全链计算'!AH47+1,0),IF('01_数值调参'!K48&lt;0,'03_全链计算'!AI47+1,0),IF('01_数值调参'!K49&lt;0,'03_全链计算'!AJ47+1,0),IF('01_数值调参'!K50&lt;0,'03_全链计算'!AK47+1,0),IF('01_数值调参'!K51&lt;0,'03_全链计算'!AL47+1,0),IF('01_数值调参'!K52&lt;0,'03_全链计算'!AM47+1,0))</x:f>
        <x:v>0</x:v>
      </x:c>
      <x:c r="L48" s="9" t="n">
        <x:f>MAX(IF('01_数值调参'!L18&lt;0,'03_全链计算'!E47+1,0),IF('01_数值调参'!L19&lt;0,'03_全链计算'!F47+1,0),IF('01_数值调参'!L20&lt;0,'03_全链计算'!G47+1,0),IF('01_数值调参'!L21&lt;0,'03_全链计算'!H47+1,0),IF('01_数值调参'!L22&lt;0,'03_全链计算'!I47+1,0),IF('01_数值调参'!L23&lt;0,'03_全链计算'!J47+1,0),IF('01_数值调参'!L24&lt;0,'03_全链计算'!K47+1,0),IF('01_数值调参'!L25&lt;0,'03_全链计算'!L47+1,0),IF('01_数值调参'!L26&lt;0,'03_全链计算'!M47+1,0),IF('01_数值调参'!L27&lt;0,'03_全链计算'!N47+1,0),IF('01_数值调参'!L28&lt;0,'03_全链计算'!O47+1,0),IF('01_数值调参'!L29&lt;0,'03_全链计算'!P47+1,0),IF('01_数值调参'!L30&lt;0,'03_全链计算'!Q47+1,0),IF('01_数值调参'!L31&lt;0,'03_全链计算'!R47+1,0),IF('01_数值调参'!L32&lt;0,'03_全链计算'!S47+1,0),IF('01_数值调参'!L33&lt;0,'03_全链计算'!T47+1,0),IF('01_数值调参'!L34&lt;0,'03_全链计算'!U47+1,0),IF('01_数值调参'!L35&lt;0,'03_全链计算'!V47+1,0),IF('01_数值调参'!L36&lt;0,'03_全链计算'!W47+1,0),IF('01_数值调参'!L37&lt;0,'03_全链计算'!X47+1,0),IF('01_数值调参'!L38&lt;0,'03_全链计算'!Y47+1,0),IF('01_数值调参'!L39&lt;0,'03_全链计算'!Z47+1,0),IF('01_数值调参'!L40&lt;0,'03_全链计算'!AA47+1,0),IF('01_数值调参'!L41&lt;0,'03_全链计算'!AB47+1,0),IF('01_数值调参'!L42&lt;0,'03_全链计算'!AC47+1,0),IF('01_数值调参'!L43&lt;0,'03_全链计算'!AD47+1,0),IF('01_数值调参'!L44&lt;0,'03_全链计算'!AE47+1,0),IF('01_数值调参'!L45&lt;0,'03_全链计算'!AF47+1,0),IF('01_数值调参'!L46&lt;0,'03_全链计算'!AG47+1,0),IF('01_数值调参'!L47&lt;0,'03_全链计算'!AH47+1,0),IF('01_数值调参'!L48&lt;0,'03_全链计算'!AI47+1,0),IF('01_数值调参'!L49&lt;0,'03_全链计算'!AJ47+1,0),IF('01_数值调参'!L50&lt;0,'03_全链计算'!AK47+1,0),IF('01_数值调参'!L51&lt;0,'03_全链计算'!AL47+1,0),IF('01_数值调参'!L52&lt;0,'03_全链计算'!AM47+1,0))</x:f>
        <x:v>0</x:v>
      </x:c>
      <x:c r="M48" s="9" t="n">
        <x:f>MAX(IF('01_数值调参'!M18&lt;0,'03_全链计算'!E47+1,0),IF('01_数值调参'!M19&lt;0,'03_全链计算'!F47+1,0),IF('01_数值调参'!M20&lt;0,'03_全链计算'!G47+1,0),IF('01_数值调参'!M21&lt;0,'03_全链计算'!H47+1,0),IF('01_数值调参'!M22&lt;0,'03_全链计算'!I47+1,0),IF('01_数值调参'!M23&lt;0,'03_全链计算'!J47+1,0),IF('01_数值调参'!M24&lt;0,'03_全链计算'!K47+1,0),IF('01_数值调参'!M25&lt;0,'03_全链计算'!L47+1,0),IF('01_数值调参'!M26&lt;0,'03_全链计算'!M47+1,0),IF('01_数值调参'!M27&lt;0,'03_全链计算'!N47+1,0),IF('01_数值调参'!M28&lt;0,'03_全链计算'!O47+1,0),IF('01_数值调参'!M29&lt;0,'03_全链计算'!P47+1,0),IF('01_数值调参'!M30&lt;0,'03_全链计算'!Q47+1,0),IF('01_数值调参'!M31&lt;0,'03_全链计算'!R47+1,0),IF('01_数值调参'!M32&lt;0,'03_全链计算'!S47+1,0),IF('01_数值调参'!M33&lt;0,'03_全链计算'!T47+1,0),IF('01_数值调参'!M34&lt;0,'03_全链计算'!U47+1,0),IF('01_数值调参'!M35&lt;0,'03_全链计算'!V47+1,0),IF('01_数值调参'!M36&lt;0,'03_全链计算'!W47+1,0),IF('01_数值调参'!M37&lt;0,'03_全链计算'!X47+1,0),IF('01_数值调参'!M38&lt;0,'03_全链计算'!Y47+1,0),IF('01_数值调参'!M39&lt;0,'03_全链计算'!Z47+1,0),IF('01_数值调参'!M40&lt;0,'03_全链计算'!AA47+1,0),IF('01_数值调参'!M41&lt;0,'03_全链计算'!AB47+1,0),IF('01_数值调参'!M42&lt;0,'03_全链计算'!AC47+1,0),IF('01_数值调参'!M43&lt;0,'03_全链计算'!AD47+1,0),IF('01_数值调参'!M44&lt;0,'03_全链计算'!AE47+1,0),IF('01_数值调参'!M45&lt;0,'03_全链计算'!AF47+1,0),IF('01_数值调参'!M46&lt;0,'03_全链计算'!AG47+1,0),IF('01_数值调参'!M47&lt;0,'03_全链计算'!AH47+1,0),IF('01_数值调参'!M48&lt;0,'03_全链计算'!AI47+1,0),IF('01_数值调参'!M49&lt;0,'03_全链计算'!AJ47+1,0),IF('01_数值调参'!M50&lt;0,'03_全链计算'!AK47+1,0),IF('01_数值调参'!M51&lt;0,'03_全链计算'!AL47+1,0),IF('01_数值调参'!M52&lt;0,'03_全链计算'!AM47+1,0))</x:f>
        <x:v>0</x:v>
      </x:c>
      <x:c r="N48" s="9" t="n">
        <x:f>MAX(IF('01_数值调参'!N18&lt;0,'03_全链计算'!E47+1,0),IF('01_数值调参'!N19&lt;0,'03_全链计算'!F47+1,0),IF('01_数值调参'!N20&lt;0,'03_全链计算'!G47+1,0),IF('01_数值调参'!N21&lt;0,'03_全链计算'!H47+1,0),IF('01_数值调参'!N22&lt;0,'03_全链计算'!I47+1,0),IF('01_数值调参'!N23&lt;0,'03_全链计算'!J47+1,0),IF('01_数值调参'!N24&lt;0,'03_全链计算'!K47+1,0),IF('01_数值调参'!N25&lt;0,'03_全链计算'!L47+1,0),IF('01_数值调参'!N26&lt;0,'03_全链计算'!M47+1,0),IF('01_数值调参'!N27&lt;0,'03_全链计算'!N47+1,0),IF('01_数值调参'!N28&lt;0,'03_全链计算'!O47+1,0),IF('01_数值调参'!N29&lt;0,'03_全链计算'!P47+1,0),IF('01_数值调参'!N30&lt;0,'03_全链计算'!Q47+1,0),IF('01_数值调参'!N31&lt;0,'03_全链计算'!R47+1,0),IF('01_数值调参'!N32&lt;0,'03_全链计算'!S47+1,0),IF('01_数值调参'!N33&lt;0,'03_全链计算'!T47+1,0),IF('01_数值调参'!N34&lt;0,'03_全链计算'!U47+1,0),IF('01_数值调参'!N35&lt;0,'03_全链计算'!V47+1,0),IF('01_数值调参'!N36&lt;0,'03_全链计算'!W47+1,0),IF('01_数值调参'!N37&lt;0,'03_全链计算'!X47+1,0),IF('01_数值调参'!N38&lt;0,'03_全链计算'!Y47+1,0),IF('01_数值调参'!N39&lt;0,'03_全链计算'!Z47+1,0),IF('01_数值调参'!N40&lt;0,'03_全链计算'!AA47+1,0),IF('01_数值调参'!N41&lt;0,'03_全链计算'!AB47+1,0),IF('01_数值调参'!N42&lt;0,'03_全链计算'!AC47+1,0),IF('01_数值调参'!N43&lt;0,'03_全链计算'!AD47+1,0),IF('01_数值调参'!N44&lt;0,'03_全链计算'!AE47+1,0),IF('01_数值调参'!N45&lt;0,'03_全链计算'!AF47+1,0),IF('01_数值调参'!N46&lt;0,'03_全链计算'!AG47+1,0),IF('01_数值调参'!N47&lt;0,'03_全链计算'!AH47+1,0),IF('01_数值调参'!N48&lt;0,'03_全链计算'!AI47+1,0),IF('01_数值调参'!N49&lt;0,'03_全链计算'!AJ47+1,0),IF('01_数值调参'!N50&lt;0,'03_全链计算'!AK47+1,0),IF('01_数值调参'!N51&lt;0,'03_全链计算'!AL47+1,0),IF('01_数值调参'!N52&lt;0,'03_全链计算'!AM47+1,0))</x:f>
        <x:v>1</x:v>
      </x:c>
      <x:c r="O48" s="9" t="n">
        <x:f>MAX(IF('01_数值调参'!O18&lt;0,'03_全链计算'!E47+1,0),IF('01_数值调参'!O19&lt;0,'03_全链计算'!F47+1,0),IF('01_数值调参'!O20&lt;0,'03_全链计算'!G47+1,0),IF('01_数值调参'!O21&lt;0,'03_全链计算'!H47+1,0),IF('01_数值调参'!O22&lt;0,'03_全链计算'!I47+1,0),IF('01_数值调参'!O23&lt;0,'03_全链计算'!J47+1,0),IF('01_数值调参'!O24&lt;0,'03_全链计算'!K47+1,0),IF('01_数值调参'!O25&lt;0,'03_全链计算'!L47+1,0),IF('01_数值调参'!O26&lt;0,'03_全链计算'!M47+1,0),IF('01_数值调参'!O27&lt;0,'03_全链计算'!N47+1,0),IF('01_数值调参'!O28&lt;0,'03_全链计算'!O47+1,0),IF('01_数值调参'!O29&lt;0,'03_全链计算'!P47+1,0),IF('01_数值调参'!O30&lt;0,'03_全链计算'!Q47+1,0),IF('01_数值调参'!O31&lt;0,'03_全链计算'!R47+1,0),IF('01_数值调参'!O32&lt;0,'03_全链计算'!S47+1,0),IF('01_数值调参'!O33&lt;0,'03_全链计算'!T47+1,0),IF('01_数值调参'!O34&lt;0,'03_全链计算'!U47+1,0),IF('01_数值调参'!O35&lt;0,'03_全链计算'!V47+1,0),IF('01_数值调参'!O36&lt;0,'03_全链计算'!W47+1,0),IF('01_数值调参'!O37&lt;0,'03_全链计算'!X47+1,0),IF('01_数值调参'!O38&lt;0,'03_全链计算'!Y47+1,0),IF('01_数值调参'!O39&lt;0,'03_全链计算'!Z47+1,0),IF('01_数值调参'!O40&lt;0,'03_全链计算'!AA47+1,0),IF('01_数值调参'!O41&lt;0,'03_全链计算'!AB47+1,0),IF('01_数值调参'!O42&lt;0,'03_全链计算'!AC47+1,0),IF('01_数值调参'!O43&lt;0,'03_全链计算'!AD47+1,0),IF('01_数值调参'!O44&lt;0,'03_全链计算'!AE47+1,0),IF('01_数值调参'!O45&lt;0,'03_全链计算'!AF47+1,0),IF('01_数值调参'!O46&lt;0,'03_全链计算'!AG47+1,0),IF('01_数值调参'!O47&lt;0,'03_全链计算'!AH47+1,0),IF('01_数值调参'!O48&lt;0,'03_全链计算'!AI47+1,0),IF('01_数值调参'!O49&lt;0,'03_全链计算'!AJ47+1,0),IF('01_数值调参'!O50&lt;0,'03_全链计算'!AK47+1,0),IF('01_数值调参'!O51&lt;0,'03_全链计算'!AL47+1,0),IF('01_数值调参'!O52&lt;0,'03_全链计算'!AM47+1,0))</x:f>
        <x:v>1</x:v>
      </x:c>
      <x:c r="P48" s="9" t="n">
        <x:f>MAX(IF('01_数值调参'!P18&lt;0,'03_全链计算'!E47+1,0),IF('01_数值调参'!P19&lt;0,'03_全链计算'!F47+1,0),IF('01_数值调参'!P20&lt;0,'03_全链计算'!G47+1,0),IF('01_数值调参'!P21&lt;0,'03_全链计算'!H47+1,0),IF('01_数值调参'!P22&lt;0,'03_全链计算'!I47+1,0),IF('01_数值调参'!P23&lt;0,'03_全链计算'!J47+1,0),IF('01_数值调参'!P24&lt;0,'03_全链计算'!K47+1,0),IF('01_数值调参'!P25&lt;0,'03_全链计算'!L47+1,0),IF('01_数值调参'!P26&lt;0,'03_全链计算'!M47+1,0),IF('01_数值调参'!P27&lt;0,'03_全链计算'!N47+1,0),IF('01_数值调参'!P28&lt;0,'03_全链计算'!O47+1,0),IF('01_数值调参'!P29&lt;0,'03_全链计算'!P47+1,0),IF('01_数值调参'!P30&lt;0,'03_全链计算'!Q47+1,0),IF('01_数值调参'!P31&lt;0,'03_全链计算'!R47+1,0),IF('01_数值调参'!P32&lt;0,'03_全链计算'!S47+1,0),IF('01_数值调参'!P33&lt;0,'03_全链计算'!T47+1,0),IF('01_数值调参'!P34&lt;0,'03_全链计算'!U47+1,0),IF('01_数值调参'!P35&lt;0,'03_全链计算'!V47+1,0),IF('01_数值调参'!P36&lt;0,'03_全链计算'!W47+1,0),IF('01_数值调参'!P37&lt;0,'03_全链计算'!X47+1,0),IF('01_数值调参'!P38&lt;0,'03_全链计算'!Y47+1,0),IF('01_数值调参'!P39&lt;0,'03_全链计算'!Z47+1,0),IF('01_数值调参'!P40&lt;0,'03_全链计算'!AA47+1,0),IF('01_数值调参'!P41&lt;0,'03_全链计算'!AB47+1,0),IF('01_数值调参'!P42&lt;0,'03_全链计算'!AC47+1,0),IF('01_数值调参'!P43&lt;0,'03_全链计算'!AD47+1,0),IF('01_数值调参'!P44&lt;0,'03_全链计算'!AE47+1,0),IF('01_数值调参'!P45&lt;0,'03_全链计算'!AF47+1,0),IF('01_数值调参'!P46&lt;0,'03_全链计算'!AG47+1,0),IF('01_数值调参'!P47&lt;0,'03_全链计算'!AH47+1,0),IF('01_数值调参'!P48&lt;0,'03_全链计算'!AI47+1,0),IF('01_数值调参'!P49&lt;0,'03_全链计算'!AJ47+1,0),IF('01_数值调参'!P50&lt;0,'03_全链计算'!AK47+1,0),IF('01_数值调参'!P51&lt;0,'03_全链计算'!AL47+1,0),IF('01_数值调参'!P52&lt;0,'03_全链计算'!AM47+1,0))</x:f>
        <x:v>1</x:v>
      </x:c>
      <x:c r="Q48" s="9" t="n">
        <x:f>MAX(IF('01_数值调参'!Q18&lt;0,'03_全链计算'!E47+1,0),IF('01_数值调参'!Q19&lt;0,'03_全链计算'!F47+1,0),IF('01_数值调参'!Q20&lt;0,'03_全链计算'!G47+1,0),IF('01_数值调参'!Q21&lt;0,'03_全链计算'!H47+1,0),IF('01_数值调参'!Q22&lt;0,'03_全链计算'!I47+1,0),IF('01_数值调参'!Q23&lt;0,'03_全链计算'!J47+1,0),IF('01_数值调参'!Q24&lt;0,'03_全链计算'!K47+1,0),IF('01_数值调参'!Q25&lt;0,'03_全链计算'!L47+1,0),IF('01_数值调参'!Q26&lt;0,'03_全链计算'!M47+1,0),IF('01_数值调参'!Q27&lt;0,'03_全链计算'!N47+1,0),IF('01_数值调参'!Q28&lt;0,'03_全链计算'!O47+1,0),IF('01_数值调参'!Q29&lt;0,'03_全链计算'!P47+1,0),IF('01_数值调参'!Q30&lt;0,'03_全链计算'!Q47+1,0),IF('01_数值调参'!Q31&lt;0,'03_全链计算'!R47+1,0),IF('01_数值调参'!Q32&lt;0,'03_全链计算'!S47+1,0),IF('01_数值调参'!Q33&lt;0,'03_全链计算'!T47+1,0),IF('01_数值调参'!Q34&lt;0,'03_全链计算'!U47+1,0),IF('01_数值调参'!Q35&lt;0,'03_全链计算'!V47+1,0),IF('01_数值调参'!Q36&lt;0,'03_全链计算'!W47+1,0),IF('01_数值调参'!Q37&lt;0,'03_全链计算'!X47+1,0),IF('01_数值调参'!Q38&lt;0,'03_全链计算'!Y47+1,0),IF('01_数值调参'!Q39&lt;0,'03_全链计算'!Z47+1,0),IF('01_数值调参'!Q40&lt;0,'03_全链计算'!AA47+1,0),IF('01_数值调参'!Q41&lt;0,'03_全链计算'!AB47+1,0),IF('01_数值调参'!Q42&lt;0,'03_全链计算'!AC47+1,0),IF('01_数值调参'!Q43&lt;0,'03_全链计算'!AD47+1,0),IF('01_数值调参'!Q44&lt;0,'03_全链计算'!AE47+1,0),IF('01_数值调参'!Q45&lt;0,'03_全链计算'!AF47+1,0),IF('01_数值调参'!Q46&lt;0,'03_全链计算'!AG47+1,0),IF('01_数值调参'!Q47&lt;0,'03_全链计算'!AH47+1,0),IF('01_数值调参'!Q48&lt;0,'03_全链计算'!AI47+1,0),IF('01_数值调参'!Q49&lt;0,'03_全链计算'!AJ47+1,0),IF('01_数值调参'!Q50&lt;0,'03_全链计算'!AK47+1,0),IF('01_数值调参'!Q51&lt;0,'03_全链计算'!AL47+1,0),IF('01_数值调参'!Q52&lt;0,'03_全链计算'!AM47+1,0))</x:f>
        <x:v>1</x:v>
      </x:c>
      <x:c r="R48" s="9" t="n">
        <x:f>MAX(IF('01_数值调参'!R18&lt;0,'03_全链计算'!E47+1,0),IF('01_数值调参'!R19&lt;0,'03_全链计算'!F47+1,0),IF('01_数值调参'!R20&lt;0,'03_全链计算'!G47+1,0),IF('01_数值调参'!R21&lt;0,'03_全链计算'!H47+1,0),IF('01_数值调参'!R22&lt;0,'03_全链计算'!I47+1,0),IF('01_数值调参'!R23&lt;0,'03_全链计算'!J47+1,0),IF('01_数值调参'!R24&lt;0,'03_全链计算'!K47+1,0),IF('01_数值调参'!R25&lt;0,'03_全链计算'!L47+1,0),IF('01_数值调参'!R26&lt;0,'03_全链计算'!M47+1,0),IF('01_数值调参'!R27&lt;0,'03_全链计算'!N47+1,0),IF('01_数值调参'!R28&lt;0,'03_全链计算'!O47+1,0),IF('01_数值调参'!R29&lt;0,'03_全链计算'!P47+1,0),IF('01_数值调参'!R30&lt;0,'03_全链计算'!Q47+1,0),IF('01_数值调参'!R31&lt;0,'03_全链计算'!R47+1,0),IF('01_数值调参'!R32&lt;0,'03_全链计算'!S47+1,0),IF('01_数值调参'!R33&lt;0,'03_全链计算'!T47+1,0),IF('01_数值调参'!R34&lt;0,'03_全链计算'!U47+1,0),IF('01_数值调参'!R35&lt;0,'03_全链计算'!V47+1,0),IF('01_数值调参'!R36&lt;0,'03_全链计算'!W47+1,0),IF('01_数值调参'!R37&lt;0,'03_全链计算'!X47+1,0),IF('01_数值调参'!R38&lt;0,'03_全链计算'!Y47+1,0),IF('01_数值调参'!R39&lt;0,'03_全链计算'!Z47+1,0),IF('01_数值调参'!R40&lt;0,'03_全链计算'!AA47+1,0),IF('01_数值调参'!R41&lt;0,'03_全链计算'!AB47+1,0),IF('01_数值调参'!R42&lt;0,'03_全链计算'!AC47+1,0),IF('01_数值调参'!R43&lt;0,'03_全链计算'!AD47+1,0),IF('01_数值调参'!R44&lt;0,'03_全链计算'!AE47+1,0),IF('01_数值调参'!R45&lt;0,'03_全链计算'!AF47+1,0),IF('01_数值调参'!R46&lt;0,'03_全链计算'!AG47+1,0),IF('01_数值调参'!R47&lt;0,'03_全链计算'!AH47+1,0),IF('01_数值调参'!R48&lt;0,'03_全链计算'!AI47+1,0),IF('01_数值调参'!R49&lt;0,'03_全链计算'!AJ47+1,0),IF('01_数值调参'!R50&lt;0,'03_全链计算'!AK47+1,0),IF('01_数值调参'!R51&lt;0,'03_全链计算'!AL47+1,0),IF('01_数值调参'!R52&lt;0,'03_全链计算'!AM47+1,0))</x:f>
        <x:v>1</x:v>
      </x:c>
      <x:c r="S48" s="9" t="n">
        <x:f>MAX(IF('01_数值调参'!S18&lt;0,'03_全链计算'!E47+1,0),IF('01_数值调参'!S19&lt;0,'03_全链计算'!F47+1,0),IF('01_数值调参'!S20&lt;0,'03_全链计算'!G47+1,0),IF('01_数值调参'!S21&lt;0,'03_全链计算'!H47+1,0),IF('01_数值调参'!S22&lt;0,'03_全链计算'!I47+1,0),IF('01_数值调参'!S23&lt;0,'03_全链计算'!J47+1,0),IF('01_数值调参'!S24&lt;0,'03_全链计算'!K47+1,0),IF('01_数值调参'!S25&lt;0,'03_全链计算'!L47+1,0),IF('01_数值调参'!S26&lt;0,'03_全链计算'!M47+1,0),IF('01_数值调参'!S27&lt;0,'03_全链计算'!N47+1,0),IF('01_数值调参'!S28&lt;0,'03_全链计算'!O47+1,0),IF('01_数值调参'!S29&lt;0,'03_全链计算'!P47+1,0),IF('01_数值调参'!S30&lt;0,'03_全链计算'!Q47+1,0),IF('01_数值调参'!S31&lt;0,'03_全链计算'!R47+1,0),IF('01_数值调参'!S32&lt;0,'03_全链计算'!S47+1,0),IF('01_数值调参'!S33&lt;0,'03_全链计算'!T47+1,0),IF('01_数值调参'!S34&lt;0,'03_全链计算'!U47+1,0),IF('01_数值调参'!S35&lt;0,'03_全链计算'!V47+1,0),IF('01_数值调参'!S36&lt;0,'03_全链计算'!W47+1,0),IF('01_数值调参'!S37&lt;0,'03_全链计算'!X47+1,0),IF('01_数值调参'!S38&lt;0,'03_全链计算'!Y47+1,0),IF('01_数值调参'!S39&lt;0,'03_全链计算'!Z47+1,0),IF('01_数值调参'!S40&lt;0,'03_全链计算'!AA47+1,0),IF('01_数值调参'!S41&lt;0,'03_全链计算'!AB47+1,0),IF('01_数值调参'!S42&lt;0,'03_全链计算'!AC47+1,0),IF('01_数值调参'!S43&lt;0,'03_全链计算'!AD47+1,0),IF('01_数值调参'!S44&lt;0,'03_全链计算'!AE47+1,0),IF('01_数值调参'!S45&lt;0,'03_全链计算'!AF47+1,0),IF('01_数值调参'!S46&lt;0,'03_全链计算'!AG47+1,0),IF('01_数值调参'!S47&lt;0,'03_全链计算'!AH47+1,0),IF('01_数值调参'!S48&lt;0,'03_全链计算'!AI47+1,0),IF('01_数值调参'!S49&lt;0,'03_全链计算'!AJ47+1,0),IF('01_数值调参'!S50&lt;0,'03_全链计算'!AK47+1,0),IF('01_数值调参'!S51&lt;0,'03_全链计算'!AL47+1,0),IF('01_数值调参'!S52&lt;0,'03_全链计算'!AM47+1,0))</x:f>
        <x:v>1</x:v>
      </x:c>
      <x:c r="T48" s="9" t="n">
        <x:f>MAX(IF('01_数值调参'!T18&lt;0,'03_全链计算'!E47+1,0),IF('01_数值调参'!T19&lt;0,'03_全链计算'!F47+1,0),IF('01_数值调参'!T20&lt;0,'03_全链计算'!G47+1,0),IF('01_数值调参'!T21&lt;0,'03_全链计算'!H47+1,0),IF('01_数值调参'!T22&lt;0,'03_全链计算'!I47+1,0),IF('01_数值调参'!T23&lt;0,'03_全链计算'!J47+1,0),IF('01_数值调参'!T24&lt;0,'03_全链计算'!K47+1,0),IF('01_数值调参'!T25&lt;0,'03_全链计算'!L47+1,0),IF('01_数值调参'!T26&lt;0,'03_全链计算'!M47+1,0),IF('01_数值调参'!T27&lt;0,'03_全链计算'!N47+1,0),IF('01_数值调参'!T28&lt;0,'03_全链计算'!O47+1,0),IF('01_数值调参'!T29&lt;0,'03_全链计算'!P47+1,0),IF('01_数值调参'!T30&lt;0,'03_全链计算'!Q47+1,0),IF('01_数值调参'!T31&lt;0,'03_全链计算'!R47+1,0),IF('01_数值调参'!T32&lt;0,'03_全链计算'!S47+1,0),IF('01_数值调参'!T33&lt;0,'03_全链计算'!T47+1,0),IF('01_数值调参'!T34&lt;0,'03_全链计算'!U47+1,0),IF('01_数值调参'!T35&lt;0,'03_全链计算'!V47+1,0),IF('01_数值调参'!T36&lt;0,'03_全链计算'!W47+1,0),IF('01_数值调参'!T37&lt;0,'03_全链计算'!X47+1,0),IF('01_数值调参'!T38&lt;0,'03_全链计算'!Y47+1,0),IF('01_数值调参'!T39&lt;0,'03_全链计算'!Z47+1,0),IF('01_数值调参'!T40&lt;0,'03_全链计算'!AA47+1,0),IF('01_数值调参'!T41&lt;0,'03_全链计算'!AB47+1,0),IF('01_数值调参'!T42&lt;0,'03_全链计算'!AC47+1,0),IF('01_数值调参'!T43&lt;0,'03_全链计算'!AD47+1,0),IF('01_数值调参'!T44&lt;0,'03_全链计算'!AE47+1,0),IF('01_数值调参'!T45&lt;0,'03_全链计算'!AF47+1,0),IF('01_数值调参'!T46&lt;0,'03_全链计算'!AG47+1,0),IF('01_数值调参'!T47&lt;0,'03_全链计算'!AH47+1,0),IF('01_数值调参'!T48&lt;0,'03_全链计算'!AI47+1,0),IF('01_数值调参'!T49&lt;0,'03_全链计算'!AJ47+1,0),IF('01_数值调参'!T50&lt;0,'03_全链计算'!AK47+1,0),IF('01_数值调参'!T51&lt;0,'03_全链计算'!AL47+1,0),IF('01_数值调参'!T52&lt;0,'03_全链计算'!AM47+1,0))</x:f>
        <x:v>1</x:v>
      </x:c>
      <x:c r="U48" s="9" t="n">
        <x:f>MAX(IF('01_数值调参'!U18&lt;0,'03_全链计算'!E47+1,0),IF('01_数值调参'!U19&lt;0,'03_全链计算'!F47+1,0),IF('01_数值调参'!U20&lt;0,'03_全链计算'!G47+1,0),IF('01_数值调参'!U21&lt;0,'03_全链计算'!H47+1,0),IF('01_数值调参'!U22&lt;0,'03_全链计算'!I47+1,0),IF('01_数值调参'!U23&lt;0,'03_全链计算'!J47+1,0),IF('01_数值调参'!U24&lt;0,'03_全链计算'!K47+1,0),IF('01_数值调参'!U25&lt;0,'03_全链计算'!L47+1,0),IF('01_数值调参'!U26&lt;0,'03_全链计算'!M47+1,0),IF('01_数值调参'!U27&lt;0,'03_全链计算'!N47+1,0),IF('01_数值调参'!U28&lt;0,'03_全链计算'!O47+1,0),IF('01_数值调参'!U29&lt;0,'03_全链计算'!P47+1,0),IF('01_数值调参'!U30&lt;0,'03_全链计算'!Q47+1,0),IF('01_数值调参'!U31&lt;0,'03_全链计算'!R47+1,0),IF('01_数值调参'!U32&lt;0,'03_全链计算'!S47+1,0),IF('01_数值调参'!U33&lt;0,'03_全链计算'!T47+1,0),IF('01_数值调参'!U34&lt;0,'03_全链计算'!U47+1,0),IF('01_数值调参'!U35&lt;0,'03_全链计算'!V47+1,0),IF('01_数值调参'!U36&lt;0,'03_全链计算'!W47+1,0),IF('01_数值调参'!U37&lt;0,'03_全链计算'!X47+1,0),IF('01_数值调参'!U38&lt;0,'03_全链计算'!Y47+1,0),IF('01_数值调参'!U39&lt;0,'03_全链计算'!Z47+1,0),IF('01_数值调参'!U40&lt;0,'03_全链计算'!AA47+1,0),IF('01_数值调参'!U41&lt;0,'03_全链计算'!AB47+1,0),IF('01_数值调参'!U42&lt;0,'03_全链计算'!AC47+1,0),IF('01_数值调参'!U43&lt;0,'03_全链计算'!AD47+1,0),IF('01_数值调参'!U44&lt;0,'03_全链计算'!AE47+1,0),IF('01_数值调参'!U45&lt;0,'03_全链计算'!AF47+1,0),IF('01_数值调参'!U46&lt;0,'03_全链计算'!AG47+1,0),IF('01_数值调参'!U47&lt;0,'03_全链计算'!AH47+1,0),IF('01_数值调参'!U48&lt;0,'03_全链计算'!AI47+1,0),IF('01_数值调参'!U49&lt;0,'03_全链计算'!AJ47+1,0),IF('01_数值调参'!U50&lt;0,'03_全链计算'!AK47+1,0),IF('01_数值调参'!U51&lt;0,'03_全链计算'!AL47+1,0),IF('01_数值调参'!U52&lt;0,'03_全链计算'!AM47+1,0))</x:f>
        <x:v>1</x:v>
      </x:c>
      <x:c r="V48" s="9" t="n">
        <x:f>MAX(IF('01_数值调参'!V18&lt;0,'03_全链计算'!E47+1,0),IF('01_数值调参'!V19&lt;0,'03_全链计算'!F47+1,0),IF('01_数值调参'!V20&lt;0,'03_全链计算'!G47+1,0),IF('01_数值调参'!V21&lt;0,'03_全链计算'!H47+1,0),IF('01_数值调参'!V22&lt;0,'03_全链计算'!I47+1,0),IF('01_数值调参'!V23&lt;0,'03_全链计算'!J47+1,0),IF('01_数值调参'!V24&lt;0,'03_全链计算'!K47+1,0),IF('01_数值调参'!V25&lt;0,'03_全链计算'!L47+1,0),IF('01_数值调参'!V26&lt;0,'03_全链计算'!M47+1,0),IF('01_数值调参'!V27&lt;0,'03_全链计算'!N47+1,0),IF('01_数值调参'!V28&lt;0,'03_全链计算'!O47+1,0),IF('01_数值调参'!V29&lt;0,'03_全链计算'!P47+1,0),IF('01_数值调参'!V30&lt;0,'03_全链计算'!Q47+1,0),IF('01_数值调参'!V31&lt;0,'03_全链计算'!R47+1,0),IF('01_数值调参'!V32&lt;0,'03_全链计算'!S47+1,0),IF('01_数值调参'!V33&lt;0,'03_全链计算'!T47+1,0),IF('01_数值调参'!V34&lt;0,'03_全链计算'!U47+1,0),IF('01_数值调参'!V35&lt;0,'03_全链计算'!V47+1,0),IF('01_数值调参'!V36&lt;0,'03_全链计算'!W47+1,0),IF('01_数值调参'!V37&lt;0,'03_全链计算'!X47+1,0),IF('01_数值调参'!V38&lt;0,'03_全链计算'!Y47+1,0),IF('01_数值调参'!V39&lt;0,'03_全链计算'!Z47+1,0),IF('01_数值调参'!V40&lt;0,'03_全链计算'!AA47+1,0),IF('01_数值调参'!V41&lt;0,'03_全链计算'!AB47+1,0),IF('01_数值调参'!V42&lt;0,'03_全链计算'!AC47+1,0),IF('01_数值调参'!V43&lt;0,'03_全链计算'!AD47+1,0),IF('01_数值调参'!V44&lt;0,'03_全链计算'!AE47+1,0),IF('01_数值调参'!V45&lt;0,'03_全链计算'!AF47+1,0),IF('01_数值调参'!V46&lt;0,'03_全链计算'!AG47+1,0),IF('01_数值调参'!V47&lt;0,'03_全链计算'!AH47+1,0),IF('01_数值调参'!V48&lt;0,'03_全链计算'!AI47+1,0),IF('01_数值调参'!V49&lt;0,'03_全链计算'!AJ47+1,0),IF('01_数值调参'!V50&lt;0,'03_全链计算'!AK47+1,0),IF('01_数值调参'!V51&lt;0,'03_全链计算'!AL47+1,0),IF('01_数值调参'!V52&lt;0,'03_全链计算'!AM47+1,0))</x:f>
        <x:v>1</x:v>
      </x:c>
      <x:c r="W48" s="9" t="n">
        <x:f>MAX(IF('01_数值调参'!W18&lt;0,'03_全链计算'!E47+1,0),IF('01_数值调参'!W19&lt;0,'03_全链计算'!F47+1,0),IF('01_数值调参'!W20&lt;0,'03_全链计算'!G47+1,0),IF('01_数值调参'!W21&lt;0,'03_全链计算'!H47+1,0),IF('01_数值调参'!W22&lt;0,'03_全链计算'!I47+1,0),IF('01_数值调参'!W23&lt;0,'03_全链计算'!J47+1,0),IF('01_数值调参'!W24&lt;0,'03_全链计算'!K47+1,0),IF('01_数值调参'!W25&lt;0,'03_全链计算'!L47+1,0),IF('01_数值调参'!W26&lt;0,'03_全链计算'!M47+1,0),IF('01_数值调参'!W27&lt;0,'03_全链计算'!N47+1,0),IF('01_数值调参'!W28&lt;0,'03_全链计算'!O47+1,0),IF('01_数值调参'!W29&lt;0,'03_全链计算'!P47+1,0),IF('01_数值调参'!W30&lt;0,'03_全链计算'!Q47+1,0),IF('01_数值调参'!W31&lt;0,'03_全链计算'!R47+1,0),IF('01_数值调参'!W32&lt;0,'03_全链计算'!S47+1,0),IF('01_数值调参'!W33&lt;0,'03_全链计算'!T47+1,0),IF('01_数值调参'!W34&lt;0,'03_全链计算'!U47+1,0),IF('01_数值调参'!W35&lt;0,'03_全链计算'!V47+1,0),IF('01_数值调参'!W36&lt;0,'03_全链计算'!W47+1,0),IF('01_数值调参'!W37&lt;0,'03_全链计算'!X47+1,0),IF('01_数值调参'!W38&lt;0,'03_全链计算'!Y47+1,0),IF('01_数值调参'!W39&lt;0,'03_全链计算'!Z47+1,0),IF('01_数值调参'!W40&lt;0,'03_全链计算'!AA47+1,0),IF('01_数值调参'!W41&lt;0,'03_全链计算'!AB47+1,0),IF('01_数值调参'!W42&lt;0,'03_全链计算'!AC47+1,0),IF('01_数值调参'!W43&lt;0,'03_全链计算'!AD47+1,0),IF('01_数值调参'!W44&lt;0,'03_全链计算'!AE47+1,0),IF('01_数值调参'!W45&lt;0,'03_全链计算'!AF47+1,0),IF('01_数值调参'!W46&lt;0,'03_全链计算'!AG47+1,0),IF('01_数值调参'!W47&lt;0,'03_全链计算'!AH47+1,0),IF('01_数值调参'!W48&lt;0,'03_全链计算'!AI47+1,0),IF('01_数值调参'!W49&lt;0,'03_全链计算'!AJ47+1,0),IF('01_数值调参'!W50&lt;0,'03_全链计算'!AK47+1,0),IF('01_数值调参'!W51&lt;0,'03_全链计算'!AL47+1,0),IF('01_数值调参'!W52&lt;0,'03_全链计算'!AM47+1,0))</x:f>
        <x:v>1</x:v>
      </x:c>
      <x:c r="X48" s="9" t="n">
        <x:f>MAX(IF('01_数值调参'!X18&lt;0,'03_全链计算'!E47+1,0),IF('01_数值调参'!X19&lt;0,'03_全链计算'!F47+1,0),IF('01_数值调参'!X20&lt;0,'03_全链计算'!G47+1,0),IF('01_数值调参'!X21&lt;0,'03_全链计算'!H47+1,0),IF('01_数值调参'!X22&lt;0,'03_全链计算'!I47+1,0),IF('01_数值调参'!X23&lt;0,'03_全链计算'!J47+1,0),IF('01_数值调参'!X24&lt;0,'03_全链计算'!K47+1,0),IF('01_数值调参'!X25&lt;0,'03_全链计算'!L47+1,0),IF('01_数值调参'!X26&lt;0,'03_全链计算'!M47+1,0),IF('01_数值调参'!X27&lt;0,'03_全链计算'!N47+1,0),IF('01_数值调参'!X28&lt;0,'03_全链计算'!O47+1,0),IF('01_数值调参'!X29&lt;0,'03_全链计算'!P47+1,0),IF('01_数值调参'!X30&lt;0,'03_全链计算'!Q47+1,0),IF('01_数值调参'!X31&lt;0,'03_全链计算'!R47+1,0),IF('01_数值调参'!X32&lt;0,'03_全链计算'!S47+1,0),IF('01_数值调参'!X33&lt;0,'03_全链计算'!T47+1,0),IF('01_数值调参'!X34&lt;0,'03_全链计算'!U47+1,0),IF('01_数值调参'!X35&lt;0,'03_全链计算'!V47+1,0),IF('01_数值调参'!X36&lt;0,'03_全链计算'!W47+1,0),IF('01_数值调参'!X37&lt;0,'03_全链计算'!X47+1,0),IF('01_数值调参'!X38&lt;0,'03_全链计算'!Y47+1,0),IF('01_数值调参'!X39&lt;0,'03_全链计算'!Z47+1,0),IF('01_数值调参'!X40&lt;0,'03_全链计算'!AA47+1,0),IF('01_数值调参'!X41&lt;0,'03_全链计算'!AB47+1,0),IF('01_数值调参'!X42&lt;0,'03_全链计算'!AC47+1,0),IF('01_数值调参'!X43&lt;0,'03_全链计算'!AD47+1,0),IF('01_数值调参'!X44&lt;0,'03_全链计算'!AE47+1,0),IF('01_数值调参'!X45&lt;0,'03_全链计算'!AF47+1,0),IF('01_数值调参'!X46&lt;0,'03_全链计算'!AG47+1,0),IF('01_数值调参'!X47&lt;0,'03_全链计算'!AH47+1,0),IF('01_数值调参'!X48&lt;0,'03_全链计算'!AI47+1,0),IF('01_数值调参'!X49&lt;0,'03_全链计算'!AJ47+1,0),IF('01_数值调参'!X50&lt;0,'03_全链计算'!AK47+1,0),IF('01_数值调参'!X51&lt;0,'03_全链计算'!AL47+1,0),IF('01_数值调参'!X52&lt;0,'03_全链计算'!AM47+1,0))</x:f>
        <x:v>2</x:v>
      </x:c>
      <x:c r="Y48" s="9" t="n">
        <x:f>MAX(IF('01_数值调参'!Y18&lt;0,'03_全链计算'!E47+1,0),IF('01_数值调参'!Y19&lt;0,'03_全链计算'!F47+1,0),IF('01_数值调参'!Y20&lt;0,'03_全链计算'!G47+1,0),IF('01_数值调参'!Y21&lt;0,'03_全链计算'!H47+1,0),IF('01_数值调参'!Y22&lt;0,'03_全链计算'!I47+1,0),IF('01_数值调参'!Y23&lt;0,'03_全链计算'!J47+1,0),IF('01_数值调参'!Y24&lt;0,'03_全链计算'!K47+1,0),IF('01_数值调参'!Y25&lt;0,'03_全链计算'!L47+1,0),IF('01_数值调参'!Y26&lt;0,'03_全链计算'!M47+1,0),IF('01_数值调参'!Y27&lt;0,'03_全链计算'!N47+1,0),IF('01_数值调参'!Y28&lt;0,'03_全链计算'!O47+1,0),IF('01_数值调参'!Y29&lt;0,'03_全链计算'!P47+1,0),IF('01_数值调参'!Y30&lt;0,'03_全链计算'!Q47+1,0),IF('01_数值调参'!Y31&lt;0,'03_全链计算'!R47+1,0),IF('01_数值调参'!Y32&lt;0,'03_全链计算'!S47+1,0),IF('01_数值调参'!Y33&lt;0,'03_全链计算'!T47+1,0),IF('01_数值调参'!Y34&lt;0,'03_全链计算'!U47+1,0),IF('01_数值调参'!Y35&lt;0,'03_全链计算'!V47+1,0),IF('01_数值调参'!Y36&lt;0,'03_全链计算'!W47+1,0),IF('01_数值调参'!Y37&lt;0,'03_全链计算'!X47+1,0),IF('01_数值调参'!Y38&lt;0,'03_全链计算'!Y47+1,0),IF('01_数值调参'!Y39&lt;0,'03_全链计算'!Z47+1,0),IF('01_数值调参'!Y40&lt;0,'03_全链计算'!AA47+1,0),IF('01_数值调参'!Y41&lt;0,'03_全链计算'!AB47+1,0),IF('01_数值调参'!Y42&lt;0,'03_全链计算'!AC47+1,0),IF('01_数值调参'!Y43&lt;0,'03_全链计算'!AD47+1,0),IF('01_数值调参'!Y44&lt;0,'03_全链计算'!AE47+1,0),IF('01_数值调参'!Y45&lt;0,'03_全链计算'!AF47+1,0),IF('01_数值调参'!Y46&lt;0,'03_全链计算'!AG47+1,0),IF('01_数值调参'!Y47&lt;0,'03_全链计算'!AH47+1,0),IF('01_数值调参'!Y48&lt;0,'03_全链计算'!AI47+1,0),IF('01_数值调参'!Y49&lt;0,'03_全链计算'!AJ47+1,0),IF('01_数值调参'!Y50&lt;0,'03_全链计算'!AK47+1,0),IF('01_数值调参'!Y51&lt;0,'03_全链计算'!AL47+1,0),IF('01_数值调参'!Y52&lt;0,'03_全链计算'!AM47+1,0))</x:f>
        <x:v>2</x:v>
      </x:c>
      <x:c r="Z48" s="9" t="n">
        <x:f>MAX(IF('01_数值调参'!Z18&lt;0,'03_全链计算'!E47+1,0),IF('01_数值调参'!Z19&lt;0,'03_全链计算'!F47+1,0),IF('01_数值调参'!Z20&lt;0,'03_全链计算'!G47+1,0),IF('01_数值调参'!Z21&lt;0,'03_全链计算'!H47+1,0),IF('01_数值调参'!Z22&lt;0,'03_全链计算'!I47+1,0),IF('01_数值调参'!Z23&lt;0,'03_全链计算'!J47+1,0),IF('01_数值调参'!Z24&lt;0,'03_全链计算'!K47+1,0),IF('01_数值调参'!Z25&lt;0,'03_全链计算'!L47+1,0),IF('01_数值调参'!Z26&lt;0,'03_全链计算'!M47+1,0),IF('01_数值调参'!Z27&lt;0,'03_全链计算'!N47+1,0),IF('01_数值调参'!Z28&lt;0,'03_全链计算'!O47+1,0),IF('01_数值调参'!Z29&lt;0,'03_全链计算'!P47+1,0),IF('01_数值调参'!Z30&lt;0,'03_全链计算'!Q47+1,0),IF('01_数值调参'!Z31&lt;0,'03_全链计算'!R47+1,0),IF('01_数值调参'!Z32&lt;0,'03_全链计算'!S47+1,0),IF('01_数值调参'!Z33&lt;0,'03_全链计算'!T47+1,0),IF('01_数值调参'!Z34&lt;0,'03_全链计算'!U47+1,0),IF('01_数值调参'!Z35&lt;0,'03_全链计算'!V47+1,0),IF('01_数值调参'!Z36&lt;0,'03_全链计算'!W47+1,0),IF('01_数值调参'!Z37&lt;0,'03_全链计算'!X47+1,0),IF('01_数值调参'!Z38&lt;0,'03_全链计算'!Y47+1,0),IF('01_数值调参'!Z39&lt;0,'03_全链计算'!Z47+1,0),IF('01_数值调参'!Z40&lt;0,'03_全链计算'!AA47+1,0),IF('01_数值调参'!Z41&lt;0,'03_全链计算'!AB47+1,0),IF('01_数值调参'!Z42&lt;0,'03_全链计算'!AC47+1,0),IF('01_数值调参'!Z43&lt;0,'03_全链计算'!AD47+1,0),IF('01_数值调参'!Z44&lt;0,'03_全链计算'!AE47+1,0),IF('01_数值调参'!Z45&lt;0,'03_全链计算'!AF47+1,0),IF('01_数值调参'!Z46&lt;0,'03_全链计算'!AG47+1,0),IF('01_数值调参'!Z47&lt;0,'03_全链计算'!AH47+1,0),IF('01_数值调参'!Z48&lt;0,'03_全链计算'!AI47+1,0),IF('01_数值调参'!Z49&lt;0,'03_全链计算'!AJ47+1,0),IF('01_数值调参'!Z50&lt;0,'03_全链计算'!AK47+1,0),IF('01_数值调参'!Z51&lt;0,'03_全链计算'!AL47+1,0),IF('01_数值调参'!Z52&lt;0,'03_全链计算'!AM47+1,0))</x:f>
        <x:v>2</x:v>
      </x:c>
      <x:c r="AA48" s="9" t="n">
        <x:f>MAX(IF('01_数值调参'!AA18&lt;0,'03_全链计算'!E47+1,0),IF('01_数值调参'!AA19&lt;0,'03_全链计算'!F47+1,0),IF('01_数值调参'!AA20&lt;0,'03_全链计算'!G47+1,0),IF('01_数值调参'!AA21&lt;0,'03_全链计算'!H47+1,0),IF('01_数值调参'!AA22&lt;0,'03_全链计算'!I47+1,0),IF('01_数值调参'!AA23&lt;0,'03_全链计算'!J47+1,0),IF('01_数值调参'!AA24&lt;0,'03_全链计算'!K47+1,0),IF('01_数值调参'!AA25&lt;0,'03_全链计算'!L47+1,0),IF('01_数值调参'!AA26&lt;0,'03_全链计算'!M47+1,0),IF('01_数值调参'!AA27&lt;0,'03_全链计算'!N47+1,0),IF('01_数值调参'!AA28&lt;0,'03_全链计算'!O47+1,0),IF('01_数值调参'!AA29&lt;0,'03_全链计算'!P47+1,0),IF('01_数值调参'!AA30&lt;0,'03_全链计算'!Q47+1,0),IF('01_数值调参'!AA31&lt;0,'03_全链计算'!R47+1,0),IF('01_数值调参'!AA32&lt;0,'03_全链计算'!S47+1,0),IF('01_数值调参'!AA33&lt;0,'03_全链计算'!T47+1,0),IF('01_数值调参'!AA34&lt;0,'03_全链计算'!U47+1,0),IF('01_数值调参'!AA35&lt;0,'03_全链计算'!V47+1,0),IF('01_数值调参'!AA36&lt;0,'03_全链计算'!W47+1,0),IF('01_数值调参'!AA37&lt;0,'03_全链计算'!X47+1,0),IF('01_数值调参'!AA38&lt;0,'03_全链计算'!Y47+1,0),IF('01_数值调参'!AA39&lt;0,'03_全链计算'!Z47+1,0),IF('01_数值调参'!AA40&lt;0,'03_全链计算'!AA47+1,0),IF('01_数值调参'!AA41&lt;0,'03_全链计算'!AB47+1,0),IF('01_数值调参'!AA42&lt;0,'03_全链计算'!AC47+1,0),IF('01_数值调参'!AA43&lt;0,'03_全链计算'!AD47+1,0),IF('01_数值调参'!AA44&lt;0,'03_全链计算'!AE47+1,0),IF('01_数值调参'!AA45&lt;0,'03_全链计算'!AF47+1,0),IF('01_数值调参'!AA46&lt;0,'03_全链计算'!AG47+1,0),IF('01_数值调参'!AA47&lt;0,'03_全链计算'!AH47+1,0),IF('01_数值调参'!AA48&lt;0,'03_全链计算'!AI47+1,0),IF('01_数值调参'!AA49&lt;0,'03_全链计算'!AJ47+1,0),IF('01_数值调参'!AA50&lt;0,'03_全链计算'!AK47+1,0),IF('01_数值调参'!AA51&lt;0,'03_全链计算'!AL47+1,0),IF('01_数值调参'!AA52&lt;0,'03_全链计算'!AM47+1,0))</x:f>
        <x:v>2</x:v>
      </x:c>
      <x:c r="AB48" s="9" t="n">
        <x:f>MAX(IF('01_数值调参'!AB18&lt;0,'03_全链计算'!E47+1,0),IF('01_数值调参'!AB19&lt;0,'03_全链计算'!F47+1,0),IF('01_数值调参'!AB20&lt;0,'03_全链计算'!G47+1,0),IF('01_数值调参'!AB21&lt;0,'03_全链计算'!H47+1,0),IF('01_数值调参'!AB22&lt;0,'03_全链计算'!I47+1,0),IF('01_数值调参'!AB23&lt;0,'03_全链计算'!J47+1,0),IF('01_数值调参'!AB24&lt;0,'03_全链计算'!K47+1,0),IF('01_数值调参'!AB25&lt;0,'03_全链计算'!L47+1,0),IF('01_数值调参'!AB26&lt;0,'03_全链计算'!M47+1,0),IF('01_数值调参'!AB27&lt;0,'03_全链计算'!N47+1,0),IF('01_数值调参'!AB28&lt;0,'03_全链计算'!O47+1,0),IF('01_数值调参'!AB29&lt;0,'03_全链计算'!P47+1,0),IF('01_数值调参'!AB30&lt;0,'03_全链计算'!Q47+1,0),IF('01_数值调参'!AB31&lt;0,'03_全链计算'!R47+1,0),IF('01_数值调参'!AB32&lt;0,'03_全链计算'!S47+1,0),IF('01_数值调参'!AB33&lt;0,'03_全链计算'!T47+1,0),IF('01_数值调参'!AB34&lt;0,'03_全链计算'!U47+1,0),IF('01_数值调参'!AB35&lt;0,'03_全链计算'!V47+1,0),IF('01_数值调参'!AB36&lt;0,'03_全链计算'!W47+1,0),IF('01_数值调参'!AB37&lt;0,'03_全链计算'!X47+1,0),IF('01_数值调参'!AB38&lt;0,'03_全链计算'!Y47+1,0),IF('01_数值调参'!AB39&lt;0,'03_全链计算'!Z47+1,0),IF('01_数值调参'!AB40&lt;0,'03_全链计算'!AA47+1,0),IF('01_数值调参'!AB41&lt;0,'03_全链计算'!AB47+1,0),IF('01_数值调参'!AB42&lt;0,'03_全链计算'!AC47+1,0),IF('01_数值调参'!AB43&lt;0,'03_全链计算'!AD47+1,0),IF('01_数值调参'!AB44&lt;0,'03_全链计算'!AE47+1,0),IF('01_数值调参'!AB45&lt;0,'03_全链计算'!AF47+1,0),IF('01_数值调参'!AB46&lt;0,'03_全链计算'!AG47+1,0),IF('01_数值调参'!AB47&lt;0,'03_全链计算'!AH47+1,0),IF('01_数值调参'!AB48&lt;0,'03_全链计算'!AI47+1,0),IF('01_数值调参'!AB49&lt;0,'03_全链计算'!AJ47+1,0),IF('01_数值调参'!AB50&lt;0,'03_全链计算'!AK47+1,0),IF('01_数值调参'!AB51&lt;0,'03_全链计算'!AL47+1,0),IF('01_数值调参'!AB52&lt;0,'03_全链计算'!AM47+1,0))</x:f>
        <x:v>2</x:v>
      </x:c>
      <x:c r="AC48" s="9" t="n">
        <x:f>MAX(IF('01_数值调参'!AC18&lt;0,'03_全链计算'!E47+1,0),IF('01_数值调参'!AC19&lt;0,'03_全链计算'!F47+1,0),IF('01_数值调参'!AC20&lt;0,'03_全链计算'!G47+1,0),IF('01_数值调参'!AC21&lt;0,'03_全链计算'!H47+1,0),IF('01_数值调参'!AC22&lt;0,'03_全链计算'!I47+1,0),IF('01_数值调参'!AC23&lt;0,'03_全链计算'!J47+1,0),IF('01_数值调参'!AC24&lt;0,'03_全链计算'!K47+1,0),IF('01_数值调参'!AC25&lt;0,'03_全链计算'!L47+1,0),IF('01_数值调参'!AC26&lt;0,'03_全链计算'!M47+1,0),IF('01_数值调参'!AC27&lt;0,'03_全链计算'!N47+1,0),IF('01_数值调参'!AC28&lt;0,'03_全链计算'!O47+1,0),IF('01_数值调参'!AC29&lt;0,'03_全链计算'!P47+1,0),IF('01_数值调参'!AC30&lt;0,'03_全链计算'!Q47+1,0),IF('01_数值调参'!AC31&lt;0,'03_全链计算'!R47+1,0),IF('01_数值调参'!AC32&lt;0,'03_全链计算'!S47+1,0),IF('01_数值调参'!AC33&lt;0,'03_全链计算'!T47+1,0),IF('01_数值调参'!AC34&lt;0,'03_全链计算'!U47+1,0),IF('01_数值调参'!AC35&lt;0,'03_全链计算'!V47+1,0),IF('01_数值调参'!AC36&lt;0,'03_全链计算'!W47+1,0),IF('01_数值调参'!AC37&lt;0,'03_全链计算'!X47+1,0),IF('01_数值调参'!AC38&lt;0,'03_全链计算'!Y47+1,0),IF('01_数值调参'!AC39&lt;0,'03_全链计算'!Z47+1,0),IF('01_数值调参'!AC40&lt;0,'03_全链计算'!AA47+1,0),IF('01_数值调参'!AC41&lt;0,'03_全链计算'!AB47+1,0),IF('01_数值调参'!AC42&lt;0,'03_全链计算'!AC47+1,0),IF('01_数值调参'!AC43&lt;0,'03_全链计算'!AD47+1,0),IF('01_数值调参'!AC44&lt;0,'03_全链计算'!AE47+1,0),IF('01_数值调参'!AC45&lt;0,'03_全链计算'!AF47+1,0),IF('01_数值调参'!AC46&lt;0,'03_全链计算'!AG47+1,0),IF('01_数值调参'!AC47&lt;0,'03_全链计算'!AH47+1,0),IF('01_数值调参'!AC48&lt;0,'03_全链计算'!AI47+1,0),IF('01_数值调参'!AC49&lt;0,'03_全链计算'!AJ47+1,0),IF('01_数值调参'!AC50&lt;0,'03_全链计算'!AK47+1,0),IF('01_数值调参'!AC51&lt;0,'03_全链计算'!AL47+1,0),IF('01_数值调参'!AC52&lt;0,'03_全链计算'!AM47+1,0))</x:f>
        <x:v>2</x:v>
      </x:c>
      <x:c r="AD48" s="9" t="n">
        <x:f>MAX(IF('01_数值调参'!AD18&lt;0,'03_全链计算'!E47+1,0),IF('01_数值调参'!AD19&lt;0,'03_全链计算'!F47+1,0),IF('01_数值调参'!AD20&lt;0,'03_全链计算'!G47+1,0),IF('01_数值调参'!AD21&lt;0,'03_全链计算'!H47+1,0),IF('01_数值调参'!AD22&lt;0,'03_全链计算'!I47+1,0),IF('01_数值调参'!AD23&lt;0,'03_全链计算'!J47+1,0),IF('01_数值调参'!AD24&lt;0,'03_全链计算'!K47+1,0),IF('01_数值调参'!AD25&lt;0,'03_全链计算'!L47+1,0),IF('01_数值调参'!AD26&lt;0,'03_全链计算'!M47+1,0),IF('01_数值调参'!AD27&lt;0,'03_全链计算'!N47+1,0),IF('01_数值调参'!AD28&lt;0,'03_全链计算'!O47+1,0),IF('01_数值调参'!AD29&lt;0,'03_全链计算'!P47+1,0),IF('01_数值调参'!AD30&lt;0,'03_全链计算'!Q47+1,0),IF('01_数值调参'!AD31&lt;0,'03_全链计算'!R47+1,0),IF('01_数值调参'!AD32&lt;0,'03_全链计算'!S47+1,0),IF('01_数值调参'!AD33&lt;0,'03_全链计算'!T47+1,0),IF('01_数值调参'!AD34&lt;0,'03_全链计算'!U47+1,0),IF('01_数值调参'!AD35&lt;0,'03_全链计算'!V47+1,0),IF('01_数值调参'!AD36&lt;0,'03_全链计算'!W47+1,0),IF('01_数值调参'!AD37&lt;0,'03_全链计算'!X47+1,0),IF('01_数值调参'!AD38&lt;0,'03_全链计算'!Y47+1,0),IF('01_数值调参'!AD39&lt;0,'03_全链计算'!Z47+1,0),IF('01_数值调参'!AD40&lt;0,'03_全链计算'!AA47+1,0),IF('01_数值调参'!AD41&lt;0,'03_全链计算'!AB47+1,0),IF('01_数值调参'!AD42&lt;0,'03_全链计算'!AC47+1,0),IF('01_数值调参'!AD43&lt;0,'03_全链计算'!AD47+1,0),IF('01_数值调参'!AD44&lt;0,'03_全链计算'!AE47+1,0),IF('01_数值调参'!AD45&lt;0,'03_全链计算'!AF47+1,0),IF('01_数值调参'!AD46&lt;0,'03_全链计算'!AG47+1,0),IF('01_数值调参'!AD47&lt;0,'03_全链计算'!AH47+1,0),IF('01_数值调参'!AD48&lt;0,'03_全链计算'!AI47+1,0),IF('01_数值调参'!AD49&lt;0,'03_全链计算'!AJ47+1,0),IF('01_数值调参'!AD50&lt;0,'03_全链计算'!AK47+1,0),IF('01_数值调参'!AD51&lt;0,'03_全链计算'!AL47+1,0),IF('01_数值调参'!AD52&lt;0,'03_全链计算'!AM47+1,0))</x:f>
        <x:v>1</x:v>
      </x:c>
      <x:c r="AE48" s="9" t="n">
        <x:f>MAX(IF('01_数值调参'!AE18&lt;0,'03_全链计算'!E47+1,0),IF('01_数值调参'!AE19&lt;0,'03_全链计算'!F47+1,0),IF('01_数值调参'!AE20&lt;0,'03_全链计算'!G47+1,0),IF('01_数值调参'!AE21&lt;0,'03_全链计算'!H47+1,0),IF('01_数值调参'!AE22&lt;0,'03_全链计算'!I47+1,0),IF('01_数值调参'!AE23&lt;0,'03_全链计算'!J47+1,0),IF('01_数值调参'!AE24&lt;0,'03_全链计算'!K47+1,0),IF('01_数值调参'!AE25&lt;0,'03_全链计算'!L47+1,0),IF('01_数值调参'!AE26&lt;0,'03_全链计算'!M47+1,0),IF('01_数值调参'!AE27&lt;0,'03_全链计算'!N47+1,0),IF('01_数值调参'!AE28&lt;0,'03_全链计算'!O47+1,0),IF('01_数值调参'!AE29&lt;0,'03_全链计算'!P47+1,0),IF('01_数值调参'!AE30&lt;0,'03_全链计算'!Q47+1,0),IF('01_数值调参'!AE31&lt;0,'03_全链计算'!R47+1,0),IF('01_数值调参'!AE32&lt;0,'03_全链计算'!S47+1,0),IF('01_数值调参'!AE33&lt;0,'03_全链计算'!T47+1,0),IF('01_数值调参'!AE34&lt;0,'03_全链计算'!U47+1,0),IF('01_数值调参'!AE35&lt;0,'03_全链计算'!V47+1,0),IF('01_数值调参'!AE36&lt;0,'03_全链计算'!W47+1,0),IF('01_数值调参'!AE37&lt;0,'03_全链计算'!X47+1,0),IF('01_数值调参'!AE38&lt;0,'03_全链计算'!Y47+1,0),IF('01_数值调参'!AE39&lt;0,'03_全链计算'!Z47+1,0),IF('01_数值调参'!AE40&lt;0,'03_全链计算'!AA47+1,0),IF('01_数值调参'!AE41&lt;0,'03_全链计算'!AB47+1,0),IF('01_数值调参'!AE42&lt;0,'03_全链计算'!AC47+1,0),IF('01_数值调参'!AE43&lt;0,'03_全链计算'!AD47+1,0),IF('01_数值调参'!AE44&lt;0,'03_全链计算'!AE47+1,0),IF('01_数值调参'!AE45&lt;0,'03_全链计算'!AF47+1,0),IF('01_数值调参'!AE46&lt;0,'03_全链计算'!AG47+1,0),IF('01_数值调参'!AE47&lt;0,'03_全链计算'!AH47+1,0),IF('01_数值调参'!AE48&lt;0,'03_全链计算'!AI47+1,0),IF('01_数值调参'!AE49&lt;0,'03_全链计算'!AJ47+1,0),IF('01_数值调参'!AE50&lt;0,'03_全链计算'!AK47+1,0),IF('01_数值调参'!AE51&lt;0,'03_全链计算'!AL47+1,0),IF('01_数值调参'!AE52&lt;0,'03_全链计算'!AM47+1,0))</x:f>
        <x:v>1</x:v>
      </x:c>
      <x:c r="AF48" s="9" t="n">
        <x:f>MAX(IF('01_数值调参'!AF18&lt;0,'03_全链计算'!E47+1,0),IF('01_数值调参'!AF19&lt;0,'03_全链计算'!F47+1,0),IF('01_数值调参'!AF20&lt;0,'03_全链计算'!G47+1,0),IF('01_数值调参'!AF21&lt;0,'03_全链计算'!H47+1,0),IF('01_数值调参'!AF22&lt;0,'03_全链计算'!I47+1,0),IF('01_数值调参'!AF23&lt;0,'03_全链计算'!J47+1,0),IF('01_数值调参'!AF24&lt;0,'03_全链计算'!K47+1,0),IF('01_数值调参'!AF25&lt;0,'03_全链计算'!L47+1,0),IF('01_数值调参'!AF26&lt;0,'03_全链计算'!M47+1,0),IF('01_数值调参'!AF27&lt;0,'03_全链计算'!N47+1,0),IF('01_数值调参'!AF28&lt;0,'03_全链计算'!O47+1,0),IF('01_数值调参'!AF29&lt;0,'03_全链计算'!P47+1,0),IF('01_数值调参'!AF30&lt;0,'03_全链计算'!Q47+1,0),IF('01_数值调参'!AF31&lt;0,'03_全链计算'!R47+1,0),IF('01_数值调参'!AF32&lt;0,'03_全链计算'!S47+1,0),IF('01_数值调参'!AF33&lt;0,'03_全链计算'!T47+1,0),IF('01_数值调参'!AF34&lt;0,'03_全链计算'!U47+1,0),IF('01_数值调参'!AF35&lt;0,'03_全链计算'!V47+1,0),IF('01_数值调参'!AF36&lt;0,'03_全链计算'!W47+1,0),IF('01_数值调参'!AF37&lt;0,'03_全链计算'!X47+1,0),IF('01_数值调参'!AF38&lt;0,'03_全链计算'!Y47+1,0),IF('01_数值调参'!AF39&lt;0,'03_全链计算'!Z47+1,0),IF('01_数值调参'!AF40&lt;0,'03_全链计算'!AA47+1,0),IF('01_数值调参'!AF41&lt;0,'03_全链计算'!AB47+1,0),IF('01_数值调参'!AF42&lt;0,'03_全链计算'!AC47+1,0),IF('01_数值调参'!AF43&lt;0,'03_全链计算'!AD47+1,0),IF('01_数值调参'!AF44&lt;0,'03_全链计算'!AE47+1,0),IF('01_数值调参'!AF45&lt;0,'03_全链计算'!AF47+1,0),IF('01_数值调参'!AF46&lt;0,'03_全链计算'!AG47+1,0),IF('01_数值调参'!AF47&lt;0,'03_全链计算'!AH47+1,0),IF('01_数值调参'!AF48&lt;0,'03_全链计算'!AI47+1,0),IF('01_数值调参'!AF49&lt;0,'03_全链计算'!AJ47+1,0),IF('01_数值调参'!AF50&lt;0,'03_全链计算'!AK47+1,0),IF('01_数值调参'!AF51&lt;0,'03_全链计算'!AL47+1,0),IF('01_数值调参'!AF52&lt;0,'03_全链计算'!AM47+1,0))</x:f>
        <x:v>1</x:v>
      </x:c>
      <x:c r="AG48" s="9" t="n">
        <x:f>MAX(IF('01_数值调参'!AG18&lt;0,'03_全链计算'!E47+1,0),IF('01_数值调参'!AG19&lt;0,'03_全链计算'!F47+1,0),IF('01_数值调参'!AG20&lt;0,'03_全链计算'!G47+1,0),IF('01_数值调参'!AG21&lt;0,'03_全链计算'!H47+1,0),IF('01_数值调参'!AG22&lt;0,'03_全链计算'!I47+1,0),IF('01_数值调参'!AG23&lt;0,'03_全链计算'!J47+1,0),IF('01_数值调参'!AG24&lt;0,'03_全链计算'!K47+1,0),IF('01_数值调参'!AG25&lt;0,'03_全链计算'!L47+1,0),IF('01_数值调参'!AG26&lt;0,'03_全链计算'!M47+1,0),IF('01_数值调参'!AG27&lt;0,'03_全链计算'!N47+1,0),IF('01_数值调参'!AG28&lt;0,'03_全链计算'!O47+1,0),IF('01_数值调参'!AG29&lt;0,'03_全链计算'!P47+1,0),IF('01_数值调参'!AG30&lt;0,'03_全链计算'!Q47+1,0),IF('01_数值调参'!AG31&lt;0,'03_全链计算'!R47+1,0),IF('01_数值调参'!AG32&lt;0,'03_全链计算'!S47+1,0),IF('01_数值调参'!AG33&lt;0,'03_全链计算'!T47+1,0),IF('01_数值调参'!AG34&lt;0,'03_全链计算'!U47+1,0),IF('01_数值调参'!AG35&lt;0,'03_全链计算'!V47+1,0),IF('01_数值调参'!AG36&lt;0,'03_全链计算'!W47+1,0),IF('01_数值调参'!AG37&lt;0,'03_全链计算'!X47+1,0),IF('01_数值调参'!AG38&lt;0,'03_全链计算'!Y47+1,0),IF('01_数值调参'!AG39&lt;0,'03_全链计算'!Z47+1,0),IF('01_数值调参'!AG40&lt;0,'03_全链计算'!AA47+1,0),IF('01_数值调参'!AG41&lt;0,'03_全链计算'!AB47+1,0),IF('01_数值调参'!AG42&lt;0,'03_全链计算'!AC47+1,0),IF('01_数值调参'!AG43&lt;0,'03_全链计算'!AD47+1,0),IF('01_数值调参'!AG44&lt;0,'03_全链计算'!AE47+1,0),IF('01_数值调参'!AG45&lt;0,'03_全链计算'!AF47+1,0),IF('01_数值调参'!AG46&lt;0,'03_全链计算'!AG47+1,0),IF('01_数值调参'!AG47&lt;0,'03_全链计算'!AH47+1,0),IF('01_数值调参'!AG48&lt;0,'03_全链计算'!AI47+1,0),IF('01_数值调参'!AG49&lt;0,'03_全链计算'!AJ47+1,0),IF('01_数值调参'!AG50&lt;0,'03_全链计算'!AK47+1,0),IF('01_数值调参'!AG51&lt;0,'03_全链计算'!AL47+1,0),IF('01_数值调参'!AG52&lt;0,'03_全链计算'!AM47+1,0))</x:f>
        <x:v>1</x:v>
      </x:c>
      <x:c r="AH48" s="9" t="n">
        <x:f>MAX(IF('01_数值调参'!AH18&lt;0,'03_全链计算'!E47+1,0),IF('01_数值调参'!AH19&lt;0,'03_全链计算'!F47+1,0),IF('01_数值调参'!AH20&lt;0,'03_全链计算'!G47+1,0),IF('01_数值调参'!AH21&lt;0,'03_全链计算'!H47+1,0),IF('01_数值调参'!AH22&lt;0,'03_全链计算'!I47+1,0),IF('01_数值调参'!AH23&lt;0,'03_全链计算'!J47+1,0),IF('01_数值调参'!AH24&lt;0,'03_全链计算'!K47+1,0),IF('01_数值调参'!AH25&lt;0,'03_全链计算'!L47+1,0),IF('01_数值调参'!AH26&lt;0,'03_全链计算'!M47+1,0),IF('01_数值调参'!AH27&lt;0,'03_全链计算'!N47+1,0),IF('01_数值调参'!AH28&lt;0,'03_全链计算'!O47+1,0),IF('01_数值调参'!AH29&lt;0,'03_全链计算'!P47+1,0),IF('01_数值调参'!AH30&lt;0,'03_全链计算'!Q47+1,0),IF('01_数值调参'!AH31&lt;0,'03_全链计算'!R47+1,0),IF('01_数值调参'!AH32&lt;0,'03_全链计算'!S47+1,0),IF('01_数值调参'!AH33&lt;0,'03_全链计算'!T47+1,0),IF('01_数值调参'!AH34&lt;0,'03_全链计算'!U47+1,0),IF('01_数值调参'!AH35&lt;0,'03_全链计算'!V47+1,0),IF('01_数值调参'!AH36&lt;0,'03_全链计算'!W47+1,0),IF('01_数值调参'!AH37&lt;0,'03_全链计算'!X47+1,0),IF('01_数值调参'!AH38&lt;0,'03_全链计算'!Y47+1,0),IF('01_数值调参'!AH39&lt;0,'03_全链计算'!Z47+1,0),IF('01_数值调参'!AH40&lt;0,'03_全链计算'!AA47+1,0),IF('01_数值调参'!AH41&lt;0,'03_全链计算'!AB47+1,0),IF('01_数值调参'!AH42&lt;0,'03_全链计算'!AC47+1,0),IF('01_数值调参'!AH43&lt;0,'03_全链计算'!AD47+1,0),IF('01_数值调参'!AH44&lt;0,'03_全链计算'!AE47+1,0),IF('01_数值调参'!AH45&lt;0,'03_全链计算'!AF47+1,0),IF('01_数值调参'!AH46&lt;0,'03_全链计算'!AG47+1,0),IF('01_数值调参'!AH47&lt;0,'03_全链计算'!AH47+1,0),IF('01_数值调参'!AH48&lt;0,'03_全链计算'!AI47+1,0),IF('01_数值调参'!AH49&lt;0,'03_全链计算'!AJ47+1,0),IF('01_数值调参'!AH50&lt;0,'03_全链计算'!AK47+1,0),IF('01_数值调参'!AH51&lt;0,'03_全链计算'!AL47+1,0),IF('01_数值调参'!AH52&lt;0,'03_全链计算'!AM47+1,0))</x:f>
        <x:v>2</x:v>
      </x:c>
      <x:c r="AI48" s="9" t="n">
        <x:f>MAX(IF('01_数值调参'!AI18&lt;0,'03_全链计算'!E47+1,0),IF('01_数值调参'!AI19&lt;0,'03_全链计算'!F47+1,0),IF('01_数值调参'!AI20&lt;0,'03_全链计算'!G47+1,0),IF('01_数值调参'!AI21&lt;0,'03_全链计算'!H47+1,0),IF('01_数值调参'!AI22&lt;0,'03_全链计算'!I47+1,0),IF('01_数值调参'!AI23&lt;0,'03_全链计算'!J47+1,0),IF('01_数值调参'!AI24&lt;0,'03_全链计算'!K47+1,0),IF('01_数值调参'!AI25&lt;0,'03_全链计算'!L47+1,0),IF('01_数值调参'!AI26&lt;0,'03_全链计算'!M47+1,0),IF('01_数值调参'!AI27&lt;0,'03_全链计算'!N47+1,0),IF('01_数值调参'!AI28&lt;0,'03_全链计算'!O47+1,0),IF('01_数值调参'!AI29&lt;0,'03_全链计算'!P47+1,0),IF('01_数值调参'!AI30&lt;0,'03_全链计算'!Q47+1,0),IF('01_数值调参'!AI31&lt;0,'03_全链计算'!R47+1,0),IF('01_数值调参'!AI32&lt;0,'03_全链计算'!S47+1,0),IF('01_数值调参'!AI33&lt;0,'03_全链计算'!T47+1,0),IF('01_数值调参'!AI34&lt;0,'03_全链计算'!U47+1,0),IF('01_数值调参'!AI35&lt;0,'03_全链计算'!V47+1,0),IF('01_数值调参'!AI36&lt;0,'03_全链计算'!W47+1,0),IF('01_数值调参'!AI37&lt;0,'03_全链计算'!X47+1,0),IF('01_数值调参'!AI38&lt;0,'03_全链计算'!Y47+1,0),IF('01_数值调参'!AI39&lt;0,'03_全链计算'!Z47+1,0),IF('01_数值调参'!AI40&lt;0,'03_全链计算'!AA47+1,0),IF('01_数值调参'!AI41&lt;0,'03_全链计算'!AB47+1,0),IF('01_数值调参'!AI42&lt;0,'03_全链计算'!AC47+1,0),IF('01_数值调参'!AI43&lt;0,'03_全链计算'!AD47+1,0),IF('01_数值调参'!AI44&lt;0,'03_全链计算'!AE47+1,0),IF('01_数值调参'!AI45&lt;0,'03_全链计算'!AF47+1,0),IF('01_数值调参'!AI46&lt;0,'03_全链计算'!AG47+1,0),IF('01_数值调参'!AI47&lt;0,'03_全链计算'!AH47+1,0),IF('01_数值调参'!AI48&lt;0,'03_全链计算'!AI47+1,0),IF('01_数值调参'!AI49&lt;0,'03_全链计算'!AJ47+1,0),IF('01_数值调参'!AI50&lt;0,'03_全链计算'!AK47+1,0),IF('01_数值调参'!AI51&lt;0,'03_全链计算'!AL47+1,0),IF('01_数值调参'!AI52&lt;0,'03_全链计算'!AM47+1,0))</x:f>
        <x:v>2</x:v>
      </x:c>
      <x:c r="AJ48" s="9" t="n">
        <x:f>MAX(IF('01_数值调参'!AJ18&lt;0,'03_全链计算'!E47+1,0),IF('01_数值调参'!AJ19&lt;0,'03_全链计算'!F47+1,0),IF('01_数值调参'!AJ20&lt;0,'03_全链计算'!G47+1,0),IF('01_数值调参'!AJ21&lt;0,'03_全链计算'!H47+1,0),IF('01_数值调参'!AJ22&lt;0,'03_全链计算'!I47+1,0),IF('01_数值调参'!AJ23&lt;0,'03_全链计算'!J47+1,0),IF('01_数值调参'!AJ24&lt;0,'03_全链计算'!K47+1,0),IF('01_数值调参'!AJ25&lt;0,'03_全链计算'!L47+1,0),IF('01_数值调参'!AJ26&lt;0,'03_全链计算'!M47+1,0),IF('01_数值调参'!AJ27&lt;0,'03_全链计算'!N47+1,0),IF('01_数值调参'!AJ28&lt;0,'03_全链计算'!O47+1,0),IF('01_数值调参'!AJ29&lt;0,'03_全链计算'!P47+1,0),IF('01_数值调参'!AJ30&lt;0,'03_全链计算'!Q47+1,0),IF('01_数值调参'!AJ31&lt;0,'03_全链计算'!R47+1,0),IF('01_数值调参'!AJ32&lt;0,'03_全链计算'!S47+1,0),IF('01_数值调参'!AJ33&lt;0,'03_全链计算'!T47+1,0),IF('01_数值调参'!AJ34&lt;0,'03_全链计算'!U47+1,0),IF('01_数值调参'!AJ35&lt;0,'03_全链计算'!V47+1,0),IF('01_数值调参'!AJ36&lt;0,'03_全链计算'!W47+1,0),IF('01_数值调参'!AJ37&lt;0,'03_全链计算'!X47+1,0),IF('01_数值调参'!AJ38&lt;0,'03_全链计算'!Y47+1,0),IF('01_数值调参'!AJ39&lt;0,'03_全链计算'!Z47+1,0),IF('01_数值调参'!AJ40&lt;0,'03_全链计算'!AA47+1,0),IF('01_数值调参'!AJ41&lt;0,'03_全链计算'!AB47+1,0),IF('01_数值调参'!AJ42&lt;0,'03_全链计算'!AC47+1,0),IF('01_数值调参'!AJ43&lt;0,'03_全链计算'!AD47+1,0),IF('01_数值调参'!AJ44&lt;0,'03_全链计算'!AE47+1,0),IF('01_数值调参'!AJ45&lt;0,'03_全链计算'!AF47+1,0),IF('01_数值调参'!AJ46&lt;0,'03_全链计算'!AG47+1,0),IF('01_数值调参'!AJ47&lt;0,'03_全链计算'!AH47+1,0),IF('01_数值调参'!AJ48&lt;0,'03_全链计算'!AI47+1,0),IF('01_数值调参'!AJ49&lt;0,'03_全链计算'!AJ47+1,0),IF('01_数值调参'!AJ50&lt;0,'03_全链计算'!AK47+1,0),IF('01_数值调参'!AJ51&lt;0,'03_全链计算'!AL47+1,0),IF('01_数值调参'!AJ52&lt;0,'03_全链计算'!AM47+1,0))</x:f>
        <x:v>2</x:v>
      </x:c>
      <x:c r="AK48" s="9" t="n">
        <x:f>MAX(IF('01_数值调参'!AK18&lt;0,'03_全链计算'!E47+1,0),IF('01_数值调参'!AK19&lt;0,'03_全链计算'!F47+1,0),IF('01_数值调参'!AK20&lt;0,'03_全链计算'!G47+1,0),IF('01_数值调参'!AK21&lt;0,'03_全链计算'!H47+1,0),IF('01_数值调参'!AK22&lt;0,'03_全链计算'!I47+1,0),IF('01_数值调参'!AK23&lt;0,'03_全链计算'!J47+1,0),IF('01_数值调参'!AK24&lt;0,'03_全链计算'!K47+1,0),IF('01_数值调参'!AK25&lt;0,'03_全链计算'!L47+1,0),IF('01_数值调参'!AK26&lt;0,'03_全链计算'!M47+1,0),IF('01_数值调参'!AK27&lt;0,'03_全链计算'!N47+1,0),IF('01_数值调参'!AK28&lt;0,'03_全链计算'!O47+1,0),IF('01_数值调参'!AK29&lt;0,'03_全链计算'!P47+1,0),IF('01_数值调参'!AK30&lt;0,'03_全链计算'!Q47+1,0),IF('01_数值调参'!AK31&lt;0,'03_全链计算'!R47+1,0),IF('01_数值调参'!AK32&lt;0,'03_全链计算'!S47+1,0),IF('01_数值调参'!AK33&lt;0,'03_全链计算'!T47+1,0),IF('01_数值调参'!AK34&lt;0,'03_全链计算'!U47+1,0),IF('01_数值调参'!AK35&lt;0,'03_全链计算'!V47+1,0),IF('01_数值调参'!AK36&lt;0,'03_全链计算'!W47+1,0),IF('01_数值调参'!AK37&lt;0,'03_全链计算'!X47+1,0),IF('01_数值调参'!AK38&lt;0,'03_全链计算'!Y47+1,0),IF('01_数值调参'!AK39&lt;0,'03_全链计算'!Z47+1,0),IF('01_数值调参'!AK40&lt;0,'03_全链计算'!AA47+1,0),IF('01_数值调参'!AK41&lt;0,'03_全链计算'!AB47+1,0),IF('01_数值调参'!AK42&lt;0,'03_全链计算'!AC47+1,0),IF('01_数值调参'!AK43&lt;0,'03_全链计算'!AD47+1,0),IF('01_数值调参'!AK44&lt;0,'03_全链计算'!AE47+1,0),IF('01_数值调参'!AK45&lt;0,'03_全链计算'!AF47+1,0),IF('01_数值调参'!AK46&lt;0,'03_全链计算'!AG47+1,0),IF('01_数值调参'!AK47&lt;0,'03_全链计算'!AH47+1,0),IF('01_数值调参'!AK48&lt;0,'03_全链计算'!AI47+1,0),IF('01_数值调参'!AK49&lt;0,'03_全链计算'!AJ47+1,0),IF('01_数值调参'!AK50&lt;0,'03_全链计算'!AK47+1,0),IF('01_数值调参'!AK51&lt;0,'03_全链计算'!AL47+1,0),IF('01_数值调参'!AK52&lt;0,'03_全链计算'!AM47+1,0))</x:f>
        <x:v>2</x:v>
      </x:c>
      <x:c r="AL48" s="9" t="n">
        <x:f>MAX(IF('01_数值调参'!AL18&lt;0,'03_全链计算'!E47+1,0),IF('01_数值调参'!AL19&lt;0,'03_全链计算'!F47+1,0),IF('01_数值调参'!AL20&lt;0,'03_全链计算'!G47+1,0),IF('01_数值调参'!AL21&lt;0,'03_全链计算'!H47+1,0),IF('01_数值调参'!AL22&lt;0,'03_全链计算'!I47+1,0),IF('01_数值调参'!AL23&lt;0,'03_全链计算'!J47+1,0),IF('01_数值调参'!AL24&lt;0,'03_全链计算'!K47+1,0),IF('01_数值调参'!AL25&lt;0,'03_全链计算'!L47+1,0),IF('01_数值调参'!AL26&lt;0,'03_全链计算'!M47+1,0),IF('01_数值调参'!AL27&lt;0,'03_全链计算'!N47+1,0),IF('01_数值调参'!AL28&lt;0,'03_全链计算'!O47+1,0),IF('01_数值调参'!AL29&lt;0,'03_全链计算'!P47+1,0),IF('01_数值调参'!AL30&lt;0,'03_全链计算'!Q47+1,0),IF('01_数值调参'!AL31&lt;0,'03_全链计算'!R47+1,0),IF('01_数值调参'!AL32&lt;0,'03_全链计算'!S47+1,0),IF('01_数值调参'!AL33&lt;0,'03_全链计算'!T47+1,0),IF('01_数值调参'!AL34&lt;0,'03_全链计算'!U47+1,0),IF('01_数值调参'!AL35&lt;0,'03_全链计算'!V47+1,0),IF('01_数值调参'!AL36&lt;0,'03_全链计算'!W47+1,0),IF('01_数值调参'!AL37&lt;0,'03_全链计算'!X47+1,0),IF('01_数值调参'!AL38&lt;0,'03_全链计算'!Y47+1,0),IF('01_数值调参'!AL39&lt;0,'03_全链计算'!Z47+1,0),IF('01_数值调参'!AL40&lt;0,'03_全链计算'!AA47+1,0),IF('01_数值调参'!AL41&lt;0,'03_全链计算'!AB47+1,0),IF('01_数值调参'!AL42&lt;0,'03_全链计算'!AC47+1,0),IF('01_数值调参'!AL43&lt;0,'03_全链计算'!AD47+1,0),IF('01_数值调参'!AL44&lt;0,'03_全链计算'!AE47+1,0),IF('01_数值调参'!AL45&lt;0,'03_全链计算'!AF47+1,0),IF('01_数值调参'!AL46&lt;0,'03_全链计算'!AG47+1,0),IF('01_数值调参'!AL47&lt;0,'03_全链计算'!AH47+1,0),IF('01_数值调参'!AL48&lt;0,'03_全链计算'!AI47+1,0),IF('01_数值调参'!AL49&lt;0,'03_全链计算'!AJ47+1,0),IF('01_数值调参'!AL50&lt;0,'03_全链计算'!AK47+1,0),IF('01_数值调参'!AL51&lt;0,'03_全链计算'!AL47+1,0),IF('01_数值调参'!AL52&lt;0,'03_全链计算'!AM47+1,0))</x:f>
        <x:v>3</x:v>
      </x:c>
      <x:c r="AM48" s="9" t="n">
        <x:f>MAX(IF('01_数值调参'!AM18&lt;0,'03_全链计算'!E47+1,0),IF('01_数值调参'!AM19&lt;0,'03_全链计算'!F47+1,0),IF('01_数值调参'!AM20&lt;0,'03_全链计算'!G47+1,0),IF('01_数值调参'!AM21&lt;0,'03_全链计算'!H47+1,0),IF('01_数值调参'!AM22&lt;0,'03_全链计算'!I47+1,0),IF('01_数值调参'!AM23&lt;0,'03_全链计算'!J47+1,0),IF('01_数值调参'!AM24&lt;0,'03_全链计算'!K47+1,0),IF('01_数值调参'!AM25&lt;0,'03_全链计算'!L47+1,0),IF('01_数值调参'!AM26&lt;0,'03_全链计算'!M47+1,0),IF('01_数值调参'!AM27&lt;0,'03_全链计算'!N47+1,0),IF('01_数值调参'!AM28&lt;0,'03_全链计算'!O47+1,0),IF('01_数值调参'!AM29&lt;0,'03_全链计算'!P47+1,0),IF('01_数值调参'!AM30&lt;0,'03_全链计算'!Q47+1,0),IF('01_数值调参'!AM31&lt;0,'03_全链计算'!R47+1,0),IF('01_数值调参'!AM32&lt;0,'03_全链计算'!S47+1,0),IF('01_数值调参'!AM33&lt;0,'03_全链计算'!T47+1,0),IF('01_数值调参'!AM34&lt;0,'03_全链计算'!U47+1,0),IF('01_数值调参'!AM35&lt;0,'03_全链计算'!V47+1,0),IF('01_数值调参'!AM36&lt;0,'03_全链计算'!W47+1,0),IF('01_数值调参'!AM37&lt;0,'03_全链计算'!X47+1,0),IF('01_数值调参'!AM38&lt;0,'03_全链计算'!Y47+1,0),IF('01_数值调参'!AM39&lt;0,'03_全链计算'!Z47+1,0),IF('01_数值调参'!AM40&lt;0,'03_全链计算'!AA47+1,0),IF('01_数值调参'!AM41&lt;0,'03_全链计算'!AB47+1,0),IF('01_数值调参'!AM42&lt;0,'03_全链计算'!AC47+1,0),IF('01_数值调参'!AM43&lt;0,'03_全链计算'!AD47+1,0),IF('01_数值调参'!AM44&lt;0,'03_全链计算'!AE47+1,0),IF('01_数值调参'!AM45&lt;0,'03_全链计算'!AF47+1,0),IF('01_数值调参'!AM46&lt;0,'03_全链计算'!AG47+1,0),IF('01_数值调参'!AM47&lt;0,'03_全链计算'!AH47+1,0),IF('01_数值调参'!AM48&lt;0,'03_全链计算'!AI47+1,0),IF('01_数值调参'!AM49&lt;0,'03_全链计算'!AJ47+1,0),IF('01_数值调参'!AM50&lt;0,'03_全链计算'!AK47+1,0),IF('01_数值调参'!AM51&lt;0,'03_全链计算'!AL47+1,0),IF('01_数值调参'!AM52&lt;0,'03_全链计算'!AM47+1,0))</x:f>
        <x:v>3</x:v>
      </x:c>
    </x:row>
    <x:row r="49" ht="22" customHeight="1">
      <x:c r="A49" s="9" t="n">
        <x:v>4</x:v>
      </x:c>
      <x:c r="B49" s="9"/>
      <x:c r="C49" s="9"/>
      <x:c r="D49" s="9"/>
      <x:c r="E49" s="9" t="n">
        <x:f>MAX(IF('01_数值调参'!E18&lt;0,'03_全链计算'!E48+1,0),IF('01_数值调参'!E19&lt;0,'03_全链计算'!F48+1,0),IF('01_数值调参'!E20&lt;0,'03_全链计算'!G48+1,0),IF('01_数值调参'!E21&lt;0,'03_全链计算'!H48+1,0),IF('01_数值调参'!E22&lt;0,'03_全链计算'!I48+1,0),IF('01_数值调参'!E23&lt;0,'03_全链计算'!J48+1,0),IF('01_数值调参'!E24&lt;0,'03_全链计算'!K48+1,0),IF('01_数值调参'!E25&lt;0,'03_全链计算'!L48+1,0),IF('01_数值调参'!E26&lt;0,'03_全链计算'!M48+1,0),IF('01_数值调参'!E27&lt;0,'03_全链计算'!N48+1,0),IF('01_数值调参'!E28&lt;0,'03_全链计算'!O48+1,0),IF('01_数值调参'!E29&lt;0,'03_全链计算'!P48+1,0),IF('01_数值调参'!E30&lt;0,'03_全链计算'!Q48+1,0),IF('01_数值调参'!E31&lt;0,'03_全链计算'!R48+1,0),IF('01_数值调参'!E32&lt;0,'03_全链计算'!S48+1,0),IF('01_数值调参'!E33&lt;0,'03_全链计算'!T48+1,0),IF('01_数值调参'!E34&lt;0,'03_全链计算'!U48+1,0),IF('01_数值调参'!E35&lt;0,'03_全链计算'!V48+1,0),IF('01_数值调参'!E36&lt;0,'03_全链计算'!W48+1,0),IF('01_数值调参'!E37&lt;0,'03_全链计算'!X48+1,0),IF('01_数值调参'!E38&lt;0,'03_全链计算'!Y48+1,0),IF('01_数值调参'!E39&lt;0,'03_全链计算'!Z48+1,0),IF('01_数值调参'!E40&lt;0,'03_全链计算'!AA48+1,0),IF('01_数值调参'!E41&lt;0,'03_全链计算'!AB48+1,0),IF('01_数值调参'!E42&lt;0,'03_全链计算'!AC48+1,0),IF('01_数值调参'!E43&lt;0,'03_全链计算'!AD48+1,0),IF('01_数值调参'!E44&lt;0,'03_全链计算'!AE48+1,0),IF('01_数值调参'!E45&lt;0,'03_全链计算'!AF48+1,0),IF('01_数值调参'!E46&lt;0,'03_全链计算'!AG48+1,0),IF('01_数值调参'!E47&lt;0,'03_全链计算'!AH48+1,0),IF('01_数值调参'!E48&lt;0,'03_全链计算'!AI48+1,0),IF('01_数值调参'!E49&lt;0,'03_全链计算'!AJ48+1,0),IF('01_数值调参'!E50&lt;0,'03_全链计算'!AK48+1,0),IF('01_数值调参'!E51&lt;0,'03_全链计算'!AL48+1,0),IF('01_数值调参'!E52&lt;0,'03_全链计算'!AM48+1,0))</x:f>
        <x:v>0</x:v>
      </x:c>
      <x:c r="F49" s="9" t="n">
        <x:f>MAX(IF('01_数值调参'!F18&lt;0,'03_全链计算'!E48+1,0),IF('01_数值调参'!F19&lt;0,'03_全链计算'!F48+1,0),IF('01_数值调参'!F20&lt;0,'03_全链计算'!G48+1,0),IF('01_数值调参'!F21&lt;0,'03_全链计算'!H48+1,0),IF('01_数值调参'!F22&lt;0,'03_全链计算'!I48+1,0),IF('01_数值调参'!F23&lt;0,'03_全链计算'!J48+1,0),IF('01_数值调参'!F24&lt;0,'03_全链计算'!K48+1,0),IF('01_数值调参'!F25&lt;0,'03_全链计算'!L48+1,0),IF('01_数值调参'!F26&lt;0,'03_全链计算'!M48+1,0),IF('01_数值调参'!F27&lt;0,'03_全链计算'!N48+1,0),IF('01_数值调参'!F28&lt;0,'03_全链计算'!O48+1,0),IF('01_数值调参'!F29&lt;0,'03_全链计算'!P48+1,0),IF('01_数值调参'!F30&lt;0,'03_全链计算'!Q48+1,0),IF('01_数值调参'!F31&lt;0,'03_全链计算'!R48+1,0),IF('01_数值调参'!F32&lt;0,'03_全链计算'!S48+1,0),IF('01_数值调参'!F33&lt;0,'03_全链计算'!T48+1,0),IF('01_数值调参'!F34&lt;0,'03_全链计算'!U48+1,0),IF('01_数值调参'!F35&lt;0,'03_全链计算'!V48+1,0),IF('01_数值调参'!F36&lt;0,'03_全链计算'!W48+1,0),IF('01_数值调参'!F37&lt;0,'03_全链计算'!X48+1,0),IF('01_数值调参'!F38&lt;0,'03_全链计算'!Y48+1,0),IF('01_数值调参'!F39&lt;0,'03_全链计算'!Z48+1,0),IF('01_数值调参'!F40&lt;0,'03_全链计算'!AA48+1,0),IF('01_数值调参'!F41&lt;0,'03_全链计算'!AB48+1,0),IF('01_数值调参'!F42&lt;0,'03_全链计算'!AC48+1,0),IF('01_数值调参'!F43&lt;0,'03_全链计算'!AD48+1,0),IF('01_数值调参'!F44&lt;0,'03_全链计算'!AE48+1,0),IF('01_数值调参'!F45&lt;0,'03_全链计算'!AF48+1,0),IF('01_数值调参'!F46&lt;0,'03_全链计算'!AG48+1,0),IF('01_数值调参'!F47&lt;0,'03_全链计算'!AH48+1,0),IF('01_数值调参'!F48&lt;0,'03_全链计算'!AI48+1,0),IF('01_数值调参'!F49&lt;0,'03_全链计算'!AJ48+1,0),IF('01_数值调参'!F50&lt;0,'03_全链计算'!AK48+1,0),IF('01_数值调参'!F51&lt;0,'03_全链计算'!AL48+1,0),IF('01_数值调参'!F52&lt;0,'03_全链计算'!AM48+1,0))</x:f>
        <x:v>0</x:v>
      </x:c>
      <x:c r="G49" s="9" t="n">
        <x:f>MAX(IF('01_数值调参'!G18&lt;0,'03_全链计算'!E48+1,0),IF('01_数值调参'!G19&lt;0,'03_全链计算'!F48+1,0),IF('01_数值调参'!G20&lt;0,'03_全链计算'!G48+1,0),IF('01_数值调参'!G21&lt;0,'03_全链计算'!H48+1,0),IF('01_数值调参'!G22&lt;0,'03_全链计算'!I48+1,0),IF('01_数值调参'!G23&lt;0,'03_全链计算'!J48+1,0),IF('01_数值调参'!G24&lt;0,'03_全链计算'!K48+1,0),IF('01_数值调参'!G25&lt;0,'03_全链计算'!L48+1,0),IF('01_数值调参'!G26&lt;0,'03_全链计算'!M48+1,0),IF('01_数值调参'!G27&lt;0,'03_全链计算'!N48+1,0),IF('01_数值调参'!G28&lt;0,'03_全链计算'!O48+1,0),IF('01_数值调参'!G29&lt;0,'03_全链计算'!P48+1,0),IF('01_数值调参'!G30&lt;0,'03_全链计算'!Q48+1,0),IF('01_数值调参'!G31&lt;0,'03_全链计算'!R48+1,0),IF('01_数值调参'!G32&lt;0,'03_全链计算'!S48+1,0),IF('01_数值调参'!G33&lt;0,'03_全链计算'!T48+1,0),IF('01_数值调参'!G34&lt;0,'03_全链计算'!U48+1,0),IF('01_数值调参'!G35&lt;0,'03_全链计算'!V48+1,0),IF('01_数值调参'!G36&lt;0,'03_全链计算'!W48+1,0),IF('01_数值调参'!G37&lt;0,'03_全链计算'!X48+1,0),IF('01_数值调参'!G38&lt;0,'03_全链计算'!Y48+1,0),IF('01_数值调参'!G39&lt;0,'03_全链计算'!Z48+1,0),IF('01_数值调参'!G40&lt;0,'03_全链计算'!AA48+1,0),IF('01_数值调参'!G41&lt;0,'03_全链计算'!AB48+1,0),IF('01_数值调参'!G42&lt;0,'03_全链计算'!AC48+1,0),IF('01_数值调参'!G43&lt;0,'03_全链计算'!AD48+1,0),IF('01_数值调参'!G44&lt;0,'03_全链计算'!AE48+1,0),IF('01_数值调参'!G45&lt;0,'03_全链计算'!AF48+1,0),IF('01_数值调参'!G46&lt;0,'03_全链计算'!AG48+1,0),IF('01_数值调参'!G47&lt;0,'03_全链计算'!AH48+1,0),IF('01_数值调参'!G48&lt;0,'03_全链计算'!AI48+1,0),IF('01_数值调参'!G49&lt;0,'03_全链计算'!AJ48+1,0),IF('01_数值调参'!G50&lt;0,'03_全链计算'!AK48+1,0),IF('01_数值调参'!G51&lt;0,'03_全链计算'!AL48+1,0),IF('01_数值调参'!G52&lt;0,'03_全链计算'!AM48+1,0))</x:f>
        <x:v>0</x:v>
      </x:c>
      <x:c r="H49" s="9" t="n">
        <x:f>MAX(IF('01_数值调参'!H18&lt;0,'03_全链计算'!E48+1,0),IF('01_数值调参'!H19&lt;0,'03_全链计算'!F48+1,0),IF('01_数值调参'!H20&lt;0,'03_全链计算'!G48+1,0),IF('01_数值调参'!H21&lt;0,'03_全链计算'!H48+1,0),IF('01_数值调参'!H22&lt;0,'03_全链计算'!I48+1,0),IF('01_数值调参'!H23&lt;0,'03_全链计算'!J48+1,0),IF('01_数值调参'!H24&lt;0,'03_全链计算'!K48+1,0),IF('01_数值调参'!H25&lt;0,'03_全链计算'!L48+1,0),IF('01_数值调参'!H26&lt;0,'03_全链计算'!M48+1,0),IF('01_数值调参'!H27&lt;0,'03_全链计算'!N48+1,0),IF('01_数值调参'!H28&lt;0,'03_全链计算'!O48+1,0),IF('01_数值调参'!H29&lt;0,'03_全链计算'!P48+1,0),IF('01_数值调参'!H30&lt;0,'03_全链计算'!Q48+1,0),IF('01_数值调参'!H31&lt;0,'03_全链计算'!R48+1,0),IF('01_数值调参'!H32&lt;0,'03_全链计算'!S48+1,0),IF('01_数值调参'!H33&lt;0,'03_全链计算'!T48+1,0),IF('01_数值调参'!H34&lt;0,'03_全链计算'!U48+1,0),IF('01_数值调参'!H35&lt;0,'03_全链计算'!V48+1,0),IF('01_数值调参'!H36&lt;0,'03_全链计算'!W48+1,0),IF('01_数值调参'!H37&lt;0,'03_全链计算'!X48+1,0),IF('01_数值调参'!H38&lt;0,'03_全链计算'!Y48+1,0),IF('01_数值调参'!H39&lt;0,'03_全链计算'!Z48+1,0),IF('01_数值调参'!H40&lt;0,'03_全链计算'!AA48+1,0),IF('01_数值调参'!H41&lt;0,'03_全链计算'!AB48+1,0),IF('01_数值调参'!H42&lt;0,'03_全链计算'!AC48+1,0),IF('01_数值调参'!H43&lt;0,'03_全链计算'!AD48+1,0),IF('01_数值调参'!H44&lt;0,'03_全链计算'!AE48+1,0),IF('01_数值调参'!H45&lt;0,'03_全链计算'!AF48+1,0),IF('01_数值调参'!H46&lt;0,'03_全链计算'!AG48+1,0),IF('01_数值调参'!H47&lt;0,'03_全链计算'!AH48+1,0),IF('01_数值调参'!H48&lt;0,'03_全链计算'!AI48+1,0),IF('01_数值调参'!H49&lt;0,'03_全链计算'!AJ48+1,0),IF('01_数值调参'!H50&lt;0,'03_全链计算'!AK48+1,0),IF('01_数值调参'!H51&lt;0,'03_全链计算'!AL48+1,0),IF('01_数值调参'!H52&lt;0,'03_全链计算'!AM48+1,0))</x:f>
        <x:v>0</x:v>
      </x:c>
      <x:c r="I49" s="9" t="n">
        <x:f>MAX(IF('01_数值调参'!I18&lt;0,'03_全链计算'!E48+1,0),IF('01_数值调参'!I19&lt;0,'03_全链计算'!F48+1,0),IF('01_数值调参'!I20&lt;0,'03_全链计算'!G48+1,0),IF('01_数值调参'!I21&lt;0,'03_全链计算'!H48+1,0),IF('01_数值调参'!I22&lt;0,'03_全链计算'!I48+1,0),IF('01_数值调参'!I23&lt;0,'03_全链计算'!J48+1,0),IF('01_数值调参'!I24&lt;0,'03_全链计算'!K48+1,0),IF('01_数值调参'!I25&lt;0,'03_全链计算'!L48+1,0),IF('01_数值调参'!I26&lt;0,'03_全链计算'!M48+1,0),IF('01_数值调参'!I27&lt;0,'03_全链计算'!N48+1,0),IF('01_数值调参'!I28&lt;0,'03_全链计算'!O48+1,0),IF('01_数值调参'!I29&lt;0,'03_全链计算'!P48+1,0),IF('01_数值调参'!I30&lt;0,'03_全链计算'!Q48+1,0),IF('01_数值调参'!I31&lt;0,'03_全链计算'!R48+1,0),IF('01_数值调参'!I32&lt;0,'03_全链计算'!S48+1,0),IF('01_数值调参'!I33&lt;0,'03_全链计算'!T48+1,0),IF('01_数值调参'!I34&lt;0,'03_全链计算'!U48+1,0),IF('01_数值调参'!I35&lt;0,'03_全链计算'!V48+1,0),IF('01_数值调参'!I36&lt;0,'03_全链计算'!W48+1,0),IF('01_数值调参'!I37&lt;0,'03_全链计算'!X48+1,0),IF('01_数值调参'!I38&lt;0,'03_全链计算'!Y48+1,0),IF('01_数值调参'!I39&lt;0,'03_全链计算'!Z48+1,0),IF('01_数值调参'!I40&lt;0,'03_全链计算'!AA48+1,0),IF('01_数值调参'!I41&lt;0,'03_全链计算'!AB48+1,0),IF('01_数值调参'!I42&lt;0,'03_全链计算'!AC48+1,0),IF('01_数值调参'!I43&lt;0,'03_全链计算'!AD48+1,0),IF('01_数值调参'!I44&lt;0,'03_全链计算'!AE48+1,0),IF('01_数值调参'!I45&lt;0,'03_全链计算'!AF48+1,0),IF('01_数值调参'!I46&lt;0,'03_全链计算'!AG48+1,0),IF('01_数值调参'!I47&lt;0,'03_全链计算'!AH48+1,0),IF('01_数值调参'!I48&lt;0,'03_全链计算'!AI48+1,0),IF('01_数值调参'!I49&lt;0,'03_全链计算'!AJ48+1,0),IF('01_数值调参'!I50&lt;0,'03_全链计算'!AK48+1,0),IF('01_数值调参'!I51&lt;0,'03_全链计算'!AL48+1,0),IF('01_数值调参'!I52&lt;0,'03_全链计算'!AM48+1,0))</x:f>
        <x:v>0</x:v>
      </x:c>
      <x:c r="J49" s="9" t="n">
        <x:f>MAX(IF('01_数值调参'!J18&lt;0,'03_全链计算'!E48+1,0),IF('01_数值调参'!J19&lt;0,'03_全链计算'!F48+1,0),IF('01_数值调参'!J20&lt;0,'03_全链计算'!G48+1,0),IF('01_数值调参'!J21&lt;0,'03_全链计算'!H48+1,0),IF('01_数值调参'!J22&lt;0,'03_全链计算'!I48+1,0),IF('01_数值调参'!J23&lt;0,'03_全链计算'!J48+1,0),IF('01_数值调参'!J24&lt;0,'03_全链计算'!K48+1,0),IF('01_数值调参'!J25&lt;0,'03_全链计算'!L48+1,0),IF('01_数值调参'!J26&lt;0,'03_全链计算'!M48+1,0),IF('01_数值调参'!J27&lt;0,'03_全链计算'!N48+1,0),IF('01_数值调参'!J28&lt;0,'03_全链计算'!O48+1,0),IF('01_数值调参'!J29&lt;0,'03_全链计算'!P48+1,0),IF('01_数值调参'!J30&lt;0,'03_全链计算'!Q48+1,0),IF('01_数值调参'!J31&lt;0,'03_全链计算'!R48+1,0),IF('01_数值调参'!J32&lt;0,'03_全链计算'!S48+1,0),IF('01_数值调参'!J33&lt;0,'03_全链计算'!T48+1,0),IF('01_数值调参'!J34&lt;0,'03_全链计算'!U48+1,0),IF('01_数值调参'!J35&lt;0,'03_全链计算'!V48+1,0),IF('01_数值调参'!J36&lt;0,'03_全链计算'!W48+1,0),IF('01_数值调参'!J37&lt;0,'03_全链计算'!X48+1,0),IF('01_数值调参'!J38&lt;0,'03_全链计算'!Y48+1,0),IF('01_数值调参'!J39&lt;0,'03_全链计算'!Z48+1,0),IF('01_数值调参'!J40&lt;0,'03_全链计算'!AA48+1,0),IF('01_数值调参'!J41&lt;0,'03_全链计算'!AB48+1,0),IF('01_数值调参'!J42&lt;0,'03_全链计算'!AC48+1,0),IF('01_数值调参'!J43&lt;0,'03_全链计算'!AD48+1,0),IF('01_数值调参'!J44&lt;0,'03_全链计算'!AE48+1,0),IF('01_数值调参'!J45&lt;0,'03_全链计算'!AF48+1,0),IF('01_数值调参'!J46&lt;0,'03_全链计算'!AG48+1,0),IF('01_数值调参'!J47&lt;0,'03_全链计算'!AH48+1,0),IF('01_数值调参'!J48&lt;0,'03_全链计算'!AI48+1,0),IF('01_数值调参'!J49&lt;0,'03_全链计算'!AJ48+1,0),IF('01_数值调参'!J50&lt;0,'03_全链计算'!AK48+1,0),IF('01_数值调参'!J51&lt;0,'03_全链计算'!AL48+1,0),IF('01_数值调参'!J52&lt;0,'03_全链计算'!AM48+1,0))</x:f>
        <x:v>0</x:v>
      </x:c>
      <x:c r="K49" s="9" t="n">
        <x:f>MAX(IF('01_数值调参'!K18&lt;0,'03_全链计算'!E48+1,0),IF('01_数值调参'!K19&lt;0,'03_全链计算'!F48+1,0),IF('01_数值调参'!K20&lt;0,'03_全链计算'!G48+1,0),IF('01_数值调参'!K21&lt;0,'03_全链计算'!H48+1,0),IF('01_数值调参'!K22&lt;0,'03_全链计算'!I48+1,0),IF('01_数值调参'!K23&lt;0,'03_全链计算'!J48+1,0),IF('01_数值调参'!K24&lt;0,'03_全链计算'!K48+1,0),IF('01_数值调参'!K25&lt;0,'03_全链计算'!L48+1,0),IF('01_数值调参'!K26&lt;0,'03_全链计算'!M48+1,0),IF('01_数值调参'!K27&lt;0,'03_全链计算'!N48+1,0),IF('01_数值调参'!K28&lt;0,'03_全链计算'!O48+1,0),IF('01_数值调参'!K29&lt;0,'03_全链计算'!P48+1,0),IF('01_数值调参'!K30&lt;0,'03_全链计算'!Q48+1,0),IF('01_数值调参'!K31&lt;0,'03_全链计算'!R48+1,0),IF('01_数值调参'!K32&lt;0,'03_全链计算'!S48+1,0),IF('01_数值调参'!K33&lt;0,'03_全链计算'!T48+1,0),IF('01_数值调参'!K34&lt;0,'03_全链计算'!U48+1,0),IF('01_数值调参'!K35&lt;0,'03_全链计算'!V48+1,0),IF('01_数值调参'!K36&lt;0,'03_全链计算'!W48+1,0),IF('01_数值调参'!K37&lt;0,'03_全链计算'!X48+1,0),IF('01_数值调参'!K38&lt;0,'03_全链计算'!Y48+1,0),IF('01_数值调参'!K39&lt;0,'03_全链计算'!Z48+1,0),IF('01_数值调参'!K40&lt;0,'03_全链计算'!AA48+1,0),IF('01_数值调参'!K41&lt;0,'03_全链计算'!AB48+1,0),IF('01_数值调参'!K42&lt;0,'03_全链计算'!AC48+1,0),IF('01_数值调参'!K43&lt;0,'03_全链计算'!AD48+1,0),IF('01_数值调参'!K44&lt;0,'03_全链计算'!AE48+1,0),IF('01_数值调参'!K45&lt;0,'03_全链计算'!AF48+1,0),IF('01_数值调参'!K46&lt;0,'03_全链计算'!AG48+1,0),IF('01_数值调参'!K47&lt;0,'03_全链计算'!AH48+1,0),IF('01_数值调参'!K48&lt;0,'03_全链计算'!AI48+1,0),IF('01_数值调参'!K49&lt;0,'03_全链计算'!AJ48+1,0),IF('01_数值调参'!K50&lt;0,'03_全链计算'!AK48+1,0),IF('01_数值调参'!K51&lt;0,'03_全链计算'!AL48+1,0),IF('01_数值调参'!K52&lt;0,'03_全链计算'!AM48+1,0))</x:f>
        <x:v>0</x:v>
      </x:c>
      <x:c r="L49" s="9" t="n">
        <x:f>MAX(IF('01_数值调参'!L18&lt;0,'03_全链计算'!E48+1,0),IF('01_数值调参'!L19&lt;0,'03_全链计算'!F48+1,0),IF('01_数值调参'!L20&lt;0,'03_全链计算'!G48+1,0),IF('01_数值调参'!L21&lt;0,'03_全链计算'!H48+1,0),IF('01_数值调参'!L22&lt;0,'03_全链计算'!I48+1,0),IF('01_数值调参'!L23&lt;0,'03_全链计算'!J48+1,0),IF('01_数值调参'!L24&lt;0,'03_全链计算'!K48+1,0),IF('01_数值调参'!L25&lt;0,'03_全链计算'!L48+1,0),IF('01_数值调参'!L26&lt;0,'03_全链计算'!M48+1,0),IF('01_数值调参'!L27&lt;0,'03_全链计算'!N48+1,0),IF('01_数值调参'!L28&lt;0,'03_全链计算'!O48+1,0),IF('01_数值调参'!L29&lt;0,'03_全链计算'!P48+1,0),IF('01_数值调参'!L30&lt;0,'03_全链计算'!Q48+1,0),IF('01_数值调参'!L31&lt;0,'03_全链计算'!R48+1,0),IF('01_数值调参'!L32&lt;0,'03_全链计算'!S48+1,0),IF('01_数值调参'!L33&lt;0,'03_全链计算'!T48+1,0),IF('01_数值调参'!L34&lt;0,'03_全链计算'!U48+1,0),IF('01_数值调参'!L35&lt;0,'03_全链计算'!V48+1,0),IF('01_数值调参'!L36&lt;0,'03_全链计算'!W48+1,0),IF('01_数值调参'!L37&lt;0,'03_全链计算'!X48+1,0),IF('01_数值调参'!L38&lt;0,'03_全链计算'!Y48+1,0),IF('01_数值调参'!L39&lt;0,'03_全链计算'!Z48+1,0),IF('01_数值调参'!L40&lt;0,'03_全链计算'!AA48+1,0),IF('01_数值调参'!L41&lt;0,'03_全链计算'!AB48+1,0),IF('01_数值调参'!L42&lt;0,'03_全链计算'!AC48+1,0),IF('01_数值调参'!L43&lt;0,'03_全链计算'!AD48+1,0),IF('01_数值调参'!L44&lt;0,'03_全链计算'!AE48+1,0),IF('01_数值调参'!L45&lt;0,'03_全链计算'!AF48+1,0),IF('01_数值调参'!L46&lt;0,'03_全链计算'!AG48+1,0),IF('01_数值调参'!L47&lt;0,'03_全链计算'!AH48+1,0),IF('01_数值调参'!L48&lt;0,'03_全链计算'!AI48+1,0),IF('01_数值调参'!L49&lt;0,'03_全链计算'!AJ48+1,0),IF('01_数值调参'!L50&lt;0,'03_全链计算'!AK48+1,0),IF('01_数值调参'!L51&lt;0,'03_全链计算'!AL48+1,0),IF('01_数值调参'!L52&lt;0,'03_全链计算'!AM48+1,0))</x:f>
        <x:v>0</x:v>
      </x:c>
      <x:c r="M49" s="9" t="n">
        <x:f>MAX(IF('01_数值调参'!M18&lt;0,'03_全链计算'!E48+1,0),IF('01_数值调参'!M19&lt;0,'03_全链计算'!F48+1,0),IF('01_数值调参'!M20&lt;0,'03_全链计算'!G48+1,0),IF('01_数值调参'!M21&lt;0,'03_全链计算'!H48+1,0),IF('01_数值调参'!M22&lt;0,'03_全链计算'!I48+1,0),IF('01_数值调参'!M23&lt;0,'03_全链计算'!J48+1,0),IF('01_数值调参'!M24&lt;0,'03_全链计算'!K48+1,0),IF('01_数值调参'!M25&lt;0,'03_全链计算'!L48+1,0),IF('01_数值调参'!M26&lt;0,'03_全链计算'!M48+1,0),IF('01_数值调参'!M27&lt;0,'03_全链计算'!N48+1,0),IF('01_数值调参'!M28&lt;0,'03_全链计算'!O48+1,0),IF('01_数值调参'!M29&lt;0,'03_全链计算'!P48+1,0),IF('01_数值调参'!M30&lt;0,'03_全链计算'!Q48+1,0),IF('01_数值调参'!M31&lt;0,'03_全链计算'!R48+1,0),IF('01_数值调参'!M32&lt;0,'03_全链计算'!S48+1,0),IF('01_数值调参'!M33&lt;0,'03_全链计算'!T48+1,0),IF('01_数值调参'!M34&lt;0,'03_全链计算'!U48+1,0),IF('01_数值调参'!M35&lt;0,'03_全链计算'!V48+1,0),IF('01_数值调参'!M36&lt;0,'03_全链计算'!W48+1,0),IF('01_数值调参'!M37&lt;0,'03_全链计算'!X48+1,0),IF('01_数值调参'!M38&lt;0,'03_全链计算'!Y48+1,0),IF('01_数值调参'!M39&lt;0,'03_全链计算'!Z48+1,0),IF('01_数值调参'!M40&lt;0,'03_全链计算'!AA48+1,0),IF('01_数值调参'!M41&lt;0,'03_全链计算'!AB48+1,0),IF('01_数值调参'!M42&lt;0,'03_全链计算'!AC48+1,0),IF('01_数值调参'!M43&lt;0,'03_全链计算'!AD48+1,0),IF('01_数值调参'!M44&lt;0,'03_全链计算'!AE48+1,0),IF('01_数值调参'!M45&lt;0,'03_全链计算'!AF48+1,0),IF('01_数值调参'!M46&lt;0,'03_全链计算'!AG48+1,0),IF('01_数值调参'!M47&lt;0,'03_全链计算'!AH48+1,0),IF('01_数值调参'!M48&lt;0,'03_全链计算'!AI48+1,0),IF('01_数值调参'!M49&lt;0,'03_全链计算'!AJ48+1,0),IF('01_数值调参'!M50&lt;0,'03_全链计算'!AK48+1,0),IF('01_数值调参'!M51&lt;0,'03_全链计算'!AL48+1,0),IF('01_数值调参'!M52&lt;0,'03_全链计算'!AM48+1,0))</x:f>
        <x:v>0</x:v>
      </x:c>
      <x:c r="N49" s="9" t="n">
        <x:f>MAX(IF('01_数值调参'!N18&lt;0,'03_全链计算'!E48+1,0),IF('01_数值调参'!N19&lt;0,'03_全链计算'!F48+1,0),IF('01_数值调参'!N20&lt;0,'03_全链计算'!G48+1,0),IF('01_数值调参'!N21&lt;0,'03_全链计算'!H48+1,0),IF('01_数值调参'!N22&lt;0,'03_全链计算'!I48+1,0),IF('01_数值调参'!N23&lt;0,'03_全链计算'!J48+1,0),IF('01_数值调参'!N24&lt;0,'03_全链计算'!K48+1,0),IF('01_数值调参'!N25&lt;0,'03_全链计算'!L48+1,0),IF('01_数值调参'!N26&lt;0,'03_全链计算'!M48+1,0),IF('01_数值调参'!N27&lt;0,'03_全链计算'!N48+1,0),IF('01_数值调参'!N28&lt;0,'03_全链计算'!O48+1,0),IF('01_数值调参'!N29&lt;0,'03_全链计算'!P48+1,0),IF('01_数值调参'!N30&lt;0,'03_全链计算'!Q48+1,0),IF('01_数值调参'!N31&lt;0,'03_全链计算'!R48+1,0),IF('01_数值调参'!N32&lt;0,'03_全链计算'!S48+1,0),IF('01_数值调参'!N33&lt;0,'03_全链计算'!T48+1,0),IF('01_数值调参'!N34&lt;0,'03_全链计算'!U48+1,0),IF('01_数值调参'!N35&lt;0,'03_全链计算'!V48+1,0),IF('01_数值调参'!N36&lt;0,'03_全链计算'!W48+1,0),IF('01_数值调参'!N37&lt;0,'03_全链计算'!X48+1,0),IF('01_数值调参'!N38&lt;0,'03_全链计算'!Y48+1,0),IF('01_数值调参'!N39&lt;0,'03_全链计算'!Z48+1,0),IF('01_数值调参'!N40&lt;0,'03_全链计算'!AA48+1,0),IF('01_数值调参'!N41&lt;0,'03_全链计算'!AB48+1,0),IF('01_数值调参'!N42&lt;0,'03_全链计算'!AC48+1,0),IF('01_数值调参'!N43&lt;0,'03_全链计算'!AD48+1,0),IF('01_数值调参'!N44&lt;0,'03_全链计算'!AE48+1,0),IF('01_数值调参'!N45&lt;0,'03_全链计算'!AF48+1,0),IF('01_数值调参'!N46&lt;0,'03_全链计算'!AG48+1,0),IF('01_数值调参'!N47&lt;0,'03_全链计算'!AH48+1,0),IF('01_数值调参'!N48&lt;0,'03_全链计算'!AI48+1,0),IF('01_数值调参'!N49&lt;0,'03_全链计算'!AJ48+1,0),IF('01_数值调参'!N50&lt;0,'03_全链计算'!AK48+1,0),IF('01_数值调参'!N51&lt;0,'03_全链计算'!AL48+1,0),IF('01_数值调参'!N52&lt;0,'03_全链计算'!AM48+1,0))</x:f>
        <x:v>1</x:v>
      </x:c>
      <x:c r="O49" s="9" t="n">
        <x:f>MAX(IF('01_数值调参'!O18&lt;0,'03_全链计算'!E48+1,0),IF('01_数值调参'!O19&lt;0,'03_全链计算'!F48+1,0),IF('01_数值调参'!O20&lt;0,'03_全链计算'!G48+1,0),IF('01_数值调参'!O21&lt;0,'03_全链计算'!H48+1,0),IF('01_数值调参'!O22&lt;0,'03_全链计算'!I48+1,0),IF('01_数值调参'!O23&lt;0,'03_全链计算'!J48+1,0),IF('01_数值调参'!O24&lt;0,'03_全链计算'!K48+1,0),IF('01_数值调参'!O25&lt;0,'03_全链计算'!L48+1,0),IF('01_数值调参'!O26&lt;0,'03_全链计算'!M48+1,0),IF('01_数值调参'!O27&lt;0,'03_全链计算'!N48+1,0),IF('01_数值调参'!O28&lt;0,'03_全链计算'!O48+1,0),IF('01_数值调参'!O29&lt;0,'03_全链计算'!P48+1,0),IF('01_数值调参'!O30&lt;0,'03_全链计算'!Q48+1,0),IF('01_数值调参'!O31&lt;0,'03_全链计算'!R48+1,0),IF('01_数值调参'!O32&lt;0,'03_全链计算'!S48+1,0),IF('01_数值调参'!O33&lt;0,'03_全链计算'!T48+1,0),IF('01_数值调参'!O34&lt;0,'03_全链计算'!U48+1,0),IF('01_数值调参'!O35&lt;0,'03_全链计算'!V48+1,0),IF('01_数值调参'!O36&lt;0,'03_全链计算'!W48+1,0),IF('01_数值调参'!O37&lt;0,'03_全链计算'!X48+1,0),IF('01_数值调参'!O38&lt;0,'03_全链计算'!Y48+1,0),IF('01_数值调参'!O39&lt;0,'03_全链计算'!Z48+1,0),IF('01_数值调参'!O40&lt;0,'03_全链计算'!AA48+1,0),IF('01_数值调参'!O41&lt;0,'03_全链计算'!AB48+1,0),IF('01_数值调参'!O42&lt;0,'03_全链计算'!AC48+1,0),IF('01_数值调参'!O43&lt;0,'03_全链计算'!AD48+1,0),IF('01_数值调参'!O44&lt;0,'03_全链计算'!AE48+1,0),IF('01_数值调参'!O45&lt;0,'03_全链计算'!AF48+1,0),IF('01_数值调参'!O46&lt;0,'03_全链计算'!AG48+1,0),IF('01_数值调参'!O47&lt;0,'03_全链计算'!AH48+1,0),IF('01_数值调参'!O48&lt;0,'03_全链计算'!AI48+1,0),IF('01_数值调参'!O49&lt;0,'03_全链计算'!AJ48+1,0),IF('01_数值调参'!O50&lt;0,'03_全链计算'!AK48+1,0),IF('01_数值调参'!O51&lt;0,'03_全链计算'!AL48+1,0),IF('01_数值调参'!O52&lt;0,'03_全链计算'!AM48+1,0))</x:f>
        <x:v>1</x:v>
      </x:c>
      <x:c r="P49" s="9" t="n">
        <x:f>MAX(IF('01_数值调参'!P18&lt;0,'03_全链计算'!E48+1,0),IF('01_数值调参'!P19&lt;0,'03_全链计算'!F48+1,0),IF('01_数值调参'!P20&lt;0,'03_全链计算'!G48+1,0),IF('01_数值调参'!P21&lt;0,'03_全链计算'!H48+1,0),IF('01_数值调参'!P22&lt;0,'03_全链计算'!I48+1,0),IF('01_数值调参'!P23&lt;0,'03_全链计算'!J48+1,0),IF('01_数值调参'!P24&lt;0,'03_全链计算'!K48+1,0),IF('01_数值调参'!P25&lt;0,'03_全链计算'!L48+1,0),IF('01_数值调参'!P26&lt;0,'03_全链计算'!M48+1,0),IF('01_数值调参'!P27&lt;0,'03_全链计算'!N48+1,0),IF('01_数值调参'!P28&lt;0,'03_全链计算'!O48+1,0),IF('01_数值调参'!P29&lt;0,'03_全链计算'!P48+1,0),IF('01_数值调参'!P30&lt;0,'03_全链计算'!Q48+1,0),IF('01_数值调参'!P31&lt;0,'03_全链计算'!R48+1,0),IF('01_数值调参'!P32&lt;0,'03_全链计算'!S48+1,0),IF('01_数值调参'!P33&lt;0,'03_全链计算'!T48+1,0),IF('01_数值调参'!P34&lt;0,'03_全链计算'!U48+1,0),IF('01_数值调参'!P35&lt;0,'03_全链计算'!V48+1,0),IF('01_数值调参'!P36&lt;0,'03_全链计算'!W48+1,0),IF('01_数值调参'!P37&lt;0,'03_全链计算'!X48+1,0),IF('01_数值调参'!P38&lt;0,'03_全链计算'!Y48+1,0),IF('01_数值调参'!P39&lt;0,'03_全链计算'!Z48+1,0),IF('01_数值调参'!P40&lt;0,'03_全链计算'!AA48+1,0),IF('01_数值调参'!P41&lt;0,'03_全链计算'!AB48+1,0),IF('01_数值调参'!P42&lt;0,'03_全链计算'!AC48+1,0),IF('01_数值调参'!P43&lt;0,'03_全链计算'!AD48+1,0),IF('01_数值调参'!P44&lt;0,'03_全链计算'!AE48+1,0),IF('01_数值调参'!P45&lt;0,'03_全链计算'!AF48+1,0),IF('01_数值调参'!P46&lt;0,'03_全链计算'!AG48+1,0),IF('01_数值调参'!P47&lt;0,'03_全链计算'!AH48+1,0),IF('01_数值调参'!P48&lt;0,'03_全链计算'!AI48+1,0),IF('01_数值调参'!P49&lt;0,'03_全链计算'!AJ48+1,0),IF('01_数值调参'!P50&lt;0,'03_全链计算'!AK48+1,0),IF('01_数值调参'!P51&lt;0,'03_全链计算'!AL48+1,0),IF('01_数值调参'!P52&lt;0,'03_全链计算'!AM48+1,0))</x:f>
        <x:v>1</x:v>
      </x:c>
      <x:c r="Q49" s="9" t="n">
        <x:f>MAX(IF('01_数值调参'!Q18&lt;0,'03_全链计算'!E48+1,0),IF('01_数值调参'!Q19&lt;0,'03_全链计算'!F48+1,0),IF('01_数值调参'!Q20&lt;0,'03_全链计算'!G48+1,0),IF('01_数值调参'!Q21&lt;0,'03_全链计算'!H48+1,0),IF('01_数值调参'!Q22&lt;0,'03_全链计算'!I48+1,0),IF('01_数值调参'!Q23&lt;0,'03_全链计算'!J48+1,0),IF('01_数值调参'!Q24&lt;0,'03_全链计算'!K48+1,0),IF('01_数值调参'!Q25&lt;0,'03_全链计算'!L48+1,0),IF('01_数值调参'!Q26&lt;0,'03_全链计算'!M48+1,0),IF('01_数值调参'!Q27&lt;0,'03_全链计算'!N48+1,0),IF('01_数值调参'!Q28&lt;0,'03_全链计算'!O48+1,0),IF('01_数值调参'!Q29&lt;0,'03_全链计算'!P48+1,0),IF('01_数值调参'!Q30&lt;0,'03_全链计算'!Q48+1,0),IF('01_数值调参'!Q31&lt;0,'03_全链计算'!R48+1,0),IF('01_数值调参'!Q32&lt;0,'03_全链计算'!S48+1,0),IF('01_数值调参'!Q33&lt;0,'03_全链计算'!T48+1,0),IF('01_数值调参'!Q34&lt;0,'03_全链计算'!U48+1,0),IF('01_数值调参'!Q35&lt;0,'03_全链计算'!V48+1,0),IF('01_数值调参'!Q36&lt;0,'03_全链计算'!W48+1,0),IF('01_数值调参'!Q37&lt;0,'03_全链计算'!X48+1,0),IF('01_数值调参'!Q38&lt;0,'03_全链计算'!Y48+1,0),IF('01_数值调参'!Q39&lt;0,'03_全链计算'!Z48+1,0),IF('01_数值调参'!Q40&lt;0,'03_全链计算'!AA48+1,0),IF('01_数值调参'!Q41&lt;0,'03_全链计算'!AB48+1,0),IF('01_数值调参'!Q42&lt;0,'03_全链计算'!AC48+1,0),IF('01_数值调参'!Q43&lt;0,'03_全链计算'!AD48+1,0),IF('01_数值调参'!Q44&lt;0,'03_全链计算'!AE48+1,0),IF('01_数值调参'!Q45&lt;0,'03_全链计算'!AF48+1,0),IF('01_数值调参'!Q46&lt;0,'03_全链计算'!AG48+1,0),IF('01_数值调参'!Q47&lt;0,'03_全链计算'!AH48+1,0),IF('01_数值调参'!Q48&lt;0,'03_全链计算'!AI48+1,0),IF('01_数值调参'!Q49&lt;0,'03_全链计算'!AJ48+1,0),IF('01_数值调参'!Q50&lt;0,'03_全链计算'!AK48+1,0),IF('01_数值调参'!Q51&lt;0,'03_全链计算'!AL48+1,0),IF('01_数值调参'!Q52&lt;0,'03_全链计算'!AM48+1,0))</x:f>
        <x:v>1</x:v>
      </x:c>
      <x:c r="R49" s="9" t="n">
        <x:f>MAX(IF('01_数值调参'!R18&lt;0,'03_全链计算'!E48+1,0),IF('01_数值调参'!R19&lt;0,'03_全链计算'!F48+1,0),IF('01_数值调参'!R20&lt;0,'03_全链计算'!G48+1,0),IF('01_数值调参'!R21&lt;0,'03_全链计算'!H48+1,0),IF('01_数值调参'!R22&lt;0,'03_全链计算'!I48+1,0),IF('01_数值调参'!R23&lt;0,'03_全链计算'!J48+1,0),IF('01_数值调参'!R24&lt;0,'03_全链计算'!K48+1,0),IF('01_数值调参'!R25&lt;0,'03_全链计算'!L48+1,0),IF('01_数值调参'!R26&lt;0,'03_全链计算'!M48+1,0),IF('01_数值调参'!R27&lt;0,'03_全链计算'!N48+1,0),IF('01_数值调参'!R28&lt;0,'03_全链计算'!O48+1,0),IF('01_数值调参'!R29&lt;0,'03_全链计算'!P48+1,0),IF('01_数值调参'!R30&lt;0,'03_全链计算'!Q48+1,0),IF('01_数值调参'!R31&lt;0,'03_全链计算'!R48+1,0),IF('01_数值调参'!R32&lt;0,'03_全链计算'!S48+1,0),IF('01_数值调参'!R33&lt;0,'03_全链计算'!T48+1,0),IF('01_数值调参'!R34&lt;0,'03_全链计算'!U48+1,0),IF('01_数值调参'!R35&lt;0,'03_全链计算'!V48+1,0),IF('01_数值调参'!R36&lt;0,'03_全链计算'!W48+1,0),IF('01_数值调参'!R37&lt;0,'03_全链计算'!X48+1,0),IF('01_数值调参'!R38&lt;0,'03_全链计算'!Y48+1,0),IF('01_数值调参'!R39&lt;0,'03_全链计算'!Z48+1,0),IF('01_数值调参'!R40&lt;0,'03_全链计算'!AA48+1,0),IF('01_数值调参'!R41&lt;0,'03_全链计算'!AB48+1,0),IF('01_数值调参'!R42&lt;0,'03_全链计算'!AC48+1,0),IF('01_数值调参'!R43&lt;0,'03_全链计算'!AD48+1,0),IF('01_数值调参'!R44&lt;0,'03_全链计算'!AE48+1,0),IF('01_数值调参'!R45&lt;0,'03_全链计算'!AF48+1,0),IF('01_数值调参'!R46&lt;0,'03_全链计算'!AG48+1,0),IF('01_数值调参'!R47&lt;0,'03_全链计算'!AH48+1,0),IF('01_数值调参'!R48&lt;0,'03_全链计算'!AI48+1,0),IF('01_数值调参'!R49&lt;0,'03_全链计算'!AJ48+1,0),IF('01_数值调参'!R50&lt;0,'03_全链计算'!AK48+1,0),IF('01_数值调参'!R51&lt;0,'03_全链计算'!AL48+1,0),IF('01_数值调参'!R52&lt;0,'03_全链计算'!AM48+1,0))</x:f>
        <x:v>1</x:v>
      </x:c>
      <x:c r="S49" s="9" t="n">
        <x:f>MAX(IF('01_数值调参'!S18&lt;0,'03_全链计算'!E48+1,0),IF('01_数值调参'!S19&lt;0,'03_全链计算'!F48+1,0),IF('01_数值调参'!S20&lt;0,'03_全链计算'!G48+1,0),IF('01_数值调参'!S21&lt;0,'03_全链计算'!H48+1,0),IF('01_数值调参'!S22&lt;0,'03_全链计算'!I48+1,0),IF('01_数值调参'!S23&lt;0,'03_全链计算'!J48+1,0),IF('01_数值调参'!S24&lt;0,'03_全链计算'!K48+1,0),IF('01_数值调参'!S25&lt;0,'03_全链计算'!L48+1,0),IF('01_数值调参'!S26&lt;0,'03_全链计算'!M48+1,0),IF('01_数值调参'!S27&lt;0,'03_全链计算'!N48+1,0),IF('01_数值调参'!S28&lt;0,'03_全链计算'!O48+1,0),IF('01_数值调参'!S29&lt;0,'03_全链计算'!P48+1,0),IF('01_数值调参'!S30&lt;0,'03_全链计算'!Q48+1,0),IF('01_数值调参'!S31&lt;0,'03_全链计算'!R48+1,0),IF('01_数值调参'!S32&lt;0,'03_全链计算'!S48+1,0),IF('01_数值调参'!S33&lt;0,'03_全链计算'!T48+1,0),IF('01_数值调参'!S34&lt;0,'03_全链计算'!U48+1,0),IF('01_数值调参'!S35&lt;0,'03_全链计算'!V48+1,0),IF('01_数值调参'!S36&lt;0,'03_全链计算'!W48+1,0),IF('01_数值调参'!S37&lt;0,'03_全链计算'!X48+1,0),IF('01_数值调参'!S38&lt;0,'03_全链计算'!Y48+1,0),IF('01_数值调参'!S39&lt;0,'03_全链计算'!Z48+1,0),IF('01_数值调参'!S40&lt;0,'03_全链计算'!AA48+1,0),IF('01_数值调参'!S41&lt;0,'03_全链计算'!AB48+1,0),IF('01_数值调参'!S42&lt;0,'03_全链计算'!AC48+1,0),IF('01_数值调参'!S43&lt;0,'03_全链计算'!AD48+1,0),IF('01_数值调参'!S44&lt;0,'03_全链计算'!AE48+1,0),IF('01_数值调参'!S45&lt;0,'03_全链计算'!AF48+1,0),IF('01_数值调参'!S46&lt;0,'03_全链计算'!AG48+1,0),IF('01_数值调参'!S47&lt;0,'03_全链计算'!AH48+1,0),IF('01_数值调参'!S48&lt;0,'03_全链计算'!AI48+1,0),IF('01_数值调参'!S49&lt;0,'03_全链计算'!AJ48+1,0),IF('01_数值调参'!S50&lt;0,'03_全链计算'!AK48+1,0),IF('01_数值调参'!S51&lt;0,'03_全链计算'!AL48+1,0),IF('01_数值调参'!S52&lt;0,'03_全链计算'!AM48+1,0))</x:f>
        <x:v>1</x:v>
      </x:c>
      <x:c r="T49" s="9" t="n">
        <x:f>MAX(IF('01_数值调参'!T18&lt;0,'03_全链计算'!E48+1,0),IF('01_数值调参'!T19&lt;0,'03_全链计算'!F48+1,0),IF('01_数值调参'!T20&lt;0,'03_全链计算'!G48+1,0),IF('01_数值调参'!T21&lt;0,'03_全链计算'!H48+1,0),IF('01_数值调参'!T22&lt;0,'03_全链计算'!I48+1,0),IF('01_数值调参'!T23&lt;0,'03_全链计算'!J48+1,0),IF('01_数值调参'!T24&lt;0,'03_全链计算'!K48+1,0),IF('01_数值调参'!T25&lt;0,'03_全链计算'!L48+1,0),IF('01_数值调参'!T26&lt;0,'03_全链计算'!M48+1,0),IF('01_数值调参'!T27&lt;0,'03_全链计算'!N48+1,0),IF('01_数值调参'!T28&lt;0,'03_全链计算'!O48+1,0),IF('01_数值调参'!T29&lt;0,'03_全链计算'!P48+1,0),IF('01_数值调参'!T30&lt;0,'03_全链计算'!Q48+1,0),IF('01_数值调参'!T31&lt;0,'03_全链计算'!R48+1,0),IF('01_数值调参'!T32&lt;0,'03_全链计算'!S48+1,0),IF('01_数值调参'!T33&lt;0,'03_全链计算'!T48+1,0),IF('01_数值调参'!T34&lt;0,'03_全链计算'!U48+1,0),IF('01_数值调参'!T35&lt;0,'03_全链计算'!V48+1,0),IF('01_数值调参'!T36&lt;0,'03_全链计算'!W48+1,0),IF('01_数值调参'!T37&lt;0,'03_全链计算'!X48+1,0),IF('01_数值调参'!T38&lt;0,'03_全链计算'!Y48+1,0),IF('01_数值调参'!T39&lt;0,'03_全链计算'!Z48+1,0),IF('01_数值调参'!T40&lt;0,'03_全链计算'!AA48+1,0),IF('01_数值调参'!T41&lt;0,'03_全链计算'!AB48+1,0),IF('01_数值调参'!T42&lt;0,'03_全链计算'!AC48+1,0),IF('01_数值调参'!T43&lt;0,'03_全链计算'!AD48+1,0),IF('01_数值调参'!T44&lt;0,'03_全链计算'!AE48+1,0),IF('01_数值调参'!T45&lt;0,'03_全链计算'!AF48+1,0),IF('01_数值调参'!T46&lt;0,'03_全链计算'!AG48+1,0),IF('01_数值调参'!T47&lt;0,'03_全链计算'!AH48+1,0),IF('01_数值调参'!T48&lt;0,'03_全链计算'!AI48+1,0),IF('01_数值调参'!T49&lt;0,'03_全链计算'!AJ48+1,0),IF('01_数值调参'!T50&lt;0,'03_全链计算'!AK48+1,0),IF('01_数值调参'!T51&lt;0,'03_全链计算'!AL48+1,0),IF('01_数值调参'!T52&lt;0,'03_全链计算'!AM48+1,0))</x:f>
        <x:v>1</x:v>
      </x:c>
      <x:c r="U49" s="9" t="n">
        <x:f>MAX(IF('01_数值调参'!U18&lt;0,'03_全链计算'!E48+1,0),IF('01_数值调参'!U19&lt;0,'03_全链计算'!F48+1,0),IF('01_数值调参'!U20&lt;0,'03_全链计算'!G48+1,0),IF('01_数值调参'!U21&lt;0,'03_全链计算'!H48+1,0),IF('01_数值调参'!U22&lt;0,'03_全链计算'!I48+1,0),IF('01_数值调参'!U23&lt;0,'03_全链计算'!J48+1,0),IF('01_数值调参'!U24&lt;0,'03_全链计算'!K48+1,0),IF('01_数值调参'!U25&lt;0,'03_全链计算'!L48+1,0),IF('01_数值调参'!U26&lt;0,'03_全链计算'!M48+1,0),IF('01_数值调参'!U27&lt;0,'03_全链计算'!N48+1,0),IF('01_数值调参'!U28&lt;0,'03_全链计算'!O48+1,0),IF('01_数值调参'!U29&lt;0,'03_全链计算'!P48+1,0),IF('01_数值调参'!U30&lt;0,'03_全链计算'!Q48+1,0),IF('01_数值调参'!U31&lt;0,'03_全链计算'!R48+1,0),IF('01_数值调参'!U32&lt;0,'03_全链计算'!S48+1,0),IF('01_数值调参'!U33&lt;0,'03_全链计算'!T48+1,0),IF('01_数值调参'!U34&lt;0,'03_全链计算'!U48+1,0),IF('01_数值调参'!U35&lt;0,'03_全链计算'!V48+1,0),IF('01_数值调参'!U36&lt;0,'03_全链计算'!W48+1,0),IF('01_数值调参'!U37&lt;0,'03_全链计算'!X48+1,0),IF('01_数值调参'!U38&lt;0,'03_全链计算'!Y48+1,0),IF('01_数值调参'!U39&lt;0,'03_全链计算'!Z48+1,0),IF('01_数值调参'!U40&lt;0,'03_全链计算'!AA48+1,0),IF('01_数值调参'!U41&lt;0,'03_全链计算'!AB48+1,0),IF('01_数值调参'!U42&lt;0,'03_全链计算'!AC48+1,0),IF('01_数值调参'!U43&lt;0,'03_全链计算'!AD48+1,0),IF('01_数值调参'!U44&lt;0,'03_全链计算'!AE48+1,0),IF('01_数值调参'!U45&lt;0,'03_全链计算'!AF48+1,0),IF('01_数值调参'!U46&lt;0,'03_全链计算'!AG48+1,0),IF('01_数值调参'!U47&lt;0,'03_全链计算'!AH48+1,0),IF('01_数值调参'!U48&lt;0,'03_全链计算'!AI48+1,0),IF('01_数值调参'!U49&lt;0,'03_全链计算'!AJ48+1,0),IF('01_数值调参'!U50&lt;0,'03_全链计算'!AK48+1,0),IF('01_数值调参'!U51&lt;0,'03_全链计算'!AL48+1,0),IF('01_数值调参'!U52&lt;0,'03_全链计算'!AM48+1,0))</x:f>
        <x:v>1</x:v>
      </x:c>
      <x:c r="V49" s="9" t="n">
        <x:f>MAX(IF('01_数值调参'!V18&lt;0,'03_全链计算'!E48+1,0),IF('01_数值调参'!V19&lt;0,'03_全链计算'!F48+1,0),IF('01_数值调参'!V20&lt;0,'03_全链计算'!G48+1,0),IF('01_数值调参'!V21&lt;0,'03_全链计算'!H48+1,0),IF('01_数值调参'!V22&lt;0,'03_全链计算'!I48+1,0),IF('01_数值调参'!V23&lt;0,'03_全链计算'!J48+1,0),IF('01_数值调参'!V24&lt;0,'03_全链计算'!K48+1,0),IF('01_数值调参'!V25&lt;0,'03_全链计算'!L48+1,0),IF('01_数值调参'!V26&lt;0,'03_全链计算'!M48+1,0),IF('01_数值调参'!V27&lt;0,'03_全链计算'!N48+1,0),IF('01_数值调参'!V28&lt;0,'03_全链计算'!O48+1,0),IF('01_数值调参'!V29&lt;0,'03_全链计算'!P48+1,0),IF('01_数值调参'!V30&lt;0,'03_全链计算'!Q48+1,0),IF('01_数值调参'!V31&lt;0,'03_全链计算'!R48+1,0),IF('01_数值调参'!V32&lt;0,'03_全链计算'!S48+1,0),IF('01_数值调参'!V33&lt;0,'03_全链计算'!T48+1,0),IF('01_数值调参'!V34&lt;0,'03_全链计算'!U48+1,0),IF('01_数值调参'!V35&lt;0,'03_全链计算'!V48+1,0),IF('01_数值调参'!V36&lt;0,'03_全链计算'!W48+1,0),IF('01_数值调参'!V37&lt;0,'03_全链计算'!X48+1,0),IF('01_数值调参'!V38&lt;0,'03_全链计算'!Y48+1,0),IF('01_数值调参'!V39&lt;0,'03_全链计算'!Z48+1,0),IF('01_数值调参'!V40&lt;0,'03_全链计算'!AA48+1,0),IF('01_数值调参'!V41&lt;0,'03_全链计算'!AB48+1,0),IF('01_数值调参'!V42&lt;0,'03_全链计算'!AC48+1,0),IF('01_数值调参'!V43&lt;0,'03_全链计算'!AD48+1,0),IF('01_数值调参'!V44&lt;0,'03_全链计算'!AE48+1,0),IF('01_数值调参'!V45&lt;0,'03_全链计算'!AF48+1,0),IF('01_数值调参'!V46&lt;0,'03_全链计算'!AG48+1,0),IF('01_数值调参'!V47&lt;0,'03_全链计算'!AH48+1,0),IF('01_数值调参'!V48&lt;0,'03_全链计算'!AI48+1,0),IF('01_数值调参'!V49&lt;0,'03_全链计算'!AJ48+1,0),IF('01_数值调参'!V50&lt;0,'03_全链计算'!AK48+1,0),IF('01_数值调参'!V51&lt;0,'03_全链计算'!AL48+1,0),IF('01_数值调参'!V52&lt;0,'03_全链计算'!AM48+1,0))</x:f>
        <x:v>1</x:v>
      </x:c>
      <x:c r="W49" s="9" t="n">
        <x:f>MAX(IF('01_数值调参'!W18&lt;0,'03_全链计算'!E48+1,0),IF('01_数值调参'!W19&lt;0,'03_全链计算'!F48+1,0),IF('01_数值调参'!W20&lt;0,'03_全链计算'!G48+1,0),IF('01_数值调参'!W21&lt;0,'03_全链计算'!H48+1,0),IF('01_数值调参'!W22&lt;0,'03_全链计算'!I48+1,0),IF('01_数值调参'!W23&lt;0,'03_全链计算'!J48+1,0),IF('01_数值调参'!W24&lt;0,'03_全链计算'!K48+1,0),IF('01_数值调参'!W25&lt;0,'03_全链计算'!L48+1,0),IF('01_数值调参'!W26&lt;0,'03_全链计算'!M48+1,0),IF('01_数值调参'!W27&lt;0,'03_全链计算'!N48+1,0),IF('01_数值调参'!W28&lt;0,'03_全链计算'!O48+1,0),IF('01_数值调参'!W29&lt;0,'03_全链计算'!P48+1,0),IF('01_数值调参'!W30&lt;0,'03_全链计算'!Q48+1,0),IF('01_数值调参'!W31&lt;0,'03_全链计算'!R48+1,0),IF('01_数值调参'!W32&lt;0,'03_全链计算'!S48+1,0),IF('01_数值调参'!W33&lt;0,'03_全链计算'!T48+1,0),IF('01_数值调参'!W34&lt;0,'03_全链计算'!U48+1,0),IF('01_数值调参'!W35&lt;0,'03_全链计算'!V48+1,0),IF('01_数值调参'!W36&lt;0,'03_全链计算'!W48+1,0),IF('01_数值调参'!W37&lt;0,'03_全链计算'!X48+1,0),IF('01_数值调参'!W38&lt;0,'03_全链计算'!Y48+1,0),IF('01_数值调参'!W39&lt;0,'03_全链计算'!Z48+1,0),IF('01_数值调参'!W40&lt;0,'03_全链计算'!AA48+1,0),IF('01_数值调参'!W41&lt;0,'03_全链计算'!AB48+1,0),IF('01_数值调参'!W42&lt;0,'03_全链计算'!AC48+1,0),IF('01_数值调参'!W43&lt;0,'03_全链计算'!AD48+1,0),IF('01_数值调参'!W44&lt;0,'03_全链计算'!AE48+1,0),IF('01_数值调参'!W45&lt;0,'03_全链计算'!AF48+1,0),IF('01_数值调参'!W46&lt;0,'03_全链计算'!AG48+1,0),IF('01_数值调参'!W47&lt;0,'03_全链计算'!AH48+1,0),IF('01_数值调参'!W48&lt;0,'03_全链计算'!AI48+1,0),IF('01_数值调参'!W49&lt;0,'03_全链计算'!AJ48+1,0),IF('01_数值调参'!W50&lt;0,'03_全链计算'!AK48+1,0),IF('01_数值调参'!W51&lt;0,'03_全链计算'!AL48+1,0),IF('01_数值调参'!W52&lt;0,'03_全链计算'!AM48+1,0))</x:f>
        <x:v>1</x:v>
      </x:c>
      <x:c r="X49" s="9" t="n">
        <x:f>MAX(IF('01_数值调参'!X18&lt;0,'03_全链计算'!E48+1,0),IF('01_数值调参'!X19&lt;0,'03_全链计算'!F48+1,0),IF('01_数值调参'!X20&lt;0,'03_全链计算'!G48+1,0),IF('01_数值调参'!X21&lt;0,'03_全链计算'!H48+1,0),IF('01_数值调参'!X22&lt;0,'03_全链计算'!I48+1,0),IF('01_数值调参'!X23&lt;0,'03_全链计算'!J48+1,0),IF('01_数值调参'!X24&lt;0,'03_全链计算'!K48+1,0),IF('01_数值调参'!X25&lt;0,'03_全链计算'!L48+1,0),IF('01_数值调参'!X26&lt;0,'03_全链计算'!M48+1,0),IF('01_数值调参'!X27&lt;0,'03_全链计算'!N48+1,0),IF('01_数值调参'!X28&lt;0,'03_全链计算'!O48+1,0),IF('01_数值调参'!X29&lt;0,'03_全链计算'!P48+1,0),IF('01_数值调参'!X30&lt;0,'03_全链计算'!Q48+1,0),IF('01_数值调参'!X31&lt;0,'03_全链计算'!R48+1,0),IF('01_数值调参'!X32&lt;0,'03_全链计算'!S48+1,0),IF('01_数值调参'!X33&lt;0,'03_全链计算'!T48+1,0),IF('01_数值调参'!X34&lt;0,'03_全链计算'!U48+1,0),IF('01_数值调参'!X35&lt;0,'03_全链计算'!V48+1,0),IF('01_数值调参'!X36&lt;0,'03_全链计算'!W48+1,0),IF('01_数值调参'!X37&lt;0,'03_全链计算'!X48+1,0),IF('01_数值调参'!X38&lt;0,'03_全链计算'!Y48+1,0),IF('01_数值调参'!X39&lt;0,'03_全链计算'!Z48+1,0),IF('01_数值调参'!X40&lt;0,'03_全链计算'!AA48+1,0),IF('01_数值调参'!X41&lt;0,'03_全链计算'!AB48+1,0),IF('01_数值调参'!X42&lt;0,'03_全链计算'!AC48+1,0),IF('01_数值调参'!X43&lt;0,'03_全链计算'!AD48+1,0),IF('01_数值调参'!X44&lt;0,'03_全链计算'!AE48+1,0),IF('01_数值调参'!X45&lt;0,'03_全链计算'!AF48+1,0),IF('01_数值调参'!X46&lt;0,'03_全链计算'!AG48+1,0),IF('01_数值调参'!X47&lt;0,'03_全链计算'!AH48+1,0),IF('01_数值调参'!X48&lt;0,'03_全链计算'!AI48+1,0),IF('01_数值调参'!X49&lt;0,'03_全链计算'!AJ48+1,0),IF('01_数值调参'!X50&lt;0,'03_全链计算'!AK48+1,0),IF('01_数值调参'!X51&lt;0,'03_全链计算'!AL48+1,0),IF('01_数值调参'!X52&lt;0,'03_全链计算'!AM48+1,0))</x:f>
        <x:v>2</x:v>
      </x:c>
      <x:c r="Y49" s="9" t="n">
        <x:f>MAX(IF('01_数值调参'!Y18&lt;0,'03_全链计算'!E48+1,0),IF('01_数值调参'!Y19&lt;0,'03_全链计算'!F48+1,0),IF('01_数值调参'!Y20&lt;0,'03_全链计算'!G48+1,0),IF('01_数值调参'!Y21&lt;0,'03_全链计算'!H48+1,0),IF('01_数值调参'!Y22&lt;0,'03_全链计算'!I48+1,0),IF('01_数值调参'!Y23&lt;0,'03_全链计算'!J48+1,0),IF('01_数值调参'!Y24&lt;0,'03_全链计算'!K48+1,0),IF('01_数值调参'!Y25&lt;0,'03_全链计算'!L48+1,0),IF('01_数值调参'!Y26&lt;0,'03_全链计算'!M48+1,0),IF('01_数值调参'!Y27&lt;0,'03_全链计算'!N48+1,0),IF('01_数值调参'!Y28&lt;0,'03_全链计算'!O48+1,0),IF('01_数值调参'!Y29&lt;0,'03_全链计算'!P48+1,0),IF('01_数值调参'!Y30&lt;0,'03_全链计算'!Q48+1,0),IF('01_数值调参'!Y31&lt;0,'03_全链计算'!R48+1,0),IF('01_数值调参'!Y32&lt;0,'03_全链计算'!S48+1,0),IF('01_数值调参'!Y33&lt;0,'03_全链计算'!T48+1,0),IF('01_数值调参'!Y34&lt;0,'03_全链计算'!U48+1,0),IF('01_数值调参'!Y35&lt;0,'03_全链计算'!V48+1,0),IF('01_数值调参'!Y36&lt;0,'03_全链计算'!W48+1,0),IF('01_数值调参'!Y37&lt;0,'03_全链计算'!X48+1,0),IF('01_数值调参'!Y38&lt;0,'03_全链计算'!Y48+1,0),IF('01_数值调参'!Y39&lt;0,'03_全链计算'!Z48+1,0),IF('01_数值调参'!Y40&lt;0,'03_全链计算'!AA48+1,0),IF('01_数值调参'!Y41&lt;0,'03_全链计算'!AB48+1,0),IF('01_数值调参'!Y42&lt;0,'03_全链计算'!AC48+1,0),IF('01_数值调参'!Y43&lt;0,'03_全链计算'!AD48+1,0),IF('01_数值调参'!Y44&lt;0,'03_全链计算'!AE48+1,0),IF('01_数值调参'!Y45&lt;0,'03_全链计算'!AF48+1,0),IF('01_数值调参'!Y46&lt;0,'03_全链计算'!AG48+1,0),IF('01_数值调参'!Y47&lt;0,'03_全链计算'!AH48+1,0),IF('01_数值调参'!Y48&lt;0,'03_全链计算'!AI48+1,0),IF('01_数值调参'!Y49&lt;0,'03_全链计算'!AJ48+1,0),IF('01_数值调参'!Y50&lt;0,'03_全链计算'!AK48+1,0),IF('01_数值调参'!Y51&lt;0,'03_全链计算'!AL48+1,0),IF('01_数值调参'!Y52&lt;0,'03_全链计算'!AM48+1,0))</x:f>
        <x:v>2</x:v>
      </x:c>
      <x:c r="Z49" s="9" t="n">
        <x:f>MAX(IF('01_数值调参'!Z18&lt;0,'03_全链计算'!E48+1,0),IF('01_数值调参'!Z19&lt;0,'03_全链计算'!F48+1,0),IF('01_数值调参'!Z20&lt;0,'03_全链计算'!G48+1,0),IF('01_数值调参'!Z21&lt;0,'03_全链计算'!H48+1,0),IF('01_数值调参'!Z22&lt;0,'03_全链计算'!I48+1,0),IF('01_数值调参'!Z23&lt;0,'03_全链计算'!J48+1,0),IF('01_数值调参'!Z24&lt;0,'03_全链计算'!K48+1,0),IF('01_数值调参'!Z25&lt;0,'03_全链计算'!L48+1,0),IF('01_数值调参'!Z26&lt;0,'03_全链计算'!M48+1,0),IF('01_数值调参'!Z27&lt;0,'03_全链计算'!N48+1,0),IF('01_数值调参'!Z28&lt;0,'03_全链计算'!O48+1,0),IF('01_数值调参'!Z29&lt;0,'03_全链计算'!P48+1,0),IF('01_数值调参'!Z30&lt;0,'03_全链计算'!Q48+1,0),IF('01_数值调参'!Z31&lt;0,'03_全链计算'!R48+1,0),IF('01_数值调参'!Z32&lt;0,'03_全链计算'!S48+1,0),IF('01_数值调参'!Z33&lt;0,'03_全链计算'!T48+1,0),IF('01_数值调参'!Z34&lt;0,'03_全链计算'!U48+1,0),IF('01_数值调参'!Z35&lt;0,'03_全链计算'!V48+1,0),IF('01_数值调参'!Z36&lt;0,'03_全链计算'!W48+1,0),IF('01_数值调参'!Z37&lt;0,'03_全链计算'!X48+1,0),IF('01_数值调参'!Z38&lt;0,'03_全链计算'!Y48+1,0),IF('01_数值调参'!Z39&lt;0,'03_全链计算'!Z48+1,0),IF('01_数值调参'!Z40&lt;0,'03_全链计算'!AA48+1,0),IF('01_数值调参'!Z41&lt;0,'03_全链计算'!AB48+1,0),IF('01_数值调参'!Z42&lt;0,'03_全链计算'!AC48+1,0),IF('01_数值调参'!Z43&lt;0,'03_全链计算'!AD48+1,0),IF('01_数值调参'!Z44&lt;0,'03_全链计算'!AE48+1,0),IF('01_数值调参'!Z45&lt;0,'03_全链计算'!AF48+1,0),IF('01_数值调参'!Z46&lt;0,'03_全链计算'!AG48+1,0),IF('01_数值调参'!Z47&lt;0,'03_全链计算'!AH48+1,0),IF('01_数值调参'!Z48&lt;0,'03_全链计算'!AI48+1,0),IF('01_数值调参'!Z49&lt;0,'03_全链计算'!AJ48+1,0),IF('01_数值调参'!Z50&lt;0,'03_全链计算'!AK48+1,0),IF('01_数值调参'!Z51&lt;0,'03_全链计算'!AL48+1,0),IF('01_数值调参'!Z52&lt;0,'03_全链计算'!AM48+1,0))</x:f>
        <x:v>2</x:v>
      </x:c>
      <x:c r="AA49" s="9" t="n">
        <x:f>MAX(IF('01_数值调参'!AA18&lt;0,'03_全链计算'!E48+1,0),IF('01_数值调参'!AA19&lt;0,'03_全链计算'!F48+1,0),IF('01_数值调参'!AA20&lt;0,'03_全链计算'!G48+1,0),IF('01_数值调参'!AA21&lt;0,'03_全链计算'!H48+1,0),IF('01_数值调参'!AA22&lt;0,'03_全链计算'!I48+1,0),IF('01_数值调参'!AA23&lt;0,'03_全链计算'!J48+1,0),IF('01_数值调参'!AA24&lt;0,'03_全链计算'!K48+1,0),IF('01_数值调参'!AA25&lt;0,'03_全链计算'!L48+1,0),IF('01_数值调参'!AA26&lt;0,'03_全链计算'!M48+1,0),IF('01_数值调参'!AA27&lt;0,'03_全链计算'!N48+1,0),IF('01_数值调参'!AA28&lt;0,'03_全链计算'!O48+1,0),IF('01_数值调参'!AA29&lt;0,'03_全链计算'!P48+1,0),IF('01_数值调参'!AA30&lt;0,'03_全链计算'!Q48+1,0),IF('01_数值调参'!AA31&lt;0,'03_全链计算'!R48+1,0),IF('01_数值调参'!AA32&lt;0,'03_全链计算'!S48+1,0),IF('01_数值调参'!AA33&lt;0,'03_全链计算'!T48+1,0),IF('01_数值调参'!AA34&lt;0,'03_全链计算'!U48+1,0),IF('01_数值调参'!AA35&lt;0,'03_全链计算'!V48+1,0),IF('01_数值调参'!AA36&lt;0,'03_全链计算'!W48+1,0),IF('01_数值调参'!AA37&lt;0,'03_全链计算'!X48+1,0),IF('01_数值调参'!AA38&lt;0,'03_全链计算'!Y48+1,0),IF('01_数值调参'!AA39&lt;0,'03_全链计算'!Z48+1,0),IF('01_数值调参'!AA40&lt;0,'03_全链计算'!AA48+1,0),IF('01_数值调参'!AA41&lt;0,'03_全链计算'!AB48+1,0),IF('01_数值调参'!AA42&lt;0,'03_全链计算'!AC48+1,0),IF('01_数值调参'!AA43&lt;0,'03_全链计算'!AD48+1,0),IF('01_数值调参'!AA44&lt;0,'03_全链计算'!AE48+1,0),IF('01_数值调参'!AA45&lt;0,'03_全链计算'!AF48+1,0),IF('01_数值调参'!AA46&lt;0,'03_全链计算'!AG48+1,0),IF('01_数值调参'!AA47&lt;0,'03_全链计算'!AH48+1,0),IF('01_数值调参'!AA48&lt;0,'03_全链计算'!AI48+1,0),IF('01_数值调参'!AA49&lt;0,'03_全链计算'!AJ48+1,0),IF('01_数值调参'!AA50&lt;0,'03_全链计算'!AK48+1,0),IF('01_数值调参'!AA51&lt;0,'03_全链计算'!AL48+1,0),IF('01_数值调参'!AA52&lt;0,'03_全链计算'!AM48+1,0))</x:f>
        <x:v>2</x:v>
      </x:c>
      <x:c r="AB49" s="9" t="n">
        <x:f>MAX(IF('01_数值调参'!AB18&lt;0,'03_全链计算'!E48+1,0),IF('01_数值调参'!AB19&lt;0,'03_全链计算'!F48+1,0),IF('01_数值调参'!AB20&lt;0,'03_全链计算'!G48+1,0),IF('01_数值调参'!AB21&lt;0,'03_全链计算'!H48+1,0),IF('01_数值调参'!AB22&lt;0,'03_全链计算'!I48+1,0),IF('01_数值调参'!AB23&lt;0,'03_全链计算'!J48+1,0),IF('01_数值调参'!AB24&lt;0,'03_全链计算'!K48+1,0),IF('01_数值调参'!AB25&lt;0,'03_全链计算'!L48+1,0),IF('01_数值调参'!AB26&lt;0,'03_全链计算'!M48+1,0),IF('01_数值调参'!AB27&lt;0,'03_全链计算'!N48+1,0),IF('01_数值调参'!AB28&lt;0,'03_全链计算'!O48+1,0),IF('01_数值调参'!AB29&lt;0,'03_全链计算'!P48+1,0),IF('01_数值调参'!AB30&lt;0,'03_全链计算'!Q48+1,0),IF('01_数值调参'!AB31&lt;0,'03_全链计算'!R48+1,0),IF('01_数值调参'!AB32&lt;0,'03_全链计算'!S48+1,0),IF('01_数值调参'!AB33&lt;0,'03_全链计算'!T48+1,0),IF('01_数值调参'!AB34&lt;0,'03_全链计算'!U48+1,0),IF('01_数值调参'!AB35&lt;0,'03_全链计算'!V48+1,0),IF('01_数值调参'!AB36&lt;0,'03_全链计算'!W48+1,0),IF('01_数值调参'!AB37&lt;0,'03_全链计算'!X48+1,0),IF('01_数值调参'!AB38&lt;0,'03_全链计算'!Y48+1,0),IF('01_数值调参'!AB39&lt;0,'03_全链计算'!Z48+1,0),IF('01_数值调参'!AB40&lt;0,'03_全链计算'!AA48+1,0),IF('01_数值调参'!AB41&lt;0,'03_全链计算'!AB48+1,0),IF('01_数值调参'!AB42&lt;0,'03_全链计算'!AC48+1,0),IF('01_数值调参'!AB43&lt;0,'03_全链计算'!AD48+1,0),IF('01_数值调参'!AB44&lt;0,'03_全链计算'!AE48+1,0),IF('01_数值调参'!AB45&lt;0,'03_全链计算'!AF48+1,0),IF('01_数值调参'!AB46&lt;0,'03_全链计算'!AG48+1,0),IF('01_数值调参'!AB47&lt;0,'03_全链计算'!AH48+1,0),IF('01_数值调参'!AB48&lt;0,'03_全链计算'!AI48+1,0),IF('01_数值调参'!AB49&lt;0,'03_全链计算'!AJ48+1,0),IF('01_数值调参'!AB50&lt;0,'03_全链计算'!AK48+1,0),IF('01_数值调参'!AB51&lt;0,'03_全链计算'!AL48+1,0),IF('01_数值调参'!AB52&lt;0,'03_全链计算'!AM48+1,0))</x:f>
        <x:v>2</x:v>
      </x:c>
      <x:c r="AC49" s="9" t="n">
        <x:f>MAX(IF('01_数值调参'!AC18&lt;0,'03_全链计算'!E48+1,0),IF('01_数值调参'!AC19&lt;0,'03_全链计算'!F48+1,0),IF('01_数值调参'!AC20&lt;0,'03_全链计算'!G48+1,0),IF('01_数值调参'!AC21&lt;0,'03_全链计算'!H48+1,0),IF('01_数值调参'!AC22&lt;0,'03_全链计算'!I48+1,0),IF('01_数值调参'!AC23&lt;0,'03_全链计算'!J48+1,0),IF('01_数值调参'!AC24&lt;0,'03_全链计算'!K48+1,0),IF('01_数值调参'!AC25&lt;0,'03_全链计算'!L48+1,0),IF('01_数值调参'!AC26&lt;0,'03_全链计算'!M48+1,0),IF('01_数值调参'!AC27&lt;0,'03_全链计算'!N48+1,0),IF('01_数值调参'!AC28&lt;0,'03_全链计算'!O48+1,0),IF('01_数值调参'!AC29&lt;0,'03_全链计算'!P48+1,0),IF('01_数值调参'!AC30&lt;0,'03_全链计算'!Q48+1,0),IF('01_数值调参'!AC31&lt;0,'03_全链计算'!R48+1,0),IF('01_数值调参'!AC32&lt;0,'03_全链计算'!S48+1,0),IF('01_数值调参'!AC33&lt;0,'03_全链计算'!T48+1,0),IF('01_数值调参'!AC34&lt;0,'03_全链计算'!U48+1,0),IF('01_数值调参'!AC35&lt;0,'03_全链计算'!V48+1,0),IF('01_数值调参'!AC36&lt;0,'03_全链计算'!W48+1,0),IF('01_数值调参'!AC37&lt;0,'03_全链计算'!X48+1,0),IF('01_数值调参'!AC38&lt;0,'03_全链计算'!Y48+1,0),IF('01_数值调参'!AC39&lt;0,'03_全链计算'!Z48+1,0),IF('01_数值调参'!AC40&lt;0,'03_全链计算'!AA48+1,0),IF('01_数值调参'!AC41&lt;0,'03_全链计算'!AB48+1,0),IF('01_数值调参'!AC42&lt;0,'03_全链计算'!AC48+1,0),IF('01_数值调参'!AC43&lt;0,'03_全链计算'!AD48+1,0),IF('01_数值调参'!AC44&lt;0,'03_全链计算'!AE48+1,0),IF('01_数值调参'!AC45&lt;0,'03_全链计算'!AF48+1,0),IF('01_数值调参'!AC46&lt;0,'03_全链计算'!AG48+1,0),IF('01_数值调参'!AC47&lt;0,'03_全链计算'!AH48+1,0),IF('01_数值调参'!AC48&lt;0,'03_全链计算'!AI48+1,0),IF('01_数值调参'!AC49&lt;0,'03_全链计算'!AJ48+1,0),IF('01_数值调参'!AC50&lt;0,'03_全链计算'!AK48+1,0),IF('01_数值调参'!AC51&lt;0,'03_全链计算'!AL48+1,0),IF('01_数值调参'!AC52&lt;0,'03_全链计算'!AM48+1,0))</x:f>
        <x:v>2</x:v>
      </x:c>
      <x:c r="AD49" s="9" t="n">
        <x:f>MAX(IF('01_数值调参'!AD18&lt;0,'03_全链计算'!E48+1,0),IF('01_数值调参'!AD19&lt;0,'03_全链计算'!F48+1,0),IF('01_数值调参'!AD20&lt;0,'03_全链计算'!G48+1,0),IF('01_数值调参'!AD21&lt;0,'03_全链计算'!H48+1,0),IF('01_数值调参'!AD22&lt;0,'03_全链计算'!I48+1,0),IF('01_数值调参'!AD23&lt;0,'03_全链计算'!J48+1,0),IF('01_数值调参'!AD24&lt;0,'03_全链计算'!K48+1,0),IF('01_数值调参'!AD25&lt;0,'03_全链计算'!L48+1,0),IF('01_数值调参'!AD26&lt;0,'03_全链计算'!M48+1,0),IF('01_数值调参'!AD27&lt;0,'03_全链计算'!N48+1,0),IF('01_数值调参'!AD28&lt;0,'03_全链计算'!O48+1,0),IF('01_数值调参'!AD29&lt;0,'03_全链计算'!P48+1,0),IF('01_数值调参'!AD30&lt;0,'03_全链计算'!Q48+1,0),IF('01_数值调参'!AD31&lt;0,'03_全链计算'!R48+1,0),IF('01_数值调参'!AD32&lt;0,'03_全链计算'!S48+1,0),IF('01_数值调参'!AD33&lt;0,'03_全链计算'!T48+1,0),IF('01_数值调参'!AD34&lt;0,'03_全链计算'!U48+1,0),IF('01_数值调参'!AD35&lt;0,'03_全链计算'!V48+1,0),IF('01_数值调参'!AD36&lt;0,'03_全链计算'!W48+1,0),IF('01_数值调参'!AD37&lt;0,'03_全链计算'!X48+1,0),IF('01_数值调参'!AD38&lt;0,'03_全链计算'!Y48+1,0),IF('01_数值调参'!AD39&lt;0,'03_全链计算'!Z48+1,0),IF('01_数值调参'!AD40&lt;0,'03_全链计算'!AA48+1,0),IF('01_数值调参'!AD41&lt;0,'03_全链计算'!AB48+1,0),IF('01_数值调参'!AD42&lt;0,'03_全链计算'!AC48+1,0),IF('01_数值调参'!AD43&lt;0,'03_全链计算'!AD48+1,0),IF('01_数值调参'!AD44&lt;0,'03_全链计算'!AE48+1,0),IF('01_数值调参'!AD45&lt;0,'03_全链计算'!AF48+1,0),IF('01_数值调参'!AD46&lt;0,'03_全链计算'!AG48+1,0),IF('01_数值调参'!AD47&lt;0,'03_全链计算'!AH48+1,0),IF('01_数值调参'!AD48&lt;0,'03_全链计算'!AI48+1,0),IF('01_数值调参'!AD49&lt;0,'03_全链计算'!AJ48+1,0),IF('01_数值调参'!AD50&lt;0,'03_全链计算'!AK48+1,0),IF('01_数值调参'!AD51&lt;0,'03_全链计算'!AL48+1,0),IF('01_数值调参'!AD52&lt;0,'03_全链计算'!AM48+1,0))</x:f>
        <x:v>1</x:v>
      </x:c>
      <x:c r="AE49" s="9" t="n">
        <x:f>MAX(IF('01_数值调参'!AE18&lt;0,'03_全链计算'!E48+1,0),IF('01_数值调参'!AE19&lt;0,'03_全链计算'!F48+1,0),IF('01_数值调参'!AE20&lt;0,'03_全链计算'!G48+1,0),IF('01_数值调参'!AE21&lt;0,'03_全链计算'!H48+1,0),IF('01_数值调参'!AE22&lt;0,'03_全链计算'!I48+1,0),IF('01_数值调参'!AE23&lt;0,'03_全链计算'!J48+1,0),IF('01_数值调参'!AE24&lt;0,'03_全链计算'!K48+1,0),IF('01_数值调参'!AE25&lt;0,'03_全链计算'!L48+1,0),IF('01_数值调参'!AE26&lt;0,'03_全链计算'!M48+1,0),IF('01_数值调参'!AE27&lt;0,'03_全链计算'!N48+1,0),IF('01_数值调参'!AE28&lt;0,'03_全链计算'!O48+1,0),IF('01_数值调参'!AE29&lt;0,'03_全链计算'!P48+1,0),IF('01_数值调参'!AE30&lt;0,'03_全链计算'!Q48+1,0),IF('01_数值调参'!AE31&lt;0,'03_全链计算'!R48+1,0),IF('01_数值调参'!AE32&lt;0,'03_全链计算'!S48+1,0),IF('01_数值调参'!AE33&lt;0,'03_全链计算'!T48+1,0),IF('01_数值调参'!AE34&lt;0,'03_全链计算'!U48+1,0),IF('01_数值调参'!AE35&lt;0,'03_全链计算'!V48+1,0),IF('01_数值调参'!AE36&lt;0,'03_全链计算'!W48+1,0),IF('01_数值调参'!AE37&lt;0,'03_全链计算'!X48+1,0),IF('01_数值调参'!AE38&lt;0,'03_全链计算'!Y48+1,0),IF('01_数值调参'!AE39&lt;0,'03_全链计算'!Z48+1,0),IF('01_数值调参'!AE40&lt;0,'03_全链计算'!AA48+1,0),IF('01_数值调参'!AE41&lt;0,'03_全链计算'!AB48+1,0),IF('01_数值调参'!AE42&lt;0,'03_全链计算'!AC48+1,0),IF('01_数值调参'!AE43&lt;0,'03_全链计算'!AD48+1,0),IF('01_数值调参'!AE44&lt;0,'03_全链计算'!AE48+1,0),IF('01_数值调参'!AE45&lt;0,'03_全链计算'!AF48+1,0),IF('01_数值调参'!AE46&lt;0,'03_全链计算'!AG48+1,0),IF('01_数值调参'!AE47&lt;0,'03_全链计算'!AH48+1,0),IF('01_数值调参'!AE48&lt;0,'03_全链计算'!AI48+1,0),IF('01_数值调参'!AE49&lt;0,'03_全链计算'!AJ48+1,0),IF('01_数值调参'!AE50&lt;0,'03_全链计算'!AK48+1,0),IF('01_数值调参'!AE51&lt;0,'03_全链计算'!AL48+1,0),IF('01_数值调参'!AE52&lt;0,'03_全链计算'!AM48+1,0))</x:f>
        <x:v>1</x:v>
      </x:c>
      <x:c r="AF49" s="9" t="n">
        <x:f>MAX(IF('01_数值调参'!AF18&lt;0,'03_全链计算'!E48+1,0),IF('01_数值调参'!AF19&lt;0,'03_全链计算'!F48+1,0),IF('01_数值调参'!AF20&lt;0,'03_全链计算'!G48+1,0),IF('01_数值调参'!AF21&lt;0,'03_全链计算'!H48+1,0),IF('01_数值调参'!AF22&lt;0,'03_全链计算'!I48+1,0),IF('01_数值调参'!AF23&lt;0,'03_全链计算'!J48+1,0),IF('01_数值调参'!AF24&lt;0,'03_全链计算'!K48+1,0),IF('01_数值调参'!AF25&lt;0,'03_全链计算'!L48+1,0),IF('01_数值调参'!AF26&lt;0,'03_全链计算'!M48+1,0),IF('01_数值调参'!AF27&lt;0,'03_全链计算'!N48+1,0),IF('01_数值调参'!AF28&lt;0,'03_全链计算'!O48+1,0),IF('01_数值调参'!AF29&lt;0,'03_全链计算'!P48+1,0),IF('01_数值调参'!AF30&lt;0,'03_全链计算'!Q48+1,0),IF('01_数值调参'!AF31&lt;0,'03_全链计算'!R48+1,0),IF('01_数值调参'!AF32&lt;0,'03_全链计算'!S48+1,0),IF('01_数值调参'!AF33&lt;0,'03_全链计算'!T48+1,0),IF('01_数值调参'!AF34&lt;0,'03_全链计算'!U48+1,0),IF('01_数值调参'!AF35&lt;0,'03_全链计算'!V48+1,0),IF('01_数值调参'!AF36&lt;0,'03_全链计算'!W48+1,0),IF('01_数值调参'!AF37&lt;0,'03_全链计算'!X48+1,0),IF('01_数值调参'!AF38&lt;0,'03_全链计算'!Y48+1,0),IF('01_数值调参'!AF39&lt;0,'03_全链计算'!Z48+1,0),IF('01_数值调参'!AF40&lt;0,'03_全链计算'!AA48+1,0),IF('01_数值调参'!AF41&lt;0,'03_全链计算'!AB48+1,0),IF('01_数值调参'!AF42&lt;0,'03_全链计算'!AC48+1,0),IF('01_数值调参'!AF43&lt;0,'03_全链计算'!AD48+1,0),IF('01_数值调参'!AF44&lt;0,'03_全链计算'!AE48+1,0),IF('01_数值调参'!AF45&lt;0,'03_全链计算'!AF48+1,0),IF('01_数值调参'!AF46&lt;0,'03_全链计算'!AG48+1,0),IF('01_数值调参'!AF47&lt;0,'03_全链计算'!AH48+1,0),IF('01_数值调参'!AF48&lt;0,'03_全链计算'!AI48+1,0),IF('01_数值调参'!AF49&lt;0,'03_全链计算'!AJ48+1,0),IF('01_数值调参'!AF50&lt;0,'03_全链计算'!AK48+1,0),IF('01_数值调参'!AF51&lt;0,'03_全链计算'!AL48+1,0),IF('01_数值调参'!AF52&lt;0,'03_全链计算'!AM48+1,0))</x:f>
        <x:v>1</x:v>
      </x:c>
      <x:c r="AG49" s="9" t="n">
        <x:f>MAX(IF('01_数值调参'!AG18&lt;0,'03_全链计算'!E48+1,0),IF('01_数值调参'!AG19&lt;0,'03_全链计算'!F48+1,0),IF('01_数值调参'!AG20&lt;0,'03_全链计算'!G48+1,0),IF('01_数值调参'!AG21&lt;0,'03_全链计算'!H48+1,0),IF('01_数值调参'!AG22&lt;0,'03_全链计算'!I48+1,0),IF('01_数值调参'!AG23&lt;0,'03_全链计算'!J48+1,0),IF('01_数值调参'!AG24&lt;0,'03_全链计算'!K48+1,0),IF('01_数值调参'!AG25&lt;0,'03_全链计算'!L48+1,0),IF('01_数值调参'!AG26&lt;0,'03_全链计算'!M48+1,0),IF('01_数值调参'!AG27&lt;0,'03_全链计算'!N48+1,0),IF('01_数值调参'!AG28&lt;0,'03_全链计算'!O48+1,0),IF('01_数值调参'!AG29&lt;0,'03_全链计算'!P48+1,0),IF('01_数值调参'!AG30&lt;0,'03_全链计算'!Q48+1,0),IF('01_数值调参'!AG31&lt;0,'03_全链计算'!R48+1,0),IF('01_数值调参'!AG32&lt;0,'03_全链计算'!S48+1,0),IF('01_数值调参'!AG33&lt;0,'03_全链计算'!T48+1,0),IF('01_数值调参'!AG34&lt;0,'03_全链计算'!U48+1,0),IF('01_数值调参'!AG35&lt;0,'03_全链计算'!V48+1,0),IF('01_数值调参'!AG36&lt;0,'03_全链计算'!W48+1,0),IF('01_数值调参'!AG37&lt;0,'03_全链计算'!X48+1,0),IF('01_数值调参'!AG38&lt;0,'03_全链计算'!Y48+1,0),IF('01_数值调参'!AG39&lt;0,'03_全链计算'!Z48+1,0),IF('01_数值调参'!AG40&lt;0,'03_全链计算'!AA48+1,0),IF('01_数值调参'!AG41&lt;0,'03_全链计算'!AB48+1,0),IF('01_数值调参'!AG42&lt;0,'03_全链计算'!AC48+1,0),IF('01_数值调参'!AG43&lt;0,'03_全链计算'!AD48+1,0),IF('01_数值调参'!AG44&lt;0,'03_全链计算'!AE48+1,0),IF('01_数值调参'!AG45&lt;0,'03_全链计算'!AF48+1,0),IF('01_数值调参'!AG46&lt;0,'03_全链计算'!AG48+1,0),IF('01_数值调参'!AG47&lt;0,'03_全链计算'!AH48+1,0),IF('01_数值调参'!AG48&lt;0,'03_全链计算'!AI48+1,0),IF('01_数值调参'!AG49&lt;0,'03_全链计算'!AJ48+1,0),IF('01_数值调参'!AG50&lt;0,'03_全链计算'!AK48+1,0),IF('01_数值调参'!AG51&lt;0,'03_全链计算'!AL48+1,0),IF('01_数值调参'!AG52&lt;0,'03_全链计算'!AM48+1,0))</x:f>
        <x:v>1</x:v>
      </x:c>
      <x:c r="AH49" s="9" t="n">
        <x:f>MAX(IF('01_数值调参'!AH18&lt;0,'03_全链计算'!E48+1,0),IF('01_数值调参'!AH19&lt;0,'03_全链计算'!F48+1,0),IF('01_数值调参'!AH20&lt;0,'03_全链计算'!G48+1,0),IF('01_数值调参'!AH21&lt;0,'03_全链计算'!H48+1,0),IF('01_数值调参'!AH22&lt;0,'03_全链计算'!I48+1,0),IF('01_数值调参'!AH23&lt;0,'03_全链计算'!J48+1,0),IF('01_数值调参'!AH24&lt;0,'03_全链计算'!K48+1,0),IF('01_数值调参'!AH25&lt;0,'03_全链计算'!L48+1,0),IF('01_数值调参'!AH26&lt;0,'03_全链计算'!M48+1,0),IF('01_数值调参'!AH27&lt;0,'03_全链计算'!N48+1,0),IF('01_数值调参'!AH28&lt;0,'03_全链计算'!O48+1,0),IF('01_数值调参'!AH29&lt;0,'03_全链计算'!P48+1,0),IF('01_数值调参'!AH30&lt;0,'03_全链计算'!Q48+1,0),IF('01_数值调参'!AH31&lt;0,'03_全链计算'!R48+1,0),IF('01_数值调参'!AH32&lt;0,'03_全链计算'!S48+1,0),IF('01_数值调参'!AH33&lt;0,'03_全链计算'!T48+1,0),IF('01_数值调参'!AH34&lt;0,'03_全链计算'!U48+1,0),IF('01_数值调参'!AH35&lt;0,'03_全链计算'!V48+1,0),IF('01_数值调参'!AH36&lt;0,'03_全链计算'!W48+1,0),IF('01_数值调参'!AH37&lt;0,'03_全链计算'!X48+1,0),IF('01_数值调参'!AH38&lt;0,'03_全链计算'!Y48+1,0),IF('01_数值调参'!AH39&lt;0,'03_全链计算'!Z48+1,0),IF('01_数值调参'!AH40&lt;0,'03_全链计算'!AA48+1,0),IF('01_数值调参'!AH41&lt;0,'03_全链计算'!AB48+1,0),IF('01_数值调参'!AH42&lt;0,'03_全链计算'!AC48+1,0),IF('01_数值调参'!AH43&lt;0,'03_全链计算'!AD48+1,0),IF('01_数值调参'!AH44&lt;0,'03_全链计算'!AE48+1,0),IF('01_数值调参'!AH45&lt;0,'03_全链计算'!AF48+1,0),IF('01_数值调参'!AH46&lt;0,'03_全链计算'!AG48+1,0),IF('01_数值调参'!AH47&lt;0,'03_全链计算'!AH48+1,0),IF('01_数值调参'!AH48&lt;0,'03_全链计算'!AI48+1,0),IF('01_数值调参'!AH49&lt;0,'03_全链计算'!AJ48+1,0),IF('01_数值调参'!AH50&lt;0,'03_全链计算'!AK48+1,0),IF('01_数值调参'!AH51&lt;0,'03_全链计算'!AL48+1,0),IF('01_数值调参'!AH52&lt;0,'03_全链计算'!AM48+1,0))</x:f>
        <x:v>2</x:v>
      </x:c>
      <x:c r="AI49" s="9" t="n">
        <x:f>MAX(IF('01_数值调参'!AI18&lt;0,'03_全链计算'!E48+1,0),IF('01_数值调参'!AI19&lt;0,'03_全链计算'!F48+1,0),IF('01_数值调参'!AI20&lt;0,'03_全链计算'!G48+1,0),IF('01_数值调参'!AI21&lt;0,'03_全链计算'!H48+1,0),IF('01_数值调参'!AI22&lt;0,'03_全链计算'!I48+1,0),IF('01_数值调参'!AI23&lt;0,'03_全链计算'!J48+1,0),IF('01_数值调参'!AI24&lt;0,'03_全链计算'!K48+1,0),IF('01_数值调参'!AI25&lt;0,'03_全链计算'!L48+1,0),IF('01_数值调参'!AI26&lt;0,'03_全链计算'!M48+1,0),IF('01_数值调参'!AI27&lt;0,'03_全链计算'!N48+1,0),IF('01_数值调参'!AI28&lt;0,'03_全链计算'!O48+1,0),IF('01_数值调参'!AI29&lt;0,'03_全链计算'!P48+1,0),IF('01_数值调参'!AI30&lt;0,'03_全链计算'!Q48+1,0),IF('01_数值调参'!AI31&lt;0,'03_全链计算'!R48+1,0),IF('01_数值调参'!AI32&lt;0,'03_全链计算'!S48+1,0),IF('01_数值调参'!AI33&lt;0,'03_全链计算'!T48+1,0),IF('01_数值调参'!AI34&lt;0,'03_全链计算'!U48+1,0),IF('01_数值调参'!AI35&lt;0,'03_全链计算'!V48+1,0),IF('01_数值调参'!AI36&lt;0,'03_全链计算'!W48+1,0),IF('01_数值调参'!AI37&lt;0,'03_全链计算'!X48+1,0),IF('01_数值调参'!AI38&lt;0,'03_全链计算'!Y48+1,0),IF('01_数值调参'!AI39&lt;0,'03_全链计算'!Z48+1,0),IF('01_数值调参'!AI40&lt;0,'03_全链计算'!AA48+1,0),IF('01_数值调参'!AI41&lt;0,'03_全链计算'!AB48+1,0),IF('01_数值调参'!AI42&lt;0,'03_全链计算'!AC48+1,0),IF('01_数值调参'!AI43&lt;0,'03_全链计算'!AD48+1,0),IF('01_数值调参'!AI44&lt;0,'03_全链计算'!AE48+1,0),IF('01_数值调参'!AI45&lt;0,'03_全链计算'!AF48+1,0),IF('01_数值调参'!AI46&lt;0,'03_全链计算'!AG48+1,0),IF('01_数值调参'!AI47&lt;0,'03_全链计算'!AH48+1,0),IF('01_数值调参'!AI48&lt;0,'03_全链计算'!AI48+1,0),IF('01_数值调参'!AI49&lt;0,'03_全链计算'!AJ48+1,0),IF('01_数值调参'!AI50&lt;0,'03_全链计算'!AK48+1,0),IF('01_数值调参'!AI51&lt;0,'03_全链计算'!AL48+1,0),IF('01_数值调参'!AI52&lt;0,'03_全链计算'!AM48+1,0))</x:f>
        <x:v>2</x:v>
      </x:c>
      <x:c r="AJ49" s="9" t="n">
        <x:f>MAX(IF('01_数值调参'!AJ18&lt;0,'03_全链计算'!E48+1,0),IF('01_数值调参'!AJ19&lt;0,'03_全链计算'!F48+1,0),IF('01_数值调参'!AJ20&lt;0,'03_全链计算'!G48+1,0),IF('01_数值调参'!AJ21&lt;0,'03_全链计算'!H48+1,0),IF('01_数值调参'!AJ22&lt;0,'03_全链计算'!I48+1,0),IF('01_数值调参'!AJ23&lt;0,'03_全链计算'!J48+1,0),IF('01_数值调参'!AJ24&lt;0,'03_全链计算'!K48+1,0),IF('01_数值调参'!AJ25&lt;0,'03_全链计算'!L48+1,0),IF('01_数值调参'!AJ26&lt;0,'03_全链计算'!M48+1,0),IF('01_数值调参'!AJ27&lt;0,'03_全链计算'!N48+1,0),IF('01_数值调参'!AJ28&lt;0,'03_全链计算'!O48+1,0),IF('01_数值调参'!AJ29&lt;0,'03_全链计算'!P48+1,0),IF('01_数值调参'!AJ30&lt;0,'03_全链计算'!Q48+1,0),IF('01_数值调参'!AJ31&lt;0,'03_全链计算'!R48+1,0),IF('01_数值调参'!AJ32&lt;0,'03_全链计算'!S48+1,0),IF('01_数值调参'!AJ33&lt;0,'03_全链计算'!T48+1,0),IF('01_数值调参'!AJ34&lt;0,'03_全链计算'!U48+1,0),IF('01_数值调参'!AJ35&lt;0,'03_全链计算'!V48+1,0),IF('01_数值调参'!AJ36&lt;0,'03_全链计算'!W48+1,0),IF('01_数值调参'!AJ37&lt;0,'03_全链计算'!X48+1,0),IF('01_数值调参'!AJ38&lt;0,'03_全链计算'!Y48+1,0),IF('01_数值调参'!AJ39&lt;0,'03_全链计算'!Z48+1,0),IF('01_数值调参'!AJ40&lt;0,'03_全链计算'!AA48+1,0),IF('01_数值调参'!AJ41&lt;0,'03_全链计算'!AB48+1,0),IF('01_数值调参'!AJ42&lt;0,'03_全链计算'!AC48+1,0),IF('01_数值调参'!AJ43&lt;0,'03_全链计算'!AD48+1,0),IF('01_数值调参'!AJ44&lt;0,'03_全链计算'!AE48+1,0),IF('01_数值调参'!AJ45&lt;0,'03_全链计算'!AF48+1,0),IF('01_数值调参'!AJ46&lt;0,'03_全链计算'!AG48+1,0),IF('01_数值调参'!AJ47&lt;0,'03_全链计算'!AH48+1,0),IF('01_数值调参'!AJ48&lt;0,'03_全链计算'!AI48+1,0),IF('01_数值调参'!AJ49&lt;0,'03_全链计算'!AJ48+1,0),IF('01_数值调参'!AJ50&lt;0,'03_全链计算'!AK48+1,0),IF('01_数值调参'!AJ51&lt;0,'03_全链计算'!AL48+1,0),IF('01_数值调参'!AJ52&lt;0,'03_全链计算'!AM48+1,0))</x:f>
        <x:v>2</x:v>
      </x:c>
      <x:c r="AK49" s="9" t="n">
        <x:f>MAX(IF('01_数值调参'!AK18&lt;0,'03_全链计算'!E48+1,0),IF('01_数值调参'!AK19&lt;0,'03_全链计算'!F48+1,0),IF('01_数值调参'!AK20&lt;0,'03_全链计算'!G48+1,0),IF('01_数值调参'!AK21&lt;0,'03_全链计算'!H48+1,0),IF('01_数值调参'!AK22&lt;0,'03_全链计算'!I48+1,0),IF('01_数值调参'!AK23&lt;0,'03_全链计算'!J48+1,0),IF('01_数值调参'!AK24&lt;0,'03_全链计算'!K48+1,0),IF('01_数值调参'!AK25&lt;0,'03_全链计算'!L48+1,0),IF('01_数值调参'!AK26&lt;0,'03_全链计算'!M48+1,0),IF('01_数值调参'!AK27&lt;0,'03_全链计算'!N48+1,0),IF('01_数值调参'!AK28&lt;0,'03_全链计算'!O48+1,0),IF('01_数值调参'!AK29&lt;0,'03_全链计算'!P48+1,0),IF('01_数值调参'!AK30&lt;0,'03_全链计算'!Q48+1,0),IF('01_数值调参'!AK31&lt;0,'03_全链计算'!R48+1,0),IF('01_数值调参'!AK32&lt;0,'03_全链计算'!S48+1,0),IF('01_数值调参'!AK33&lt;0,'03_全链计算'!T48+1,0),IF('01_数值调参'!AK34&lt;0,'03_全链计算'!U48+1,0),IF('01_数值调参'!AK35&lt;0,'03_全链计算'!V48+1,0),IF('01_数值调参'!AK36&lt;0,'03_全链计算'!W48+1,0),IF('01_数值调参'!AK37&lt;0,'03_全链计算'!X48+1,0),IF('01_数值调参'!AK38&lt;0,'03_全链计算'!Y48+1,0),IF('01_数值调参'!AK39&lt;0,'03_全链计算'!Z48+1,0),IF('01_数值调参'!AK40&lt;0,'03_全链计算'!AA48+1,0),IF('01_数值调参'!AK41&lt;0,'03_全链计算'!AB48+1,0),IF('01_数值调参'!AK42&lt;0,'03_全链计算'!AC48+1,0),IF('01_数值调参'!AK43&lt;0,'03_全链计算'!AD48+1,0),IF('01_数值调参'!AK44&lt;0,'03_全链计算'!AE48+1,0),IF('01_数值调参'!AK45&lt;0,'03_全链计算'!AF48+1,0),IF('01_数值调参'!AK46&lt;0,'03_全链计算'!AG48+1,0),IF('01_数值调参'!AK47&lt;0,'03_全链计算'!AH48+1,0),IF('01_数值调参'!AK48&lt;0,'03_全链计算'!AI48+1,0),IF('01_数值调参'!AK49&lt;0,'03_全链计算'!AJ48+1,0),IF('01_数值调参'!AK50&lt;0,'03_全链计算'!AK48+1,0),IF('01_数值调参'!AK51&lt;0,'03_全链计算'!AL48+1,0),IF('01_数值调参'!AK52&lt;0,'03_全链计算'!AM48+1,0))</x:f>
        <x:v>2</x:v>
      </x:c>
      <x:c r="AL49" s="9" t="n">
        <x:f>MAX(IF('01_数值调参'!AL18&lt;0,'03_全链计算'!E48+1,0),IF('01_数值调参'!AL19&lt;0,'03_全链计算'!F48+1,0),IF('01_数值调参'!AL20&lt;0,'03_全链计算'!G48+1,0),IF('01_数值调参'!AL21&lt;0,'03_全链计算'!H48+1,0),IF('01_数值调参'!AL22&lt;0,'03_全链计算'!I48+1,0),IF('01_数值调参'!AL23&lt;0,'03_全链计算'!J48+1,0),IF('01_数值调参'!AL24&lt;0,'03_全链计算'!K48+1,0),IF('01_数值调参'!AL25&lt;0,'03_全链计算'!L48+1,0),IF('01_数值调参'!AL26&lt;0,'03_全链计算'!M48+1,0),IF('01_数值调参'!AL27&lt;0,'03_全链计算'!N48+1,0),IF('01_数值调参'!AL28&lt;0,'03_全链计算'!O48+1,0),IF('01_数值调参'!AL29&lt;0,'03_全链计算'!P48+1,0),IF('01_数值调参'!AL30&lt;0,'03_全链计算'!Q48+1,0),IF('01_数值调参'!AL31&lt;0,'03_全链计算'!R48+1,0),IF('01_数值调参'!AL32&lt;0,'03_全链计算'!S48+1,0),IF('01_数值调参'!AL33&lt;0,'03_全链计算'!T48+1,0),IF('01_数值调参'!AL34&lt;0,'03_全链计算'!U48+1,0),IF('01_数值调参'!AL35&lt;0,'03_全链计算'!V48+1,0),IF('01_数值调参'!AL36&lt;0,'03_全链计算'!W48+1,0),IF('01_数值调参'!AL37&lt;0,'03_全链计算'!X48+1,0),IF('01_数值调参'!AL38&lt;0,'03_全链计算'!Y48+1,0),IF('01_数值调参'!AL39&lt;0,'03_全链计算'!Z48+1,0),IF('01_数值调参'!AL40&lt;0,'03_全链计算'!AA48+1,0),IF('01_数值调参'!AL41&lt;0,'03_全链计算'!AB48+1,0),IF('01_数值调参'!AL42&lt;0,'03_全链计算'!AC48+1,0),IF('01_数值调参'!AL43&lt;0,'03_全链计算'!AD48+1,0),IF('01_数值调参'!AL44&lt;0,'03_全链计算'!AE48+1,0),IF('01_数值调参'!AL45&lt;0,'03_全链计算'!AF48+1,0),IF('01_数值调参'!AL46&lt;0,'03_全链计算'!AG48+1,0),IF('01_数值调参'!AL47&lt;0,'03_全链计算'!AH48+1,0),IF('01_数值调参'!AL48&lt;0,'03_全链计算'!AI48+1,0),IF('01_数值调参'!AL49&lt;0,'03_全链计算'!AJ48+1,0),IF('01_数值调参'!AL50&lt;0,'03_全链计算'!AK48+1,0),IF('01_数值调参'!AL51&lt;0,'03_全链计算'!AL48+1,0),IF('01_数值调参'!AL52&lt;0,'03_全链计算'!AM48+1,0))</x:f>
        <x:v>3</x:v>
      </x:c>
      <x:c r="AM49" s="9" t="n">
        <x:f>MAX(IF('01_数值调参'!AM18&lt;0,'03_全链计算'!E48+1,0),IF('01_数值调参'!AM19&lt;0,'03_全链计算'!F48+1,0),IF('01_数值调参'!AM20&lt;0,'03_全链计算'!G48+1,0),IF('01_数值调参'!AM21&lt;0,'03_全链计算'!H48+1,0),IF('01_数值调参'!AM22&lt;0,'03_全链计算'!I48+1,0),IF('01_数值调参'!AM23&lt;0,'03_全链计算'!J48+1,0),IF('01_数值调参'!AM24&lt;0,'03_全链计算'!K48+1,0),IF('01_数值调参'!AM25&lt;0,'03_全链计算'!L48+1,0),IF('01_数值调参'!AM26&lt;0,'03_全链计算'!M48+1,0),IF('01_数值调参'!AM27&lt;0,'03_全链计算'!N48+1,0),IF('01_数值调参'!AM28&lt;0,'03_全链计算'!O48+1,0),IF('01_数值调参'!AM29&lt;0,'03_全链计算'!P48+1,0),IF('01_数值调参'!AM30&lt;0,'03_全链计算'!Q48+1,0),IF('01_数值调参'!AM31&lt;0,'03_全链计算'!R48+1,0),IF('01_数值调参'!AM32&lt;0,'03_全链计算'!S48+1,0),IF('01_数值调参'!AM33&lt;0,'03_全链计算'!T48+1,0),IF('01_数值调参'!AM34&lt;0,'03_全链计算'!U48+1,0),IF('01_数值调参'!AM35&lt;0,'03_全链计算'!V48+1,0),IF('01_数值调参'!AM36&lt;0,'03_全链计算'!W48+1,0),IF('01_数值调参'!AM37&lt;0,'03_全链计算'!X48+1,0),IF('01_数值调参'!AM38&lt;0,'03_全链计算'!Y48+1,0),IF('01_数值调参'!AM39&lt;0,'03_全链计算'!Z48+1,0),IF('01_数值调参'!AM40&lt;0,'03_全链计算'!AA48+1,0),IF('01_数值调参'!AM41&lt;0,'03_全链计算'!AB48+1,0),IF('01_数值调参'!AM42&lt;0,'03_全链计算'!AC48+1,0),IF('01_数值调参'!AM43&lt;0,'03_全链计算'!AD48+1,0),IF('01_数值调参'!AM44&lt;0,'03_全链计算'!AE48+1,0),IF('01_数值调参'!AM45&lt;0,'03_全链计算'!AF48+1,0),IF('01_数值调参'!AM46&lt;0,'03_全链计算'!AG48+1,0),IF('01_数值调参'!AM47&lt;0,'03_全链计算'!AH48+1,0),IF('01_数值调参'!AM48&lt;0,'03_全链计算'!AI48+1,0),IF('01_数值调参'!AM49&lt;0,'03_全链计算'!AJ48+1,0),IF('01_数值调参'!AM50&lt;0,'03_全链计算'!AK48+1,0),IF('01_数值调参'!AM51&lt;0,'03_全链计算'!AL48+1,0),IF('01_数值调参'!AM52&lt;0,'03_全链计算'!AM48+1,0))</x:f>
        <x:v>3</x:v>
      </x:c>
    </x:row>
    <x:row r="50" ht="22" customHeight="1">
      <x:c r="A50" s="9" t="n">
        <x:v>5</x:v>
      </x:c>
      <x:c r="B50" s="9"/>
      <x:c r="C50" s="9"/>
      <x:c r="D50" s="9"/>
      <x:c r="E50" s="9" t="n">
        <x:f>MAX(IF('01_数值调参'!E18&lt;0,'03_全链计算'!E49+1,0),IF('01_数值调参'!E19&lt;0,'03_全链计算'!F49+1,0),IF('01_数值调参'!E20&lt;0,'03_全链计算'!G49+1,0),IF('01_数值调参'!E21&lt;0,'03_全链计算'!H49+1,0),IF('01_数值调参'!E22&lt;0,'03_全链计算'!I49+1,0),IF('01_数值调参'!E23&lt;0,'03_全链计算'!J49+1,0),IF('01_数值调参'!E24&lt;0,'03_全链计算'!K49+1,0),IF('01_数值调参'!E25&lt;0,'03_全链计算'!L49+1,0),IF('01_数值调参'!E26&lt;0,'03_全链计算'!M49+1,0),IF('01_数值调参'!E27&lt;0,'03_全链计算'!N49+1,0),IF('01_数值调参'!E28&lt;0,'03_全链计算'!O49+1,0),IF('01_数值调参'!E29&lt;0,'03_全链计算'!P49+1,0),IF('01_数值调参'!E30&lt;0,'03_全链计算'!Q49+1,0),IF('01_数值调参'!E31&lt;0,'03_全链计算'!R49+1,0),IF('01_数值调参'!E32&lt;0,'03_全链计算'!S49+1,0),IF('01_数值调参'!E33&lt;0,'03_全链计算'!T49+1,0),IF('01_数值调参'!E34&lt;0,'03_全链计算'!U49+1,0),IF('01_数值调参'!E35&lt;0,'03_全链计算'!V49+1,0),IF('01_数值调参'!E36&lt;0,'03_全链计算'!W49+1,0),IF('01_数值调参'!E37&lt;0,'03_全链计算'!X49+1,0),IF('01_数值调参'!E38&lt;0,'03_全链计算'!Y49+1,0),IF('01_数值调参'!E39&lt;0,'03_全链计算'!Z49+1,0),IF('01_数值调参'!E40&lt;0,'03_全链计算'!AA49+1,0),IF('01_数值调参'!E41&lt;0,'03_全链计算'!AB49+1,0),IF('01_数值调参'!E42&lt;0,'03_全链计算'!AC49+1,0),IF('01_数值调参'!E43&lt;0,'03_全链计算'!AD49+1,0),IF('01_数值调参'!E44&lt;0,'03_全链计算'!AE49+1,0),IF('01_数值调参'!E45&lt;0,'03_全链计算'!AF49+1,0),IF('01_数值调参'!E46&lt;0,'03_全链计算'!AG49+1,0),IF('01_数值调参'!E47&lt;0,'03_全链计算'!AH49+1,0),IF('01_数值调参'!E48&lt;0,'03_全链计算'!AI49+1,0),IF('01_数值调参'!E49&lt;0,'03_全链计算'!AJ49+1,0),IF('01_数值调参'!E50&lt;0,'03_全链计算'!AK49+1,0),IF('01_数值调参'!E51&lt;0,'03_全链计算'!AL49+1,0),IF('01_数值调参'!E52&lt;0,'03_全链计算'!AM49+1,0))</x:f>
        <x:v>0</x:v>
      </x:c>
      <x:c r="F50" s="9" t="n">
        <x:f>MAX(IF('01_数值调参'!F18&lt;0,'03_全链计算'!E49+1,0),IF('01_数值调参'!F19&lt;0,'03_全链计算'!F49+1,0),IF('01_数值调参'!F20&lt;0,'03_全链计算'!G49+1,0),IF('01_数值调参'!F21&lt;0,'03_全链计算'!H49+1,0),IF('01_数值调参'!F22&lt;0,'03_全链计算'!I49+1,0),IF('01_数值调参'!F23&lt;0,'03_全链计算'!J49+1,0),IF('01_数值调参'!F24&lt;0,'03_全链计算'!K49+1,0),IF('01_数值调参'!F25&lt;0,'03_全链计算'!L49+1,0),IF('01_数值调参'!F26&lt;0,'03_全链计算'!M49+1,0),IF('01_数值调参'!F27&lt;0,'03_全链计算'!N49+1,0),IF('01_数值调参'!F28&lt;0,'03_全链计算'!O49+1,0),IF('01_数值调参'!F29&lt;0,'03_全链计算'!P49+1,0),IF('01_数值调参'!F30&lt;0,'03_全链计算'!Q49+1,0),IF('01_数值调参'!F31&lt;0,'03_全链计算'!R49+1,0),IF('01_数值调参'!F32&lt;0,'03_全链计算'!S49+1,0),IF('01_数值调参'!F33&lt;0,'03_全链计算'!T49+1,0),IF('01_数值调参'!F34&lt;0,'03_全链计算'!U49+1,0),IF('01_数值调参'!F35&lt;0,'03_全链计算'!V49+1,0),IF('01_数值调参'!F36&lt;0,'03_全链计算'!W49+1,0),IF('01_数值调参'!F37&lt;0,'03_全链计算'!X49+1,0),IF('01_数值调参'!F38&lt;0,'03_全链计算'!Y49+1,0),IF('01_数值调参'!F39&lt;0,'03_全链计算'!Z49+1,0),IF('01_数值调参'!F40&lt;0,'03_全链计算'!AA49+1,0),IF('01_数值调参'!F41&lt;0,'03_全链计算'!AB49+1,0),IF('01_数值调参'!F42&lt;0,'03_全链计算'!AC49+1,0),IF('01_数值调参'!F43&lt;0,'03_全链计算'!AD49+1,0),IF('01_数值调参'!F44&lt;0,'03_全链计算'!AE49+1,0),IF('01_数值调参'!F45&lt;0,'03_全链计算'!AF49+1,0),IF('01_数值调参'!F46&lt;0,'03_全链计算'!AG49+1,0),IF('01_数值调参'!F47&lt;0,'03_全链计算'!AH49+1,0),IF('01_数值调参'!F48&lt;0,'03_全链计算'!AI49+1,0),IF('01_数值调参'!F49&lt;0,'03_全链计算'!AJ49+1,0),IF('01_数值调参'!F50&lt;0,'03_全链计算'!AK49+1,0),IF('01_数值调参'!F51&lt;0,'03_全链计算'!AL49+1,0),IF('01_数值调参'!F52&lt;0,'03_全链计算'!AM49+1,0))</x:f>
        <x:v>0</x:v>
      </x:c>
      <x:c r="G50" s="9" t="n">
        <x:f>MAX(IF('01_数值调参'!G18&lt;0,'03_全链计算'!E49+1,0),IF('01_数值调参'!G19&lt;0,'03_全链计算'!F49+1,0),IF('01_数值调参'!G20&lt;0,'03_全链计算'!G49+1,0),IF('01_数值调参'!G21&lt;0,'03_全链计算'!H49+1,0),IF('01_数值调参'!G22&lt;0,'03_全链计算'!I49+1,0),IF('01_数值调参'!G23&lt;0,'03_全链计算'!J49+1,0),IF('01_数值调参'!G24&lt;0,'03_全链计算'!K49+1,0),IF('01_数值调参'!G25&lt;0,'03_全链计算'!L49+1,0),IF('01_数值调参'!G26&lt;0,'03_全链计算'!M49+1,0),IF('01_数值调参'!G27&lt;0,'03_全链计算'!N49+1,0),IF('01_数值调参'!G28&lt;0,'03_全链计算'!O49+1,0),IF('01_数值调参'!G29&lt;0,'03_全链计算'!P49+1,0),IF('01_数值调参'!G30&lt;0,'03_全链计算'!Q49+1,0),IF('01_数值调参'!G31&lt;0,'03_全链计算'!R49+1,0),IF('01_数值调参'!G32&lt;0,'03_全链计算'!S49+1,0),IF('01_数值调参'!G33&lt;0,'03_全链计算'!T49+1,0),IF('01_数值调参'!G34&lt;0,'03_全链计算'!U49+1,0),IF('01_数值调参'!G35&lt;0,'03_全链计算'!V49+1,0),IF('01_数值调参'!G36&lt;0,'03_全链计算'!W49+1,0),IF('01_数值调参'!G37&lt;0,'03_全链计算'!X49+1,0),IF('01_数值调参'!G38&lt;0,'03_全链计算'!Y49+1,0),IF('01_数值调参'!G39&lt;0,'03_全链计算'!Z49+1,0),IF('01_数值调参'!G40&lt;0,'03_全链计算'!AA49+1,0),IF('01_数值调参'!G41&lt;0,'03_全链计算'!AB49+1,0),IF('01_数值调参'!G42&lt;0,'03_全链计算'!AC49+1,0),IF('01_数值调参'!G43&lt;0,'03_全链计算'!AD49+1,0),IF('01_数值调参'!G44&lt;0,'03_全链计算'!AE49+1,0),IF('01_数值调参'!G45&lt;0,'03_全链计算'!AF49+1,0),IF('01_数值调参'!G46&lt;0,'03_全链计算'!AG49+1,0),IF('01_数值调参'!G47&lt;0,'03_全链计算'!AH49+1,0),IF('01_数值调参'!G48&lt;0,'03_全链计算'!AI49+1,0),IF('01_数值调参'!G49&lt;0,'03_全链计算'!AJ49+1,0),IF('01_数值调参'!G50&lt;0,'03_全链计算'!AK49+1,0),IF('01_数值调参'!G51&lt;0,'03_全链计算'!AL49+1,0),IF('01_数值调参'!G52&lt;0,'03_全链计算'!AM49+1,0))</x:f>
        <x:v>0</x:v>
      </x:c>
      <x:c r="H50" s="9" t="n">
        <x:f>MAX(IF('01_数值调参'!H18&lt;0,'03_全链计算'!E49+1,0),IF('01_数值调参'!H19&lt;0,'03_全链计算'!F49+1,0),IF('01_数值调参'!H20&lt;0,'03_全链计算'!G49+1,0),IF('01_数值调参'!H21&lt;0,'03_全链计算'!H49+1,0),IF('01_数值调参'!H22&lt;0,'03_全链计算'!I49+1,0),IF('01_数值调参'!H23&lt;0,'03_全链计算'!J49+1,0),IF('01_数值调参'!H24&lt;0,'03_全链计算'!K49+1,0),IF('01_数值调参'!H25&lt;0,'03_全链计算'!L49+1,0),IF('01_数值调参'!H26&lt;0,'03_全链计算'!M49+1,0),IF('01_数值调参'!H27&lt;0,'03_全链计算'!N49+1,0),IF('01_数值调参'!H28&lt;0,'03_全链计算'!O49+1,0),IF('01_数值调参'!H29&lt;0,'03_全链计算'!P49+1,0),IF('01_数值调参'!H30&lt;0,'03_全链计算'!Q49+1,0),IF('01_数值调参'!H31&lt;0,'03_全链计算'!R49+1,0),IF('01_数值调参'!H32&lt;0,'03_全链计算'!S49+1,0),IF('01_数值调参'!H33&lt;0,'03_全链计算'!T49+1,0),IF('01_数值调参'!H34&lt;0,'03_全链计算'!U49+1,0),IF('01_数值调参'!H35&lt;0,'03_全链计算'!V49+1,0),IF('01_数值调参'!H36&lt;0,'03_全链计算'!W49+1,0),IF('01_数值调参'!H37&lt;0,'03_全链计算'!X49+1,0),IF('01_数值调参'!H38&lt;0,'03_全链计算'!Y49+1,0),IF('01_数值调参'!H39&lt;0,'03_全链计算'!Z49+1,0),IF('01_数值调参'!H40&lt;0,'03_全链计算'!AA49+1,0),IF('01_数值调参'!H41&lt;0,'03_全链计算'!AB49+1,0),IF('01_数值调参'!H42&lt;0,'03_全链计算'!AC49+1,0),IF('01_数值调参'!H43&lt;0,'03_全链计算'!AD49+1,0),IF('01_数值调参'!H44&lt;0,'03_全链计算'!AE49+1,0),IF('01_数值调参'!H45&lt;0,'03_全链计算'!AF49+1,0),IF('01_数值调参'!H46&lt;0,'03_全链计算'!AG49+1,0),IF('01_数值调参'!H47&lt;0,'03_全链计算'!AH49+1,0),IF('01_数值调参'!H48&lt;0,'03_全链计算'!AI49+1,0),IF('01_数值调参'!H49&lt;0,'03_全链计算'!AJ49+1,0),IF('01_数值调参'!H50&lt;0,'03_全链计算'!AK49+1,0),IF('01_数值调参'!H51&lt;0,'03_全链计算'!AL49+1,0),IF('01_数值调参'!H52&lt;0,'03_全链计算'!AM49+1,0))</x:f>
        <x:v>0</x:v>
      </x:c>
      <x:c r="I50" s="9" t="n">
        <x:f>MAX(IF('01_数值调参'!I18&lt;0,'03_全链计算'!E49+1,0),IF('01_数值调参'!I19&lt;0,'03_全链计算'!F49+1,0),IF('01_数值调参'!I20&lt;0,'03_全链计算'!G49+1,0),IF('01_数值调参'!I21&lt;0,'03_全链计算'!H49+1,0),IF('01_数值调参'!I22&lt;0,'03_全链计算'!I49+1,0),IF('01_数值调参'!I23&lt;0,'03_全链计算'!J49+1,0),IF('01_数值调参'!I24&lt;0,'03_全链计算'!K49+1,0),IF('01_数值调参'!I25&lt;0,'03_全链计算'!L49+1,0),IF('01_数值调参'!I26&lt;0,'03_全链计算'!M49+1,0),IF('01_数值调参'!I27&lt;0,'03_全链计算'!N49+1,0),IF('01_数值调参'!I28&lt;0,'03_全链计算'!O49+1,0),IF('01_数值调参'!I29&lt;0,'03_全链计算'!P49+1,0),IF('01_数值调参'!I30&lt;0,'03_全链计算'!Q49+1,0),IF('01_数值调参'!I31&lt;0,'03_全链计算'!R49+1,0),IF('01_数值调参'!I32&lt;0,'03_全链计算'!S49+1,0),IF('01_数值调参'!I33&lt;0,'03_全链计算'!T49+1,0),IF('01_数值调参'!I34&lt;0,'03_全链计算'!U49+1,0),IF('01_数值调参'!I35&lt;0,'03_全链计算'!V49+1,0),IF('01_数值调参'!I36&lt;0,'03_全链计算'!W49+1,0),IF('01_数值调参'!I37&lt;0,'03_全链计算'!X49+1,0),IF('01_数值调参'!I38&lt;0,'03_全链计算'!Y49+1,0),IF('01_数值调参'!I39&lt;0,'03_全链计算'!Z49+1,0),IF('01_数值调参'!I40&lt;0,'03_全链计算'!AA49+1,0),IF('01_数值调参'!I41&lt;0,'03_全链计算'!AB49+1,0),IF('01_数值调参'!I42&lt;0,'03_全链计算'!AC49+1,0),IF('01_数值调参'!I43&lt;0,'03_全链计算'!AD49+1,0),IF('01_数值调参'!I44&lt;0,'03_全链计算'!AE49+1,0),IF('01_数值调参'!I45&lt;0,'03_全链计算'!AF49+1,0),IF('01_数值调参'!I46&lt;0,'03_全链计算'!AG49+1,0),IF('01_数值调参'!I47&lt;0,'03_全链计算'!AH49+1,0),IF('01_数值调参'!I48&lt;0,'03_全链计算'!AI49+1,0),IF('01_数值调参'!I49&lt;0,'03_全链计算'!AJ49+1,0),IF('01_数值调参'!I50&lt;0,'03_全链计算'!AK49+1,0),IF('01_数值调参'!I51&lt;0,'03_全链计算'!AL49+1,0),IF('01_数值调参'!I52&lt;0,'03_全链计算'!AM49+1,0))</x:f>
        <x:v>0</x:v>
      </x:c>
      <x:c r="J50" s="9" t="n">
        <x:f>MAX(IF('01_数值调参'!J18&lt;0,'03_全链计算'!E49+1,0),IF('01_数值调参'!J19&lt;0,'03_全链计算'!F49+1,0),IF('01_数值调参'!J20&lt;0,'03_全链计算'!G49+1,0),IF('01_数值调参'!J21&lt;0,'03_全链计算'!H49+1,0),IF('01_数值调参'!J22&lt;0,'03_全链计算'!I49+1,0),IF('01_数值调参'!J23&lt;0,'03_全链计算'!J49+1,0),IF('01_数值调参'!J24&lt;0,'03_全链计算'!K49+1,0),IF('01_数值调参'!J25&lt;0,'03_全链计算'!L49+1,0),IF('01_数值调参'!J26&lt;0,'03_全链计算'!M49+1,0),IF('01_数值调参'!J27&lt;0,'03_全链计算'!N49+1,0),IF('01_数值调参'!J28&lt;0,'03_全链计算'!O49+1,0),IF('01_数值调参'!J29&lt;0,'03_全链计算'!P49+1,0),IF('01_数值调参'!J30&lt;0,'03_全链计算'!Q49+1,0),IF('01_数值调参'!J31&lt;0,'03_全链计算'!R49+1,0),IF('01_数值调参'!J32&lt;0,'03_全链计算'!S49+1,0),IF('01_数值调参'!J33&lt;0,'03_全链计算'!T49+1,0),IF('01_数值调参'!J34&lt;0,'03_全链计算'!U49+1,0),IF('01_数值调参'!J35&lt;0,'03_全链计算'!V49+1,0),IF('01_数值调参'!J36&lt;0,'03_全链计算'!W49+1,0),IF('01_数值调参'!J37&lt;0,'03_全链计算'!X49+1,0),IF('01_数值调参'!J38&lt;0,'03_全链计算'!Y49+1,0),IF('01_数值调参'!J39&lt;0,'03_全链计算'!Z49+1,0),IF('01_数值调参'!J40&lt;0,'03_全链计算'!AA49+1,0),IF('01_数值调参'!J41&lt;0,'03_全链计算'!AB49+1,0),IF('01_数值调参'!J42&lt;0,'03_全链计算'!AC49+1,0),IF('01_数值调参'!J43&lt;0,'03_全链计算'!AD49+1,0),IF('01_数值调参'!J44&lt;0,'03_全链计算'!AE49+1,0),IF('01_数值调参'!J45&lt;0,'03_全链计算'!AF49+1,0),IF('01_数值调参'!J46&lt;0,'03_全链计算'!AG49+1,0),IF('01_数值调参'!J47&lt;0,'03_全链计算'!AH49+1,0),IF('01_数值调参'!J48&lt;0,'03_全链计算'!AI49+1,0),IF('01_数值调参'!J49&lt;0,'03_全链计算'!AJ49+1,0),IF('01_数值调参'!J50&lt;0,'03_全链计算'!AK49+1,0),IF('01_数值调参'!J51&lt;0,'03_全链计算'!AL49+1,0),IF('01_数值调参'!J52&lt;0,'03_全链计算'!AM49+1,0))</x:f>
        <x:v>0</x:v>
      </x:c>
      <x:c r="K50" s="9" t="n">
        <x:f>MAX(IF('01_数值调参'!K18&lt;0,'03_全链计算'!E49+1,0),IF('01_数值调参'!K19&lt;0,'03_全链计算'!F49+1,0),IF('01_数值调参'!K20&lt;0,'03_全链计算'!G49+1,0),IF('01_数值调参'!K21&lt;0,'03_全链计算'!H49+1,0),IF('01_数值调参'!K22&lt;0,'03_全链计算'!I49+1,0),IF('01_数值调参'!K23&lt;0,'03_全链计算'!J49+1,0),IF('01_数值调参'!K24&lt;0,'03_全链计算'!K49+1,0),IF('01_数值调参'!K25&lt;0,'03_全链计算'!L49+1,0),IF('01_数值调参'!K26&lt;0,'03_全链计算'!M49+1,0),IF('01_数值调参'!K27&lt;0,'03_全链计算'!N49+1,0),IF('01_数值调参'!K28&lt;0,'03_全链计算'!O49+1,0),IF('01_数值调参'!K29&lt;0,'03_全链计算'!P49+1,0),IF('01_数值调参'!K30&lt;0,'03_全链计算'!Q49+1,0),IF('01_数值调参'!K31&lt;0,'03_全链计算'!R49+1,0),IF('01_数值调参'!K32&lt;0,'03_全链计算'!S49+1,0),IF('01_数值调参'!K33&lt;0,'03_全链计算'!T49+1,0),IF('01_数值调参'!K34&lt;0,'03_全链计算'!U49+1,0),IF('01_数值调参'!K35&lt;0,'03_全链计算'!V49+1,0),IF('01_数值调参'!K36&lt;0,'03_全链计算'!W49+1,0),IF('01_数值调参'!K37&lt;0,'03_全链计算'!X49+1,0),IF('01_数值调参'!K38&lt;0,'03_全链计算'!Y49+1,0),IF('01_数值调参'!K39&lt;0,'03_全链计算'!Z49+1,0),IF('01_数值调参'!K40&lt;0,'03_全链计算'!AA49+1,0),IF('01_数值调参'!K41&lt;0,'03_全链计算'!AB49+1,0),IF('01_数值调参'!K42&lt;0,'03_全链计算'!AC49+1,0),IF('01_数值调参'!K43&lt;0,'03_全链计算'!AD49+1,0),IF('01_数值调参'!K44&lt;0,'03_全链计算'!AE49+1,0),IF('01_数值调参'!K45&lt;0,'03_全链计算'!AF49+1,0),IF('01_数值调参'!K46&lt;0,'03_全链计算'!AG49+1,0),IF('01_数值调参'!K47&lt;0,'03_全链计算'!AH49+1,0),IF('01_数值调参'!K48&lt;0,'03_全链计算'!AI49+1,0),IF('01_数值调参'!K49&lt;0,'03_全链计算'!AJ49+1,0),IF('01_数值调参'!K50&lt;0,'03_全链计算'!AK49+1,0),IF('01_数值调参'!K51&lt;0,'03_全链计算'!AL49+1,0),IF('01_数值调参'!K52&lt;0,'03_全链计算'!AM49+1,0))</x:f>
        <x:v>0</x:v>
      </x:c>
      <x:c r="L50" s="9" t="n">
        <x:f>MAX(IF('01_数值调参'!L18&lt;0,'03_全链计算'!E49+1,0),IF('01_数值调参'!L19&lt;0,'03_全链计算'!F49+1,0),IF('01_数值调参'!L20&lt;0,'03_全链计算'!G49+1,0),IF('01_数值调参'!L21&lt;0,'03_全链计算'!H49+1,0),IF('01_数值调参'!L22&lt;0,'03_全链计算'!I49+1,0),IF('01_数值调参'!L23&lt;0,'03_全链计算'!J49+1,0),IF('01_数值调参'!L24&lt;0,'03_全链计算'!K49+1,0),IF('01_数值调参'!L25&lt;0,'03_全链计算'!L49+1,0),IF('01_数值调参'!L26&lt;0,'03_全链计算'!M49+1,0),IF('01_数值调参'!L27&lt;0,'03_全链计算'!N49+1,0),IF('01_数值调参'!L28&lt;0,'03_全链计算'!O49+1,0),IF('01_数值调参'!L29&lt;0,'03_全链计算'!P49+1,0),IF('01_数值调参'!L30&lt;0,'03_全链计算'!Q49+1,0),IF('01_数值调参'!L31&lt;0,'03_全链计算'!R49+1,0),IF('01_数值调参'!L32&lt;0,'03_全链计算'!S49+1,0),IF('01_数值调参'!L33&lt;0,'03_全链计算'!T49+1,0),IF('01_数值调参'!L34&lt;0,'03_全链计算'!U49+1,0),IF('01_数值调参'!L35&lt;0,'03_全链计算'!V49+1,0),IF('01_数值调参'!L36&lt;0,'03_全链计算'!W49+1,0),IF('01_数值调参'!L37&lt;0,'03_全链计算'!X49+1,0),IF('01_数值调参'!L38&lt;0,'03_全链计算'!Y49+1,0),IF('01_数值调参'!L39&lt;0,'03_全链计算'!Z49+1,0),IF('01_数值调参'!L40&lt;0,'03_全链计算'!AA49+1,0),IF('01_数值调参'!L41&lt;0,'03_全链计算'!AB49+1,0),IF('01_数值调参'!L42&lt;0,'03_全链计算'!AC49+1,0),IF('01_数值调参'!L43&lt;0,'03_全链计算'!AD49+1,0),IF('01_数值调参'!L44&lt;0,'03_全链计算'!AE49+1,0),IF('01_数值调参'!L45&lt;0,'03_全链计算'!AF49+1,0),IF('01_数值调参'!L46&lt;0,'03_全链计算'!AG49+1,0),IF('01_数值调参'!L47&lt;0,'03_全链计算'!AH49+1,0),IF('01_数值调参'!L48&lt;0,'03_全链计算'!AI49+1,0),IF('01_数值调参'!L49&lt;0,'03_全链计算'!AJ49+1,0),IF('01_数值调参'!L50&lt;0,'03_全链计算'!AK49+1,0),IF('01_数值调参'!L51&lt;0,'03_全链计算'!AL49+1,0),IF('01_数值调参'!L52&lt;0,'03_全链计算'!AM49+1,0))</x:f>
        <x:v>0</x:v>
      </x:c>
      <x:c r="M50" s="9" t="n">
        <x:f>MAX(IF('01_数值调参'!M18&lt;0,'03_全链计算'!E49+1,0),IF('01_数值调参'!M19&lt;0,'03_全链计算'!F49+1,0),IF('01_数值调参'!M20&lt;0,'03_全链计算'!G49+1,0),IF('01_数值调参'!M21&lt;0,'03_全链计算'!H49+1,0),IF('01_数值调参'!M22&lt;0,'03_全链计算'!I49+1,0),IF('01_数值调参'!M23&lt;0,'03_全链计算'!J49+1,0),IF('01_数值调参'!M24&lt;0,'03_全链计算'!K49+1,0),IF('01_数值调参'!M25&lt;0,'03_全链计算'!L49+1,0),IF('01_数值调参'!M26&lt;0,'03_全链计算'!M49+1,0),IF('01_数值调参'!M27&lt;0,'03_全链计算'!N49+1,0),IF('01_数值调参'!M28&lt;0,'03_全链计算'!O49+1,0),IF('01_数值调参'!M29&lt;0,'03_全链计算'!P49+1,0),IF('01_数值调参'!M30&lt;0,'03_全链计算'!Q49+1,0),IF('01_数值调参'!M31&lt;0,'03_全链计算'!R49+1,0),IF('01_数值调参'!M32&lt;0,'03_全链计算'!S49+1,0),IF('01_数值调参'!M33&lt;0,'03_全链计算'!T49+1,0),IF('01_数值调参'!M34&lt;0,'03_全链计算'!U49+1,0),IF('01_数值调参'!M35&lt;0,'03_全链计算'!V49+1,0),IF('01_数值调参'!M36&lt;0,'03_全链计算'!W49+1,0),IF('01_数值调参'!M37&lt;0,'03_全链计算'!X49+1,0),IF('01_数值调参'!M38&lt;0,'03_全链计算'!Y49+1,0),IF('01_数值调参'!M39&lt;0,'03_全链计算'!Z49+1,0),IF('01_数值调参'!M40&lt;0,'03_全链计算'!AA49+1,0),IF('01_数值调参'!M41&lt;0,'03_全链计算'!AB49+1,0),IF('01_数值调参'!M42&lt;0,'03_全链计算'!AC49+1,0),IF('01_数值调参'!M43&lt;0,'03_全链计算'!AD49+1,0),IF('01_数值调参'!M44&lt;0,'03_全链计算'!AE49+1,0),IF('01_数值调参'!M45&lt;0,'03_全链计算'!AF49+1,0),IF('01_数值调参'!M46&lt;0,'03_全链计算'!AG49+1,0),IF('01_数值调参'!M47&lt;0,'03_全链计算'!AH49+1,0),IF('01_数值调参'!M48&lt;0,'03_全链计算'!AI49+1,0),IF('01_数值调参'!M49&lt;0,'03_全链计算'!AJ49+1,0),IF('01_数值调参'!M50&lt;0,'03_全链计算'!AK49+1,0),IF('01_数值调参'!M51&lt;0,'03_全链计算'!AL49+1,0),IF('01_数值调参'!M52&lt;0,'03_全链计算'!AM49+1,0))</x:f>
        <x:v>0</x:v>
      </x:c>
      <x:c r="N50" s="9" t="n">
        <x:f>MAX(IF('01_数值调参'!N18&lt;0,'03_全链计算'!E49+1,0),IF('01_数值调参'!N19&lt;0,'03_全链计算'!F49+1,0),IF('01_数值调参'!N20&lt;0,'03_全链计算'!G49+1,0),IF('01_数值调参'!N21&lt;0,'03_全链计算'!H49+1,0),IF('01_数值调参'!N22&lt;0,'03_全链计算'!I49+1,0),IF('01_数值调参'!N23&lt;0,'03_全链计算'!J49+1,0),IF('01_数值调参'!N24&lt;0,'03_全链计算'!K49+1,0),IF('01_数值调参'!N25&lt;0,'03_全链计算'!L49+1,0),IF('01_数值调参'!N26&lt;0,'03_全链计算'!M49+1,0),IF('01_数值调参'!N27&lt;0,'03_全链计算'!N49+1,0),IF('01_数值调参'!N28&lt;0,'03_全链计算'!O49+1,0),IF('01_数值调参'!N29&lt;0,'03_全链计算'!P49+1,0),IF('01_数值调参'!N30&lt;0,'03_全链计算'!Q49+1,0),IF('01_数值调参'!N31&lt;0,'03_全链计算'!R49+1,0),IF('01_数值调参'!N32&lt;0,'03_全链计算'!S49+1,0),IF('01_数值调参'!N33&lt;0,'03_全链计算'!T49+1,0),IF('01_数值调参'!N34&lt;0,'03_全链计算'!U49+1,0),IF('01_数值调参'!N35&lt;0,'03_全链计算'!V49+1,0),IF('01_数值调参'!N36&lt;0,'03_全链计算'!W49+1,0),IF('01_数值调参'!N37&lt;0,'03_全链计算'!X49+1,0),IF('01_数值调参'!N38&lt;0,'03_全链计算'!Y49+1,0),IF('01_数值调参'!N39&lt;0,'03_全链计算'!Z49+1,0),IF('01_数值调参'!N40&lt;0,'03_全链计算'!AA49+1,0),IF('01_数值调参'!N41&lt;0,'03_全链计算'!AB49+1,0),IF('01_数值调参'!N42&lt;0,'03_全链计算'!AC49+1,0),IF('01_数值调参'!N43&lt;0,'03_全链计算'!AD49+1,0),IF('01_数值调参'!N44&lt;0,'03_全链计算'!AE49+1,0),IF('01_数值调参'!N45&lt;0,'03_全链计算'!AF49+1,0),IF('01_数值调参'!N46&lt;0,'03_全链计算'!AG49+1,0),IF('01_数值调参'!N47&lt;0,'03_全链计算'!AH49+1,0),IF('01_数值调参'!N48&lt;0,'03_全链计算'!AI49+1,0),IF('01_数值调参'!N49&lt;0,'03_全链计算'!AJ49+1,0),IF('01_数值调参'!N50&lt;0,'03_全链计算'!AK49+1,0),IF('01_数值调参'!N51&lt;0,'03_全链计算'!AL49+1,0),IF('01_数值调参'!N52&lt;0,'03_全链计算'!AM49+1,0))</x:f>
        <x:v>1</x:v>
      </x:c>
      <x:c r="O50" s="9" t="n">
        <x:f>MAX(IF('01_数值调参'!O18&lt;0,'03_全链计算'!E49+1,0),IF('01_数值调参'!O19&lt;0,'03_全链计算'!F49+1,0),IF('01_数值调参'!O20&lt;0,'03_全链计算'!G49+1,0),IF('01_数值调参'!O21&lt;0,'03_全链计算'!H49+1,0),IF('01_数值调参'!O22&lt;0,'03_全链计算'!I49+1,0),IF('01_数值调参'!O23&lt;0,'03_全链计算'!J49+1,0),IF('01_数值调参'!O24&lt;0,'03_全链计算'!K49+1,0),IF('01_数值调参'!O25&lt;0,'03_全链计算'!L49+1,0),IF('01_数值调参'!O26&lt;0,'03_全链计算'!M49+1,0),IF('01_数值调参'!O27&lt;0,'03_全链计算'!N49+1,0),IF('01_数值调参'!O28&lt;0,'03_全链计算'!O49+1,0),IF('01_数值调参'!O29&lt;0,'03_全链计算'!P49+1,0),IF('01_数值调参'!O30&lt;0,'03_全链计算'!Q49+1,0),IF('01_数值调参'!O31&lt;0,'03_全链计算'!R49+1,0),IF('01_数值调参'!O32&lt;0,'03_全链计算'!S49+1,0),IF('01_数值调参'!O33&lt;0,'03_全链计算'!T49+1,0),IF('01_数值调参'!O34&lt;0,'03_全链计算'!U49+1,0),IF('01_数值调参'!O35&lt;0,'03_全链计算'!V49+1,0),IF('01_数值调参'!O36&lt;0,'03_全链计算'!W49+1,0),IF('01_数值调参'!O37&lt;0,'03_全链计算'!X49+1,0),IF('01_数值调参'!O38&lt;0,'03_全链计算'!Y49+1,0),IF('01_数值调参'!O39&lt;0,'03_全链计算'!Z49+1,0),IF('01_数值调参'!O40&lt;0,'03_全链计算'!AA49+1,0),IF('01_数值调参'!O41&lt;0,'03_全链计算'!AB49+1,0),IF('01_数值调参'!O42&lt;0,'03_全链计算'!AC49+1,0),IF('01_数值调参'!O43&lt;0,'03_全链计算'!AD49+1,0),IF('01_数值调参'!O44&lt;0,'03_全链计算'!AE49+1,0),IF('01_数值调参'!O45&lt;0,'03_全链计算'!AF49+1,0),IF('01_数值调参'!O46&lt;0,'03_全链计算'!AG49+1,0),IF('01_数值调参'!O47&lt;0,'03_全链计算'!AH49+1,0),IF('01_数值调参'!O48&lt;0,'03_全链计算'!AI49+1,0),IF('01_数值调参'!O49&lt;0,'03_全链计算'!AJ49+1,0),IF('01_数值调参'!O50&lt;0,'03_全链计算'!AK49+1,0),IF('01_数值调参'!O51&lt;0,'03_全链计算'!AL49+1,0),IF('01_数值调参'!O52&lt;0,'03_全链计算'!AM49+1,0))</x:f>
        <x:v>1</x:v>
      </x:c>
      <x:c r="P50" s="9" t="n">
        <x:f>MAX(IF('01_数值调参'!P18&lt;0,'03_全链计算'!E49+1,0),IF('01_数值调参'!P19&lt;0,'03_全链计算'!F49+1,0),IF('01_数值调参'!P20&lt;0,'03_全链计算'!G49+1,0),IF('01_数值调参'!P21&lt;0,'03_全链计算'!H49+1,0),IF('01_数值调参'!P22&lt;0,'03_全链计算'!I49+1,0),IF('01_数值调参'!P23&lt;0,'03_全链计算'!J49+1,0),IF('01_数值调参'!P24&lt;0,'03_全链计算'!K49+1,0),IF('01_数值调参'!P25&lt;0,'03_全链计算'!L49+1,0),IF('01_数值调参'!P26&lt;0,'03_全链计算'!M49+1,0),IF('01_数值调参'!P27&lt;0,'03_全链计算'!N49+1,0),IF('01_数值调参'!P28&lt;0,'03_全链计算'!O49+1,0),IF('01_数值调参'!P29&lt;0,'03_全链计算'!P49+1,0),IF('01_数值调参'!P30&lt;0,'03_全链计算'!Q49+1,0),IF('01_数值调参'!P31&lt;0,'03_全链计算'!R49+1,0),IF('01_数值调参'!P32&lt;0,'03_全链计算'!S49+1,0),IF('01_数值调参'!P33&lt;0,'03_全链计算'!T49+1,0),IF('01_数值调参'!P34&lt;0,'03_全链计算'!U49+1,0),IF('01_数值调参'!P35&lt;0,'03_全链计算'!V49+1,0),IF('01_数值调参'!P36&lt;0,'03_全链计算'!W49+1,0),IF('01_数值调参'!P37&lt;0,'03_全链计算'!X49+1,0),IF('01_数值调参'!P38&lt;0,'03_全链计算'!Y49+1,0),IF('01_数值调参'!P39&lt;0,'03_全链计算'!Z49+1,0),IF('01_数值调参'!P40&lt;0,'03_全链计算'!AA49+1,0),IF('01_数值调参'!P41&lt;0,'03_全链计算'!AB49+1,0),IF('01_数值调参'!P42&lt;0,'03_全链计算'!AC49+1,0),IF('01_数值调参'!P43&lt;0,'03_全链计算'!AD49+1,0),IF('01_数值调参'!P44&lt;0,'03_全链计算'!AE49+1,0),IF('01_数值调参'!P45&lt;0,'03_全链计算'!AF49+1,0),IF('01_数值调参'!P46&lt;0,'03_全链计算'!AG49+1,0),IF('01_数值调参'!P47&lt;0,'03_全链计算'!AH49+1,0),IF('01_数值调参'!P48&lt;0,'03_全链计算'!AI49+1,0),IF('01_数值调参'!P49&lt;0,'03_全链计算'!AJ49+1,0),IF('01_数值调参'!P50&lt;0,'03_全链计算'!AK49+1,0),IF('01_数值调参'!P51&lt;0,'03_全链计算'!AL49+1,0),IF('01_数值调参'!P52&lt;0,'03_全链计算'!AM49+1,0))</x:f>
        <x:v>1</x:v>
      </x:c>
      <x:c r="Q50" s="9" t="n">
        <x:f>MAX(IF('01_数值调参'!Q18&lt;0,'03_全链计算'!E49+1,0),IF('01_数值调参'!Q19&lt;0,'03_全链计算'!F49+1,0),IF('01_数值调参'!Q20&lt;0,'03_全链计算'!G49+1,0),IF('01_数值调参'!Q21&lt;0,'03_全链计算'!H49+1,0),IF('01_数值调参'!Q22&lt;0,'03_全链计算'!I49+1,0),IF('01_数值调参'!Q23&lt;0,'03_全链计算'!J49+1,0),IF('01_数值调参'!Q24&lt;0,'03_全链计算'!K49+1,0),IF('01_数值调参'!Q25&lt;0,'03_全链计算'!L49+1,0),IF('01_数值调参'!Q26&lt;0,'03_全链计算'!M49+1,0),IF('01_数值调参'!Q27&lt;0,'03_全链计算'!N49+1,0),IF('01_数值调参'!Q28&lt;0,'03_全链计算'!O49+1,0),IF('01_数值调参'!Q29&lt;0,'03_全链计算'!P49+1,0),IF('01_数值调参'!Q30&lt;0,'03_全链计算'!Q49+1,0),IF('01_数值调参'!Q31&lt;0,'03_全链计算'!R49+1,0),IF('01_数值调参'!Q32&lt;0,'03_全链计算'!S49+1,0),IF('01_数值调参'!Q33&lt;0,'03_全链计算'!T49+1,0),IF('01_数值调参'!Q34&lt;0,'03_全链计算'!U49+1,0),IF('01_数值调参'!Q35&lt;0,'03_全链计算'!V49+1,0),IF('01_数值调参'!Q36&lt;0,'03_全链计算'!W49+1,0),IF('01_数值调参'!Q37&lt;0,'03_全链计算'!X49+1,0),IF('01_数值调参'!Q38&lt;0,'03_全链计算'!Y49+1,0),IF('01_数值调参'!Q39&lt;0,'03_全链计算'!Z49+1,0),IF('01_数值调参'!Q40&lt;0,'03_全链计算'!AA49+1,0),IF('01_数值调参'!Q41&lt;0,'03_全链计算'!AB49+1,0),IF('01_数值调参'!Q42&lt;0,'03_全链计算'!AC49+1,0),IF('01_数值调参'!Q43&lt;0,'03_全链计算'!AD49+1,0),IF('01_数值调参'!Q44&lt;0,'03_全链计算'!AE49+1,0),IF('01_数值调参'!Q45&lt;0,'03_全链计算'!AF49+1,0),IF('01_数值调参'!Q46&lt;0,'03_全链计算'!AG49+1,0),IF('01_数值调参'!Q47&lt;0,'03_全链计算'!AH49+1,0),IF('01_数值调参'!Q48&lt;0,'03_全链计算'!AI49+1,0),IF('01_数值调参'!Q49&lt;0,'03_全链计算'!AJ49+1,0),IF('01_数值调参'!Q50&lt;0,'03_全链计算'!AK49+1,0),IF('01_数值调参'!Q51&lt;0,'03_全链计算'!AL49+1,0),IF('01_数值调参'!Q52&lt;0,'03_全链计算'!AM49+1,0))</x:f>
        <x:v>1</x:v>
      </x:c>
      <x:c r="R50" s="9" t="n">
        <x:f>MAX(IF('01_数值调参'!R18&lt;0,'03_全链计算'!E49+1,0),IF('01_数值调参'!R19&lt;0,'03_全链计算'!F49+1,0),IF('01_数值调参'!R20&lt;0,'03_全链计算'!G49+1,0),IF('01_数值调参'!R21&lt;0,'03_全链计算'!H49+1,0),IF('01_数值调参'!R22&lt;0,'03_全链计算'!I49+1,0),IF('01_数值调参'!R23&lt;0,'03_全链计算'!J49+1,0),IF('01_数值调参'!R24&lt;0,'03_全链计算'!K49+1,0),IF('01_数值调参'!R25&lt;0,'03_全链计算'!L49+1,0),IF('01_数值调参'!R26&lt;0,'03_全链计算'!M49+1,0),IF('01_数值调参'!R27&lt;0,'03_全链计算'!N49+1,0),IF('01_数值调参'!R28&lt;0,'03_全链计算'!O49+1,0),IF('01_数值调参'!R29&lt;0,'03_全链计算'!P49+1,0),IF('01_数值调参'!R30&lt;0,'03_全链计算'!Q49+1,0),IF('01_数值调参'!R31&lt;0,'03_全链计算'!R49+1,0),IF('01_数值调参'!R32&lt;0,'03_全链计算'!S49+1,0),IF('01_数值调参'!R33&lt;0,'03_全链计算'!T49+1,0),IF('01_数值调参'!R34&lt;0,'03_全链计算'!U49+1,0),IF('01_数值调参'!R35&lt;0,'03_全链计算'!V49+1,0),IF('01_数值调参'!R36&lt;0,'03_全链计算'!W49+1,0),IF('01_数值调参'!R37&lt;0,'03_全链计算'!X49+1,0),IF('01_数值调参'!R38&lt;0,'03_全链计算'!Y49+1,0),IF('01_数值调参'!R39&lt;0,'03_全链计算'!Z49+1,0),IF('01_数值调参'!R40&lt;0,'03_全链计算'!AA49+1,0),IF('01_数值调参'!R41&lt;0,'03_全链计算'!AB49+1,0),IF('01_数值调参'!R42&lt;0,'03_全链计算'!AC49+1,0),IF('01_数值调参'!R43&lt;0,'03_全链计算'!AD49+1,0),IF('01_数值调参'!R44&lt;0,'03_全链计算'!AE49+1,0),IF('01_数值调参'!R45&lt;0,'03_全链计算'!AF49+1,0),IF('01_数值调参'!R46&lt;0,'03_全链计算'!AG49+1,0),IF('01_数值调参'!R47&lt;0,'03_全链计算'!AH49+1,0),IF('01_数值调参'!R48&lt;0,'03_全链计算'!AI49+1,0),IF('01_数值调参'!R49&lt;0,'03_全链计算'!AJ49+1,0),IF('01_数值调参'!R50&lt;0,'03_全链计算'!AK49+1,0),IF('01_数值调参'!R51&lt;0,'03_全链计算'!AL49+1,0),IF('01_数值调参'!R52&lt;0,'03_全链计算'!AM49+1,0))</x:f>
        <x:v>1</x:v>
      </x:c>
      <x:c r="S50" s="9" t="n">
        <x:f>MAX(IF('01_数值调参'!S18&lt;0,'03_全链计算'!E49+1,0),IF('01_数值调参'!S19&lt;0,'03_全链计算'!F49+1,0),IF('01_数值调参'!S20&lt;0,'03_全链计算'!G49+1,0),IF('01_数值调参'!S21&lt;0,'03_全链计算'!H49+1,0),IF('01_数值调参'!S22&lt;0,'03_全链计算'!I49+1,0),IF('01_数值调参'!S23&lt;0,'03_全链计算'!J49+1,0),IF('01_数值调参'!S24&lt;0,'03_全链计算'!K49+1,0),IF('01_数值调参'!S25&lt;0,'03_全链计算'!L49+1,0),IF('01_数值调参'!S26&lt;0,'03_全链计算'!M49+1,0),IF('01_数值调参'!S27&lt;0,'03_全链计算'!N49+1,0),IF('01_数值调参'!S28&lt;0,'03_全链计算'!O49+1,0),IF('01_数值调参'!S29&lt;0,'03_全链计算'!P49+1,0),IF('01_数值调参'!S30&lt;0,'03_全链计算'!Q49+1,0),IF('01_数值调参'!S31&lt;0,'03_全链计算'!R49+1,0),IF('01_数值调参'!S32&lt;0,'03_全链计算'!S49+1,0),IF('01_数值调参'!S33&lt;0,'03_全链计算'!T49+1,0),IF('01_数值调参'!S34&lt;0,'03_全链计算'!U49+1,0),IF('01_数值调参'!S35&lt;0,'03_全链计算'!V49+1,0),IF('01_数值调参'!S36&lt;0,'03_全链计算'!W49+1,0),IF('01_数值调参'!S37&lt;0,'03_全链计算'!X49+1,0),IF('01_数值调参'!S38&lt;0,'03_全链计算'!Y49+1,0),IF('01_数值调参'!S39&lt;0,'03_全链计算'!Z49+1,0),IF('01_数值调参'!S40&lt;0,'03_全链计算'!AA49+1,0),IF('01_数值调参'!S41&lt;0,'03_全链计算'!AB49+1,0),IF('01_数值调参'!S42&lt;0,'03_全链计算'!AC49+1,0),IF('01_数值调参'!S43&lt;0,'03_全链计算'!AD49+1,0),IF('01_数值调参'!S44&lt;0,'03_全链计算'!AE49+1,0),IF('01_数值调参'!S45&lt;0,'03_全链计算'!AF49+1,0),IF('01_数值调参'!S46&lt;0,'03_全链计算'!AG49+1,0),IF('01_数值调参'!S47&lt;0,'03_全链计算'!AH49+1,0),IF('01_数值调参'!S48&lt;0,'03_全链计算'!AI49+1,0),IF('01_数值调参'!S49&lt;0,'03_全链计算'!AJ49+1,0),IF('01_数值调参'!S50&lt;0,'03_全链计算'!AK49+1,0),IF('01_数值调参'!S51&lt;0,'03_全链计算'!AL49+1,0),IF('01_数值调参'!S52&lt;0,'03_全链计算'!AM49+1,0))</x:f>
        <x:v>1</x:v>
      </x:c>
      <x:c r="T50" s="9" t="n">
        <x:f>MAX(IF('01_数值调参'!T18&lt;0,'03_全链计算'!E49+1,0),IF('01_数值调参'!T19&lt;0,'03_全链计算'!F49+1,0),IF('01_数值调参'!T20&lt;0,'03_全链计算'!G49+1,0),IF('01_数值调参'!T21&lt;0,'03_全链计算'!H49+1,0),IF('01_数值调参'!T22&lt;0,'03_全链计算'!I49+1,0),IF('01_数值调参'!T23&lt;0,'03_全链计算'!J49+1,0),IF('01_数值调参'!T24&lt;0,'03_全链计算'!K49+1,0),IF('01_数值调参'!T25&lt;0,'03_全链计算'!L49+1,0),IF('01_数值调参'!T26&lt;0,'03_全链计算'!M49+1,0),IF('01_数值调参'!T27&lt;0,'03_全链计算'!N49+1,0),IF('01_数值调参'!T28&lt;0,'03_全链计算'!O49+1,0),IF('01_数值调参'!T29&lt;0,'03_全链计算'!P49+1,0),IF('01_数值调参'!T30&lt;0,'03_全链计算'!Q49+1,0),IF('01_数值调参'!T31&lt;0,'03_全链计算'!R49+1,0),IF('01_数值调参'!T32&lt;0,'03_全链计算'!S49+1,0),IF('01_数值调参'!T33&lt;0,'03_全链计算'!T49+1,0),IF('01_数值调参'!T34&lt;0,'03_全链计算'!U49+1,0),IF('01_数值调参'!T35&lt;0,'03_全链计算'!V49+1,0),IF('01_数值调参'!T36&lt;0,'03_全链计算'!W49+1,0),IF('01_数值调参'!T37&lt;0,'03_全链计算'!X49+1,0),IF('01_数值调参'!T38&lt;0,'03_全链计算'!Y49+1,0),IF('01_数值调参'!T39&lt;0,'03_全链计算'!Z49+1,0),IF('01_数值调参'!T40&lt;0,'03_全链计算'!AA49+1,0),IF('01_数值调参'!T41&lt;0,'03_全链计算'!AB49+1,0),IF('01_数值调参'!T42&lt;0,'03_全链计算'!AC49+1,0),IF('01_数值调参'!T43&lt;0,'03_全链计算'!AD49+1,0),IF('01_数值调参'!T44&lt;0,'03_全链计算'!AE49+1,0),IF('01_数值调参'!T45&lt;0,'03_全链计算'!AF49+1,0),IF('01_数值调参'!T46&lt;0,'03_全链计算'!AG49+1,0),IF('01_数值调参'!T47&lt;0,'03_全链计算'!AH49+1,0),IF('01_数值调参'!T48&lt;0,'03_全链计算'!AI49+1,0),IF('01_数值调参'!T49&lt;0,'03_全链计算'!AJ49+1,0),IF('01_数值调参'!T50&lt;0,'03_全链计算'!AK49+1,0),IF('01_数值调参'!T51&lt;0,'03_全链计算'!AL49+1,0),IF('01_数值调参'!T52&lt;0,'03_全链计算'!AM49+1,0))</x:f>
        <x:v>1</x:v>
      </x:c>
      <x:c r="U50" s="9" t="n">
        <x:f>MAX(IF('01_数值调参'!U18&lt;0,'03_全链计算'!E49+1,0),IF('01_数值调参'!U19&lt;0,'03_全链计算'!F49+1,0),IF('01_数值调参'!U20&lt;0,'03_全链计算'!G49+1,0),IF('01_数值调参'!U21&lt;0,'03_全链计算'!H49+1,0),IF('01_数值调参'!U22&lt;0,'03_全链计算'!I49+1,0),IF('01_数值调参'!U23&lt;0,'03_全链计算'!J49+1,0),IF('01_数值调参'!U24&lt;0,'03_全链计算'!K49+1,0),IF('01_数值调参'!U25&lt;0,'03_全链计算'!L49+1,0),IF('01_数值调参'!U26&lt;0,'03_全链计算'!M49+1,0),IF('01_数值调参'!U27&lt;0,'03_全链计算'!N49+1,0),IF('01_数值调参'!U28&lt;0,'03_全链计算'!O49+1,0),IF('01_数值调参'!U29&lt;0,'03_全链计算'!P49+1,0),IF('01_数值调参'!U30&lt;0,'03_全链计算'!Q49+1,0),IF('01_数值调参'!U31&lt;0,'03_全链计算'!R49+1,0),IF('01_数值调参'!U32&lt;0,'03_全链计算'!S49+1,0),IF('01_数值调参'!U33&lt;0,'03_全链计算'!T49+1,0),IF('01_数值调参'!U34&lt;0,'03_全链计算'!U49+1,0),IF('01_数值调参'!U35&lt;0,'03_全链计算'!V49+1,0),IF('01_数值调参'!U36&lt;0,'03_全链计算'!W49+1,0),IF('01_数值调参'!U37&lt;0,'03_全链计算'!X49+1,0),IF('01_数值调参'!U38&lt;0,'03_全链计算'!Y49+1,0),IF('01_数值调参'!U39&lt;0,'03_全链计算'!Z49+1,0),IF('01_数值调参'!U40&lt;0,'03_全链计算'!AA49+1,0),IF('01_数值调参'!U41&lt;0,'03_全链计算'!AB49+1,0),IF('01_数值调参'!U42&lt;0,'03_全链计算'!AC49+1,0),IF('01_数值调参'!U43&lt;0,'03_全链计算'!AD49+1,0),IF('01_数值调参'!U44&lt;0,'03_全链计算'!AE49+1,0),IF('01_数值调参'!U45&lt;0,'03_全链计算'!AF49+1,0),IF('01_数值调参'!U46&lt;0,'03_全链计算'!AG49+1,0),IF('01_数值调参'!U47&lt;0,'03_全链计算'!AH49+1,0),IF('01_数值调参'!U48&lt;0,'03_全链计算'!AI49+1,0),IF('01_数值调参'!U49&lt;0,'03_全链计算'!AJ49+1,0),IF('01_数值调参'!U50&lt;0,'03_全链计算'!AK49+1,0),IF('01_数值调参'!U51&lt;0,'03_全链计算'!AL49+1,0),IF('01_数值调参'!U52&lt;0,'03_全链计算'!AM49+1,0))</x:f>
        <x:v>1</x:v>
      </x:c>
      <x:c r="V50" s="9" t="n">
        <x:f>MAX(IF('01_数值调参'!V18&lt;0,'03_全链计算'!E49+1,0),IF('01_数值调参'!V19&lt;0,'03_全链计算'!F49+1,0),IF('01_数值调参'!V20&lt;0,'03_全链计算'!G49+1,0),IF('01_数值调参'!V21&lt;0,'03_全链计算'!H49+1,0),IF('01_数值调参'!V22&lt;0,'03_全链计算'!I49+1,0),IF('01_数值调参'!V23&lt;0,'03_全链计算'!J49+1,0),IF('01_数值调参'!V24&lt;0,'03_全链计算'!K49+1,0),IF('01_数值调参'!V25&lt;0,'03_全链计算'!L49+1,0),IF('01_数值调参'!V26&lt;0,'03_全链计算'!M49+1,0),IF('01_数值调参'!V27&lt;0,'03_全链计算'!N49+1,0),IF('01_数值调参'!V28&lt;0,'03_全链计算'!O49+1,0),IF('01_数值调参'!V29&lt;0,'03_全链计算'!P49+1,0),IF('01_数值调参'!V30&lt;0,'03_全链计算'!Q49+1,0),IF('01_数值调参'!V31&lt;0,'03_全链计算'!R49+1,0),IF('01_数值调参'!V32&lt;0,'03_全链计算'!S49+1,0),IF('01_数值调参'!V33&lt;0,'03_全链计算'!T49+1,0),IF('01_数值调参'!V34&lt;0,'03_全链计算'!U49+1,0),IF('01_数值调参'!V35&lt;0,'03_全链计算'!V49+1,0),IF('01_数值调参'!V36&lt;0,'03_全链计算'!W49+1,0),IF('01_数值调参'!V37&lt;0,'03_全链计算'!X49+1,0),IF('01_数值调参'!V38&lt;0,'03_全链计算'!Y49+1,0),IF('01_数值调参'!V39&lt;0,'03_全链计算'!Z49+1,0),IF('01_数值调参'!V40&lt;0,'03_全链计算'!AA49+1,0),IF('01_数值调参'!V41&lt;0,'03_全链计算'!AB49+1,0),IF('01_数值调参'!V42&lt;0,'03_全链计算'!AC49+1,0),IF('01_数值调参'!V43&lt;0,'03_全链计算'!AD49+1,0),IF('01_数值调参'!V44&lt;0,'03_全链计算'!AE49+1,0),IF('01_数值调参'!V45&lt;0,'03_全链计算'!AF49+1,0),IF('01_数值调参'!V46&lt;0,'03_全链计算'!AG49+1,0),IF('01_数值调参'!V47&lt;0,'03_全链计算'!AH49+1,0),IF('01_数值调参'!V48&lt;0,'03_全链计算'!AI49+1,0),IF('01_数值调参'!V49&lt;0,'03_全链计算'!AJ49+1,0),IF('01_数值调参'!V50&lt;0,'03_全链计算'!AK49+1,0),IF('01_数值调参'!V51&lt;0,'03_全链计算'!AL49+1,0),IF('01_数值调参'!V52&lt;0,'03_全链计算'!AM49+1,0))</x:f>
        <x:v>1</x:v>
      </x:c>
      <x:c r="W50" s="9" t="n">
        <x:f>MAX(IF('01_数值调参'!W18&lt;0,'03_全链计算'!E49+1,0),IF('01_数值调参'!W19&lt;0,'03_全链计算'!F49+1,0),IF('01_数值调参'!W20&lt;0,'03_全链计算'!G49+1,0),IF('01_数值调参'!W21&lt;0,'03_全链计算'!H49+1,0),IF('01_数值调参'!W22&lt;0,'03_全链计算'!I49+1,0),IF('01_数值调参'!W23&lt;0,'03_全链计算'!J49+1,0),IF('01_数值调参'!W24&lt;0,'03_全链计算'!K49+1,0),IF('01_数值调参'!W25&lt;0,'03_全链计算'!L49+1,0),IF('01_数值调参'!W26&lt;0,'03_全链计算'!M49+1,0),IF('01_数值调参'!W27&lt;0,'03_全链计算'!N49+1,0),IF('01_数值调参'!W28&lt;0,'03_全链计算'!O49+1,0),IF('01_数值调参'!W29&lt;0,'03_全链计算'!P49+1,0),IF('01_数值调参'!W30&lt;0,'03_全链计算'!Q49+1,0),IF('01_数值调参'!W31&lt;0,'03_全链计算'!R49+1,0),IF('01_数值调参'!W32&lt;0,'03_全链计算'!S49+1,0),IF('01_数值调参'!W33&lt;0,'03_全链计算'!T49+1,0),IF('01_数值调参'!W34&lt;0,'03_全链计算'!U49+1,0),IF('01_数值调参'!W35&lt;0,'03_全链计算'!V49+1,0),IF('01_数值调参'!W36&lt;0,'03_全链计算'!W49+1,0),IF('01_数值调参'!W37&lt;0,'03_全链计算'!X49+1,0),IF('01_数值调参'!W38&lt;0,'03_全链计算'!Y49+1,0),IF('01_数值调参'!W39&lt;0,'03_全链计算'!Z49+1,0),IF('01_数值调参'!W40&lt;0,'03_全链计算'!AA49+1,0),IF('01_数值调参'!W41&lt;0,'03_全链计算'!AB49+1,0),IF('01_数值调参'!W42&lt;0,'03_全链计算'!AC49+1,0),IF('01_数值调参'!W43&lt;0,'03_全链计算'!AD49+1,0),IF('01_数值调参'!W44&lt;0,'03_全链计算'!AE49+1,0),IF('01_数值调参'!W45&lt;0,'03_全链计算'!AF49+1,0),IF('01_数值调参'!W46&lt;0,'03_全链计算'!AG49+1,0),IF('01_数值调参'!W47&lt;0,'03_全链计算'!AH49+1,0),IF('01_数值调参'!W48&lt;0,'03_全链计算'!AI49+1,0),IF('01_数值调参'!W49&lt;0,'03_全链计算'!AJ49+1,0),IF('01_数值调参'!W50&lt;0,'03_全链计算'!AK49+1,0),IF('01_数值调参'!W51&lt;0,'03_全链计算'!AL49+1,0),IF('01_数值调参'!W52&lt;0,'03_全链计算'!AM49+1,0))</x:f>
        <x:v>1</x:v>
      </x:c>
      <x:c r="X50" s="9" t="n">
        <x:f>MAX(IF('01_数值调参'!X18&lt;0,'03_全链计算'!E49+1,0),IF('01_数值调参'!X19&lt;0,'03_全链计算'!F49+1,0),IF('01_数值调参'!X20&lt;0,'03_全链计算'!G49+1,0),IF('01_数值调参'!X21&lt;0,'03_全链计算'!H49+1,0),IF('01_数值调参'!X22&lt;0,'03_全链计算'!I49+1,0),IF('01_数值调参'!X23&lt;0,'03_全链计算'!J49+1,0),IF('01_数值调参'!X24&lt;0,'03_全链计算'!K49+1,0),IF('01_数值调参'!X25&lt;0,'03_全链计算'!L49+1,0),IF('01_数值调参'!X26&lt;0,'03_全链计算'!M49+1,0),IF('01_数值调参'!X27&lt;0,'03_全链计算'!N49+1,0),IF('01_数值调参'!X28&lt;0,'03_全链计算'!O49+1,0),IF('01_数值调参'!X29&lt;0,'03_全链计算'!P49+1,0),IF('01_数值调参'!X30&lt;0,'03_全链计算'!Q49+1,0),IF('01_数值调参'!X31&lt;0,'03_全链计算'!R49+1,0),IF('01_数值调参'!X32&lt;0,'03_全链计算'!S49+1,0),IF('01_数值调参'!X33&lt;0,'03_全链计算'!T49+1,0),IF('01_数值调参'!X34&lt;0,'03_全链计算'!U49+1,0),IF('01_数值调参'!X35&lt;0,'03_全链计算'!V49+1,0),IF('01_数值调参'!X36&lt;0,'03_全链计算'!W49+1,0),IF('01_数值调参'!X37&lt;0,'03_全链计算'!X49+1,0),IF('01_数值调参'!X38&lt;0,'03_全链计算'!Y49+1,0),IF('01_数值调参'!X39&lt;0,'03_全链计算'!Z49+1,0),IF('01_数值调参'!X40&lt;0,'03_全链计算'!AA49+1,0),IF('01_数值调参'!X41&lt;0,'03_全链计算'!AB49+1,0),IF('01_数值调参'!X42&lt;0,'03_全链计算'!AC49+1,0),IF('01_数值调参'!X43&lt;0,'03_全链计算'!AD49+1,0),IF('01_数值调参'!X44&lt;0,'03_全链计算'!AE49+1,0),IF('01_数值调参'!X45&lt;0,'03_全链计算'!AF49+1,0),IF('01_数值调参'!X46&lt;0,'03_全链计算'!AG49+1,0),IF('01_数值调参'!X47&lt;0,'03_全链计算'!AH49+1,0),IF('01_数值调参'!X48&lt;0,'03_全链计算'!AI49+1,0),IF('01_数值调参'!X49&lt;0,'03_全链计算'!AJ49+1,0),IF('01_数值调参'!X50&lt;0,'03_全链计算'!AK49+1,0),IF('01_数值调参'!X51&lt;0,'03_全链计算'!AL49+1,0),IF('01_数值调参'!X52&lt;0,'03_全链计算'!AM49+1,0))</x:f>
        <x:v>2</x:v>
      </x:c>
      <x:c r="Y50" s="9" t="n">
        <x:f>MAX(IF('01_数值调参'!Y18&lt;0,'03_全链计算'!E49+1,0),IF('01_数值调参'!Y19&lt;0,'03_全链计算'!F49+1,0),IF('01_数值调参'!Y20&lt;0,'03_全链计算'!G49+1,0),IF('01_数值调参'!Y21&lt;0,'03_全链计算'!H49+1,0),IF('01_数值调参'!Y22&lt;0,'03_全链计算'!I49+1,0),IF('01_数值调参'!Y23&lt;0,'03_全链计算'!J49+1,0),IF('01_数值调参'!Y24&lt;0,'03_全链计算'!K49+1,0),IF('01_数值调参'!Y25&lt;0,'03_全链计算'!L49+1,0),IF('01_数值调参'!Y26&lt;0,'03_全链计算'!M49+1,0),IF('01_数值调参'!Y27&lt;0,'03_全链计算'!N49+1,0),IF('01_数值调参'!Y28&lt;0,'03_全链计算'!O49+1,0),IF('01_数值调参'!Y29&lt;0,'03_全链计算'!P49+1,0),IF('01_数值调参'!Y30&lt;0,'03_全链计算'!Q49+1,0),IF('01_数值调参'!Y31&lt;0,'03_全链计算'!R49+1,0),IF('01_数值调参'!Y32&lt;0,'03_全链计算'!S49+1,0),IF('01_数值调参'!Y33&lt;0,'03_全链计算'!T49+1,0),IF('01_数值调参'!Y34&lt;0,'03_全链计算'!U49+1,0),IF('01_数值调参'!Y35&lt;0,'03_全链计算'!V49+1,0),IF('01_数值调参'!Y36&lt;0,'03_全链计算'!W49+1,0),IF('01_数值调参'!Y37&lt;0,'03_全链计算'!X49+1,0),IF('01_数值调参'!Y38&lt;0,'03_全链计算'!Y49+1,0),IF('01_数值调参'!Y39&lt;0,'03_全链计算'!Z49+1,0),IF('01_数值调参'!Y40&lt;0,'03_全链计算'!AA49+1,0),IF('01_数值调参'!Y41&lt;0,'03_全链计算'!AB49+1,0),IF('01_数值调参'!Y42&lt;0,'03_全链计算'!AC49+1,0),IF('01_数值调参'!Y43&lt;0,'03_全链计算'!AD49+1,0),IF('01_数值调参'!Y44&lt;0,'03_全链计算'!AE49+1,0),IF('01_数值调参'!Y45&lt;0,'03_全链计算'!AF49+1,0),IF('01_数值调参'!Y46&lt;0,'03_全链计算'!AG49+1,0),IF('01_数值调参'!Y47&lt;0,'03_全链计算'!AH49+1,0),IF('01_数值调参'!Y48&lt;0,'03_全链计算'!AI49+1,0),IF('01_数值调参'!Y49&lt;0,'03_全链计算'!AJ49+1,0),IF('01_数值调参'!Y50&lt;0,'03_全链计算'!AK49+1,0),IF('01_数值调参'!Y51&lt;0,'03_全链计算'!AL49+1,0),IF('01_数值调参'!Y52&lt;0,'03_全链计算'!AM49+1,0))</x:f>
        <x:v>2</x:v>
      </x:c>
      <x:c r="Z50" s="9" t="n">
        <x:f>MAX(IF('01_数值调参'!Z18&lt;0,'03_全链计算'!E49+1,0),IF('01_数值调参'!Z19&lt;0,'03_全链计算'!F49+1,0),IF('01_数值调参'!Z20&lt;0,'03_全链计算'!G49+1,0),IF('01_数值调参'!Z21&lt;0,'03_全链计算'!H49+1,0),IF('01_数值调参'!Z22&lt;0,'03_全链计算'!I49+1,0),IF('01_数值调参'!Z23&lt;0,'03_全链计算'!J49+1,0),IF('01_数值调参'!Z24&lt;0,'03_全链计算'!K49+1,0),IF('01_数值调参'!Z25&lt;0,'03_全链计算'!L49+1,0),IF('01_数值调参'!Z26&lt;0,'03_全链计算'!M49+1,0),IF('01_数值调参'!Z27&lt;0,'03_全链计算'!N49+1,0),IF('01_数值调参'!Z28&lt;0,'03_全链计算'!O49+1,0),IF('01_数值调参'!Z29&lt;0,'03_全链计算'!P49+1,0),IF('01_数值调参'!Z30&lt;0,'03_全链计算'!Q49+1,0),IF('01_数值调参'!Z31&lt;0,'03_全链计算'!R49+1,0),IF('01_数值调参'!Z32&lt;0,'03_全链计算'!S49+1,0),IF('01_数值调参'!Z33&lt;0,'03_全链计算'!T49+1,0),IF('01_数值调参'!Z34&lt;0,'03_全链计算'!U49+1,0),IF('01_数值调参'!Z35&lt;0,'03_全链计算'!V49+1,0),IF('01_数值调参'!Z36&lt;0,'03_全链计算'!W49+1,0),IF('01_数值调参'!Z37&lt;0,'03_全链计算'!X49+1,0),IF('01_数值调参'!Z38&lt;0,'03_全链计算'!Y49+1,0),IF('01_数值调参'!Z39&lt;0,'03_全链计算'!Z49+1,0),IF('01_数值调参'!Z40&lt;0,'03_全链计算'!AA49+1,0),IF('01_数值调参'!Z41&lt;0,'03_全链计算'!AB49+1,0),IF('01_数值调参'!Z42&lt;0,'03_全链计算'!AC49+1,0),IF('01_数值调参'!Z43&lt;0,'03_全链计算'!AD49+1,0),IF('01_数值调参'!Z44&lt;0,'03_全链计算'!AE49+1,0),IF('01_数值调参'!Z45&lt;0,'03_全链计算'!AF49+1,0),IF('01_数值调参'!Z46&lt;0,'03_全链计算'!AG49+1,0),IF('01_数值调参'!Z47&lt;0,'03_全链计算'!AH49+1,0),IF('01_数值调参'!Z48&lt;0,'03_全链计算'!AI49+1,0),IF('01_数值调参'!Z49&lt;0,'03_全链计算'!AJ49+1,0),IF('01_数值调参'!Z50&lt;0,'03_全链计算'!AK49+1,0),IF('01_数值调参'!Z51&lt;0,'03_全链计算'!AL49+1,0),IF('01_数值调参'!Z52&lt;0,'03_全链计算'!AM49+1,0))</x:f>
        <x:v>2</x:v>
      </x:c>
      <x:c r="AA50" s="9" t="n">
        <x:f>MAX(IF('01_数值调参'!AA18&lt;0,'03_全链计算'!E49+1,0),IF('01_数值调参'!AA19&lt;0,'03_全链计算'!F49+1,0),IF('01_数值调参'!AA20&lt;0,'03_全链计算'!G49+1,0),IF('01_数值调参'!AA21&lt;0,'03_全链计算'!H49+1,0),IF('01_数值调参'!AA22&lt;0,'03_全链计算'!I49+1,0),IF('01_数值调参'!AA23&lt;0,'03_全链计算'!J49+1,0),IF('01_数值调参'!AA24&lt;0,'03_全链计算'!K49+1,0),IF('01_数值调参'!AA25&lt;0,'03_全链计算'!L49+1,0),IF('01_数值调参'!AA26&lt;0,'03_全链计算'!M49+1,0),IF('01_数值调参'!AA27&lt;0,'03_全链计算'!N49+1,0),IF('01_数值调参'!AA28&lt;0,'03_全链计算'!O49+1,0),IF('01_数值调参'!AA29&lt;0,'03_全链计算'!P49+1,0),IF('01_数值调参'!AA30&lt;0,'03_全链计算'!Q49+1,0),IF('01_数值调参'!AA31&lt;0,'03_全链计算'!R49+1,0),IF('01_数值调参'!AA32&lt;0,'03_全链计算'!S49+1,0),IF('01_数值调参'!AA33&lt;0,'03_全链计算'!T49+1,0),IF('01_数值调参'!AA34&lt;0,'03_全链计算'!U49+1,0),IF('01_数值调参'!AA35&lt;0,'03_全链计算'!V49+1,0),IF('01_数值调参'!AA36&lt;0,'03_全链计算'!W49+1,0),IF('01_数值调参'!AA37&lt;0,'03_全链计算'!X49+1,0),IF('01_数值调参'!AA38&lt;0,'03_全链计算'!Y49+1,0),IF('01_数值调参'!AA39&lt;0,'03_全链计算'!Z49+1,0),IF('01_数值调参'!AA40&lt;0,'03_全链计算'!AA49+1,0),IF('01_数值调参'!AA41&lt;0,'03_全链计算'!AB49+1,0),IF('01_数值调参'!AA42&lt;0,'03_全链计算'!AC49+1,0),IF('01_数值调参'!AA43&lt;0,'03_全链计算'!AD49+1,0),IF('01_数值调参'!AA44&lt;0,'03_全链计算'!AE49+1,0),IF('01_数值调参'!AA45&lt;0,'03_全链计算'!AF49+1,0),IF('01_数值调参'!AA46&lt;0,'03_全链计算'!AG49+1,0),IF('01_数值调参'!AA47&lt;0,'03_全链计算'!AH49+1,0),IF('01_数值调参'!AA48&lt;0,'03_全链计算'!AI49+1,0),IF('01_数值调参'!AA49&lt;0,'03_全链计算'!AJ49+1,0),IF('01_数值调参'!AA50&lt;0,'03_全链计算'!AK49+1,0),IF('01_数值调参'!AA51&lt;0,'03_全链计算'!AL49+1,0),IF('01_数值调参'!AA52&lt;0,'03_全链计算'!AM49+1,0))</x:f>
        <x:v>2</x:v>
      </x:c>
      <x:c r="AB50" s="9" t="n">
        <x:f>MAX(IF('01_数值调参'!AB18&lt;0,'03_全链计算'!E49+1,0),IF('01_数值调参'!AB19&lt;0,'03_全链计算'!F49+1,0),IF('01_数值调参'!AB20&lt;0,'03_全链计算'!G49+1,0),IF('01_数值调参'!AB21&lt;0,'03_全链计算'!H49+1,0),IF('01_数值调参'!AB22&lt;0,'03_全链计算'!I49+1,0),IF('01_数值调参'!AB23&lt;0,'03_全链计算'!J49+1,0),IF('01_数值调参'!AB24&lt;0,'03_全链计算'!K49+1,0),IF('01_数值调参'!AB25&lt;0,'03_全链计算'!L49+1,0),IF('01_数值调参'!AB26&lt;0,'03_全链计算'!M49+1,0),IF('01_数值调参'!AB27&lt;0,'03_全链计算'!N49+1,0),IF('01_数值调参'!AB28&lt;0,'03_全链计算'!O49+1,0),IF('01_数值调参'!AB29&lt;0,'03_全链计算'!P49+1,0),IF('01_数值调参'!AB30&lt;0,'03_全链计算'!Q49+1,0),IF('01_数值调参'!AB31&lt;0,'03_全链计算'!R49+1,0),IF('01_数值调参'!AB32&lt;0,'03_全链计算'!S49+1,0),IF('01_数值调参'!AB33&lt;0,'03_全链计算'!T49+1,0),IF('01_数值调参'!AB34&lt;0,'03_全链计算'!U49+1,0),IF('01_数值调参'!AB35&lt;0,'03_全链计算'!V49+1,0),IF('01_数值调参'!AB36&lt;0,'03_全链计算'!W49+1,0),IF('01_数值调参'!AB37&lt;0,'03_全链计算'!X49+1,0),IF('01_数值调参'!AB38&lt;0,'03_全链计算'!Y49+1,0),IF('01_数值调参'!AB39&lt;0,'03_全链计算'!Z49+1,0),IF('01_数值调参'!AB40&lt;0,'03_全链计算'!AA49+1,0),IF('01_数值调参'!AB41&lt;0,'03_全链计算'!AB49+1,0),IF('01_数值调参'!AB42&lt;0,'03_全链计算'!AC49+1,0),IF('01_数值调参'!AB43&lt;0,'03_全链计算'!AD49+1,0),IF('01_数值调参'!AB44&lt;0,'03_全链计算'!AE49+1,0),IF('01_数值调参'!AB45&lt;0,'03_全链计算'!AF49+1,0),IF('01_数值调参'!AB46&lt;0,'03_全链计算'!AG49+1,0),IF('01_数值调参'!AB47&lt;0,'03_全链计算'!AH49+1,0),IF('01_数值调参'!AB48&lt;0,'03_全链计算'!AI49+1,0),IF('01_数值调参'!AB49&lt;0,'03_全链计算'!AJ49+1,0),IF('01_数值调参'!AB50&lt;0,'03_全链计算'!AK49+1,0),IF('01_数值调参'!AB51&lt;0,'03_全链计算'!AL49+1,0),IF('01_数值调参'!AB52&lt;0,'03_全链计算'!AM49+1,0))</x:f>
        <x:v>2</x:v>
      </x:c>
      <x:c r="AC50" s="9" t="n">
        <x:f>MAX(IF('01_数值调参'!AC18&lt;0,'03_全链计算'!E49+1,0),IF('01_数值调参'!AC19&lt;0,'03_全链计算'!F49+1,0),IF('01_数值调参'!AC20&lt;0,'03_全链计算'!G49+1,0),IF('01_数值调参'!AC21&lt;0,'03_全链计算'!H49+1,0),IF('01_数值调参'!AC22&lt;0,'03_全链计算'!I49+1,0),IF('01_数值调参'!AC23&lt;0,'03_全链计算'!J49+1,0),IF('01_数值调参'!AC24&lt;0,'03_全链计算'!K49+1,0),IF('01_数值调参'!AC25&lt;0,'03_全链计算'!L49+1,0),IF('01_数值调参'!AC26&lt;0,'03_全链计算'!M49+1,0),IF('01_数值调参'!AC27&lt;0,'03_全链计算'!N49+1,0),IF('01_数值调参'!AC28&lt;0,'03_全链计算'!O49+1,0),IF('01_数值调参'!AC29&lt;0,'03_全链计算'!P49+1,0),IF('01_数值调参'!AC30&lt;0,'03_全链计算'!Q49+1,0),IF('01_数值调参'!AC31&lt;0,'03_全链计算'!R49+1,0),IF('01_数值调参'!AC32&lt;0,'03_全链计算'!S49+1,0),IF('01_数值调参'!AC33&lt;0,'03_全链计算'!T49+1,0),IF('01_数值调参'!AC34&lt;0,'03_全链计算'!U49+1,0),IF('01_数值调参'!AC35&lt;0,'03_全链计算'!V49+1,0),IF('01_数值调参'!AC36&lt;0,'03_全链计算'!W49+1,0),IF('01_数值调参'!AC37&lt;0,'03_全链计算'!X49+1,0),IF('01_数值调参'!AC38&lt;0,'03_全链计算'!Y49+1,0),IF('01_数值调参'!AC39&lt;0,'03_全链计算'!Z49+1,0),IF('01_数值调参'!AC40&lt;0,'03_全链计算'!AA49+1,0),IF('01_数值调参'!AC41&lt;0,'03_全链计算'!AB49+1,0),IF('01_数值调参'!AC42&lt;0,'03_全链计算'!AC49+1,0),IF('01_数值调参'!AC43&lt;0,'03_全链计算'!AD49+1,0),IF('01_数值调参'!AC44&lt;0,'03_全链计算'!AE49+1,0),IF('01_数值调参'!AC45&lt;0,'03_全链计算'!AF49+1,0),IF('01_数值调参'!AC46&lt;0,'03_全链计算'!AG49+1,0),IF('01_数值调参'!AC47&lt;0,'03_全链计算'!AH49+1,0),IF('01_数值调参'!AC48&lt;0,'03_全链计算'!AI49+1,0),IF('01_数值调参'!AC49&lt;0,'03_全链计算'!AJ49+1,0),IF('01_数值调参'!AC50&lt;0,'03_全链计算'!AK49+1,0),IF('01_数值调参'!AC51&lt;0,'03_全链计算'!AL49+1,0),IF('01_数值调参'!AC52&lt;0,'03_全链计算'!AM49+1,0))</x:f>
        <x:v>2</x:v>
      </x:c>
      <x:c r="AD50" s="9" t="n">
        <x:f>MAX(IF('01_数值调参'!AD18&lt;0,'03_全链计算'!E49+1,0),IF('01_数值调参'!AD19&lt;0,'03_全链计算'!F49+1,0),IF('01_数值调参'!AD20&lt;0,'03_全链计算'!G49+1,0),IF('01_数值调参'!AD21&lt;0,'03_全链计算'!H49+1,0),IF('01_数值调参'!AD22&lt;0,'03_全链计算'!I49+1,0),IF('01_数值调参'!AD23&lt;0,'03_全链计算'!J49+1,0),IF('01_数值调参'!AD24&lt;0,'03_全链计算'!K49+1,0),IF('01_数值调参'!AD25&lt;0,'03_全链计算'!L49+1,0),IF('01_数值调参'!AD26&lt;0,'03_全链计算'!M49+1,0),IF('01_数值调参'!AD27&lt;0,'03_全链计算'!N49+1,0),IF('01_数值调参'!AD28&lt;0,'03_全链计算'!O49+1,0),IF('01_数值调参'!AD29&lt;0,'03_全链计算'!P49+1,0),IF('01_数值调参'!AD30&lt;0,'03_全链计算'!Q49+1,0),IF('01_数值调参'!AD31&lt;0,'03_全链计算'!R49+1,0),IF('01_数值调参'!AD32&lt;0,'03_全链计算'!S49+1,0),IF('01_数值调参'!AD33&lt;0,'03_全链计算'!T49+1,0),IF('01_数值调参'!AD34&lt;0,'03_全链计算'!U49+1,0),IF('01_数值调参'!AD35&lt;0,'03_全链计算'!V49+1,0),IF('01_数值调参'!AD36&lt;0,'03_全链计算'!W49+1,0),IF('01_数值调参'!AD37&lt;0,'03_全链计算'!X49+1,0),IF('01_数值调参'!AD38&lt;0,'03_全链计算'!Y49+1,0),IF('01_数值调参'!AD39&lt;0,'03_全链计算'!Z49+1,0),IF('01_数值调参'!AD40&lt;0,'03_全链计算'!AA49+1,0),IF('01_数值调参'!AD41&lt;0,'03_全链计算'!AB49+1,0),IF('01_数值调参'!AD42&lt;0,'03_全链计算'!AC49+1,0),IF('01_数值调参'!AD43&lt;0,'03_全链计算'!AD49+1,0),IF('01_数值调参'!AD44&lt;0,'03_全链计算'!AE49+1,0),IF('01_数值调参'!AD45&lt;0,'03_全链计算'!AF49+1,0),IF('01_数值调参'!AD46&lt;0,'03_全链计算'!AG49+1,0),IF('01_数值调参'!AD47&lt;0,'03_全链计算'!AH49+1,0),IF('01_数值调参'!AD48&lt;0,'03_全链计算'!AI49+1,0),IF('01_数值调参'!AD49&lt;0,'03_全链计算'!AJ49+1,0),IF('01_数值调参'!AD50&lt;0,'03_全链计算'!AK49+1,0),IF('01_数值调参'!AD51&lt;0,'03_全链计算'!AL49+1,0),IF('01_数值调参'!AD52&lt;0,'03_全链计算'!AM49+1,0))</x:f>
        <x:v>1</x:v>
      </x:c>
      <x:c r="AE50" s="9" t="n">
        <x:f>MAX(IF('01_数值调参'!AE18&lt;0,'03_全链计算'!E49+1,0),IF('01_数值调参'!AE19&lt;0,'03_全链计算'!F49+1,0),IF('01_数值调参'!AE20&lt;0,'03_全链计算'!G49+1,0),IF('01_数值调参'!AE21&lt;0,'03_全链计算'!H49+1,0),IF('01_数值调参'!AE22&lt;0,'03_全链计算'!I49+1,0),IF('01_数值调参'!AE23&lt;0,'03_全链计算'!J49+1,0),IF('01_数值调参'!AE24&lt;0,'03_全链计算'!K49+1,0),IF('01_数值调参'!AE25&lt;0,'03_全链计算'!L49+1,0),IF('01_数值调参'!AE26&lt;0,'03_全链计算'!M49+1,0),IF('01_数值调参'!AE27&lt;0,'03_全链计算'!N49+1,0),IF('01_数值调参'!AE28&lt;0,'03_全链计算'!O49+1,0),IF('01_数值调参'!AE29&lt;0,'03_全链计算'!P49+1,0),IF('01_数值调参'!AE30&lt;0,'03_全链计算'!Q49+1,0),IF('01_数值调参'!AE31&lt;0,'03_全链计算'!R49+1,0),IF('01_数值调参'!AE32&lt;0,'03_全链计算'!S49+1,0),IF('01_数值调参'!AE33&lt;0,'03_全链计算'!T49+1,0),IF('01_数值调参'!AE34&lt;0,'03_全链计算'!U49+1,0),IF('01_数值调参'!AE35&lt;0,'03_全链计算'!V49+1,0),IF('01_数值调参'!AE36&lt;0,'03_全链计算'!W49+1,0),IF('01_数值调参'!AE37&lt;0,'03_全链计算'!X49+1,0),IF('01_数值调参'!AE38&lt;0,'03_全链计算'!Y49+1,0),IF('01_数值调参'!AE39&lt;0,'03_全链计算'!Z49+1,0),IF('01_数值调参'!AE40&lt;0,'03_全链计算'!AA49+1,0),IF('01_数值调参'!AE41&lt;0,'03_全链计算'!AB49+1,0),IF('01_数值调参'!AE42&lt;0,'03_全链计算'!AC49+1,0),IF('01_数值调参'!AE43&lt;0,'03_全链计算'!AD49+1,0),IF('01_数值调参'!AE44&lt;0,'03_全链计算'!AE49+1,0),IF('01_数值调参'!AE45&lt;0,'03_全链计算'!AF49+1,0),IF('01_数值调参'!AE46&lt;0,'03_全链计算'!AG49+1,0),IF('01_数值调参'!AE47&lt;0,'03_全链计算'!AH49+1,0),IF('01_数值调参'!AE48&lt;0,'03_全链计算'!AI49+1,0),IF('01_数值调参'!AE49&lt;0,'03_全链计算'!AJ49+1,0),IF('01_数值调参'!AE50&lt;0,'03_全链计算'!AK49+1,0),IF('01_数值调参'!AE51&lt;0,'03_全链计算'!AL49+1,0),IF('01_数值调参'!AE52&lt;0,'03_全链计算'!AM49+1,0))</x:f>
        <x:v>1</x:v>
      </x:c>
      <x:c r="AF50" s="9" t="n">
        <x:f>MAX(IF('01_数值调参'!AF18&lt;0,'03_全链计算'!E49+1,0),IF('01_数值调参'!AF19&lt;0,'03_全链计算'!F49+1,0),IF('01_数值调参'!AF20&lt;0,'03_全链计算'!G49+1,0),IF('01_数值调参'!AF21&lt;0,'03_全链计算'!H49+1,0),IF('01_数值调参'!AF22&lt;0,'03_全链计算'!I49+1,0),IF('01_数值调参'!AF23&lt;0,'03_全链计算'!J49+1,0),IF('01_数值调参'!AF24&lt;0,'03_全链计算'!K49+1,0),IF('01_数值调参'!AF25&lt;0,'03_全链计算'!L49+1,0),IF('01_数值调参'!AF26&lt;0,'03_全链计算'!M49+1,0),IF('01_数值调参'!AF27&lt;0,'03_全链计算'!N49+1,0),IF('01_数值调参'!AF28&lt;0,'03_全链计算'!O49+1,0),IF('01_数值调参'!AF29&lt;0,'03_全链计算'!P49+1,0),IF('01_数值调参'!AF30&lt;0,'03_全链计算'!Q49+1,0),IF('01_数值调参'!AF31&lt;0,'03_全链计算'!R49+1,0),IF('01_数值调参'!AF32&lt;0,'03_全链计算'!S49+1,0),IF('01_数值调参'!AF33&lt;0,'03_全链计算'!T49+1,0),IF('01_数值调参'!AF34&lt;0,'03_全链计算'!U49+1,0),IF('01_数值调参'!AF35&lt;0,'03_全链计算'!V49+1,0),IF('01_数值调参'!AF36&lt;0,'03_全链计算'!W49+1,0),IF('01_数值调参'!AF37&lt;0,'03_全链计算'!X49+1,0),IF('01_数值调参'!AF38&lt;0,'03_全链计算'!Y49+1,0),IF('01_数值调参'!AF39&lt;0,'03_全链计算'!Z49+1,0),IF('01_数值调参'!AF40&lt;0,'03_全链计算'!AA49+1,0),IF('01_数值调参'!AF41&lt;0,'03_全链计算'!AB49+1,0),IF('01_数值调参'!AF42&lt;0,'03_全链计算'!AC49+1,0),IF('01_数值调参'!AF43&lt;0,'03_全链计算'!AD49+1,0),IF('01_数值调参'!AF44&lt;0,'03_全链计算'!AE49+1,0),IF('01_数值调参'!AF45&lt;0,'03_全链计算'!AF49+1,0),IF('01_数值调参'!AF46&lt;0,'03_全链计算'!AG49+1,0),IF('01_数值调参'!AF47&lt;0,'03_全链计算'!AH49+1,0),IF('01_数值调参'!AF48&lt;0,'03_全链计算'!AI49+1,0),IF('01_数值调参'!AF49&lt;0,'03_全链计算'!AJ49+1,0),IF('01_数值调参'!AF50&lt;0,'03_全链计算'!AK49+1,0),IF('01_数值调参'!AF51&lt;0,'03_全链计算'!AL49+1,0),IF('01_数值调参'!AF52&lt;0,'03_全链计算'!AM49+1,0))</x:f>
        <x:v>1</x:v>
      </x:c>
      <x:c r="AG50" s="9" t="n">
        <x:f>MAX(IF('01_数值调参'!AG18&lt;0,'03_全链计算'!E49+1,0),IF('01_数值调参'!AG19&lt;0,'03_全链计算'!F49+1,0),IF('01_数值调参'!AG20&lt;0,'03_全链计算'!G49+1,0),IF('01_数值调参'!AG21&lt;0,'03_全链计算'!H49+1,0),IF('01_数值调参'!AG22&lt;0,'03_全链计算'!I49+1,0),IF('01_数值调参'!AG23&lt;0,'03_全链计算'!J49+1,0),IF('01_数值调参'!AG24&lt;0,'03_全链计算'!K49+1,0),IF('01_数值调参'!AG25&lt;0,'03_全链计算'!L49+1,0),IF('01_数值调参'!AG26&lt;0,'03_全链计算'!M49+1,0),IF('01_数值调参'!AG27&lt;0,'03_全链计算'!N49+1,0),IF('01_数值调参'!AG28&lt;0,'03_全链计算'!O49+1,0),IF('01_数值调参'!AG29&lt;0,'03_全链计算'!P49+1,0),IF('01_数值调参'!AG30&lt;0,'03_全链计算'!Q49+1,0),IF('01_数值调参'!AG31&lt;0,'03_全链计算'!R49+1,0),IF('01_数值调参'!AG32&lt;0,'03_全链计算'!S49+1,0),IF('01_数值调参'!AG33&lt;0,'03_全链计算'!T49+1,0),IF('01_数值调参'!AG34&lt;0,'03_全链计算'!U49+1,0),IF('01_数值调参'!AG35&lt;0,'03_全链计算'!V49+1,0),IF('01_数值调参'!AG36&lt;0,'03_全链计算'!W49+1,0),IF('01_数值调参'!AG37&lt;0,'03_全链计算'!X49+1,0),IF('01_数值调参'!AG38&lt;0,'03_全链计算'!Y49+1,0),IF('01_数值调参'!AG39&lt;0,'03_全链计算'!Z49+1,0),IF('01_数值调参'!AG40&lt;0,'03_全链计算'!AA49+1,0),IF('01_数值调参'!AG41&lt;0,'03_全链计算'!AB49+1,0),IF('01_数值调参'!AG42&lt;0,'03_全链计算'!AC49+1,0),IF('01_数值调参'!AG43&lt;0,'03_全链计算'!AD49+1,0),IF('01_数值调参'!AG44&lt;0,'03_全链计算'!AE49+1,0),IF('01_数值调参'!AG45&lt;0,'03_全链计算'!AF49+1,0),IF('01_数值调参'!AG46&lt;0,'03_全链计算'!AG49+1,0),IF('01_数值调参'!AG47&lt;0,'03_全链计算'!AH49+1,0),IF('01_数值调参'!AG48&lt;0,'03_全链计算'!AI49+1,0),IF('01_数值调参'!AG49&lt;0,'03_全链计算'!AJ49+1,0),IF('01_数值调参'!AG50&lt;0,'03_全链计算'!AK49+1,0),IF('01_数值调参'!AG51&lt;0,'03_全链计算'!AL49+1,0),IF('01_数值调参'!AG52&lt;0,'03_全链计算'!AM49+1,0))</x:f>
        <x:v>1</x:v>
      </x:c>
      <x:c r="AH50" s="9" t="n">
        <x:f>MAX(IF('01_数值调参'!AH18&lt;0,'03_全链计算'!E49+1,0),IF('01_数值调参'!AH19&lt;0,'03_全链计算'!F49+1,0),IF('01_数值调参'!AH20&lt;0,'03_全链计算'!G49+1,0),IF('01_数值调参'!AH21&lt;0,'03_全链计算'!H49+1,0),IF('01_数值调参'!AH22&lt;0,'03_全链计算'!I49+1,0),IF('01_数值调参'!AH23&lt;0,'03_全链计算'!J49+1,0),IF('01_数值调参'!AH24&lt;0,'03_全链计算'!K49+1,0),IF('01_数值调参'!AH25&lt;0,'03_全链计算'!L49+1,0),IF('01_数值调参'!AH26&lt;0,'03_全链计算'!M49+1,0),IF('01_数值调参'!AH27&lt;0,'03_全链计算'!N49+1,0),IF('01_数值调参'!AH28&lt;0,'03_全链计算'!O49+1,0),IF('01_数值调参'!AH29&lt;0,'03_全链计算'!P49+1,0),IF('01_数值调参'!AH30&lt;0,'03_全链计算'!Q49+1,0),IF('01_数值调参'!AH31&lt;0,'03_全链计算'!R49+1,0),IF('01_数值调参'!AH32&lt;0,'03_全链计算'!S49+1,0),IF('01_数值调参'!AH33&lt;0,'03_全链计算'!T49+1,0),IF('01_数值调参'!AH34&lt;0,'03_全链计算'!U49+1,0),IF('01_数值调参'!AH35&lt;0,'03_全链计算'!V49+1,0),IF('01_数值调参'!AH36&lt;0,'03_全链计算'!W49+1,0),IF('01_数值调参'!AH37&lt;0,'03_全链计算'!X49+1,0),IF('01_数值调参'!AH38&lt;0,'03_全链计算'!Y49+1,0),IF('01_数值调参'!AH39&lt;0,'03_全链计算'!Z49+1,0),IF('01_数值调参'!AH40&lt;0,'03_全链计算'!AA49+1,0),IF('01_数值调参'!AH41&lt;0,'03_全链计算'!AB49+1,0),IF('01_数值调参'!AH42&lt;0,'03_全链计算'!AC49+1,0),IF('01_数值调参'!AH43&lt;0,'03_全链计算'!AD49+1,0),IF('01_数值调参'!AH44&lt;0,'03_全链计算'!AE49+1,0),IF('01_数值调参'!AH45&lt;0,'03_全链计算'!AF49+1,0),IF('01_数值调参'!AH46&lt;0,'03_全链计算'!AG49+1,0),IF('01_数值调参'!AH47&lt;0,'03_全链计算'!AH49+1,0),IF('01_数值调参'!AH48&lt;0,'03_全链计算'!AI49+1,0),IF('01_数值调参'!AH49&lt;0,'03_全链计算'!AJ49+1,0),IF('01_数值调参'!AH50&lt;0,'03_全链计算'!AK49+1,0),IF('01_数值调参'!AH51&lt;0,'03_全链计算'!AL49+1,0),IF('01_数值调参'!AH52&lt;0,'03_全链计算'!AM49+1,0))</x:f>
        <x:v>2</x:v>
      </x:c>
      <x:c r="AI50" s="9" t="n">
        <x:f>MAX(IF('01_数值调参'!AI18&lt;0,'03_全链计算'!E49+1,0),IF('01_数值调参'!AI19&lt;0,'03_全链计算'!F49+1,0),IF('01_数值调参'!AI20&lt;0,'03_全链计算'!G49+1,0),IF('01_数值调参'!AI21&lt;0,'03_全链计算'!H49+1,0),IF('01_数值调参'!AI22&lt;0,'03_全链计算'!I49+1,0),IF('01_数值调参'!AI23&lt;0,'03_全链计算'!J49+1,0),IF('01_数值调参'!AI24&lt;0,'03_全链计算'!K49+1,0),IF('01_数值调参'!AI25&lt;0,'03_全链计算'!L49+1,0),IF('01_数值调参'!AI26&lt;0,'03_全链计算'!M49+1,0),IF('01_数值调参'!AI27&lt;0,'03_全链计算'!N49+1,0),IF('01_数值调参'!AI28&lt;0,'03_全链计算'!O49+1,0),IF('01_数值调参'!AI29&lt;0,'03_全链计算'!P49+1,0),IF('01_数值调参'!AI30&lt;0,'03_全链计算'!Q49+1,0),IF('01_数值调参'!AI31&lt;0,'03_全链计算'!R49+1,0),IF('01_数值调参'!AI32&lt;0,'03_全链计算'!S49+1,0),IF('01_数值调参'!AI33&lt;0,'03_全链计算'!T49+1,0),IF('01_数值调参'!AI34&lt;0,'03_全链计算'!U49+1,0),IF('01_数值调参'!AI35&lt;0,'03_全链计算'!V49+1,0),IF('01_数值调参'!AI36&lt;0,'03_全链计算'!W49+1,0),IF('01_数值调参'!AI37&lt;0,'03_全链计算'!X49+1,0),IF('01_数值调参'!AI38&lt;0,'03_全链计算'!Y49+1,0),IF('01_数值调参'!AI39&lt;0,'03_全链计算'!Z49+1,0),IF('01_数值调参'!AI40&lt;0,'03_全链计算'!AA49+1,0),IF('01_数值调参'!AI41&lt;0,'03_全链计算'!AB49+1,0),IF('01_数值调参'!AI42&lt;0,'03_全链计算'!AC49+1,0),IF('01_数值调参'!AI43&lt;0,'03_全链计算'!AD49+1,0),IF('01_数值调参'!AI44&lt;0,'03_全链计算'!AE49+1,0),IF('01_数值调参'!AI45&lt;0,'03_全链计算'!AF49+1,0),IF('01_数值调参'!AI46&lt;0,'03_全链计算'!AG49+1,0),IF('01_数值调参'!AI47&lt;0,'03_全链计算'!AH49+1,0),IF('01_数值调参'!AI48&lt;0,'03_全链计算'!AI49+1,0),IF('01_数值调参'!AI49&lt;0,'03_全链计算'!AJ49+1,0),IF('01_数值调参'!AI50&lt;0,'03_全链计算'!AK49+1,0),IF('01_数值调参'!AI51&lt;0,'03_全链计算'!AL49+1,0),IF('01_数值调参'!AI52&lt;0,'03_全链计算'!AM49+1,0))</x:f>
        <x:v>2</x:v>
      </x:c>
      <x:c r="AJ50" s="9" t="n">
        <x:f>MAX(IF('01_数值调参'!AJ18&lt;0,'03_全链计算'!E49+1,0),IF('01_数值调参'!AJ19&lt;0,'03_全链计算'!F49+1,0),IF('01_数值调参'!AJ20&lt;0,'03_全链计算'!G49+1,0),IF('01_数值调参'!AJ21&lt;0,'03_全链计算'!H49+1,0),IF('01_数值调参'!AJ22&lt;0,'03_全链计算'!I49+1,0),IF('01_数值调参'!AJ23&lt;0,'03_全链计算'!J49+1,0),IF('01_数值调参'!AJ24&lt;0,'03_全链计算'!K49+1,0),IF('01_数值调参'!AJ25&lt;0,'03_全链计算'!L49+1,0),IF('01_数值调参'!AJ26&lt;0,'03_全链计算'!M49+1,0),IF('01_数值调参'!AJ27&lt;0,'03_全链计算'!N49+1,0),IF('01_数值调参'!AJ28&lt;0,'03_全链计算'!O49+1,0),IF('01_数值调参'!AJ29&lt;0,'03_全链计算'!P49+1,0),IF('01_数值调参'!AJ30&lt;0,'03_全链计算'!Q49+1,0),IF('01_数值调参'!AJ31&lt;0,'03_全链计算'!R49+1,0),IF('01_数值调参'!AJ32&lt;0,'03_全链计算'!S49+1,0),IF('01_数值调参'!AJ33&lt;0,'03_全链计算'!T49+1,0),IF('01_数值调参'!AJ34&lt;0,'03_全链计算'!U49+1,0),IF('01_数值调参'!AJ35&lt;0,'03_全链计算'!V49+1,0),IF('01_数值调参'!AJ36&lt;0,'03_全链计算'!W49+1,0),IF('01_数值调参'!AJ37&lt;0,'03_全链计算'!X49+1,0),IF('01_数值调参'!AJ38&lt;0,'03_全链计算'!Y49+1,0),IF('01_数值调参'!AJ39&lt;0,'03_全链计算'!Z49+1,0),IF('01_数值调参'!AJ40&lt;0,'03_全链计算'!AA49+1,0),IF('01_数值调参'!AJ41&lt;0,'03_全链计算'!AB49+1,0),IF('01_数值调参'!AJ42&lt;0,'03_全链计算'!AC49+1,0),IF('01_数值调参'!AJ43&lt;0,'03_全链计算'!AD49+1,0),IF('01_数值调参'!AJ44&lt;0,'03_全链计算'!AE49+1,0),IF('01_数值调参'!AJ45&lt;0,'03_全链计算'!AF49+1,0),IF('01_数值调参'!AJ46&lt;0,'03_全链计算'!AG49+1,0),IF('01_数值调参'!AJ47&lt;0,'03_全链计算'!AH49+1,0),IF('01_数值调参'!AJ48&lt;0,'03_全链计算'!AI49+1,0),IF('01_数值调参'!AJ49&lt;0,'03_全链计算'!AJ49+1,0),IF('01_数值调参'!AJ50&lt;0,'03_全链计算'!AK49+1,0),IF('01_数值调参'!AJ51&lt;0,'03_全链计算'!AL49+1,0),IF('01_数值调参'!AJ52&lt;0,'03_全链计算'!AM49+1,0))</x:f>
        <x:v>2</x:v>
      </x:c>
      <x:c r="AK50" s="9" t="n">
        <x:f>MAX(IF('01_数值调参'!AK18&lt;0,'03_全链计算'!E49+1,0),IF('01_数值调参'!AK19&lt;0,'03_全链计算'!F49+1,0),IF('01_数值调参'!AK20&lt;0,'03_全链计算'!G49+1,0),IF('01_数值调参'!AK21&lt;0,'03_全链计算'!H49+1,0),IF('01_数值调参'!AK22&lt;0,'03_全链计算'!I49+1,0),IF('01_数值调参'!AK23&lt;0,'03_全链计算'!J49+1,0),IF('01_数值调参'!AK24&lt;0,'03_全链计算'!K49+1,0),IF('01_数值调参'!AK25&lt;0,'03_全链计算'!L49+1,0),IF('01_数值调参'!AK26&lt;0,'03_全链计算'!M49+1,0),IF('01_数值调参'!AK27&lt;0,'03_全链计算'!N49+1,0),IF('01_数值调参'!AK28&lt;0,'03_全链计算'!O49+1,0),IF('01_数值调参'!AK29&lt;0,'03_全链计算'!P49+1,0),IF('01_数值调参'!AK30&lt;0,'03_全链计算'!Q49+1,0),IF('01_数值调参'!AK31&lt;0,'03_全链计算'!R49+1,0),IF('01_数值调参'!AK32&lt;0,'03_全链计算'!S49+1,0),IF('01_数值调参'!AK33&lt;0,'03_全链计算'!T49+1,0),IF('01_数值调参'!AK34&lt;0,'03_全链计算'!U49+1,0),IF('01_数值调参'!AK35&lt;0,'03_全链计算'!V49+1,0),IF('01_数值调参'!AK36&lt;0,'03_全链计算'!W49+1,0),IF('01_数值调参'!AK37&lt;0,'03_全链计算'!X49+1,0),IF('01_数值调参'!AK38&lt;0,'03_全链计算'!Y49+1,0),IF('01_数值调参'!AK39&lt;0,'03_全链计算'!Z49+1,0),IF('01_数值调参'!AK40&lt;0,'03_全链计算'!AA49+1,0),IF('01_数值调参'!AK41&lt;0,'03_全链计算'!AB49+1,0),IF('01_数值调参'!AK42&lt;0,'03_全链计算'!AC49+1,0),IF('01_数值调参'!AK43&lt;0,'03_全链计算'!AD49+1,0),IF('01_数值调参'!AK44&lt;0,'03_全链计算'!AE49+1,0),IF('01_数值调参'!AK45&lt;0,'03_全链计算'!AF49+1,0),IF('01_数值调参'!AK46&lt;0,'03_全链计算'!AG49+1,0),IF('01_数值调参'!AK47&lt;0,'03_全链计算'!AH49+1,0),IF('01_数值调参'!AK48&lt;0,'03_全链计算'!AI49+1,0),IF('01_数值调参'!AK49&lt;0,'03_全链计算'!AJ49+1,0),IF('01_数值调参'!AK50&lt;0,'03_全链计算'!AK49+1,0),IF('01_数值调参'!AK51&lt;0,'03_全链计算'!AL49+1,0),IF('01_数值调参'!AK52&lt;0,'03_全链计算'!AM49+1,0))</x:f>
        <x:v>2</x:v>
      </x:c>
      <x:c r="AL50" s="9" t="n">
        <x:f>MAX(IF('01_数值调参'!AL18&lt;0,'03_全链计算'!E49+1,0),IF('01_数值调参'!AL19&lt;0,'03_全链计算'!F49+1,0),IF('01_数值调参'!AL20&lt;0,'03_全链计算'!G49+1,0),IF('01_数值调参'!AL21&lt;0,'03_全链计算'!H49+1,0),IF('01_数值调参'!AL22&lt;0,'03_全链计算'!I49+1,0),IF('01_数值调参'!AL23&lt;0,'03_全链计算'!J49+1,0),IF('01_数值调参'!AL24&lt;0,'03_全链计算'!K49+1,0),IF('01_数值调参'!AL25&lt;0,'03_全链计算'!L49+1,0),IF('01_数值调参'!AL26&lt;0,'03_全链计算'!M49+1,0),IF('01_数值调参'!AL27&lt;0,'03_全链计算'!N49+1,0),IF('01_数值调参'!AL28&lt;0,'03_全链计算'!O49+1,0),IF('01_数值调参'!AL29&lt;0,'03_全链计算'!P49+1,0),IF('01_数值调参'!AL30&lt;0,'03_全链计算'!Q49+1,0),IF('01_数值调参'!AL31&lt;0,'03_全链计算'!R49+1,0),IF('01_数值调参'!AL32&lt;0,'03_全链计算'!S49+1,0),IF('01_数值调参'!AL33&lt;0,'03_全链计算'!T49+1,0),IF('01_数值调参'!AL34&lt;0,'03_全链计算'!U49+1,0),IF('01_数值调参'!AL35&lt;0,'03_全链计算'!V49+1,0),IF('01_数值调参'!AL36&lt;0,'03_全链计算'!W49+1,0),IF('01_数值调参'!AL37&lt;0,'03_全链计算'!X49+1,0),IF('01_数值调参'!AL38&lt;0,'03_全链计算'!Y49+1,0),IF('01_数值调参'!AL39&lt;0,'03_全链计算'!Z49+1,0),IF('01_数值调参'!AL40&lt;0,'03_全链计算'!AA49+1,0),IF('01_数值调参'!AL41&lt;0,'03_全链计算'!AB49+1,0),IF('01_数值调参'!AL42&lt;0,'03_全链计算'!AC49+1,0),IF('01_数值调参'!AL43&lt;0,'03_全链计算'!AD49+1,0),IF('01_数值调参'!AL44&lt;0,'03_全链计算'!AE49+1,0),IF('01_数值调参'!AL45&lt;0,'03_全链计算'!AF49+1,0),IF('01_数值调参'!AL46&lt;0,'03_全链计算'!AG49+1,0),IF('01_数值调参'!AL47&lt;0,'03_全链计算'!AH49+1,0),IF('01_数值调参'!AL48&lt;0,'03_全链计算'!AI49+1,0),IF('01_数值调参'!AL49&lt;0,'03_全链计算'!AJ49+1,0),IF('01_数值调参'!AL50&lt;0,'03_全链计算'!AK49+1,0),IF('01_数值调参'!AL51&lt;0,'03_全链计算'!AL49+1,0),IF('01_数值调参'!AL52&lt;0,'03_全链计算'!AM49+1,0))</x:f>
        <x:v>3</x:v>
      </x:c>
      <x:c r="AM50" s="9" t="n">
        <x:f>MAX(IF('01_数值调参'!AM18&lt;0,'03_全链计算'!E49+1,0),IF('01_数值调参'!AM19&lt;0,'03_全链计算'!F49+1,0),IF('01_数值调参'!AM20&lt;0,'03_全链计算'!G49+1,0),IF('01_数值调参'!AM21&lt;0,'03_全链计算'!H49+1,0),IF('01_数值调参'!AM22&lt;0,'03_全链计算'!I49+1,0),IF('01_数值调参'!AM23&lt;0,'03_全链计算'!J49+1,0),IF('01_数值调参'!AM24&lt;0,'03_全链计算'!K49+1,0),IF('01_数值调参'!AM25&lt;0,'03_全链计算'!L49+1,0),IF('01_数值调参'!AM26&lt;0,'03_全链计算'!M49+1,0),IF('01_数值调参'!AM27&lt;0,'03_全链计算'!N49+1,0),IF('01_数值调参'!AM28&lt;0,'03_全链计算'!O49+1,0),IF('01_数值调参'!AM29&lt;0,'03_全链计算'!P49+1,0),IF('01_数值调参'!AM30&lt;0,'03_全链计算'!Q49+1,0),IF('01_数值调参'!AM31&lt;0,'03_全链计算'!R49+1,0),IF('01_数值调参'!AM32&lt;0,'03_全链计算'!S49+1,0),IF('01_数值调参'!AM33&lt;0,'03_全链计算'!T49+1,0),IF('01_数值调参'!AM34&lt;0,'03_全链计算'!U49+1,0),IF('01_数值调参'!AM35&lt;0,'03_全链计算'!V49+1,0),IF('01_数值调参'!AM36&lt;0,'03_全链计算'!W49+1,0),IF('01_数值调参'!AM37&lt;0,'03_全链计算'!X49+1,0),IF('01_数值调参'!AM38&lt;0,'03_全链计算'!Y49+1,0),IF('01_数值调参'!AM39&lt;0,'03_全链计算'!Z49+1,0),IF('01_数值调参'!AM40&lt;0,'03_全链计算'!AA49+1,0),IF('01_数值调参'!AM41&lt;0,'03_全链计算'!AB49+1,0),IF('01_数值调参'!AM42&lt;0,'03_全链计算'!AC49+1,0),IF('01_数值调参'!AM43&lt;0,'03_全链计算'!AD49+1,0),IF('01_数值调参'!AM44&lt;0,'03_全链计算'!AE49+1,0),IF('01_数值调参'!AM45&lt;0,'03_全链计算'!AF49+1,0),IF('01_数值调参'!AM46&lt;0,'03_全链计算'!AG49+1,0),IF('01_数值调参'!AM47&lt;0,'03_全链计算'!AH49+1,0),IF('01_数值调参'!AM48&lt;0,'03_全链计算'!AI49+1,0),IF('01_数值调参'!AM49&lt;0,'03_全链计算'!AJ49+1,0),IF('01_数值调参'!AM50&lt;0,'03_全链计算'!AK49+1,0),IF('01_数值调参'!AM51&lt;0,'03_全链计算'!AL49+1,0),IF('01_数值调参'!AM52&lt;0,'03_全链计算'!AM49+1,0))</x:f>
        <x:v>3</x:v>
      </x:c>
    </x:row>
    <x:row r="51" ht="22" customHeight="1">
      <x:c r="A51" s="9" t="n">
        <x:v>6</x:v>
      </x:c>
      <x:c r="B51" s="9"/>
      <x:c r="C51" s="9"/>
      <x:c r="D51" s="9"/>
      <x:c r="E51" s="9" t="n">
        <x:f>MAX(IF('01_数值调参'!E18&lt;0,'03_全链计算'!E50+1,0),IF('01_数值调参'!E19&lt;0,'03_全链计算'!F50+1,0),IF('01_数值调参'!E20&lt;0,'03_全链计算'!G50+1,0),IF('01_数值调参'!E21&lt;0,'03_全链计算'!H50+1,0),IF('01_数值调参'!E22&lt;0,'03_全链计算'!I50+1,0),IF('01_数值调参'!E23&lt;0,'03_全链计算'!J50+1,0),IF('01_数值调参'!E24&lt;0,'03_全链计算'!K50+1,0),IF('01_数值调参'!E25&lt;0,'03_全链计算'!L50+1,0),IF('01_数值调参'!E26&lt;0,'03_全链计算'!M50+1,0),IF('01_数值调参'!E27&lt;0,'03_全链计算'!N50+1,0),IF('01_数值调参'!E28&lt;0,'03_全链计算'!O50+1,0),IF('01_数值调参'!E29&lt;0,'03_全链计算'!P50+1,0),IF('01_数值调参'!E30&lt;0,'03_全链计算'!Q50+1,0),IF('01_数值调参'!E31&lt;0,'03_全链计算'!R50+1,0),IF('01_数值调参'!E32&lt;0,'03_全链计算'!S50+1,0),IF('01_数值调参'!E33&lt;0,'03_全链计算'!T50+1,0),IF('01_数值调参'!E34&lt;0,'03_全链计算'!U50+1,0),IF('01_数值调参'!E35&lt;0,'03_全链计算'!V50+1,0),IF('01_数值调参'!E36&lt;0,'03_全链计算'!W50+1,0),IF('01_数值调参'!E37&lt;0,'03_全链计算'!X50+1,0),IF('01_数值调参'!E38&lt;0,'03_全链计算'!Y50+1,0),IF('01_数值调参'!E39&lt;0,'03_全链计算'!Z50+1,0),IF('01_数值调参'!E40&lt;0,'03_全链计算'!AA50+1,0),IF('01_数值调参'!E41&lt;0,'03_全链计算'!AB50+1,0),IF('01_数值调参'!E42&lt;0,'03_全链计算'!AC50+1,0),IF('01_数值调参'!E43&lt;0,'03_全链计算'!AD50+1,0),IF('01_数值调参'!E44&lt;0,'03_全链计算'!AE50+1,0),IF('01_数值调参'!E45&lt;0,'03_全链计算'!AF50+1,0),IF('01_数值调参'!E46&lt;0,'03_全链计算'!AG50+1,0),IF('01_数值调参'!E47&lt;0,'03_全链计算'!AH50+1,0),IF('01_数值调参'!E48&lt;0,'03_全链计算'!AI50+1,0),IF('01_数值调参'!E49&lt;0,'03_全链计算'!AJ50+1,0),IF('01_数值调参'!E50&lt;0,'03_全链计算'!AK50+1,0),IF('01_数值调参'!E51&lt;0,'03_全链计算'!AL50+1,0),IF('01_数值调参'!E52&lt;0,'03_全链计算'!AM50+1,0))</x:f>
        <x:v>0</x:v>
      </x:c>
      <x:c r="F51" s="9" t="n">
        <x:f>MAX(IF('01_数值调参'!F18&lt;0,'03_全链计算'!E50+1,0),IF('01_数值调参'!F19&lt;0,'03_全链计算'!F50+1,0),IF('01_数值调参'!F20&lt;0,'03_全链计算'!G50+1,0),IF('01_数值调参'!F21&lt;0,'03_全链计算'!H50+1,0),IF('01_数值调参'!F22&lt;0,'03_全链计算'!I50+1,0),IF('01_数值调参'!F23&lt;0,'03_全链计算'!J50+1,0),IF('01_数值调参'!F24&lt;0,'03_全链计算'!K50+1,0),IF('01_数值调参'!F25&lt;0,'03_全链计算'!L50+1,0),IF('01_数值调参'!F26&lt;0,'03_全链计算'!M50+1,0),IF('01_数值调参'!F27&lt;0,'03_全链计算'!N50+1,0),IF('01_数值调参'!F28&lt;0,'03_全链计算'!O50+1,0),IF('01_数值调参'!F29&lt;0,'03_全链计算'!P50+1,0),IF('01_数值调参'!F30&lt;0,'03_全链计算'!Q50+1,0),IF('01_数值调参'!F31&lt;0,'03_全链计算'!R50+1,0),IF('01_数值调参'!F32&lt;0,'03_全链计算'!S50+1,0),IF('01_数值调参'!F33&lt;0,'03_全链计算'!T50+1,0),IF('01_数值调参'!F34&lt;0,'03_全链计算'!U50+1,0),IF('01_数值调参'!F35&lt;0,'03_全链计算'!V50+1,0),IF('01_数值调参'!F36&lt;0,'03_全链计算'!W50+1,0),IF('01_数值调参'!F37&lt;0,'03_全链计算'!X50+1,0),IF('01_数值调参'!F38&lt;0,'03_全链计算'!Y50+1,0),IF('01_数值调参'!F39&lt;0,'03_全链计算'!Z50+1,0),IF('01_数值调参'!F40&lt;0,'03_全链计算'!AA50+1,0),IF('01_数值调参'!F41&lt;0,'03_全链计算'!AB50+1,0),IF('01_数值调参'!F42&lt;0,'03_全链计算'!AC50+1,0),IF('01_数值调参'!F43&lt;0,'03_全链计算'!AD50+1,0),IF('01_数值调参'!F44&lt;0,'03_全链计算'!AE50+1,0),IF('01_数值调参'!F45&lt;0,'03_全链计算'!AF50+1,0),IF('01_数值调参'!F46&lt;0,'03_全链计算'!AG50+1,0),IF('01_数值调参'!F47&lt;0,'03_全链计算'!AH50+1,0),IF('01_数值调参'!F48&lt;0,'03_全链计算'!AI50+1,0),IF('01_数值调参'!F49&lt;0,'03_全链计算'!AJ50+1,0),IF('01_数值调参'!F50&lt;0,'03_全链计算'!AK50+1,0),IF('01_数值调参'!F51&lt;0,'03_全链计算'!AL50+1,0),IF('01_数值调参'!F52&lt;0,'03_全链计算'!AM50+1,0))</x:f>
        <x:v>0</x:v>
      </x:c>
      <x:c r="G51" s="9" t="n">
        <x:f>MAX(IF('01_数值调参'!G18&lt;0,'03_全链计算'!E50+1,0),IF('01_数值调参'!G19&lt;0,'03_全链计算'!F50+1,0),IF('01_数值调参'!G20&lt;0,'03_全链计算'!G50+1,0),IF('01_数值调参'!G21&lt;0,'03_全链计算'!H50+1,0),IF('01_数值调参'!G22&lt;0,'03_全链计算'!I50+1,0),IF('01_数值调参'!G23&lt;0,'03_全链计算'!J50+1,0),IF('01_数值调参'!G24&lt;0,'03_全链计算'!K50+1,0),IF('01_数值调参'!G25&lt;0,'03_全链计算'!L50+1,0),IF('01_数值调参'!G26&lt;0,'03_全链计算'!M50+1,0),IF('01_数值调参'!G27&lt;0,'03_全链计算'!N50+1,0),IF('01_数值调参'!G28&lt;0,'03_全链计算'!O50+1,0),IF('01_数值调参'!G29&lt;0,'03_全链计算'!P50+1,0),IF('01_数值调参'!G30&lt;0,'03_全链计算'!Q50+1,0),IF('01_数值调参'!G31&lt;0,'03_全链计算'!R50+1,0),IF('01_数值调参'!G32&lt;0,'03_全链计算'!S50+1,0),IF('01_数值调参'!G33&lt;0,'03_全链计算'!T50+1,0),IF('01_数值调参'!G34&lt;0,'03_全链计算'!U50+1,0),IF('01_数值调参'!G35&lt;0,'03_全链计算'!V50+1,0),IF('01_数值调参'!G36&lt;0,'03_全链计算'!W50+1,0),IF('01_数值调参'!G37&lt;0,'03_全链计算'!X50+1,0),IF('01_数值调参'!G38&lt;0,'03_全链计算'!Y50+1,0),IF('01_数值调参'!G39&lt;0,'03_全链计算'!Z50+1,0),IF('01_数值调参'!G40&lt;0,'03_全链计算'!AA50+1,0),IF('01_数值调参'!G41&lt;0,'03_全链计算'!AB50+1,0),IF('01_数值调参'!G42&lt;0,'03_全链计算'!AC50+1,0),IF('01_数值调参'!G43&lt;0,'03_全链计算'!AD50+1,0),IF('01_数值调参'!G44&lt;0,'03_全链计算'!AE50+1,0),IF('01_数值调参'!G45&lt;0,'03_全链计算'!AF50+1,0),IF('01_数值调参'!G46&lt;0,'03_全链计算'!AG50+1,0),IF('01_数值调参'!G47&lt;0,'03_全链计算'!AH50+1,0),IF('01_数值调参'!G48&lt;0,'03_全链计算'!AI50+1,0),IF('01_数值调参'!G49&lt;0,'03_全链计算'!AJ50+1,0),IF('01_数值调参'!G50&lt;0,'03_全链计算'!AK50+1,0),IF('01_数值调参'!G51&lt;0,'03_全链计算'!AL50+1,0),IF('01_数值调参'!G52&lt;0,'03_全链计算'!AM50+1,0))</x:f>
        <x:v>0</x:v>
      </x:c>
      <x:c r="H51" s="9" t="n">
        <x:f>MAX(IF('01_数值调参'!H18&lt;0,'03_全链计算'!E50+1,0),IF('01_数值调参'!H19&lt;0,'03_全链计算'!F50+1,0),IF('01_数值调参'!H20&lt;0,'03_全链计算'!G50+1,0),IF('01_数值调参'!H21&lt;0,'03_全链计算'!H50+1,0),IF('01_数值调参'!H22&lt;0,'03_全链计算'!I50+1,0),IF('01_数值调参'!H23&lt;0,'03_全链计算'!J50+1,0),IF('01_数值调参'!H24&lt;0,'03_全链计算'!K50+1,0),IF('01_数值调参'!H25&lt;0,'03_全链计算'!L50+1,0),IF('01_数值调参'!H26&lt;0,'03_全链计算'!M50+1,0),IF('01_数值调参'!H27&lt;0,'03_全链计算'!N50+1,0),IF('01_数值调参'!H28&lt;0,'03_全链计算'!O50+1,0),IF('01_数值调参'!H29&lt;0,'03_全链计算'!P50+1,0),IF('01_数值调参'!H30&lt;0,'03_全链计算'!Q50+1,0),IF('01_数值调参'!H31&lt;0,'03_全链计算'!R50+1,0),IF('01_数值调参'!H32&lt;0,'03_全链计算'!S50+1,0),IF('01_数值调参'!H33&lt;0,'03_全链计算'!T50+1,0),IF('01_数值调参'!H34&lt;0,'03_全链计算'!U50+1,0),IF('01_数值调参'!H35&lt;0,'03_全链计算'!V50+1,0),IF('01_数值调参'!H36&lt;0,'03_全链计算'!W50+1,0),IF('01_数值调参'!H37&lt;0,'03_全链计算'!X50+1,0),IF('01_数值调参'!H38&lt;0,'03_全链计算'!Y50+1,0),IF('01_数值调参'!H39&lt;0,'03_全链计算'!Z50+1,0),IF('01_数值调参'!H40&lt;0,'03_全链计算'!AA50+1,0),IF('01_数值调参'!H41&lt;0,'03_全链计算'!AB50+1,0),IF('01_数值调参'!H42&lt;0,'03_全链计算'!AC50+1,0),IF('01_数值调参'!H43&lt;0,'03_全链计算'!AD50+1,0),IF('01_数值调参'!H44&lt;0,'03_全链计算'!AE50+1,0),IF('01_数值调参'!H45&lt;0,'03_全链计算'!AF50+1,0),IF('01_数值调参'!H46&lt;0,'03_全链计算'!AG50+1,0),IF('01_数值调参'!H47&lt;0,'03_全链计算'!AH50+1,0),IF('01_数值调参'!H48&lt;0,'03_全链计算'!AI50+1,0),IF('01_数值调参'!H49&lt;0,'03_全链计算'!AJ50+1,0),IF('01_数值调参'!H50&lt;0,'03_全链计算'!AK50+1,0),IF('01_数值调参'!H51&lt;0,'03_全链计算'!AL50+1,0),IF('01_数值调参'!H52&lt;0,'03_全链计算'!AM50+1,0))</x:f>
        <x:v>0</x:v>
      </x:c>
      <x:c r="I51" s="9" t="n">
        <x:f>MAX(IF('01_数值调参'!I18&lt;0,'03_全链计算'!E50+1,0),IF('01_数值调参'!I19&lt;0,'03_全链计算'!F50+1,0),IF('01_数值调参'!I20&lt;0,'03_全链计算'!G50+1,0),IF('01_数值调参'!I21&lt;0,'03_全链计算'!H50+1,0),IF('01_数值调参'!I22&lt;0,'03_全链计算'!I50+1,0),IF('01_数值调参'!I23&lt;0,'03_全链计算'!J50+1,0),IF('01_数值调参'!I24&lt;0,'03_全链计算'!K50+1,0),IF('01_数值调参'!I25&lt;0,'03_全链计算'!L50+1,0),IF('01_数值调参'!I26&lt;0,'03_全链计算'!M50+1,0),IF('01_数值调参'!I27&lt;0,'03_全链计算'!N50+1,0),IF('01_数值调参'!I28&lt;0,'03_全链计算'!O50+1,0),IF('01_数值调参'!I29&lt;0,'03_全链计算'!P50+1,0),IF('01_数值调参'!I30&lt;0,'03_全链计算'!Q50+1,0),IF('01_数值调参'!I31&lt;0,'03_全链计算'!R50+1,0),IF('01_数值调参'!I32&lt;0,'03_全链计算'!S50+1,0),IF('01_数值调参'!I33&lt;0,'03_全链计算'!T50+1,0),IF('01_数值调参'!I34&lt;0,'03_全链计算'!U50+1,0),IF('01_数值调参'!I35&lt;0,'03_全链计算'!V50+1,0),IF('01_数值调参'!I36&lt;0,'03_全链计算'!W50+1,0),IF('01_数值调参'!I37&lt;0,'03_全链计算'!X50+1,0),IF('01_数值调参'!I38&lt;0,'03_全链计算'!Y50+1,0),IF('01_数值调参'!I39&lt;0,'03_全链计算'!Z50+1,0),IF('01_数值调参'!I40&lt;0,'03_全链计算'!AA50+1,0),IF('01_数值调参'!I41&lt;0,'03_全链计算'!AB50+1,0),IF('01_数值调参'!I42&lt;0,'03_全链计算'!AC50+1,0),IF('01_数值调参'!I43&lt;0,'03_全链计算'!AD50+1,0),IF('01_数值调参'!I44&lt;0,'03_全链计算'!AE50+1,0),IF('01_数值调参'!I45&lt;0,'03_全链计算'!AF50+1,0),IF('01_数值调参'!I46&lt;0,'03_全链计算'!AG50+1,0),IF('01_数值调参'!I47&lt;0,'03_全链计算'!AH50+1,0),IF('01_数值调参'!I48&lt;0,'03_全链计算'!AI50+1,0),IF('01_数值调参'!I49&lt;0,'03_全链计算'!AJ50+1,0),IF('01_数值调参'!I50&lt;0,'03_全链计算'!AK50+1,0),IF('01_数值调参'!I51&lt;0,'03_全链计算'!AL50+1,0),IF('01_数值调参'!I52&lt;0,'03_全链计算'!AM50+1,0))</x:f>
        <x:v>0</x:v>
      </x:c>
      <x:c r="J51" s="9" t="n">
        <x:f>MAX(IF('01_数值调参'!J18&lt;0,'03_全链计算'!E50+1,0),IF('01_数值调参'!J19&lt;0,'03_全链计算'!F50+1,0),IF('01_数值调参'!J20&lt;0,'03_全链计算'!G50+1,0),IF('01_数值调参'!J21&lt;0,'03_全链计算'!H50+1,0),IF('01_数值调参'!J22&lt;0,'03_全链计算'!I50+1,0),IF('01_数值调参'!J23&lt;0,'03_全链计算'!J50+1,0),IF('01_数值调参'!J24&lt;0,'03_全链计算'!K50+1,0),IF('01_数值调参'!J25&lt;0,'03_全链计算'!L50+1,0),IF('01_数值调参'!J26&lt;0,'03_全链计算'!M50+1,0),IF('01_数值调参'!J27&lt;0,'03_全链计算'!N50+1,0),IF('01_数值调参'!J28&lt;0,'03_全链计算'!O50+1,0),IF('01_数值调参'!J29&lt;0,'03_全链计算'!P50+1,0),IF('01_数值调参'!J30&lt;0,'03_全链计算'!Q50+1,0),IF('01_数值调参'!J31&lt;0,'03_全链计算'!R50+1,0),IF('01_数值调参'!J32&lt;0,'03_全链计算'!S50+1,0),IF('01_数值调参'!J33&lt;0,'03_全链计算'!T50+1,0),IF('01_数值调参'!J34&lt;0,'03_全链计算'!U50+1,0),IF('01_数值调参'!J35&lt;0,'03_全链计算'!V50+1,0),IF('01_数值调参'!J36&lt;0,'03_全链计算'!W50+1,0),IF('01_数值调参'!J37&lt;0,'03_全链计算'!X50+1,0),IF('01_数值调参'!J38&lt;0,'03_全链计算'!Y50+1,0),IF('01_数值调参'!J39&lt;0,'03_全链计算'!Z50+1,0),IF('01_数值调参'!J40&lt;0,'03_全链计算'!AA50+1,0),IF('01_数值调参'!J41&lt;0,'03_全链计算'!AB50+1,0),IF('01_数值调参'!J42&lt;0,'03_全链计算'!AC50+1,0),IF('01_数值调参'!J43&lt;0,'03_全链计算'!AD50+1,0),IF('01_数值调参'!J44&lt;0,'03_全链计算'!AE50+1,0),IF('01_数值调参'!J45&lt;0,'03_全链计算'!AF50+1,0),IF('01_数值调参'!J46&lt;0,'03_全链计算'!AG50+1,0),IF('01_数值调参'!J47&lt;0,'03_全链计算'!AH50+1,0),IF('01_数值调参'!J48&lt;0,'03_全链计算'!AI50+1,0),IF('01_数值调参'!J49&lt;0,'03_全链计算'!AJ50+1,0),IF('01_数值调参'!J50&lt;0,'03_全链计算'!AK50+1,0),IF('01_数值调参'!J51&lt;0,'03_全链计算'!AL50+1,0),IF('01_数值调参'!J52&lt;0,'03_全链计算'!AM50+1,0))</x:f>
        <x:v>0</x:v>
      </x:c>
      <x:c r="K51" s="9" t="n">
        <x:f>MAX(IF('01_数值调参'!K18&lt;0,'03_全链计算'!E50+1,0),IF('01_数值调参'!K19&lt;0,'03_全链计算'!F50+1,0),IF('01_数值调参'!K20&lt;0,'03_全链计算'!G50+1,0),IF('01_数值调参'!K21&lt;0,'03_全链计算'!H50+1,0),IF('01_数值调参'!K22&lt;0,'03_全链计算'!I50+1,0),IF('01_数值调参'!K23&lt;0,'03_全链计算'!J50+1,0),IF('01_数值调参'!K24&lt;0,'03_全链计算'!K50+1,0),IF('01_数值调参'!K25&lt;0,'03_全链计算'!L50+1,0),IF('01_数值调参'!K26&lt;0,'03_全链计算'!M50+1,0),IF('01_数值调参'!K27&lt;0,'03_全链计算'!N50+1,0),IF('01_数值调参'!K28&lt;0,'03_全链计算'!O50+1,0),IF('01_数值调参'!K29&lt;0,'03_全链计算'!P50+1,0),IF('01_数值调参'!K30&lt;0,'03_全链计算'!Q50+1,0),IF('01_数值调参'!K31&lt;0,'03_全链计算'!R50+1,0),IF('01_数值调参'!K32&lt;0,'03_全链计算'!S50+1,0),IF('01_数值调参'!K33&lt;0,'03_全链计算'!T50+1,0),IF('01_数值调参'!K34&lt;0,'03_全链计算'!U50+1,0),IF('01_数值调参'!K35&lt;0,'03_全链计算'!V50+1,0),IF('01_数值调参'!K36&lt;0,'03_全链计算'!W50+1,0),IF('01_数值调参'!K37&lt;0,'03_全链计算'!X50+1,0),IF('01_数值调参'!K38&lt;0,'03_全链计算'!Y50+1,0),IF('01_数值调参'!K39&lt;0,'03_全链计算'!Z50+1,0),IF('01_数值调参'!K40&lt;0,'03_全链计算'!AA50+1,0),IF('01_数值调参'!K41&lt;0,'03_全链计算'!AB50+1,0),IF('01_数值调参'!K42&lt;0,'03_全链计算'!AC50+1,0),IF('01_数值调参'!K43&lt;0,'03_全链计算'!AD50+1,0),IF('01_数值调参'!K44&lt;0,'03_全链计算'!AE50+1,0),IF('01_数值调参'!K45&lt;0,'03_全链计算'!AF50+1,0),IF('01_数值调参'!K46&lt;0,'03_全链计算'!AG50+1,0),IF('01_数值调参'!K47&lt;0,'03_全链计算'!AH50+1,0),IF('01_数值调参'!K48&lt;0,'03_全链计算'!AI50+1,0),IF('01_数值调参'!K49&lt;0,'03_全链计算'!AJ50+1,0),IF('01_数值调参'!K50&lt;0,'03_全链计算'!AK50+1,0),IF('01_数值调参'!K51&lt;0,'03_全链计算'!AL50+1,0),IF('01_数值调参'!K52&lt;0,'03_全链计算'!AM50+1,0))</x:f>
        <x:v>0</x:v>
      </x:c>
      <x:c r="L51" s="9" t="n">
        <x:f>MAX(IF('01_数值调参'!L18&lt;0,'03_全链计算'!E50+1,0),IF('01_数值调参'!L19&lt;0,'03_全链计算'!F50+1,0),IF('01_数值调参'!L20&lt;0,'03_全链计算'!G50+1,0),IF('01_数值调参'!L21&lt;0,'03_全链计算'!H50+1,0),IF('01_数值调参'!L22&lt;0,'03_全链计算'!I50+1,0),IF('01_数值调参'!L23&lt;0,'03_全链计算'!J50+1,0),IF('01_数值调参'!L24&lt;0,'03_全链计算'!K50+1,0),IF('01_数值调参'!L25&lt;0,'03_全链计算'!L50+1,0),IF('01_数值调参'!L26&lt;0,'03_全链计算'!M50+1,0),IF('01_数值调参'!L27&lt;0,'03_全链计算'!N50+1,0),IF('01_数值调参'!L28&lt;0,'03_全链计算'!O50+1,0),IF('01_数值调参'!L29&lt;0,'03_全链计算'!P50+1,0),IF('01_数值调参'!L30&lt;0,'03_全链计算'!Q50+1,0),IF('01_数值调参'!L31&lt;0,'03_全链计算'!R50+1,0),IF('01_数值调参'!L32&lt;0,'03_全链计算'!S50+1,0),IF('01_数值调参'!L33&lt;0,'03_全链计算'!T50+1,0),IF('01_数值调参'!L34&lt;0,'03_全链计算'!U50+1,0),IF('01_数值调参'!L35&lt;0,'03_全链计算'!V50+1,0),IF('01_数值调参'!L36&lt;0,'03_全链计算'!W50+1,0),IF('01_数值调参'!L37&lt;0,'03_全链计算'!X50+1,0),IF('01_数值调参'!L38&lt;0,'03_全链计算'!Y50+1,0),IF('01_数值调参'!L39&lt;0,'03_全链计算'!Z50+1,0),IF('01_数值调参'!L40&lt;0,'03_全链计算'!AA50+1,0),IF('01_数值调参'!L41&lt;0,'03_全链计算'!AB50+1,0),IF('01_数值调参'!L42&lt;0,'03_全链计算'!AC50+1,0),IF('01_数值调参'!L43&lt;0,'03_全链计算'!AD50+1,0),IF('01_数值调参'!L44&lt;0,'03_全链计算'!AE50+1,0),IF('01_数值调参'!L45&lt;0,'03_全链计算'!AF50+1,0),IF('01_数值调参'!L46&lt;0,'03_全链计算'!AG50+1,0),IF('01_数值调参'!L47&lt;0,'03_全链计算'!AH50+1,0),IF('01_数值调参'!L48&lt;0,'03_全链计算'!AI50+1,0),IF('01_数值调参'!L49&lt;0,'03_全链计算'!AJ50+1,0),IF('01_数值调参'!L50&lt;0,'03_全链计算'!AK50+1,0),IF('01_数值调参'!L51&lt;0,'03_全链计算'!AL50+1,0),IF('01_数值调参'!L52&lt;0,'03_全链计算'!AM50+1,0))</x:f>
        <x:v>0</x:v>
      </x:c>
      <x:c r="M51" s="9" t="n">
        <x:f>MAX(IF('01_数值调参'!M18&lt;0,'03_全链计算'!E50+1,0),IF('01_数值调参'!M19&lt;0,'03_全链计算'!F50+1,0),IF('01_数值调参'!M20&lt;0,'03_全链计算'!G50+1,0),IF('01_数值调参'!M21&lt;0,'03_全链计算'!H50+1,0),IF('01_数值调参'!M22&lt;0,'03_全链计算'!I50+1,0),IF('01_数值调参'!M23&lt;0,'03_全链计算'!J50+1,0),IF('01_数值调参'!M24&lt;0,'03_全链计算'!K50+1,0),IF('01_数值调参'!M25&lt;0,'03_全链计算'!L50+1,0),IF('01_数值调参'!M26&lt;0,'03_全链计算'!M50+1,0),IF('01_数值调参'!M27&lt;0,'03_全链计算'!N50+1,0),IF('01_数值调参'!M28&lt;0,'03_全链计算'!O50+1,0),IF('01_数值调参'!M29&lt;0,'03_全链计算'!P50+1,0),IF('01_数值调参'!M30&lt;0,'03_全链计算'!Q50+1,0),IF('01_数值调参'!M31&lt;0,'03_全链计算'!R50+1,0),IF('01_数值调参'!M32&lt;0,'03_全链计算'!S50+1,0),IF('01_数值调参'!M33&lt;0,'03_全链计算'!T50+1,0),IF('01_数值调参'!M34&lt;0,'03_全链计算'!U50+1,0),IF('01_数值调参'!M35&lt;0,'03_全链计算'!V50+1,0),IF('01_数值调参'!M36&lt;0,'03_全链计算'!W50+1,0),IF('01_数值调参'!M37&lt;0,'03_全链计算'!X50+1,0),IF('01_数值调参'!M38&lt;0,'03_全链计算'!Y50+1,0),IF('01_数值调参'!M39&lt;0,'03_全链计算'!Z50+1,0),IF('01_数值调参'!M40&lt;0,'03_全链计算'!AA50+1,0),IF('01_数值调参'!M41&lt;0,'03_全链计算'!AB50+1,0),IF('01_数值调参'!M42&lt;0,'03_全链计算'!AC50+1,0),IF('01_数值调参'!M43&lt;0,'03_全链计算'!AD50+1,0),IF('01_数值调参'!M44&lt;0,'03_全链计算'!AE50+1,0),IF('01_数值调参'!M45&lt;0,'03_全链计算'!AF50+1,0),IF('01_数值调参'!M46&lt;0,'03_全链计算'!AG50+1,0),IF('01_数值调参'!M47&lt;0,'03_全链计算'!AH50+1,0),IF('01_数值调参'!M48&lt;0,'03_全链计算'!AI50+1,0),IF('01_数值调参'!M49&lt;0,'03_全链计算'!AJ50+1,0),IF('01_数值调参'!M50&lt;0,'03_全链计算'!AK50+1,0),IF('01_数值调参'!M51&lt;0,'03_全链计算'!AL50+1,0),IF('01_数值调参'!M52&lt;0,'03_全链计算'!AM50+1,0))</x:f>
        <x:v>0</x:v>
      </x:c>
      <x:c r="N51" s="9" t="n">
        <x:f>MAX(IF('01_数值调参'!N18&lt;0,'03_全链计算'!E50+1,0),IF('01_数值调参'!N19&lt;0,'03_全链计算'!F50+1,0),IF('01_数值调参'!N20&lt;0,'03_全链计算'!G50+1,0),IF('01_数值调参'!N21&lt;0,'03_全链计算'!H50+1,0),IF('01_数值调参'!N22&lt;0,'03_全链计算'!I50+1,0),IF('01_数值调参'!N23&lt;0,'03_全链计算'!J50+1,0),IF('01_数值调参'!N24&lt;0,'03_全链计算'!K50+1,0),IF('01_数值调参'!N25&lt;0,'03_全链计算'!L50+1,0),IF('01_数值调参'!N26&lt;0,'03_全链计算'!M50+1,0),IF('01_数值调参'!N27&lt;0,'03_全链计算'!N50+1,0),IF('01_数值调参'!N28&lt;0,'03_全链计算'!O50+1,0),IF('01_数值调参'!N29&lt;0,'03_全链计算'!P50+1,0),IF('01_数值调参'!N30&lt;0,'03_全链计算'!Q50+1,0),IF('01_数值调参'!N31&lt;0,'03_全链计算'!R50+1,0),IF('01_数值调参'!N32&lt;0,'03_全链计算'!S50+1,0),IF('01_数值调参'!N33&lt;0,'03_全链计算'!T50+1,0),IF('01_数值调参'!N34&lt;0,'03_全链计算'!U50+1,0),IF('01_数值调参'!N35&lt;0,'03_全链计算'!V50+1,0),IF('01_数值调参'!N36&lt;0,'03_全链计算'!W50+1,0),IF('01_数值调参'!N37&lt;0,'03_全链计算'!X50+1,0),IF('01_数值调参'!N38&lt;0,'03_全链计算'!Y50+1,0),IF('01_数值调参'!N39&lt;0,'03_全链计算'!Z50+1,0),IF('01_数值调参'!N40&lt;0,'03_全链计算'!AA50+1,0),IF('01_数值调参'!N41&lt;0,'03_全链计算'!AB50+1,0),IF('01_数值调参'!N42&lt;0,'03_全链计算'!AC50+1,0),IF('01_数值调参'!N43&lt;0,'03_全链计算'!AD50+1,0),IF('01_数值调参'!N44&lt;0,'03_全链计算'!AE50+1,0),IF('01_数值调参'!N45&lt;0,'03_全链计算'!AF50+1,0),IF('01_数值调参'!N46&lt;0,'03_全链计算'!AG50+1,0),IF('01_数值调参'!N47&lt;0,'03_全链计算'!AH50+1,0),IF('01_数值调参'!N48&lt;0,'03_全链计算'!AI50+1,0),IF('01_数值调参'!N49&lt;0,'03_全链计算'!AJ50+1,0),IF('01_数值调参'!N50&lt;0,'03_全链计算'!AK50+1,0),IF('01_数值调参'!N51&lt;0,'03_全链计算'!AL50+1,0),IF('01_数值调参'!N52&lt;0,'03_全链计算'!AM50+1,0))</x:f>
        <x:v>1</x:v>
      </x:c>
      <x:c r="O51" s="9" t="n">
        <x:f>MAX(IF('01_数值调参'!O18&lt;0,'03_全链计算'!E50+1,0),IF('01_数值调参'!O19&lt;0,'03_全链计算'!F50+1,0),IF('01_数值调参'!O20&lt;0,'03_全链计算'!G50+1,0),IF('01_数值调参'!O21&lt;0,'03_全链计算'!H50+1,0),IF('01_数值调参'!O22&lt;0,'03_全链计算'!I50+1,0),IF('01_数值调参'!O23&lt;0,'03_全链计算'!J50+1,0),IF('01_数值调参'!O24&lt;0,'03_全链计算'!K50+1,0),IF('01_数值调参'!O25&lt;0,'03_全链计算'!L50+1,0),IF('01_数值调参'!O26&lt;0,'03_全链计算'!M50+1,0),IF('01_数值调参'!O27&lt;0,'03_全链计算'!N50+1,0),IF('01_数值调参'!O28&lt;0,'03_全链计算'!O50+1,0),IF('01_数值调参'!O29&lt;0,'03_全链计算'!P50+1,0),IF('01_数值调参'!O30&lt;0,'03_全链计算'!Q50+1,0),IF('01_数值调参'!O31&lt;0,'03_全链计算'!R50+1,0),IF('01_数值调参'!O32&lt;0,'03_全链计算'!S50+1,0),IF('01_数值调参'!O33&lt;0,'03_全链计算'!T50+1,0),IF('01_数值调参'!O34&lt;0,'03_全链计算'!U50+1,0),IF('01_数值调参'!O35&lt;0,'03_全链计算'!V50+1,0),IF('01_数值调参'!O36&lt;0,'03_全链计算'!W50+1,0),IF('01_数值调参'!O37&lt;0,'03_全链计算'!X50+1,0),IF('01_数值调参'!O38&lt;0,'03_全链计算'!Y50+1,0),IF('01_数值调参'!O39&lt;0,'03_全链计算'!Z50+1,0),IF('01_数值调参'!O40&lt;0,'03_全链计算'!AA50+1,0),IF('01_数值调参'!O41&lt;0,'03_全链计算'!AB50+1,0),IF('01_数值调参'!O42&lt;0,'03_全链计算'!AC50+1,0),IF('01_数值调参'!O43&lt;0,'03_全链计算'!AD50+1,0),IF('01_数值调参'!O44&lt;0,'03_全链计算'!AE50+1,0),IF('01_数值调参'!O45&lt;0,'03_全链计算'!AF50+1,0),IF('01_数值调参'!O46&lt;0,'03_全链计算'!AG50+1,0),IF('01_数值调参'!O47&lt;0,'03_全链计算'!AH50+1,0),IF('01_数值调参'!O48&lt;0,'03_全链计算'!AI50+1,0),IF('01_数值调参'!O49&lt;0,'03_全链计算'!AJ50+1,0),IF('01_数值调参'!O50&lt;0,'03_全链计算'!AK50+1,0),IF('01_数值调参'!O51&lt;0,'03_全链计算'!AL50+1,0),IF('01_数值调参'!O52&lt;0,'03_全链计算'!AM50+1,0))</x:f>
        <x:v>1</x:v>
      </x:c>
      <x:c r="P51" s="9" t="n">
        <x:f>MAX(IF('01_数值调参'!P18&lt;0,'03_全链计算'!E50+1,0),IF('01_数值调参'!P19&lt;0,'03_全链计算'!F50+1,0),IF('01_数值调参'!P20&lt;0,'03_全链计算'!G50+1,0),IF('01_数值调参'!P21&lt;0,'03_全链计算'!H50+1,0),IF('01_数值调参'!P22&lt;0,'03_全链计算'!I50+1,0),IF('01_数值调参'!P23&lt;0,'03_全链计算'!J50+1,0),IF('01_数值调参'!P24&lt;0,'03_全链计算'!K50+1,0),IF('01_数值调参'!P25&lt;0,'03_全链计算'!L50+1,0),IF('01_数值调参'!P26&lt;0,'03_全链计算'!M50+1,0),IF('01_数值调参'!P27&lt;0,'03_全链计算'!N50+1,0),IF('01_数值调参'!P28&lt;0,'03_全链计算'!O50+1,0),IF('01_数值调参'!P29&lt;0,'03_全链计算'!P50+1,0),IF('01_数值调参'!P30&lt;0,'03_全链计算'!Q50+1,0),IF('01_数值调参'!P31&lt;0,'03_全链计算'!R50+1,0),IF('01_数值调参'!P32&lt;0,'03_全链计算'!S50+1,0),IF('01_数值调参'!P33&lt;0,'03_全链计算'!T50+1,0),IF('01_数值调参'!P34&lt;0,'03_全链计算'!U50+1,0),IF('01_数值调参'!P35&lt;0,'03_全链计算'!V50+1,0),IF('01_数值调参'!P36&lt;0,'03_全链计算'!W50+1,0),IF('01_数值调参'!P37&lt;0,'03_全链计算'!X50+1,0),IF('01_数值调参'!P38&lt;0,'03_全链计算'!Y50+1,0),IF('01_数值调参'!P39&lt;0,'03_全链计算'!Z50+1,0),IF('01_数值调参'!P40&lt;0,'03_全链计算'!AA50+1,0),IF('01_数值调参'!P41&lt;0,'03_全链计算'!AB50+1,0),IF('01_数值调参'!P42&lt;0,'03_全链计算'!AC50+1,0),IF('01_数值调参'!P43&lt;0,'03_全链计算'!AD50+1,0),IF('01_数值调参'!P44&lt;0,'03_全链计算'!AE50+1,0),IF('01_数值调参'!P45&lt;0,'03_全链计算'!AF50+1,0),IF('01_数值调参'!P46&lt;0,'03_全链计算'!AG50+1,0),IF('01_数值调参'!P47&lt;0,'03_全链计算'!AH50+1,0),IF('01_数值调参'!P48&lt;0,'03_全链计算'!AI50+1,0),IF('01_数值调参'!P49&lt;0,'03_全链计算'!AJ50+1,0),IF('01_数值调参'!P50&lt;0,'03_全链计算'!AK50+1,0),IF('01_数值调参'!P51&lt;0,'03_全链计算'!AL50+1,0),IF('01_数值调参'!P52&lt;0,'03_全链计算'!AM50+1,0))</x:f>
        <x:v>1</x:v>
      </x:c>
      <x:c r="Q51" s="9" t="n">
        <x:f>MAX(IF('01_数值调参'!Q18&lt;0,'03_全链计算'!E50+1,0),IF('01_数值调参'!Q19&lt;0,'03_全链计算'!F50+1,0),IF('01_数值调参'!Q20&lt;0,'03_全链计算'!G50+1,0),IF('01_数值调参'!Q21&lt;0,'03_全链计算'!H50+1,0),IF('01_数值调参'!Q22&lt;0,'03_全链计算'!I50+1,0),IF('01_数值调参'!Q23&lt;0,'03_全链计算'!J50+1,0),IF('01_数值调参'!Q24&lt;0,'03_全链计算'!K50+1,0),IF('01_数值调参'!Q25&lt;0,'03_全链计算'!L50+1,0),IF('01_数值调参'!Q26&lt;0,'03_全链计算'!M50+1,0),IF('01_数值调参'!Q27&lt;0,'03_全链计算'!N50+1,0),IF('01_数值调参'!Q28&lt;0,'03_全链计算'!O50+1,0),IF('01_数值调参'!Q29&lt;0,'03_全链计算'!P50+1,0),IF('01_数值调参'!Q30&lt;0,'03_全链计算'!Q50+1,0),IF('01_数值调参'!Q31&lt;0,'03_全链计算'!R50+1,0),IF('01_数值调参'!Q32&lt;0,'03_全链计算'!S50+1,0),IF('01_数值调参'!Q33&lt;0,'03_全链计算'!T50+1,0),IF('01_数值调参'!Q34&lt;0,'03_全链计算'!U50+1,0),IF('01_数值调参'!Q35&lt;0,'03_全链计算'!V50+1,0),IF('01_数值调参'!Q36&lt;0,'03_全链计算'!W50+1,0),IF('01_数值调参'!Q37&lt;0,'03_全链计算'!X50+1,0),IF('01_数值调参'!Q38&lt;0,'03_全链计算'!Y50+1,0),IF('01_数值调参'!Q39&lt;0,'03_全链计算'!Z50+1,0),IF('01_数值调参'!Q40&lt;0,'03_全链计算'!AA50+1,0),IF('01_数值调参'!Q41&lt;0,'03_全链计算'!AB50+1,0),IF('01_数值调参'!Q42&lt;0,'03_全链计算'!AC50+1,0),IF('01_数值调参'!Q43&lt;0,'03_全链计算'!AD50+1,0),IF('01_数值调参'!Q44&lt;0,'03_全链计算'!AE50+1,0),IF('01_数值调参'!Q45&lt;0,'03_全链计算'!AF50+1,0),IF('01_数值调参'!Q46&lt;0,'03_全链计算'!AG50+1,0),IF('01_数值调参'!Q47&lt;0,'03_全链计算'!AH50+1,0),IF('01_数值调参'!Q48&lt;0,'03_全链计算'!AI50+1,0),IF('01_数值调参'!Q49&lt;0,'03_全链计算'!AJ50+1,0),IF('01_数值调参'!Q50&lt;0,'03_全链计算'!AK50+1,0),IF('01_数值调参'!Q51&lt;0,'03_全链计算'!AL50+1,0),IF('01_数值调参'!Q52&lt;0,'03_全链计算'!AM50+1,0))</x:f>
        <x:v>1</x:v>
      </x:c>
      <x:c r="R51" s="9" t="n">
        <x:f>MAX(IF('01_数值调参'!R18&lt;0,'03_全链计算'!E50+1,0),IF('01_数值调参'!R19&lt;0,'03_全链计算'!F50+1,0),IF('01_数值调参'!R20&lt;0,'03_全链计算'!G50+1,0),IF('01_数值调参'!R21&lt;0,'03_全链计算'!H50+1,0),IF('01_数值调参'!R22&lt;0,'03_全链计算'!I50+1,0),IF('01_数值调参'!R23&lt;0,'03_全链计算'!J50+1,0),IF('01_数值调参'!R24&lt;0,'03_全链计算'!K50+1,0),IF('01_数值调参'!R25&lt;0,'03_全链计算'!L50+1,0),IF('01_数值调参'!R26&lt;0,'03_全链计算'!M50+1,0),IF('01_数值调参'!R27&lt;0,'03_全链计算'!N50+1,0),IF('01_数值调参'!R28&lt;0,'03_全链计算'!O50+1,0),IF('01_数值调参'!R29&lt;0,'03_全链计算'!P50+1,0),IF('01_数值调参'!R30&lt;0,'03_全链计算'!Q50+1,0),IF('01_数值调参'!R31&lt;0,'03_全链计算'!R50+1,0),IF('01_数值调参'!R32&lt;0,'03_全链计算'!S50+1,0),IF('01_数值调参'!R33&lt;0,'03_全链计算'!T50+1,0),IF('01_数值调参'!R34&lt;0,'03_全链计算'!U50+1,0),IF('01_数值调参'!R35&lt;0,'03_全链计算'!V50+1,0),IF('01_数值调参'!R36&lt;0,'03_全链计算'!W50+1,0),IF('01_数值调参'!R37&lt;0,'03_全链计算'!X50+1,0),IF('01_数值调参'!R38&lt;0,'03_全链计算'!Y50+1,0),IF('01_数值调参'!R39&lt;0,'03_全链计算'!Z50+1,0),IF('01_数值调参'!R40&lt;0,'03_全链计算'!AA50+1,0),IF('01_数值调参'!R41&lt;0,'03_全链计算'!AB50+1,0),IF('01_数值调参'!R42&lt;0,'03_全链计算'!AC50+1,0),IF('01_数值调参'!R43&lt;0,'03_全链计算'!AD50+1,0),IF('01_数值调参'!R44&lt;0,'03_全链计算'!AE50+1,0),IF('01_数值调参'!R45&lt;0,'03_全链计算'!AF50+1,0),IF('01_数值调参'!R46&lt;0,'03_全链计算'!AG50+1,0),IF('01_数值调参'!R47&lt;0,'03_全链计算'!AH50+1,0),IF('01_数值调参'!R48&lt;0,'03_全链计算'!AI50+1,0),IF('01_数值调参'!R49&lt;0,'03_全链计算'!AJ50+1,0),IF('01_数值调参'!R50&lt;0,'03_全链计算'!AK50+1,0),IF('01_数值调参'!R51&lt;0,'03_全链计算'!AL50+1,0),IF('01_数值调参'!R52&lt;0,'03_全链计算'!AM50+1,0))</x:f>
        <x:v>1</x:v>
      </x:c>
      <x:c r="S51" s="9" t="n">
        <x:f>MAX(IF('01_数值调参'!S18&lt;0,'03_全链计算'!E50+1,0),IF('01_数值调参'!S19&lt;0,'03_全链计算'!F50+1,0),IF('01_数值调参'!S20&lt;0,'03_全链计算'!G50+1,0),IF('01_数值调参'!S21&lt;0,'03_全链计算'!H50+1,0),IF('01_数值调参'!S22&lt;0,'03_全链计算'!I50+1,0),IF('01_数值调参'!S23&lt;0,'03_全链计算'!J50+1,0),IF('01_数值调参'!S24&lt;0,'03_全链计算'!K50+1,0),IF('01_数值调参'!S25&lt;0,'03_全链计算'!L50+1,0),IF('01_数值调参'!S26&lt;0,'03_全链计算'!M50+1,0),IF('01_数值调参'!S27&lt;0,'03_全链计算'!N50+1,0),IF('01_数值调参'!S28&lt;0,'03_全链计算'!O50+1,0),IF('01_数值调参'!S29&lt;0,'03_全链计算'!P50+1,0),IF('01_数值调参'!S30&lt;0,'03_全链计算'!Q50+1,0),IF('01_数值调参'!S31&lt;0,'03_全链计算'!R50+1,0),IF('01_数值调参'!S32&lt;0,'03_全链计算'!S50+1,0),IF('01_数值调参'!S33&lt;0,'03_全链计算'!T50+1,0),IF('01_数值调参'!S34&lt;0,'03_全链计算'!U50+1,0),IF('01_数值调参'!S35&lt;0,'03_全链计算'!V50+1,0),IF('01_数值调参'!S36&lt;0,'03_全链计算'!W50+1,0),IF('01_数值调参'!S37&lt;0,'03_全链计算'!X50+1,0),IF('01_数值调参'!S38&lt;0,'03_全链计算'!Y50+1,0),IF('01_数值调参'!S39&lt;0,'03_全链计算'!Z50+1,0),IF('01_数值调参'!S40&lt;0,'03_全链计算'!AA50+1,0),IF('01_数值调参'!S41&lt;0,'03_全链计算'!AB50+1,0),IF('01_数值调参'!S42&lt;0,'03_全链计算'!AC50+1,0),IF('01_数值调参'!S43&lt;0,'03_全链计算'!AD50+1,0),IF('01_数值调参'!S44&lt;0,'03_全链计算'!AE50+1,0),IF('01_数值调参'!S45&lt;0,'03_全链计算'!AF50+1,0),IF('01_数值调参'!S46&lt;0,'03_全链计算'!AG50+1,0),IF('01_数值调参'!S47&lt;0,'03_全链计算'!AH50+1,0),IF('01_数值调参'!S48&lt;0,'03_全链计算'!AI50+1,0),IF('01_数值调参'!S49&lt;0,'03_全链计算'!AJ50+1,0),IF('01_数值调参'!S50&lt;0,'03_全链计算'!AK50+1,0),IF('01_数值调参'!S51&lt;0,'03_全链计算'!AL50+1,0),IF('01_数值调参'!S52&lt;0,'03_全链计算'!AM50+1,0))</x:f>
        <x:v>1</x:v>
      </x:c>
      <x:c r="T51" s="9" t="n">
        <x:f>MAX(IF('01_数值调参'!T18&lt;0,'03_全链计算'!E50+1,0),IF('01_数值调参'!T19&lt;0,'03_全链计算'!F50+1,0),IF('01_数值调参'!T20&lt;0,'03_全链计算'!G50+1,0),IF('01_数值调参'!T21&lt;0,'03_全链计算'!H50+1,0),IF('01_数值调参'!T22&lt;0,'03_全链计算'!I50+1,0),IF('01_数值调参'!T23&lt;0,'03_全链计算'!J50+1,0),IF('01_数值调参'!T24&lt;0,'03_全链计算'!K50+1,0),IF('01_数值调参'!T25&lt;0,'03_全链计算'!L50+1,0),IF('01_数值调参'!T26&lt;0,'03_全链计算'!M50+1,0),IF('01_数值调参'!T27&lt;0,'03_全链计算'!N50+1,0),IF('01_数值调参'!T28&lt;0,'03_全链计算'!O50+1,0),IF('01_数值调参'!T29&lt;0,'03_全链计算'!P50+1,0),IF('01_数值调参'!T30&lt;0,'03_全链计算'!Q50+1,0),IF('01_数值调参'!T31&lt;0,'03_全链计算'!R50+1,0),IF('01_数值调参'!T32&lt;0,'03_全链计算'!S50+1,0),IF('01_数值调参'!T33&lt;0,'03_全链计算'!T50+1,0),IF('01_数值调参'!T34&lt;0,'03_全链计算'!U50+1,0),IF('01_数值调参'!T35&lt;0,'03_全链计算'!V50+1,0),IF('01_数值调参'!T36&lt;0,'03_全链计算'!W50+1,0),IF('01_数值调参'!T37&lt;0,'03_全链计算'!X50+1,0),IF('01_数值调参'!T38&lt;0,'03_全链计算'!Y50+1,0),IF('01_数值调参'!T39&lt;0,'03_全链计算'!Z50+1,0),IF('01_数值调参'!T40&lt;0,'03_全链计算'!AA50+1,0),IF('01_数值调参'!T41&lt;0,'03_全链计算'!AB50+1,0),IF('01_数值调参'!T42&lt;0,'03_全链计算'!AC50+1,0),IF('01_数值调参'!T43&lt;0,'03_全链计算'!AD50+1,0),IF('01_数值调参'!T44&lt;0,'03_全链计算'!AE50+1,0),IF('01_数值调参'!T45&lt;0,'03_全链计算'!AF50+1,0),IF('01_数值调参'!T46&lt;0,'03_全链计算'!AG50+1,0),IF('01_数值调参'!T47&lt;0,'03_全链计算'!AH50+1,0),IF('01_数值调参'!T48&lt;0,'03_全链计算'!AI50+1,0),IF('01_数值调参'!T49&lt;0,'03_全链计算'!AJ50+1,0),IF('01_数值调参'!T50&lt;0,'03_全链计算'!AK50+1,0),IF('01_数值调参'!T51&lt;0,'03_全链计算'!AL50+1,0),IF('01_数值调参'!T52&lt;0,'03_全链计算'!AM50+1,0))</x:f>
        <x:v>1</x:v>
      </x:c>
      <x:c r="U51" s="9" t="n">
        <x:f>MAX(IF('01_数值调参'!U18&lt;0,'03_全链计算'!E50+1,0),IF('01_数值调参'!U19&lt;0,'03_全链计算'!F50+1,0),IF('01_数值调参'!U20&lt;0,'03_全链计算'!G50+1,0),IF('01_数值调参'!U21&lt;0,'03_全链计算'!H50+1,0),IF('01_数值调参'!U22&lt;0,'03_全链计算'!I50+1,0),IF('01_数值调参'!U23&lt;0,'03_全链计算'!J50+1,0),IF('01_数值调参'!U24&lt;0,'03_全链计算'!K50+1,0),IF('01_数值调参'!U25&lt;0,'03_全链计算'!L50+1,0),IF('01_数值调参'!U26&lt;0,'03_全链计算'!M50+1,0),IF('01_数值调参'!U27&lt;0,'03_全链计算'!N50+1,0),IF('01_数值调参'!U28&lt;0,'03_全链计算'!O50+1,0),IF('01_数值调参'!U29&lt;0,'03_全链计算'!P50+1,0),IF('01_数值调参'!U30&lt;0,'03_全链计算'!Q50+1,0),IF('01_数值调参'!U31&lt;0,'03_全链计算'!R50+1,0),IF('01_数值调参'!U32&lt;0,'03_全链计算'!S50+1,0),IF('01_数值调参'!U33&lt;0,'03_全链计算'!T50+1,0),IF('01_数值调参'!U34&lt;0,'03_全链计算'!U50+1,0),IF('01_数值调参'!U35&lt;0,'03_全链计算'!V50+1,0),IF('01_数值调参'!U36&lt;0,'03_全链计算'!W50+1,0),IF('01_数值调参'!U37&lt;0,'03_全链计算'!X50+1,0),IF('01_数值调参'!U38&lt;0,'03_全链计算'!Y50+1,0),IF('01_数值调参'!U39&lt;0,'03_全链计算'!Z50+1,0),IF('01_数值调参'!U40&lt;0,'03_全链计算'!AA50+1,0),IF('01_数值调参'!U41&lt;0,'03_全链计算'!AB50+1,0),IF('01_数值调参'!U42&lt;0,'03_全链计算'!AC50+1,0),IF('01_数值调参'!U43&lt;0,'03_全链计算'!AD50+1,0),IF('01_数值调参'!U44&lt;0,'03_全链计算'!AE50+1,0),IF('01_数值调参'!U45&lt;0,'03_全链计算'!AF50+1,0),IF('01_数值调参'!U46&lt;0,'03_全链计算'!AG50+1,0),IF('01_数值调参'!U47&lt;0,'03_全链计算'!AH50+1,0),IF('01_数值调参'!U48&lt;0,'03_全链计算'!AI50+1,0),IF('01_数值调参'!U49&lt;0,'03_全链计算'!AJ50+1,0),IF('01_数值调参'!U50&lt;0,'03_全链计算'!AK50+1,0),IF('01_数值调参'!U51&lt;0,'03_全链计算'!AL50+1,0),IF('01_数值调参'!U52&lt;0,'03_全链计算'!AM50+1,0))</x:f>
        <x:v>1</x:v>
      </x:c>
      <x:c r="V51" s="9" t="n">
        <x:f>MAX(IF('01_数值调参'!V18&lt;0,'03_全链计算'!E50+1,0),IF('01_数值调参'!V19&lt;0,'03_全链计算'!F50+1,0),IF('01_数值调参'!V20&lt;0,'03_全链计算'!G50+1,0),IF('01_数值调参'!V21&lt;0,'03_全链计算'!H50+1,0),IF('01_数值调参'!V22&lt;0,'03_全链计算'!I50+1,0),IF('01_数值调参'!V23&lt;0,'03_全链计算'!J50+1,0),IF('01_数值调参'!V24&lt;0,'03_全链计算'!K50+1,0),IF('01_数值调参'!V25&lt;0,'03_全链计算'!L50+1,0),IF('01_数值调参'!V26&lt;0,'03_全链计算'!M50+1,0),IF('01_数值调参'!V27&lt;0,'03_全链计算'!N50+1,0),IF('01_数值调参'!V28&lt;0,'03_全链计算'!O50+1,0),IF('01_数值调参'!V29&lt;0,'03_全链计算'!P50+1,0),IF('01_数值调参'!V30&lt;0,'03_全链计算'!Q50+1,0),IF('01_数值调参'!V31&lt;0,'03_全链计算'!R50+1,0),IF('01_数值调参'!V32&lt;0,'03_全链计算'!S50+1,0),IF('01_数值调参'!V33&lt;0,'03_全链计算'!T50+1,0),IF('01_数值调参'!V34&lt;0,'03_全链计算'!U50+1,0),IF('01_数值调参'!V35&lt;0,'03_全链计算'!V50+1,0),IF('01_数值调参'!V36&lt;0,'03_全链计算'!W50+1,0),IF('01_数值调参'!V37&lt;0,'03_全链计算'!X50+1,0),IF('01_数值调参'!V38&lt;0,'03_全链计算'!Y50+1,0),IF('01_数值调参'!V39&lt;0,'03_全链计算'!Z50+1,0),IF('01_数值调参'!V40&lt;0,'03_全链计算'!AA50+1,0),IF('01_数值调参'!V41&lt;0,'03_全链计算'!AB50+1,0),IF('01_数值调参'!V42&lt;0,'03_全链计算'!AC50+1,0),IF('01_数值调参'!V43&lt;0,'03_全链计算'!AD50+1,0),IF('01_数值调参'!V44&lt;0,'03_全链计算'!AE50+1,0),IF('01_数值调参'!V45&lt;0,'03_全链计算'!AF50+1,0),IF('01_数值调参'!V46&lt;0,'03_全链计算'!AG50+1,0),IF('01_数值调参'!V47&lt;0,'03_全链计算'!AH50+1,0),IF('01_数值调参'!V48&lt;0,'03_全链计算'!AI50+1,0),IF('01_数值调参'!V49&lt;0,'03_全链计算'!AJ50+1,0),IF('01_数值调参'!V50&lt;0,'03_全链计算'!AK50+1,0),IF('01_数值调参'!V51&lt;0,'03_全链计算'!AL50+1,0),IF('01_数值调参'!V52&lt;0,'03_全链计算'!AM50+1,0))</x:f>
        <x:v>1</x:v>
      </x:c>
      <x:c r="W51" s="9" t="n">
        <x:f>MAX(IF('01_数值调参'!W18&lt;0,'03_全链计算'!E50+1,0),IF('01_数值调参'!W19&lt;0,'03_全链计算'!F50+1,0),IF('01_数值调参'!W20&lt;0,'03_全链计算'!G50+1,0),IF('01_数值调参'!W21&lt;0,'03_全链计算'!H50+1,0),IF('01_数值调参'!W22&lt;0,'03_全链计算'!I50+1,0),IF('01_数值调参'!W23&lt;0,'03_全链计算'!J50+1,0),IF('01_数值调参'!W24&lt;0,'03_全链计算'!K50+1,0),IF('01_数值调参'!W25&lt;0,'03_全链计算'!L50+1,0),IF('01_数值调参'!W26&lt;0,'03_全链计算'!M50+1,0),IF('01_数值调参'!W27&lt;0,'03_全链计算'!N50+1,0),IF('01_数值调参'!W28&lt;0,'03_全链计算'!O50+1,0),IF('01_数值调参'!W29&lt;0,'03_全链计算'!P50+1,0),IF('01_数值调参'!W30&lt;0,'03_全链计算'!Q50+1,0),IF('01_数值调参'!W31&lt;0,'03_全链计算'!R50+1,0),IF('01_数值调参'!W32&lt;0,'03_全链计算'!S50+1,0),IF('01_数值调参'!W33&lt;0,'03_全链计算'!T50+1,0),IF('01_数值调参'!W34&lt;0,'03_全链计算'!U50+1,0),IF('01_数值调参'!W35&lt;0,'03_全链计算'!V50+1,0),IF('01_数值调参'!W36&lt;0,'03_全链计算'!W50+1,0),IF('01_数值调参'!W37&lt;0,'03_全链计算'!X50+1,0),IF('01_数值调参'!W38&lt;0,'03_全链计算'!Y50+1,0),IF('01_数值调参'!W39&lt;0,'03_全链计算'!Z50+1,0),IF('01_数值调参'!W40&lt;0,'03_全链计算'!AA50+1,0),IF('01_数值调参'!W41&lt;0,'03_全链计算'!AB50+1,0),IF('01_数值调参'!W42&lt;0,'03_全链计算'!AC50+1,0),IF('01_数值调参'!W43&lt;0,'03_全链计算'!AD50+1,0),IF('01_数值调参'!W44&lt;0,'03_全链计算'!AE50+1,0),IF('01_数值调参'!W45&lt;0,'03_全链计算'!AF50+1,0),IF('01_数值调参'!W46&lt;0,'03_全链计算'!AG50+1,0),IF('01_数值调参'!W47&lt;0,'03_全链计算'!AH50+1,0),IF('01_数值调参'!W48&lt;0,'03_全链计算'!AI50+1,0),IF('01_数值调参'!W49&lt;0,'03_全链计算'!AJ50+1,0),IF('01_数值调参'!W50&lt;0,'03_全链计算'!AK50+1,0),IF('01_数值调参'!W51&lt;0,'03_全链计算'!AL50+1,0),IF('01_数值调参'!W52&lt;0,'03_全链计算'!AM50+1,0))</x:f>
        <x:v>1</x:v>
      </x:c>
      <x:c r="X51" s="9" t="n">
        <x:f>MAX(IF('01_数值调参'!X18&lt;0,'03_全链计算'!E50+1,0),IF('01_数值调参'!X19&lt;0,'03_全链计算'!F50+1,0),IF('01_数值调参'!X20&lt;0,'03_全链计算'!G50+1,0),IF('01_数值调参'!X21&lt;0,'03_全链计算'!H50+1,0),IF('01_数值调参'!X22&lt;0,'03_全链计算'!I50+1,0),IF('01_数值调参'!X23&lt;0,'03_全链计算'!J50+1,0),IF('01_数值调参'!X24&lt;0,'03_全链计算'!K50+1,0),IF('01_数值调参'!X25&lt;0,'03_全链计算'!L50+1,0),IF('01_数值调参'!X26&lt;0,'03_全链计算'!M50+1,0),IF('01_数值调参'!X27&lt;0,'03_全链计算'!N50+1,0),IF('01_数值调参'!X28&lt;0,'03_全链计算'!O50+1,0),IF('01_数值调参'!X29&lt;0,'03_全链计算'!P50+1,0),IF('01_数值调参'!X30&lt;0,'03_全链计算'!Q50+1,0),IF('01_数值调参'!X31&lt;0,'03_全链计算'!R50+1,0),IF('01_数值调参'!X32&lt;0,'03_全链计算'!S50+1,0),IF('01_数值调参'!X33&lt;0,'03_全链计算'!T50+1,0),IF('01_数值调参'!X34&lt;0,'03_全链计算'!U50+1,0),IF('01_数值调参'!X35&lt;0,'03_全链计算'!V50+1,0),IF('01_数值调参'!X36&lt;0,'03_全链计算'!W50+1,0),IF('01_数值调参'!X37&lt;0,'03_全链计算'!X50+1,0),IF('01_数值调参'!X38&lt;0,'03_全链计算'!Y50+1,0),IF('01_数值调参'!X39&lt;0,'03_全链计算'!Z50+1,0),IF('01_数值调参'!X40&lt;0,'03_全链计算'!AA50+1,0),IF('01_数值调参'!X41&lt;0,'03_全链计算'!AB50+1,0),IF('01_数值调参'!X42&lt;0,'03_全链计算'!AC50+1,0),IF('01_数值调参'!X43&lt;0,'03_全链计算'!AD50+1,0),IF('01_数值调参'!X44&lt;0,'03_全链计算'!AE50+1,0),IF('01_数值调参'!X45&lt;0,'03_全链计算'!AF50+1,0),IF('01_数值调参'!X46&lt;0,'03_全链计算'!AG50+1,0),IF('01_数值调参'!X47&lt;0,'03_全链计算'!AH50+1,0),IF('01_数值调参'!X48&lt;0,'03_全链计算'!AI50+1,0),IF('01_数值调参'!X49&lt;0,'03_全链计算'!AJ50+1,0),IF('01_数值调参'!X50&lt;0,'03_全链计算'!AK50+1,0),IF('01_数值调参'!X51&lt;0,'03_全链计算'!AL50+1,0),IF('01_数值调参'!X52&lt;0,'03_全链计算'!AM50+1,0))</x:f>
        <x:v>2</x:v>
      </x:c>
      <x:c r="Y51" s="9" t="n">
        <x:f>MAX(IF('01_数值调参'!Y18&lt;0,'03_全链计算'!E50+1,0),IF('01_数值调参'!Y19&lt;0,'03_全链计算'!F50+1,0),IF('01_数值调参'!Y20&lt;0,'03_全链计算'!G50+1,0),IF('01_数值调参'!Y21&lt;0,'03_全链计算'!H50+1,0),IF('01_数值调参'!Y22&lt;0,'03_全链计算'!I50+1,0),IF('01_数值调参'!Y23&lt;0,'03_全链计算'!J50+1,0),IF('01_数值调参'!Y24&lt;0,'03_全链计算'!K50+1,0),IF('01_数值调参'!Y25&lt;0,'03_全链计算'!L50+1,0),IF('01_数值调参'!Y26&lt;0,'03_全链计算'!M50+1,0),IF('01_数值调参'!Y27&lt;0,'03_全链计算'!N50+1,0),IF('01_数值调参'!Y28&lt;0,'03_全链计算'!O50+1,0),IF('01_数值调参'!Y29&lt;0,'03_全链计算'!P50+1,0),IF('01_数值调参'!Y30&lt;0,'03_全链计算'!Q50+1,0),IF('01_数值调参'!Y31&lt;0,'03_全链计算'!R50+1,0),IF('01_数值调参'!Y32&lt;0,'03_全链计算'!S50+1,0),IF('01_数值调参'!Y33&lt;0,'03_全链计算'!T50+1,0),IF('01_数值调参'!Y34&lt;0,'03_全链计算'!U50+1,0),IF('01_数值调参'!Y35&lt;0,'03_全链计算'!V50+1,0),IF('01_数值调参'!Y36&lt;0,'03_全链计算'!W50+1,0),IF('01_数值调参'!Y37&lt;0,'03_全链计算'!X50+1,0),IF('01_数值调参'!Y38&lt;0,'03_全链计算'!Y50+1,0),IF('01_数值调参'!Y39&lt;0,'03_全链计算'!Z50+1,0),IF('01_数值调参'!Y40&lt;0,'03_全链计算'!AA50+1,0),IF('01_数值调参'!Y41&lt;0,'03_全链计算'!AB50+1,0),IF('01_数值调参'!Y42&lt;0,'03_全链计算'!AC50+1,0),IF('01_数值调参'!Y43&lt;0,'03_全链计算'!AD50+1,0),IF('01_数值调参'!Y44&lt;0,'03_全链计算'!AE50+1,0),IF('01_数值调参'!Y45&lt;0,'03_全链计算'!AF50+1,0),IF('01_数值调参'!Y46&lt;0,'03_全链计算'!AG50+1,0),IF('01_数值调参'!Y47&lt;0,'03_全链计算'!AH50+1,0),IF('01_数值调参'!Y48&lt;0,'03_全链计算'!AI50+1,0),IF('01_数值调参'!Y49&lt;0,'03_全链计算'!AJ50+1,0),IF('01_数值调参'!Y50&lt;0,'03_全链计算'!AK50+1,0),IF('01_数值调参'!Y51&lt;0,'03_全链计算'!AL50+1,0),IF('01_数值调参'!Y52&lt;0,'03_全链计算'!AM50+1,0))</x:f>
        <x:v>2</x:v>
      </x:c>
      <x:c r="Z51" s="9" t="n">
        <x:f>MAX(IF('01_数值调参'!Z18&lt;0,'03_全链计算'!E50+1,0),IF('01_数值调参'!Z19&lt;0,'03_全链计算'!F50+1,0),IF('01_数值调参'!Z20&lt;0,'03_全链计算'!G50+1,0),IF('01_数值调参'!Z21&lt;0,'03_全链计算'!H50+1,0),IF('01_数值调参'!Z22&lt;0,'03_全链计算'!I50+1,0),IF('01_数值调参'!Z23&lt;0,'03_全链计算'!J50+1,0),IF('01_数值调参'!Z24&lt;0,'03_全链计算'!K50+1,0),IF('01_数值调参'!Z25&lt;0,'03_全链计算'!L50+1,0),IF('01_数值调参'!Z26&lt;0,'03_全链计算'!M50+1,0),IF('01_数值调参'!Z27&lt;0,'03_全链计算'!N50+1,0),IF('01_数值调参'!Z28&lt;0,'03_全链计算'!O50+1,0),IF('01_数值调参'!Z29&lt;0,'03_全链计算'!P50+1,0),IF('01_数值调参'!Z30&lt;0,'03_全链计算'!Q50+1,0),IF('01_数值调参'!Z31&lt;0,'03_全链计算'!R50+1,0),IF('01_数值调参'!Z32&lt;0,'03_全链计算'!S50+1,0),IF('01_数值调参'!Z33&lt;0,'03_全链计算'!T50+1,0),IF('01_数值调参'!Z34&lt;0,'03_全链计算'!U50+1,0),IF('01_数值调参'!Z35&lt;0,'03_全链计算'!V50+1,0),IF('01_数值调参'!Z36&lt;0,'03_全链计算'!W50+1,0),IF('01_数值调参'!Z37&lt;0,'03_全链计算'!X50+1,0),IF('01_数值调参'!Z38&lt;0,'03_全链计算'!Y50+1,0),IF('01_数值调参'!Z39&lt;0,'03_全链计算'!Z50+1,0),IF('01_数值调参'!Z40&lt;0,'03_全链计算'!AA50+1,0),IF('01_数值调参'!Z41&lt;0,'03_全链计算'!AB50+1,0),IF('01_数值调参'!Z42&lt;0,'03_全链计算'!AC50+1,0),IF('01_数值调参'!Z43&lt;0,'03_全链计算'!AD50+1,0),IF('01_数值调参'!Z44&lt;0,'03_全链计算'!AE50+1,0),IF('01_数值调参'!Z45&lt;0,'03_全链计算'!AF50+1,0),IF('01_数值调参'!Z46&lt;0,'03_全链计算'!AG50+1,0),IF('01_数值调参'!Z47&lt;0,'03_全链计算'!AH50+1,0),IF('01_数值调参'!Z48&lt;0,'03_全链计算'!AI50+1,0),IF('01_数值调参'!Z49&lt;0,'03_全链计算'!AJ50+1,0),IF('01_数值调参'!Z50&lt;0,'03_全链计算'!AK50+1,0),IF('01_数值调参'!Z51&lt;0,'03_全链计算'!AL50+1,0),IF('01_数值调参'!Z52&lt;0,'03_全链计算'!AM50+1,0))</x:f>
        <x:v>2</x:v>
      </x:c>
      <x:c r="AA51" s="9" t="n">
        <x:f>MAX(IF('01_数值调参'!AA18&lt;0,'03_全链计算'!E50+1,0),IF('01_数值调参'!AA19&lt;0,'03_全链计算'!F50+1,0),IF('01_数值调参'!AA20&lt;0,'03_全链计算'!G50+1,0),IF('01_数值调参'!AA21&lt;0,'03_全链计算'!H50+1,0),IF('01_数值调参'!AA22&lt;0,'03_全链计算'!I50+1,0),IF('01_数值调参'!AA23&lt;0,'03_全链计算'!J50+1,0),IF('01_数值调参'!AA24&lt;0,'03_全链计算'!K50+1,0),IF('01_数值调参'!AA25&lt;0,'03_全链计算'!L50+1,0),IF('01_数值调参'!AA26&lt;0,'03_全链计算'!M50+1,0),IF('01_数值调参'!AA27&lt;0,'03_全链计算'!N50+1,0),IF('01_数值调参'!AA28&lt;0,'03_全链计算'!O50+1,0),IF('01_数值调参'!AA29&lt;0,'03_全链计算'!P50+1,0),IF('01_数值调参'!AA30&lt;0,'03_全链计算'!Q50+1,0),IF('01_数值调参'!AA31&lt;0,'03_全链计算'!R50+1,0),IF('01_数值调参'!AA32&lt;0,'03_全链计算'!S50+1,0),IF('01_数值调参'!AA33&lt;0,'03_全链计算'!T50+1,0),IF('01_数值调参'!AA34&lt;0,'03_全链计算'!U50+1,0),IF('01_数值调参'!AA35&lt;0,'03_全链计算'!V50+1,0),IF('01_数值调参'!AA36&lt;0,'03_全链计算'!W50+1,0),IF('01_数值调参'!AA37&lt;0,'03_全链计算'!X50+1,0),IF('01_数值调参'!AA38&lt;0,'03_全链计算'!Y50+1,0),IF('01_数值调参'!AA39&lt;0,'03_全链计算'!Z50+1,0),IF('01_数值调参'!AA40&lt;0,'03_全链计算'!AA50+1,0),IF('01_数值调参'!AA41&lt;0,'03_全链计算'!AB50+1,0),IF('01_数值调参'!AA42&lt;0,'03_全链计算'!AC50+1,0),IF('01_数值调参'!AA43&lt;0,'03_全链计算'!AD50+1,0),IF('01_数值调参'!AA44&lt;0,'03_全链计算'!AE50+1,0),IF('01_数值调参'!AA45&lt;0,'03_全链计算'!AF50+1,0),IF('01_数值调参'!AA46&lt;0,'03_全链计算'!AG50+1,0),IF('01_数值调参'!AA47&lt;0,'03_全链计算'!AH50+1,0),IF('01_数值调参'!AA48&lt;0,'03_全链计算'!AI50+1,0),IF('01_数值调参'!AA49&lt;0,'03_全链计算'!AJ50+1,0),IF('01_数值调参'!AA50&lt;0,'03_全链计算'!AK50+1,0),IF('01_数值调参'!AA51&lt;0,'03_全链计算'!AL50+1,0),IF('01_数值调参'!AA52&lt;0,'03_全链计算'!AM50+1,0))</x:f>
        <x:v>2</x:v>
      </x:c>
      <x:c r="AB51" s="9" t="n">
        <x:f>MAX(IF('01_数值调参'!AB18&lt;0,'03_全链计算'!E50+1,0),IF('01_数值调参'!AB19&lt;0,'03_全链计算'!F50+1,0),IF('01_数值调参'!AB20&lt;0,'03_全链计算'!G50+1,0),IF('01_数值调参'!AB21&lt;0,'03_全链计算'!H50+1,0),IF('01_数值调参'!AB22&lt;0,'03_全链计算'!I50+1,0),IF('01_数值调参'!AB23&lt;0,'03_全链计算'!J50+1,0),IF('01_数值调参'!AB24&lt;0,'03_全链计算'!K50+1,0),IF('01_数值调参'!AB25&lt;0,'03_全链计算'!L50+1,0),IF('01_数值调参'!AB26&lt;0,'03_全链计算'!M50+1,0),IF('01_数值调参'!AB27&lt;0,'03_全链计算'!N50+1,0),IF('01_数值调参'!AB28&lt;0,'03_全链计算'!O50+1,0),IF('01_数值调参'!AB29&lt;0,'03_全链计算'!P50+1,0),IF('01_数值调参'!AB30&lt;0,'03_全链计算'!Q50+1,0),IF('01_数值调参'!AB31&lt;0,'03_全链计算'!R50+1,0),IF('01_数值调参'!AB32&lt;0,'03_全链计算'!S50+1,0),IF('01_数值调参'!AB33&lt;0,'03_全链计算'!T50+1,0),IF('01_数值调参'!AB34&lt;0,'03_全链计算'!U50+1,0),IF('01_数值调参'!AB35&lt;0,'03_全链计算'!V50+1,0),IF('01_数值调参'!AB36&lt;0,'03_全链计算'!W50+1,0),IF('01_数值调参'!AB37&lt;0,'03_全链计算'!X50+1,0),IF('01_数值调参'!AB38&lt;0,'03_全链计算'!Y50+1,0),IF('01_数值调参'!AB39&lt;0,'03_全链计算'!Z50+1,0),IF('01_数值调参'!AB40&lt;0,'03_全链计算'!AA50+1,0),IF('01_数值调参'!AB41&lt;0,'03_全链计算'!AB50+1,0),IF('01_数值调参'!AB42&lt;0,'03_全链计算'!AC50+1,0),IF('01_数值调参'!AB43&lt;0,'03_全链计算'!AD50+1,0),IF('01_数值调参'!AB44&lt;0,'03_全链计算'!AE50+1,0),IF('01_数值调参'!AB45&lt;0,'03_全链计算'!AF50+1,0),IF('01_数值调参'!AB46&lt;0,'03_全链计算'!AG50+1,0),IF('01_数值调参'!AB47&lt;0,'03_全链计算'!AH50+1,0),IF('01_数值调参'!AB48&lt;0,'03_全链计算'!AI50+1,0),IF('01_数值调参'!AB49&lt;0,'03_全链计算'!AJ50+1,0),IF('01_数值调参'!AB50&lt;0,'03_全链计算'!AK50+1,0),IF('01_数值调参'!AB51&lt;0,'03_全链计算'!AL50+1,0),IF('01_数值调参'!AB52&lt;0,'03_全链计算'!AM50+1,0))</x:f>
        <x:v>2</x:v>
      </x:c>
      <x:c r="AC51" s="9" t="n">
        <x:f>MAX(IF('01_数值调参'!AC18&lt;0,'03_全链计算'!E50+1,0),IF('01_数值调参'!AC19&lt;0,'03_全链计算'!F50+1,0),IF('01_数值调参'!AC20&lt;0,'03_全链计算'!G50+1,0),IF('01_数值调参'!AC21&lt;0,'03_全链计算'!H50+1,0),IF('01_数值调参'!AC22&lt;0,'03_全链计算'!I50+1,0),IF('01_数值调参'!AC23&lt;0,'03_全链计算'!J50+1,0),IF('01_数值调参'!AC24&lt;0,'03_全链计算'!K50+1,0),IF('01_数值调参'!AC25&lt;0,'03_全链计算'!L50+1,0),IF('01_数值调参'!AC26&lt;0,'03_全链计算'!M50+1,0),IF('01_数值调参'!AC27&lt;0,'03_全链计算'!N50+1,0),IF('01_数值调参'!AC28&lt;0,'03_全链计算'!O50+1,0),IF('01_数值调参'!AC29&lt;0,'03_全链计算'!P50+1,0),IF('01_数值调参'!AC30&lt;0,'03_全链计算'!Q50+1,0),IF('01_数值调参'!AC31&lt;0,'03_全链计算'!R50+1,0),IF('01_数值调参'!AC32&lt;0,'03_全链计算'!S50+1,0),IF('01_数值调参'!AC33&lt;0,'03_全链计算'!T50+1,0),IF('01_数值调参'!AC34&lt;0,'03_全链计算'!U50+1,0),IF('01_数值调参'!AC35&lt;0,'03_全链计算'!V50+1,0),IF('01_数值调参'!AC36&lt;0,'03_全链计算'!W50+1,0),IF('01_数值调参'!AC37&lt;0,'03_全链计算'!X50+1,0),IF('01_数值调参'!AC38&lt;0,'03_全链计算'!Y50+1,0),IF('01_数值调参'!AC39&lt;0,'03_全链计算'!Z50+1,0),IF('01_数值调参'!AC40&lt;0,'03_全链计算'!AA50+1,0),IF('01_数值调参'!AC41&lt;0,'03_全链计算'!AB50+1,0),IF('01_数值调参'!AC42&lt;0,'03_全链计算'!AC50+1,0),IF('01_数值调参'!AC43&lt;0,'03_全链计算'!AD50+1,0),IF('01_数值调参'!AC44&lt;0,'03_全链计算'!AE50+1,0),IF('01_数值调参'!AC45&lt;0,'03_全链计算'!AF50+1,0),IF('01_数值调参'!AC46&lt;0,'03_全链计算'!AG50+1,0),IF('01_数值调参'!AC47&lt;0,'03_全链计算'!AH50+1,0),IF('01_数值调参'!AC48&lt;0,'03_全链计算'!AI50+1,0),IF('01_数值调参'!AC49&lt;0,'03_全链计算'!AJ50+1,0),IF('01_数值调参'!AC50&lt;0,'03_全链计算'!AK50+1,0),IF('01_数值调参'!AC51&lt;0,'03_全链计算'!AL50+1,0),IF('01_数值调参'!AC52&lt;0,'03_全链计算'!AM50+1,0))</x:f>
        <x:v>2</x:v>
      </x:c>
      <x:c r="AD51" s="9" t="n">
        <x:f>MAX(IF('01_数值调参'!AD18&lt;0,'03_全链计算'!E50+1,0),IF('01_数值调参'!AD19&lt;0,'03_全链计算'!F50+1,0),IF('01_数值调参'!AD20&lt;0,'03_全链计算'!G50+1,0),IF('01_数值调参'!AD21&lt;0,'03_全链计算'!H50+1,0),IF('01_数值调参'!AD22&lt;0,'03_全链计算'!I50+1,0),IF('01_数值调参'!AD23&lt;0,'03_全链计算'!J50+1,0),IF('01_数值调参'!AD24&lt;0,'03_全链计算'!K50+1,0),IF('01_数值调参'!AD25&lt;0,'03_全链计算'!L50+1,0),IF('01_数值调参'!AD26&lt;0,'03_全链计算'!M50+1,0),IF('01_数值调参'!AD27&lt;0,'03_全链计算'!N50+1,0),IF('01_数值调参'!AD28&lt;0,'03_全链计算'!O50+1,0),IF('01_数值调参'!AD29&lt;0,'03_全链计算'!P50+1,0),IF('01_数值调参'!AD30&lt;0,'03_全链计算'!Q50+1,0),IF('01_数值调参'!AD31&lt;0,'03_全链计算'!R50+1,0),IF('01_数值调参'!AD32&lt;0,'03_全链计算'!S50+1,0),IF('01_数值调参'!AD33&lt;0,'03_全链计算'!T50+1,0),IF('01_数值调参'!AD34&lt;0,'03_全链计算'!U50+1,0),IF('01_数值调参'!AD35&lt;0,'03_全链计算'!V50+1,0),IF('01_数值调参'!AD36&lt;0,'03_全链计算'!W50+1,0),IF('01_数值调参'!AD37&lt;0,'03_全链计算'!X50+1,0),IF('01_数值调参'!AD38&lt;0,'03_全链计算'!Y50+1,0),IF('01_数值调参'!AD39&lt;0,'03_全链计算'!Z50+1,0),IF('01_数值调参'!AD40&lt;0,'03_全链计算'!AA50+1,0),IF('01_数值调参'!AD41&lt;0,'03_全链计算'!AB50+1,0),IF('01_数值调参'!AD42&lt;0,'03_全链计算'!AC50+1,0),IF('01_数值调参'!AD43&lt;0,'03_全链计算'!AD50+1,0),IF('01_数值调参'!AD44&lt;0,'03_全链计算'!AE50+1,0),IF('01_数值调参'!AD45&lt;0,'03_全链计算'!AF50+1,0),IF('01_数值调参'!AD46&lt;0,'03_全链计算'!AG50+1,0),IF('01_数值调参'!AD47&lt;0,'03_全链计算'!AH50+1,0),IF('01_数值调参'!AD48&lt;0,'03_全链计算'!AI50+1,0),IF('01_数值调参'!AD49&lt;0,'03_全链计算'!AJ50+1,0),IF('01_数值调参'!AD50&lt;0,'03_全链计算'!AK50+1,0),IF('01_数值调参'!AD51&lt;0,'03_全链计算'!AL50+1,0),IF('01_数值调参'!AD52&lt;0,'03_全链计算'!AM50+1,0))</x:f>
        <x:v>1</x:v>
      </x:c>
      <x:c r="AE51" s="9" t="n">
        <x:f>MAX(IF('01_数值调参'!AE18&lt;0,'03_全链计算'!E50+1,0),IF('01_数值调参'!AE19&lt;0,'03_全链计算'!F50+1,0),IF('01_数值调参'!AE20&lt;0,'03_全链计算'!G50+1,0),IF('01_数值调参'!AE21&lt;0,'03_全链计算'!H50+1,0),IF('01_数值调参'!AE22&lt;0,'03_全链计算'!I50+1,0),IF('01_数值调参'!AE23&lt;0,'03_全链计算'!J50+1,0),IF('01_数值调参'!AE24&lt;0,'03_全链计算'!K50+1,0),IF('01_数值调参'!AE25&lt;0,'03_全链计算'!L50+1,0),IF('01_数值调参'!AE26&lt;0,'03_全链计算'!M50+1,0),IF('01_数值调参'!AE27&lt;0,'03_全链计算'!N50+1,0),IF('01_数值调参'!AE28&lt;0,'03_全链计算'!O50+1,0),IF('01_数值调参'!AE29&lt;0,'03_全链计算'!P50+1,0),IF('01_数值调参'!AE30&lt;0,'03_全链计算'!Q50+1,0),IF('01_数值调参'!AE31&lt;0,'03_全链计算'!R50+1,0),IF('01_数值调参'!AE32&lt;0,'03_全链计算'!S50+1,0),IF('01_数值调参'!AE33&lt;0,'03_全链计算'!T50+1,0),IF('01_数值调参'!AE34&lt;0,'03_全链计算'!U50+1,0),IF('01_数值调参'!AE35&lt;0,'03_全链计算'!V50+1,0),IF('01_数值调参'!AE36&lt;0,'03_全链计算'!W50+1,0),IF('01_数值调参'!AE37&lt;0,'03_全链计算'!X50+1,0),IF('01_数值调参'!AE38&lt;0,'03_全链计算'!Y50+1,0),IF('01_数值调参'!AE39&lt;0,'03_全链计算'!Z50+1,0),IF('01_数值调参'!AE40&lt;0,'03_全链计算'!AA50+1,0),IF('01_数值调参'!AE41&lt;0,'03_全链计算'!AB50+1,0),IF('01_数值调参'!AE42&lt;0,'03_全链计算'!AC50+1,0),IF('01_数值调参'!AE43&lt;0,'03_全链计算'!AD50+1,0),IF('01_数值调参'!AE44&lt;0,'03_全链计算'!AE50+1,0),IF('01_数值调参'!AE45&lt;0,'03_全链计算'!AF50+1,0),IF('01_数值调参'!AE46&lt;0,'03_全链计算'!AG50+1,0),IF('01_数值调参'!AE47&lt;0,'03_全链计算'!AH50+1,0),IF('01_数值调参'!AE48&lt;0,'03_全链计算'!AI50+1,0),IF('01_数值调参'!AE49&lt;0,'03_全链计算'!AJ50+1,0),IF('01_数值调参'!AE50&lt;0,'03_全链计算'!AK50+1,0),IF('01_数值调参'!AE51&lt;0,'03_全链计算'!AL50+1,0),IF('01_数值调参'!AE52&lt;0,'03_全链计算'!AM50+1,0))</x:f>
        <x:v>1</x:v>
      </x:c>
      <x:c r="AF51" s="9" t="n">
        <x:f>MAX(IF('01_数值调参'!AF18&lt;0,'03_全链计算'!E50+1,0),IF('01_数值调参'!AF19&lt;0,'03_全链计算'!F50+1,0),IF('01_数值调参'!AF20&lt;0,'03_全链计算'!G50+1,0),IF('01_数值调参'!AF21&lt;0,'03_全链计算'!H50+1,0),IF('01_数值调参'!AF22&lt;0,'03_全链计算'!I50+1,0),IF('01_数值调参'!AF23&lt;0,'03_全链计算'!J50+1,0),IF('01_数值调参'!AF24&lt;0,'03_全链计算'!K50+1,0),IF('01_数值调参'!AF25&lt;0,'03_全链计算'!L50+1,0),IF('01_数值调参'!AF26&lt;0,'03_全链计算'!M50+1,0),IF('01_数值调参'!AF27&lt;0,'03_全链计算'!N50+1,0),IF('01_数值调参'!AF28&lt;0,'03_全链计算'!O50+1,0),IF('01_数值调参'!AF29&lt;0,'03_全链计算'!P50+1,0),IF('01_数值调参'!AF30&lt;0,'03_全链计算'!Q50+1,0),IF('01_数值调参'!AF31&lt;0,'03_全链计算'!R50+1,0),IF('01_数值调参'!AF32&lt;0,'03_全链计算'!S50+1,0),IF('01_数值调参'!AF33&lt;0,'03_全链计算'!T50+1,0),IF('01_数值调参'!AF34&lt;0,'03_全链计算'!U50+1,0),IF('01_数值调参'!AF35&lt;0,'03_全链计算'!V50+1,0),IF('01_数值调参'!AF36&lt;0,'03_全链计算'!W50+1,0),IF('01_数值调参'!AF37&lt;0,'03_全链计算'!X50+1,0),IF('01_数值调参'!AF38&lt;0,'03_全链计算'!Y50+1,0),IF('01_数值调参'!AF39&lt;0,'03_全链计算'!Z50+1,0),IF('01_数值调参'!AF40&lt;0,'03_全链计算'!AA50+1,0),IF('01_数值调参'!AF41&lt;0,'03_全链计算'!AB50+1,0),IF('01_数值调参'!AF42&lt;0,'03_全链计算'!AC50+1,0),IF('01_数值调参'!AF43&lt;0,'03_全链计算'!AD50+1,0),IF('01_数值调参'!AF44&lt;0,'03_全链计算'!AE50+1,0),IF('01_数值调参'!AF45&lt;0,'03_全链计算'!AF50+1,0),IF('01_数值调参'!AF46&lt;0,'03_全链计算'!AG50+1,0),IF('01_数值调参'!AF47&lt;0,'03_全链计算'!AH50+1,0),IF('01_数值调参'!AF48&lt;0,'03_全链计算'!AI50+1,0),IF('01_数值调参'!AF49&lt;0,'03_全链计算'!AJ50+1,0),IF('01_数值调参'!AF50&lt;0,'03_全链计算'!AK50+1,0),IF('01_数值调参'!AF51&lt;0,'03_全链计算'!AL50+1,0),IF('01_数值调参'!AF52&lt;0,'03_全链计算'!AM50+1,0))</x:f>
        <x:v>1</x:v>
      </x:c>
      <x:c r="AG51" s="9" t="n">
        <x:f>MAX(IF('01_数值调参'!AG18&lt;0,'03_全链计算'!E50+1,0),IF('01_数值调参'!AG19&lt;0,'03_全链计算'!F50+1,0),IF('01_数值调参'!AG20&lt;0,'03_全链计算'!G50+1,0),IF('01_数值调参'!AG21&lt;0,'03_全链计算'!H50+1,0),IF('01_数值调参'!AG22&lt;0,'03_全链计算'!I50+1,0),IF('01_数值调参'!AG23&lt;0,'03_全链计算'!J50+1,0),IF('01_数值调参'!AG24&lt;0,'03_全链计算'!K50+1,0),IF('01_数值调参'!AG25&lt;0,'03_全链计算'!L50+1,0),IF('01_数值调参'!AG26&lt;0,'03_全链计算'!M50+1,0),IF('01_数值调参'!AG27&lt;0,'03_全链计算'!N50+1,0),IF('01_数值调参'!AG28&lt;0,'03_全链计算'!O50+1,0),IF('01_数值调参'!AG29&lt;0,'03_全链计算'!P50+1,0),IF('01_数值调参'!AG30&lt;0,'03_全链计算'!Q50+1,0),IF('01_数值调参'!AG31&lt;0,'03_全链计算'!R50+1,0),IF('01_数值调参'!AG32&lt;0,'03_全链计算'!S50+1,0),IF('01_数值调参'!AG33&lt;0,'03_全链计算'!T50+1,0),IF('01_数值调参'!AG34&lt;0,'03_全链计算'!U50+1,0),IF('01_数值调参'!AG35&lt;0,'03_全链计算'!V50+1,0),IF('01_数值调参'!AG36&lt;0,'03_全链计算'!W50+1,0),IF('01_数值调参'!AG37&lt;0,'03_全链计算'!X50+1,0),IF('01_数值调参'!AG38&lt;0,'03_全链计算'!Y50+1,0),IF('01_数值调参'!AG39&lt;0,'03_全链计算'!Z50+1,0),IF('01_数值调参'!AG40&lt;0,'03_全链计算'!AA50+1,0),IF('01_数值调参'!AG41&lt;0,'03_全链计算'!AB50+1,0),IF('01_数值调参'!AG42&lt;0,'03_全链计算'!AC50+1,0),IF('01_数值调参'!AG43&lt;0,'03_全链计算'!AD50+1,0),IF('01_数值调参'!AG44&lt;0,'03_全链计算'!AE50+1,0),IF('01_数值调参'!AG45&lt;0,'03_全链计算'!AF50+1,0),IF('01_数值调参'!AG46&lt;0,'03_全链计算'!AG50+1,0),IF('01_数值调参'!AG47&lt;0,'03_全链计算'!AH50+1,0),IF('01_数值调参'!AG48&lt;0,'03_全链计算'!AI50+1,0),IF('01_数值调参'!AG49&lt;0,'03_全链计算'!AJ50+1,0),IF('01_数值调参'!AG50&lt;0,'03_全链计算'!AK50+1,0),IF('01_数值调参'!AG51&lt;0,'03_全链计算'!AL50+1,0),IF('01_数值调参'!AG52&lt;0,'03_全链计算'!AM50+1,0))</x:f>
        <x:v>1</x:v>
      </x:c>
      <x:c r="AH51" s="9" t="n">
        <x:f>MAX(IF('01_数值调参'!AH18&lt;0,'03_全链计算'!E50+1,0),IF('01_数值调参'!AH19&lt;0,'03_全链计算'!F50+1,0),IF('01_数值调参'!AH20&lt;0,'03_全链计算'!G50+1,0),IF('01_数值调参'!AH21&lt;0,'03_全链计算'!H50+1,0),IF('01_数值调参'!AH22&lt;0,'03_全链计算'!I50+1,0),IF('01_数值调参'!AH23&lt;0,'03_全链计算'!J50+1,0),IF('01_数值调参'!AH24&lt;0,'03_全链计算'!K50+1,0),IF('01_数值调参'!AH25&lt;0,'03_全链计算'!L50+1,0),IF('01_数值调参'!AH26&lt;0,'03_全链计算'!M50+1,0),IF('01_数值调参'!AH27&lt;0,'03_全链计算'!N50+1,0),IF('01_数值调参'!AH28&lt;0,'03_全链计算'!O50+1,0),IF('01_数值调参'!AH29&lt;0,'03_全链计算'!P50+1,0),IF('01_数值调参'!AH30&lt;0,'03_全链计算'!Q50+1,0),IF('01_数值调参'!AH31&lt;0,'03_全链计算'!R50+1,0),IF('01_数值调参'!AH32&lt;0,'03_全链计算'!S50+1,0),IF('01_数值调参'!AH33&lt;0,'03_全链计算'!T50+1,0),IF('01_数值调参'!AH34&lt;0,'03_全链计算'!U50+1,0),IF('01_数值调参'!AH35&lt;0,'03_全链计算'!V50+1,0),IF('01_数值调参'!AH36&lt;0,'03_全链计算'!W50+1,0),IF('01_数值调参'!AH37&lt;0,'03_全链计算'!X50+1,0),IF('01_数值调参'!AH38&lt;0,'03_全链计算'!Y50+1,0),IF('01_数值调参'!AH39&lt;0,'03_全链计算'!Z50+1,0),IF('01_数值调参'!AH40&lt;0,'03_全链计算'!AA50+1,0),IF('01_数值调参'!AH41&lt;0,'03_全链计算'!AB50+1,0),IF('01_数值调参'!AH42&lt;0,'03_全链计算'!AC50+1,0),IF('01_数值调参'!AH43&lt;0,'03_全链计算'!AD50+1,0),IF('01_数值调参'!AH44&lt;0,'03_全链计算'!AE50+1,0),IF('01_数值调参'!AH45&lt;0,'03_全链计算'!AF50+1,0),IF('01_数值调参'!AH46&lt;0,'03_全链计算'!AG50+1,0),IF('01_数值调参'!AH47&lt;0,'03_全链计算'!AH50+1,0),IF('01_数值调参'!AH48&lt;0,'03_全链计算'!AI50+1,0),IF('01_数值调参'!AH49&lt;0,'03_全链计算'!AJ50+1,0),IF('01_数值调参'!AH50&lt;0,'03_全链计算'!AK50+1,0),IF('01_数值调参'!AH51&lt;0,'03_全链计算'!AL50+1,0),IF('01_数值调参'!AH52&lt;0,'03_全链计算'!AM50+1,0))</x:f>
        <x:v>2</x:v>
      </x:c>
      <x:c r="AI51" s="9" t="n">
        <x:f>MAX(IF('01_数值调参'!AI18&lt;0,'03_全链计算'!E50+1,0),IF('01_数值调参'!AI19&lt;0,'03_全链计算'!F50+1,0),IF('01_数值调参'!AI20&lt;0,'03_全链计算'!G50+1,0),IF('01_数值调参'!AI21&lt;0,'03_全链计算'!H50+1,0),IF('01_数值调参'!AI22&lt;0,'03_全链计算'!I50+1,0),IF('01_数值调参'!AI23&lt;0,'03_全链计算'!J50+1,0),IF('01_数值调参'!AI24&lt;0,'03_全链计算'!K50+1,0),IF('01_数值调参'!AI25&lt;0,'03_全链计算'!L50+1,0),IF('01_数值调参'!AI26&lt;0,'03_全链计算'!M50+1,0),IF('01_数值调参'!AI27&lt;0,'03_全链计算'!N50+1,0),IF('01_数值调参'!AI28&lt;0,'03_全链计算'!O50+1,0),IF('01_数值调参'!AI29&lt;0,'03_全链计算'!P50+1,0),IF('01_数值调参'!AI30&lt;0,'03_全链计算'!Q50+1,0),IF('01_数值调参'!AI31&lt;0,'03_全链计算'!R50+1,0),IF('01_数值调参'!AI32&lt;0,'03_全链计算'!S50+1,0),IF('01_数值调参'!AI33&lt;0,'03_全链计算'!T50+1,0),IF('01_数值调参'!AI34&lt;0,'03_全链计算'!U50+1,0),IF('01_数值调参'!AI35&lt;0,'03_全链计算'!V50+1,0),IF('01_数值调参'!AI36&lt;0,'03_全链计算'!W50+1,0),IF('01_数值调参'!AI37&lt;0,'03_全链计算'!X50+1,0),IF('01_数值调参'!AI38&lt;0,'03_全链计算'!Y50+1,0),IF('01_数值调参'!AI39&lt;0,'03_全链计算'!Z50+1,0),IF('01_数值调参'!AI40&lt;0,'03_全链计算'!AA50+1,0),IF('01_数值调参'!AI41&lt;0,'03_全链计算'!AB50+1,0),IF('01_数值调参'!AI42&lt;0,'03_全链计算'!AC50+1,0),IF('01_数值调参'!AI43&lt;0,'03_全链计算'!AD50+1,0),IF('01_数值调参'!AI44&lt;0,'03_全链计算'!AE50+1,0),IF('01_数值调参'!AI45&lt;0,'03_全链计算'!AF50+1,0),IF('01_数值调参'!AI46&lt;0,'03_全链计算'!AG50+1,0),IF('01_数值调参'!AI47&lt;0,'03_全链计算'!AH50+1,0),IF('01_数值调参'!AI48&lt;0,'03_全链计算'!AI50+1,0),IF('01_数值调参'!AI49&lt;0,'03_全链计算'!AJ50+1,0),IF('01_数值调参'!AI50&lt;0,'03_全链计算'!AK50+1,0),IF('01_数值调参'!AI51&lt;0,'03_全链计算'!AL50+1,0),IF('01_数值调参'!AI52&lt;0,'03_全链计算'!AM50+1,0))</x:f>
        <x:v>2</x:v>
      </x:c>
      <x:c r="AJ51" s="9" t="n">
        <x:f>MAX(IF('01_数值调参'!AJ18&lt;0,'03_全链计算'!E50+1,0),IF('01_数值调参'!AJ19&lt;0,'03_全链计算'!F50+1,0),IF('01_数值调参'!AJ20&lt;0,'03_全链计算'!G50+1,0),IF('01_数值调参'!AJ21&lt;0,'03_全链计算'!H50+1,0),IF('01_数值调参'!AJ22&lt;0,'03_全链计算'!I50+1,0),IF('01_数值调参'!AJ23&lt;0,'03_全链计算'!J50+1,0),IF('01_数值调参'!AJ24&lt;0,'03_全链计算'!K50+1,0),IF('01_数值调参'!AJ25&lt;0,'03_全链计算'!L50+1,0),IF('01_数值调参'!AJ26&lt;0,'03_全链计算'!M50+1,0),IF('01_数值调参'!AJ27&lt;0,'03_全链计算'!N50+1,0),IF('01_数值调参'!AJ28&lt;0,'03_全链计算'!O50+1,0),IF('01_数值调参'!AJ29&lt;0,'03_全链计算'!P50+1,0),IF('01_数值调参'!AJ30&lt;0,'03_全链计算'!Q50+1,0),IF('01_数值调参'!AJ31&lt;0,'03_全链计算'!R50+1,0),IF('01_数值调参'!AJ32&lt;0,'03_全链计算'!S50+1,0),IF('01_数值调参'!AJ33&lt;0,'03_全链计算'!T50+1,0),IF('01_数值调参'!AJ34&lt;0,'03_全链计算'!U50+1,0),IF('01_数值调参'!AJ35&lt;0,'03_全链计算'!V50+1,0),IF('01_数值调参'!AJ36&lt;0,'03_全链计算'!W50+1,0),IF('01_数值调参'!AJ37&lt;0,'03_全链计算'!X50+1,0),IF('01_数值调参'!AJ38&lt;0,'03_全链计算'!Y50+1,0),IF('01_数值调参'!AJ39&lt;0,'03_全链计算'!Z50+1,0),IF('01_数值调参'!AJ40&lt;0,'03_全链计算'!AA50+1,0),IF('01_数值调参'!AJ41&lt;0,'03_全链计算'!AB50+1,0),IF('01_数值调参'!AJ42&lt;0,'03_全链计算'!AC50+1,0),IF('01_数值调参'!AJ43&lt;0,'03_全链计算'!AD50+1,0),IF('01_数值调参'!AJ44&lt;0,'03_全链计算'!AE50+1,0),IF('01_数值调参'!AJ45&lt;0,'03_全链计算'!AF50+1,0),IF('01_数值调参'!AJ46&lt;0,'03_全链计算'!AG50+1,0),IF('01_数值调参'!AJ47&lt;0,'03_全链计算'!AH50+1,0),IF('01_数值调参'!AJ48&lt;0,'03_全链计算'!AI50+1,0),IF('01_数值调参'!AJ49&lt;0,'03_全链计算'!AJ50+1,0),IF('01_数值调参'!AJ50&lt;0,'03_全链计算'!AK50+1,0),IF('01_数值调参'!AJ51&lt;0,'03_全链计算'!AL50+1,0),IF('01_数值调参'!AJ52&lt;0,'03_全链计算'!AM50+1,0))</x:f>
        <x:v>2</x:v>
      </x:c>
      <x:c r="AK51" s="9" t="n">
        <x:f>MAX(IF('01_数值调参'!AK18&lt;0,'03_全链计算'!E50+1,0),IF('01_数值调参'!AK19&lt;0,'03_全链计算'!F50+1,0),IF('01_数值调参'!AK20&lt;0,'03_全链计算'!G50+1,0),IF('01_数值调参'!AK21&lt;0,'03_全链计算'!H50+1,0),IF('01_数值调参'!AK22&lt;0,'03_全链计算'!I50+1,0),IF('01_数值调参'!AK23&lt;0,'03_全链计算'!J50+1,0),IF('01_数值调参'!AK24&lt;0,'03_全链计算'!K50+1,0),IF('01_数值调参'!AK25&lt;0,'03_全链计算'!L50+1,0),IF('01_数值调参'!AK26&lt;0,'03_全链计算'!M50+1,0),IF('01_数值调参'!AK27&lt;0,'03_全链计算'!N50+1,0),IF('01_数值调参'!AK28&lt;0,'03_全链计算'!O50+1,0),IF('01_数值调参'!AK29&lt;0,'03_全链计算'!P50+1,0),IF('01_数值调参'!AK30&lt;0,'03_全链计算'!Q50+1,0),IF('01_数值调参'!AK31&lt;0,'03_全链计算'!R50+1,0),IF('01_数值调参'!AK32&lt;0,'03_全链计算'!S50+1,0),IF('01_数值调参'!AK33&lt;0,'03_全链计算'!T50+1,0),IF('01_数值调参'!AK34&lt;0,'03_全链计算'!U50+1,0),IF('01_数值调参'!AK35&lt;0,'03_全链计算'!V50+1,0),IF('01_数值调参'!AK36&lt;0,'03_全链计算'!W50+1,0),IF('01_数值调参'!AK37&lt;0,'03_全链计算'!X50+1,0),IF('01_数值调参'!AK38&lt;0,'03_全链计算'!Y50+1,0),IF('01_数值调参'!AK39&lt;0,'03_全链计算'!Z50+1,0),IF('01_数值调参'!AK40&lt;0,'03_全链计算'!AA50+1,0),IF('01_数值调参'!AK41&lt;0,'03_全链计算'!AB50+1,0),IF('01_数值调参'!AK42&lt;0,'03_全链计算'!AC50+1,0),IF('01_数值调参'!AK43&lt;0,'03_全链计算'!AD50+1,0),IF('01_数值调参'!AK44&lt;0,'03_全链计算'!AE50+1,0),IF('01_数值调参'!AK45&lt;0,'03_全链计算'!AF50+1,0),IF('01_数值调参'!AK46&lt;0,'03_全链计算'!AG50+1,0),IF('01_数值调参'!AK47&lt;0,'03_全链计算'!AH50+1,0),IF('01_数值调参'!AK48&lt;0,'03_全链计算'!AI50+1,0),IF('01_数值调参'!AK49&lt;0,'03_全链计算'!AJ50+1,0),IF('01_数值调参'!AK50&lt;0,'03_全链计算'!AK50+1,0),IF('01_数值调参'!AK51&lt;0,'03_全链计算'!AL50+1,0),IF('01_数值调参'!AK52&lt;0,'03_全链计算'!AM50+1,0))</x:f>
        <x:v>2</x:v>
      </x:c>
      <x:c r="AL51" s="9" t="n">
        <x:f>MAX(IF('01_数值调参'!AL18&lt;0,'03_全链计算'!E50+1,0),IF('01_数值调参'!AL19&lt;0,'03_全链计算'!F50+1,0),IF('01_数值调参'!AL20&lt;0,'03_全链计算'!G50+1,0),IF('01_数值调参'!AL21&lt;0,'03_全链计算'!H50+1,0),IF('01_数值调参'!AL22&lt;0,'03_全链计算'!I50+1,0),IF('01_数值调参'!AL23&lt;0,'03_全链计算'!J50+1,0),IF('01_数值调参'!AL24&lt;0,'03_全链计算'!K50+1,0),IF('01_数值调参'!AL25&lt;0,'03_全链计算'!L50+1,0),IF('01_数值调参'!AL26&lt;0,'03_全链计算'!M50+1,0),IF('01_数值调参'!AL27&lt;0,'03_全链计算'!N50+1,0),IF('01_数值调参'!AL28&lt;0,'03_全链计算'!O50+1,0),IF('01_数值调参'!AL29&lt;0,'03_全链计算'!P50+1,0),IF('01_数值调参'!AL30&lt;0,'03_全链计算'!Q50+1,0),IF('01_数值调参'!AL31&lt;0,'03_全链计算'!R50+1,0),IF('01_数值调参'!AL32&lt;0,'03_全链计算'!S50+1,0),IF('01_数值调参'!AL33&lt;0,'03_全链计算'!T50+1,0),IF('01_数值调参'!AL34&lt;0,'03_全链计算'!U50+1,0),IF('01_数值调参'!AL35&lt;0,'03_全链计算'!V50+1,0),IF('01_数值调参'!AL36&lt;0,'03_全链计算'!W50+1,0),IF('01_数值调参'!AL37&lt;0,'03_全链计算'!X50+1,0),IF('01_数值调参'!AL38&lt;0,'03_全链计算'!Y50+1,0),IF('01_数值调参'!AL39&lt;0,'03_全链计算'!Z50+1,0),IF('01_数值调参'!AL40&lt;0,'03_全链计算'!AA50+1,0),IF('01_数值调参'!AL41&lt;0,'03_全链计算'!AB50+1,0),IF('01_数值调参'!AL42&lt;0,'03_全链计算'!AC50+1,0),IF('01_数值调参'!AL43&lt;0,'03_全链计算'!AD50+1,0),IF('01_数值调参'!AL44&lt;0,'03_全链计算'!AE50+1,0),IF('01_数值调参'!AL45&lt;0,'03_全链计算'!AF50+1,0),IF('01_数值调参'!AL46&lt;0,'03_全链计算'!AG50+1,0),IF('01_数值调参'!AL47&lt;0,'03_全链计算'!AH50+1,0),IF('01_数值调参'!AL48&lt;0,'03_全链计算'!AI50+1,0),IF('01_数值调参'!AL49&lt;0,'03_全链计算'!AJ50+1,0),IF('01_数值调参'!AL50&lt;0,'03_全链计算'!AK50+1,0),IF('01_数值调参'!AL51&lt;0,'03_全链计算'!AL50+1,0),IF('01_数值调参'!AL52&lt;0,'03_全链计算'!AM50+1,0))</x:f>
        <x:v>3</x:v>
      </x:c>
      <x:c r="AM51" s="9" t="n">
        <x:f>MAX(IF('01_数值调参'!AM18&lt;0,'03_全链计算'!E50+1,0),IF('01_数值调参'!AM19&lt;0,'03_全链计算'!F50+1,0),IF('01_数值调参'!AM20&lt;0,'03_全链计算'!G50+1,0),IF('01_数值调参'!AM21&lt;0,'03_全链计算'!H50+1,0),IF('01_数值调参'!AM22&lt;0,'03_全链计算'!I50+1,0),IF('01_数值调参'!AM23&lt;0,'03_全链计算'!J50+1,0),IF('01_数值调参'!AM24&lt;0,'03_全链计算'!K50+1,0),IF('01_数值调参'!AM25&lt;0,'03_全链计算'!L50+1,0),IF('01_数值调参'!AM26&lt;0,'03_全链计算'!M50+1,0),IF('01_数值调参'!AM27&lt;0,'03_全链计算'!N50+1,0),IF('01_数值调参'!AM28&lt;0,'03_全链计算'!O50+1,0),IF('01_数值调参'!AM29&lt;0,'03_全链计算'!P50+1,0),IF('01_数值调参'!AM30&lt;0,'03_全链计算'!Q50+1,0),IF('01_数值调参'!AM31&lt;0,'03_全链计算'!R50+1,0),IF('01_数值调参'!AM32&lt;0,'03_全链计算'!S50+1,0),IF('01_数值调参'!AM33&lt;0,'03_全链计算'!T50+1,0),IF('01_数值调参'!AM34&lt;0,'03_全链计算'!U50+1,0),IF('01_数值调参'!AM35&lt;0,'03_全链计算'!V50+1,0),IF('01_数值调参'!AM36&lt;0,'03_全链计算'!W50+1,0),IF('01_数值调参'!AM37&lt;0,'03_全链计算'!X50+1,0),IF('01_数值调参'!AM38&lt;0,'03_全链计算'!Y50+1,0),IF('01_数值调参'!AM39&lt;0,'03_全链计算'!Z50+1,0),IF('01_数值调参'!AM40&lt;0,'03_全链计算'!AA50+1,0),IF('01_数值调参'!AM41&lt;0,'03_全链计算'!AB50+1,0),IF('01_数值调参'!AM42&lt;0,'03_全链计算'!AC50+1,0),IF('01_数值调参'!AM43&lt;0,'03_全链计算'!AD50+1,0),IF('01_数值调参'!AM44&lt;0,'03_全链计算'!AE50+1,0),IF('01_数值调参'!AM45&lt;0,'03_全链计算'!AF50+1,0),IF('01_数值调参'!AM46&lt;0,'03_全链计算'!AG50+1,0),IF('01_数值调参'!AM47&lt;0,'03_全链计算'!AH50+1,0),IF('01_数值调参'!AM48&lt;0,'03_全链计算'!AI50+1,0),IF('01_数值调参'!AM49&lt;0,'03_全链计算'!AJ50+1,0),IF('01_数值调参'!AM50&lt;0,'03_全链计算'!AK50+1,0),IF('01_数值调参'!AM51&lt;0,'03_全链计算'!AL50+1,0),IF('01_数值调参'!AM52&lt;0,'03_全链计算'!AM50+1,0))</x:f>
        <x:v>3</x:v>
      </x:c>
    </x:row>
    <x:row r="52" ht="22" customHeight="1">
      <x:c r="A52" s="9" t="n">
        <x:v>7</x:v>
      </x:c>
      <x:c r="B52" s="9"/>
      <x:c r="C52" s="9"/>
      <x:c r="D52" s="9"/>
      <x:c r="E52" s="9" t="n">
        <x:f>MAX(IF('01_数值调参'!E18&lt;0,'03_全链计算'!E51+1,0),IF('01_数值调参'!E19&lt;0,'03_全链计算'!F51+1,0),IF('01_数值调参'!E20&lt;0,'03_全链计算'!G51+1,0),IF('01_数值调参'!E21&lt;0,'03_全链计算'!H51+1,0),IF('01_数值调参'!E22&lt;0,'03_全链计算'!I51+1,0),IF('01_数值调参'!E23&lt;0,'03_全链计算'!J51+1,0),IF('01_数值调参'!E24&lt;0,'03_全链计算'!K51+1,0),IF('01_数值调参'!E25&lt;0,'03_全链计算'!L51+1,0),IF('01_数值调参'!E26&lt;0,'03_全链计算'!M51+1,0),IF('01_数值调参'!E27&lt;0,'03_全链计算'!N51+1,0),IF('01_数值调参'!E28&lt;0,'03_全链计算'!O51+1,0),IF('01_数值调参'!E29&lt;0,'03_全链计算'!P51+1,0),IF('01_数值调参'!E30&lt;0,'03_全链计算'!Q51+1,0),IF('01_数值调参'!E31&lt;0,'03_全链计算'!R51+1,0),IF('01_数值调参'!E32&lt;0,'03_全链计算'!S51+1,0),IF('01_数值调参'!E33&lt;0,'03_全链计算'!T51+1,0),IF('01_数值调参'!E34&lt;0,'03_全链计算'!U51+1,0),IF('01_数值调参'!E35&lt;0,'03_全链计算'!V51+1,0),IF('01_数值调参'!E36&lt;0,'03_全链计算'!W51+1,0),IF('01_数值调参'!E37&lt;0,'03_全链计算'!X51+1,0),IF('01_数值调参'!E38&lt;0,'03_全链计算'!Y51+1,0),IF('01_数值调参'!E39&lt;0,'03_全链计算'!Z51+1,0),IF('01_数值调参'!E40&lt;0,'03_全链计算'!AA51+1,0),IF('01_数值调参'!E41&lt;0,'03_全链计算'!AB51+1,0),IF('01_数值调参'!E42&lt;0,'03_全链计算'!AC51+1,0),IF('01_数值调参'!E43&lt;0,'03_全链计算'!AD51+1,0),IF('01_数值调参'!E44&lt;0,'03_全链计算'!AE51+1,0),IF('01_数值调参'!E45&lt;0,'03_全链计算'!AF51+1,0),IF('01_数值调参'!E46&lt;0,'03_全链计算'!AG51+1,0),IF('01_数值调参'!E47&lt;0,'03_全链计算'!AH51+1,0),IF('01_数值调参'!E48&lt;0,'03_全链计算'!AI51+1,0),IF('01_数值调参'!E49&lt;0,'03_全链计算'!AJ51+1,0),IF('01_数值调参'!E50&lt;0,'03_全链计算'!AK51+1,0),IF('01_数值调参'!E51&lt;0,'03_全链计算'!AL51+1,0),IF('01_数值调参'!E52&lt;0,'03_全链计算'!AM51+1,0))</x:f>
        <x:v>0</x:v>
      </x:c>
      <x:c r="F52" s="9" t="n">
        <x:f>MAX(IF('01_数值调参'!F18&lt;0,'03_全链计算'!E51+1,0),IF('01_数值调参'!F19&lt;0,'03_全链计算'!F51+1,0),IF('01_数值调参'!F20&lt;0,'03_全链计算'!G51+1,0),IF('01_数值调参'!F21&lt;0,'03_全链计算'!H51+1,0),IF('01_数值调参'!F22&lt;0,'03_全链计算'!I51+1,0),IF('01_数值调参'!F23&lt;0,'03_全链计算'!J51+1,0),IF('01_数值调参'!F24&lt;0,'03_全链计算'!K51+1,0),IF('01_数值调参'!F25&lt;0,'03_全链计算'!L51+1,0),IF('01_数值调参'!F26&lt;0,'03_全链计算'!M51+1,0),IF('01_数值调参'!F27&lt;0,'03_全链计算'!N51+1,0),IF('01_数值调参'!F28&lt;0,'03_全链计算'!O51+1,0),IF('01_数值调参'!F29&lt;0,'03_全链计算'!P51+1,0),IF('01_数值调参'!F30&lt;0,'03_全链计算'!Q51+1,0),IF('01_数值调参'!F31&lt;0,'03_全链计算'!R51+1,0),IF('01_数值调参'!F32&lt;0,'03_全链计算'!S51+1,0),IF('01_数值调参'!F33&lt;0,'03_全链计算'!T51+1,0),IF('01_数值调参'!F34&lt;0,'03_全链计算'!U51+1,0),IF('01_数值调参'!F35&lt;0,'03_全链计算'!V51+1,0),IF('01_数值调参'!F36&lt;0,'03_全链计算'!W51+1,0),IF('01_数值调参'!F37&lt;0,'03_全链计算'!X51+1,0),IF('01_数值调参'!F38&lt;0,'03_全链计算'!Y51+1,0),IF('01_数值调参'!F39&lt;0,'03_全链计算'!Z51+1,0),IF('01_数值调参'!F40&lt;0,'03_全链计算'!AA51+1,0),IF('01_数值调参'!F41&lt;0,'03_全链计算'!AB51+1,0),IF('01_数值调参'!F42&lt;0,'03_全链计算'!AC51+1,0),IF('01_数值调参'!F43&lt;0,'03_全链计算'!AD51+1,0),IF('01_数值调参'!F44&lt;0,'03_全链计算'!AE51+1,0),IF('01_数值调参'!F45&lt;0,'03_全链计算'!AF51+1,0),IF('01_数值调参'!F46&lt;0,'03_全链计算'!AG51+1,0),IF('01_数值调参'!F47&lt;0,'03_全链计算'!AH51+1,0),IF('01_数值调参'!F48&lt;0,'03_全链计算'!AI51+1,0),IF('01_数值调参'!F49&lt;0,'03_全链计算'!AJ51+1,0),IF('01_数值调参'!F50&lt;0,'03_全链计算'!AK51+1,0),IF('01_数值调参'!F51&lt;0,'03_全链计算'!AL51+1,0),IF('01_数值调参'!F52&lt;0,'03_全链计算'!AM51+1,0))</x:f>
        <x:v>0</x:v>
      </x:c>
      <x:c r="G52" s="9" t="n">
        <x:f>MAX(IF('01_数值调参'!G18&lt;0,'03_全链计算'!E51+1,0),IF('01_数值调参'!G19&lt;0,'03_全链计算'!F51+1,0),IF('01_数值调参'!G20&lt;0,'03_全链计算'!G51+1,0),IF('01_数值调参'!G21&lt;0,'03_全链计算'!H51+1,0),IF('01_数值调参'!G22&lt;0,'03_全链计算'!I51+1,0),IF('01_数值调参'!G23&lt;0,'03_全链计算'!J51+1,0),IF('01_数值调参'!G24&lt;0,'03_全链计算'!K51+1,0),IF('01_数值调参'!G25&lt;0,'03_全链计算'!L51+1,0),IF('01_数值调参'!G26&lt;0,'03_全链计算'!M51+1,0),IF('01_数值调参'!G27&lt;0,'03_全链计算'!N51+1,0),IF('01_数值调参'!G28&lt;0,'03_全链计算'!O51+1,0),IF('01_数值调参'!G29&lt;0,'03_全链计算'!P51+1,0),IF('01_数值调参'!G30&lt;0,'03_全链计算'!Q51+1,0),IF('01_数值调参'!G31&lt;0,'03_全链计算'!R51+1,0),IF('01_数值调参'!G32&lt;0,'03_全链计算'!S51+1,0),IF('01_数值调参'!G33&lt;0,'03_全链计算'!T51+1,0),IF('01_数值调参'!G34&lt;0,'03_全链计算'!U51+1,0),IF('01_数值调参'!G35&lt;0,'03_全链计算'!V51+1,0),IF('01_数值调参'!G36&lt;0,'03_全链计算'!W51+1,0),IF('01_数值调参'!G37&lt;0,'03_全链计算'!X51+1,0),IF('01_数值调参'!G38&lt;0,'03_全链计算'!Y51+1,0),IF('01_数值调参'!G39&lt;0,'03_全链计算'!Z51+1,0),IF('01_数值调参'!G40&lt;0,'03_全链计算'!AA51+1,0),IF('01_数值调参'!G41&lt;0,'03_全链计算'!AB51+1,0),IF('01_数值调参'!G42&lt;0,'03_全链计算'!AC51+1,0),IF('01_数值调参'!G43&lt;0,'03_全链计算'!AD51+1,0),IF('01_数值调参'!G44&lt;0,'03_全链计算'!AE51+1,0),IF('01_数值调参'!G45&lt;0,'03_全链计算'!AF51+1,0),IF('01_数值调参'!G46&lt;0,'03_全链计算'!AG51+1,0),IF('01_数值调参'!G47&lt;0,'03_全链计算'!AH51+1,0),IF('01_数值调参'!G48&lt;0,'03_全链计算'!AI51+1,0),IF('01_数值调参'!G49&lt;0,'03_全链计算'!AJ51+1,0),IF('01_数值调参'!G50&lt;0,'03_全链计算'!AK51+1,0),IF('01_数值调参'!G51&lt;0,'03_全链计算'!AL51+1,0),IF('01_数值调参'!G52&lt;0,'03_全链计算'!AM51+1,0))</x:f>
        <x:v>0</x:v>
      </x:c>
      <x:c r="H52" s="9" t="n">
        <x:f>MAX(IF('01_数值调参'!H18&lt;0,'03_全链计算'!E51+1,0),IF('01_数值调参'!H19&lt;0,'03_全链计算'!F51+1,0),IF('01_数值调参'!H20&lt;0,'03_全链计算'!G51+1,0),IF('01_数值调参'!H21&lt;0,'03_全链计算'!H51+1,0),IF('01_数值调参'!H22&lt;0,'03_全链计算'!I51+1,0),IF('01_数值调参'!H23&lt;0,'03_全链计算'!J51+1,0),IF('01_数值调参'!H24&lt;0,'03_全链计算'!K51+1,0),IF('01_数值调参'!H25&lt;0,'03_全链计算'!L51+1,0),IF('01_数值调参'!H26&lt;0,'03_全链计算'!M51+1,0),IF('01_数值调参'!H27&lt;0,'03_全链计算'!N51+1,0),IF('01_数值调参'!H28&lt;0,'03_全链计算'!O51+1,0),IF('01_数值调参'!H29&lt;0,'03_全链计算'!P51+1,0),IF('01_数值调参'!H30&lt;0,'03_全链计算'!Q51+1,0),IF('01_数值调参'!H31&lt;0,'03_全链计算'!R51+1,0),IF('01_数值调参'!H32&lt;0,'03_全链计算'!S51+1,0),IF('01_数值调参'!H33&lt;0,'03_全链计算'!T51+1,0),IF('01_数值调参'!H34&lt;0,'03_全链计算'!U51+1,0),IF('01_数值调参'!H35&lt;0,'03_全链计算'!V51+1,0),IF('01_数值调参'!H36&lt;0,'03_全链计算'!W51+1,0),IF('01_数值调参'!H37&lt;0,'03_全链计算'!X51+1,0),IF('01_数值调参'!H38&lt;0,'03_全链计算'!Y51+1,0),IF('01_数值调参'!H39&lt;0,'03_全链计算'!Z51+1,0),IF('01_数值调参'!H40&lt;0,'03_全链计算'!AA51+1,0),IF('01_数值调参'!H41&lt;0,'03_全链计算'!AB51+1,0),IF('01_数值调参'!H42&lt;0,'03_全链计算'!AC51+1,0),IF('01_数值调参'!H43&lt;0,'03_全链计算'!AD51+1,0),IF('01_数值调参'!H44&lt;0,'03_全链计算'!AE51+1,0),IF('01_数值调参'!H45&lt;0,'03_全链计算'!AF51+1,0),IF('01_数值调参'!H46&lt;0,'03_全链计算'!AG51+1,0),IF('01_数值调参'!H47&lt;0,'03_全链计算'!AH51+1,0),IF('01_数值调参'!H48&lt;0,'03_全链计算'!AI51+1,0),IF('01_数值调参'!H49&lt;0,'03_全链计算'!AJ51+1,0),IF('01_数值调参'!H50&lt;0,'03_全链计算'!AK51+1,0),IF('01_数值调参'!H51&lt;0,'03_全链计算'!AL51+1,0),IF('01_数值调参'!H52&lt;0,'03_全链计算'!AM51+1,0))</x:f>
        <x:v>0</x:v>
      </x:c>
      <x:c r="I52" s="9" t="n">
        <x:f>MAX(IF('01_数值调参'!I18&lt;0,'03_全链计算'!E51+1,0),IF('01_数值调参'!I19&lt;0,'03_全链计算'!F51+1,0),IF('01_数值调参'!I20&lt;0,'03_全链计算'!G51+1,0),IF('01_数值调参'!I21&lt;0,'03_全链计算'!H51+1,0),IF('01_数值调参'!I22&lt;0,'03_全链计算'!I51+1,0),IF('01_数值调参'!I23&lt;0,'03_全链计算'!J51+1,0),IF('01_数值调参'!I24&lt;0,'03_全链计算'!K51+1,0),IF('01_数值调参'!I25&lt;0,'03_全链计算'!L51+1,0),IF('01_数值调参'!I26&lt;0,'03_全链计算'!M51+1,0),IF('01_数值调参'!I27&lt;0,'03_全链计算'!N51+1,0),IF('01_数值调参'!I28&lt;0,'03_全链计算'!O51+1,0),IF('01_数值调参'!I29&lt;0,'03_全链计算'!P51+1,0),IF('01_数值调参'!I30&lt;0,'03_全链计算'!Q51+1,0),IF('01_数值调参'!I31&lt;0,'03_全链计算'!R51+1,0),IF('01_数值调参'!I32&lt;0,'03_全链计算'!S51+1,0),IF('01_数值调参'!I33&lt;0,'03_全链计算'!T51+1,0),IF('01_数值调参'!I34&lt;0,'03_全链计算'!U51+1,0),IF('01_数值调参'!I35&lt;0,'03_全链计算'!V51+1,0),IF('01_数值调参'!I36&lt;0,'03_全链计算'!W51+1,0),IF('01_数值调参'!I37&lt;0,'03_全链计算'!X51+1,0),IF('01_数值调参'!I38&lt;0,'03_全链计算'!Y51+1,0),IF('01_数值调参'!I39&lt;0,'03_全链计算'!Z51+1,0),IF('01_数值调参'!I40&lt;0,'03_全链计算'!AA51+1,0),IF('01_数值调参'!I41&lt;0,'03_全链计算'!AB51+1,0),IF('01_数值调参'!I42&lt;0,'03_全链计算'!AC51+1,0),IF('01_数值调参'!I43&lt;0,'03_全链计算'!AD51+1,0),IF('01_数值调参'!I44&lt;0,'03_全链计算'!AE51+1,0),IF('01_数值调参'!I45&lt;0,'03_全链计算'!AF51+1,0),IF('01_数值调参'!I46&lt;0,'03_全链计算'!AG51+1,0),IF('01_数值调参'!I47&lt;0,'03_全链计算'!AH51+1,0),IF('01_数值调参'!I48&lt;0,'03_全链计算'!AI51+1,0),IF('01_数值调参'!I49&lt;0,'03_全链计算'!AJ51+1,0),IF('01_数值调参'!I50&lt;0,'03_全链计算'!AK51+1,0),IF('01_数值调参'!I51&lt;0,'03_全链计算'!AL51+1,0),IF('01_数值调参'!I52&lt;0,'03_全链计算'!AM51+1,0))</x:f>
        <x:v>0</x:v>
      </x:c>
      <x:c r="J52" s="9" t="n">
        <x:f>MAX(IF('01_数值调参'!J18&lt;0,'03_全链计算'!E51+1,0),IF('01_数值调参'!J19&lt;0,'03_全链计算'!F51+1,0),IF('01_数值调参'!J20&lt;0,'03_全链计算'!G51+1,0),IF('01_数值调参'!J21&lt;0,'03_全链计算'!H51+1,0),IF('01_数值调参'!J22&lt;0,'03_全链计算'!I51+1,0),IF('01_数值调参'!J23&lt;0,'03_全链计算'!J51+1,0),IF('01_数值调参'!J24&lt;0,'03_全链计算'!K51+1,0),IF('01_数值调参'!J25&lt;0,'03_全链计算'!L51+1,0),IF('01_数值调参'!J26&lt;0,'03_全链计算'!M51+1,0),IF('01_数值调参'!J27&lt;0,'03_全链计算'!N51+1,0),IF('01_数值调参'!J28&lt;0,'03_全链计算'!O51+1,0),IF('01_数值调参'!J29&lt;0,'03_全链计算'!P51+1,0),IF('01_数值调参'!J30&lt;0,'03_全链计算'!Q51+1,0),IF('01_数值调参'!J31&lt;0,'03_全链计算'!R51+1,0),IF('01_数值调参'!J32&lt;0,'03_全链计算'!S51+1,0),IF('01_数值调参'!J33&lt;0,'03_全链计算'!T51+1,0),IF('01_数值调参'!J34&lt;0,'03_全链计算'!U51+1,0),IF('01_数值调参'!J35&lt;0,'03_全链计算'!V51+1,0),IF('01_数值调参'!J36&lt;0,'03_全链计算'!W51+1,0),IF('01_数值调参'!J37&lt;0,'03_全链计算'!X51+1,0),IF('01_数值调参'!J38&lt;0,'03_全链计算'!Y51+1,0),IF('01_数值调参'!J39&lt;0,'03_全链计算'!Z51+1,0),IF('01_数值调参'!J40&lt;0,'03_全链计算'!AA51+1,0),IF('01_数值调参'!J41&lt;0,'03_全链计算'!AB51+1,0),IF('01_数值调参'!J42&lt;0,'03_全链计算'!AC51+1,0),IF('01_数值调参'!J43&lt;0,'03_全链计算'!AD51+1,0),IF('01_数值调参'!J44&lt;0,'03_全链计算'!AE51+1,0),IF('01_数值调参'!J45&lt;0,'03_全链计算'!AF51+1,0),IF('01_数值调参'!J46&lt;0,'03_全链计算'!AG51+1,0),IF('01_数值调参'!J47&lt;0,'03_全链计算'!AH51+1,0),IF('01_数值调参'!J48&lt;0,'03_全链计算'!AI51+1,0),IF('01_数值调参'!J49&lt;0,'03_全链计算'!AJ51+1,0),IF('01_数值调参'!J50&lt;0,'03_全链计算'!AK51+1,0),IF('01_数值调参'!J51&lt;0,'03_全链计算'!AL51+1,0),IF('01_数值调参'!J52&lt;0,'03_全链计算'!AM51+1,0))</x:f>
        <x:v>0</x:v>
      </x:c>
      <x:c r="K52" s="9" t="n">
        <x:f>MAX(IF('01_数值调参'!K18&lt;0,'03_全链计算'!E51+1,0),IF('01_数值调参'!K19&lt;0,'03_全链计算'!F51+1,0),IF('01_数值调参'!K20&lt;0,'03_全链计算'!G51+1,0),IF('01_数值调参'!K21&lt;0,'03_全链计算'!H51+1,0),IF('01_数值调参'!K22&lt;0,'03_全链计算'!I51+1,0),IF('01_数值调参'!K23&lt;0,'03_全链计算'!J51+1,0),IF('01_数值调参'!K24&lt;0,'03_全链计算'!K51+1,0),IF('01_数值调参'!K25&lt;0,'03_全链计算'!L51+1,0),IF('01_数值调参'!K26&lt;0,'03_全链计算'!M51+1,0),IF('01_数值调参'!K27&lt;0,'03_全链计算'!N51+1,0),IF('01_数值调参'!K28&lt;0,'03_全链计算'!O51+1,0),IF('01_数值调参'!K29&lt;0,'03_全链计算'!P51+1,0),IF('01_数值调参'!K30&lt;0,'03_全链计算'!Q51+1,0),IF('01_数值调参'!K31&lt;0,'03_全链计算'!R51+1,0),IF('01_数值调参'!K32&lt;0,'03_全链计算'!S51+1,0),IF('01_数值调参'!K33&lt;0,'03_全链计算'!T51+1,0),IF('01_数值调参'!K34&lt;0,'03_全链计算'!U51+1,0),IF('01_数值调参'!K35&lt;0,'03_全链计算'!V51+1,0),IF('01_数值调参'!K36&lt;0,'03_全链计算'!W51+1,0),IF('01_数值调参'!K37&lt;0,'03_全链计算'!X51+1,0),IF('01_数值调参'!K38&lt;0,'03_全链计算'!Y51+1,0),IF('01_数值调参'!K39&lt;0,'03_全链计算'!Z51+1,0),IF('01_数值调参'!K40&lt;0,'03_全链计算'!AA51+1,0),IF('01_数值调参'!K41&lt;0,'03_全链计算'!AB51+1,0),IF('01_数值调参'!K42&lt;0,'03_全链计算'!AC51+1,0),IF('01_数值调参'!K43&lt;0,'03_全链计算'!AD51+1,0),IF('01_数值调参'!K44&lt;0,'03_全链计算'!AE51+1,0),IF('01_数值调参'!K45&lt;0,'03_全链计算'!AF51+1,0),IF('01_数值调参'!K46&lt;0,'03_全链计算'!AG51+1,0),IF('01_数值调参'!K47&lt;0,'03_全链计算'!AH51+1,0),IF('01_数值调参'!K48&lt;0,'03_全链计算'!AI51+1,0),IF('01_数值调参'!K49&lt;0,'03_全链计算'!AJ51+1,0),IF('01_数值调参'!K50&lt;0,'03_全链计算'!AK51+1,0),IF('01_数值调参'!K51&lt;0,'03_全链计算'!AL51+1,0),IF('01_数值调参'!K52&lt;0,'03_全链计算'!AM51+1,0))</x:f>
        <x:v>0</x:v>
      </x:c>
      <x:c r="L52" s="9" t="n">
        <x:f>MAX(IF('01_数值调参'!L18&lt;0,'03_全链计算'!E51+1,0),IF('01_数值调参'!L19&lt;0,'03_全链计算'!F51+1,0),IF('01_数值调参'!L20&lt;0,'03_全链计算'!G51+1,0),IF('01_数值调参'!L21&lt;0,'03_全链计算'!H51+1,0),IF('01_数值调参'!L22&lt;0,'03_全链计算'!I51+1,0),IF('01_数值调参'!L23&lt;0,'03_全链计算'!J51+1,0),IF('01_数值调参'!L24&lt;0,'03_全链计算'!K51+1,0),IF('01_数值调参'!L25&lt;0,'03_全链计算'!L51+1,0),IF('01_数值调参'!L26&lt;0,'03_全链计算'!M51+1,0),IF('01_数值调参'!L27&lt;0,'03_全链计算'!N51+1,0),IF('01_数值调参'!L28&lt;0,'03_全链计算'!O51+1,0),IF('01_数值调参'!L29&lt;0,'03_全链计算'!P51+1,0),IF('01_数值调参'!L30&lt;0,'03_全链计算'!Q51+1,0),IF('01_数值调参'!L31&lt;0,'03_全链计算'!R51+1,0),IF('01_数值调参'!L32&lt;0,'03_全链计算'!S51+1,0),IF('01_数值调参'!L33&lt;0,'03_全链计算'!T51+1,0),IF('01_数值调参'!L34&lt;0,'03_全链计算'!U51+1,0),IF('01_数值调参'!L35&lt;0,'03_全链计算'!V51+1,0),IF('01_数值调参'!L36&lt;0,'03_全链计算'!W51+1,0),IF('01_数值调参'!L37&lt;0,'03_全链计算'!X51+1,0),IF('01_数值调参'!L38&lt;0,'03_全链计算'!Y51+1,0),IF('01_数值调参'!L39&lt;0,'03_全链计算'!Z51+1,0),IF('01_数值调参'!L40&lt;0,'03_全链计算'!AA51+1,0),IF('01_数值调参'!L41&lt;0,'03_全链计算'!AB51+1,0),IF('01_数值调参'!L42&lt;0,'03_全链计算'!AC51+1,0),IF('01_数值调参'!L43&lt;0,'03_全链计算'!AD51+1,0),IF('01_数值调参'!L44&lt;0,'03_全链计算'!AE51+1,0),IF('01_数值调参'!L45&lt;0,'03_全链计算'!AF51+1,0),IF('01_数值调参'!L46&lt;0,'03_全链计算'!AG51+1,0),IF('01_数值调参'!L47&lt;0,'03_全链计算'!AH51+1,0),IF('01_数值调参'!L48&lt;0,'03_全链计算'!AI51+1,0),IF('01_数值调参'!L49&lt;0,'03_全链计算'!AJ51+1,0),IF('01_数值调参'!L50&lt;0,'03_全链计算'!AK51+1,0),IF('01_数值调参'!L51&lt;0,'03_全链计算'!AL51+1,0),IF('01_数值调参'!L52&lt;0,'03_全链计算'!AM51+1,0))</x:f>
        <x:v>0</x:v>
      </x:c>
      <x:c r="M52" s="9" t="n">
        <x:f>MAX(IF('01_数值调参'!M18&lt;0,'03_全链计算'!E51+1,0),IF('01_数值调参'!M19&lt;0,'03_全链计算'!F51+1,0),IF('01_数值调参'!M20&lt;0,'03_全链计算'!G51+1,0),IF('01_数值调参'!M21&lt;0,'03_全链计算'!H51+1,0),IF('01_数值调参'!M22&lt;0,'03_全链计算'!I51+1,0),IF('01_数值调参'!M23&lt;0,'03_全链计算'!J51+1,0),IF('01_数值调参'!M24&lt;0,'03_全链计算'!K51+1,0),IF('01_数值调参'!M25&lt;0,'03_全链计算'!L51+1,0),IF('01_数值调参'!M26&lt;0,'03_全链计算'!M51+1,0),IF('01_数值调参'!M27&lt;0,'03_全链计算'!N51+1,0),IF('01_数值调参'!M28&lt;0,'03_全链计算'!O51+1,0),IF('01_数值调参'!M29&lt;0,'03_全链计算'!P51+1,0),IF('01_数值调参'!M30&lt;0,'03_全链计算'!Q51+1,0),IF('01_数值调参'!M31&lt;0,'03_全链计算'!R51+1,0),IF('01_数值调参'!M32&lt;0,'03_全链计算'!S51+1,0),IF('01_数值调参'!M33&lt;0,'03_全链计算'!T51+1,0),IF('01_数值调参'!M34&lt;0,'03_全链计算'!U51+1,0),IF('01_数值调参'!M35&lt;0,'03_全链计算'!V51+1,0),IF('01_数值调参'!M36&lt;0,'03_全链计算'!W51+1,0),IF('01_数值调参'!M37&lt;0,'03_全链计算'!X51+1,0),IF('01_数值调参'!M38&lt;0,'03_全链计算'!Y51+1,0),IF('01_数值调参'!M39&lt;0,'03_全链计算'!Z51+1,0),IF('01_数值调参'!M40&lt;0,'03_全链计算'!AA51+1,0),IF('01_数值调参'!M41&lt;0,'03_全链计算'!AB51+1,0),IF('01_数值调参'!M42&lt;0,'03_全链计算'!AC51+1,0),IF('01_数值调参'!M43&lt;0,'03_全链计算'!AD51+1,0),IF('01_数值调参'!M44&lt;0,'03_全链计算'!AE51+1,0),IF('01_数值调参'!M45&lt;0,'03_全链计算'!AF51+1,0),IF('01_数值调参'!M46&lt;0,'03_全链计算'!AG51+1,0),IF('01_数值调参'!M47&lt;0,'03_全链计算'!AH51+1,0),IF('01_数值调参'!M48&lt;0,'03_全链计算'!AI51+1,0),IF('01_数值调参'!M49&lt;0,'03_全链计算'!AJ51+1,0),IF('01_数值调参'!M50&lt;0,'03_全链计算'!AK51+1,0),IF('01_数值调参'!M51&lt;0,'03_全链计算'!AL51+1,0),IF('01_数值调参'!M52&lt;0,'03_全链计算'!AM51+1,0))</x:f>
        <x:v>0</x:v>
      </x:c>
      <x:c r="N52" s="9" t="n">
        <x:f>MAX(IF('01_数值调参'!N18&lt;0,'03_全链计算'!E51+1,0),IF('01_数值调参'!N19&lt;0,'03_全链计算'!F51+1,0),IF('01_数值调参'!N20&lt;0,'03_全链计算'!G51+1,0),IF('01_数值调参'!N21&lt;0,'03_全链计算'!H51+1,0),IF('01_数值调参'!N22&lt;0,'03_全链计算'!I51+1,0),IF('01_数值调参'!N23&lt;0,'03_全链计算'!J51+1,0),IF('01_数值调参'!N24&lt;0,'03_全链计算'!K51+1,0),IF('01_数值调参'!N25&lt;0,'03_全链计算'!L51+1,0),IF('01_数值调参'!N26&lt;0,'03_全链计算'!M51+1,0),IF('01_数值调参'!N27&lt;0,'03_全链计算'!N51+1,0),IF('01_数值调参'!N28&lt;0,'03_全链计算'!O51+1,0),IF('01_数值调参'!N29&lt;0,'03_全链计算'!P51+1,0),IF('01_数值调参'!N30&lt;0,'03_全链计算'!Q51+1,0),IF('01_数值调参'!N31&lt;0,'03_全链计算'!R51+1,0),IF('01_数值调参'!N32&lt;0,'03_全链计算'!S51+1,0),IF('01_数值调参'!N33&lt;0,'03_全链计算'!T51+1,0),IF('01_数值调参'!N34&lt;0,'03_全链计算'!U51+1,0),IF('01_数值调参'!N35&lt;0,'03_全链计算'!V51+1,0),IF('01_数值调参'!N36&lt;0,'03_全链计算'!W51+1,0),IF('01_数值调参'!N37&lt;0,'03_全链计算'!X51+1,0),IF('01_数值调参'!N38&lt;0,'03_全链计算'!Y51+1,0),IF('01_数值调参'!N39&lt;0,'03_全链计算'!Z51+1,0),IF('01_数值调参'!N40&lt;0,'03_全链计算'!AA51+1,0),IF('01_数值调参'!N41&lt;0,'03_全链计算'!AB51+1,0),IF('01_数值调参'!N42&lt;0,'03_全链计算'!AC51+1,0),IF('01_数值调参'!N43&lt;0,'03_全链计算'!AD51+1,0),IF('01_数值调参'!N44&lt;0,'03_全链计算'!AE51+1,0),IF('01_数值调参'!N45&lt;0,'03_全链计算'!AF51+1,0),IF('01_数值调参'!N46&lt;0,'03_全链计算'!AG51+1,0),IF('01_数值调参'!N47&lt;0,'03_全链计算'!AH51+1,0),IF('01_数值调参'!N48&lt;0,'03_全链计算'!AI51+1,0),IF('01_数值调参'!N49&lt;0,'03_全链计算'!AJ51+1,0),IF('01_数值调参'!N50&lt;0,'03_全链计算'!AK51+1,0),IF('01_数值调参'!N51&lt;0,'03_全链计算'!AL51+1,0),IF('01_数值调参'!N52&lt;0,'03_全链计算'!AM51+1,0))</x:f>
        <x:v>1</x:v>
      </x:c>
      <x:c r="O52" s="9" t="n">
        <x:f>MAX(IF('01_数值调参'!O18&lt;0,'03_全链计算'!E51+1,0),IF('01_数值调参'!O19&lt;0,'03_全链计算'!F51+1,0),IF('01_数值调参'!O20&lt;0,'03_全链计算'!G51+1,0),IF('01_数值调参'!O21&lt;0,'03_全链计算'!H51+1,0),IF('01_数值调参'!O22&lt;0,'03_全链计算'!I51+1,0),IF('01_数值调参'!O23&lt;0,'03_全链计算'!J51+1,0),IF('01_数值调参'!O24&lt;0,'03_全链计算'!K51+1,0),IF('01_数值调参'!O25&lt;0,'03_全链计算'!L51+1,0),IF('01_数值调参'!O26&lt;0,'03_全链计算'!M51+1,0),IF('01_数值调参'!O27&lt;0,'03_全链计算'!N51+1,0),IF('01_数值调参'!O28&lt;0,'03_全链计算'!O51+1,0),IF('01_数值调参'!O29&lt;0,'03_全链计算'!P51+1,0),IF('01_数值调参'!O30&lt;0,'03_全链计算'!Q51+1,0),IF('01_数值调参'!O31&lt;0,'03_全链计算'!R51+1,0),IF('01_数值调参'!O32&lt;0,'03_全链计算'!S51+1,0),IF('01_数值调参'!O33&lt;0,'03_全链计算'!T51+1,0),IF('01_数值调参'!O34&lt;0,'03_全链计算'!U51+1,0),IF('01_数值调参'!O35&lt;0,'03_全链计算'!V51+1,0),IF('01_数值调参'!O36&lt;0,'03_全链计算'!W51+1,0),IF('01_数值调参'!O37&lt;0,'03_全链计算'!X51+1,0),IF('01_数值调参'!O38&lt;0,'03_全链计算'!Y51+1,0),IF('01_数值调参'!O39&lt;0,'03_全链计算'!Z51+1,0),IF('01_数值调参'!O40&lt;0,'03_全链计算'!AA51+1,0),IF('01_数值调参'!O41&lt;0,'03_全链计算'!AB51+1,0),IF('01_数值调参'!O42&lt;0,'03_全链计算'!AC51+1,0),IF('01_数值调参'!O43&lt;0,'03_全链计算'!AD51+1,0),IF('01_数值调参'!O44&lt;0,'03_全链计算'!AE51+1,0),IF('01_数值调参'!O45&lt;0,'03_全链计算'!AF51+1,0),IF('01_数值调参'!O46&lt;0,'03_全链计算'!AG51+1,0),IF('01_数值调参'!O47&lt;0,'03_全链计算'!AH51+1,0),IF('01_数值调参'!O48&lt;0,'03_全链计算'!AI51+1,0),IF('01_数值调参'!O49&lt;0,'03_全链计算'!AJ51+1,0),IF('01_数值调参'!O50&lt;0,'03_全链计算'!AK51+1,0),IF('01_数值调参'!O51&lt;0,'03_全链计算'!AL51+1,0),IF('01_数值调参'!O52&lt;0,'03_全链计算'!AM51+1,0))</x:f>
        <x:v>1</x:v>
      </x:c>
      <x:c r="P52" s="9" t="n">
        <x:f>MAX(IF('01_数值调参'!P18&lt;0,'03_全链计算'!E51+1,0),IF('01_数值调参'!P19&lt;0,'03_全链计算'!F51+1,0),IF('01_数值调参'!P20&lt;0,'03_全链计算'!G51+1,0),IF('01_数值调参'!P21&lt;0,'03_全链计算'!H51+1,0),IF('01_数值调参'!P22&lt;0,'03_全链计算'!I51+1,0),IF('01_数值调参'!P23&lt;0,'03_全链计算'!J51+1,0),IF('01_数值调参'!P24&lt;0,'03_全链计算'!K51+1,0),IF('01_数值调参'!P25&lt;0,'03_全链计算'!L51+1,0),IF('01_数值调参'!P26&lt;0,'03_全链计算'!M51+1,0),IF('01_数值调参'!P27&lt;0,'03_全链计算'!N51+1,0),IF('01_数值调参'!P28&lt;0,'03_全链计算'!O51+1,0),IF('01_数值调参'!P29&lt;0,'03_全链计算'!P51+1,0),IF('01_数值调参'!P30&lt;0,'03_全链计算'!Q51+1,0),IF('01_数值调参'!P31&lt;0,'03_全链计算'!R51+1,0),IF('01_数值调参'!P32&lt;0,'03_全链计算'!S51+1,0),IF('01_数值调参'!P33&lt;0,'03_全链计算'!T51+1,0),IF('01_数值调参'!P34&lt;0,'03_全链计算'!U51+1,0),IF('01_数值调参'!P35&lt;0,'03_全链计算'!V51+1,0),IF('01_数值调参'!P36&lt;0,'03_全链计算'!W51+1,0),IF('01_数值调参'!P37&lt;0,'03_全链计算'!X51+1,0),IF('01_数值调参'!P38&lt;0,'03_全链计算'!Y51+1,0),IF('01_数值调参'!P39&lt;0,'03_全链计算'!Z51+1,0),IF('01_数值调参'!P40&lt;0,'03_全链计算'!AA51+1,0),IF('01_数值调参'!P41&lt;0,'03_全链计算'!AB51+1,0),IF('01_数值调参'!P42&lt;0,'03_全链计算'!AC51+1,0),IF('01_数值调参'!P43&lt;0,'03_全链计算'!AD51+1,0),IF('01_数值调参'!P44&lt;0,'03_全链计算'!AE51+1,0),IF('01_数值调参'!P45&lt;0,'03_全链计算'!AF51+1,0),IF('01_数值调参'!P46&lt;0,'03_全链计算'!AG51+1,0),IF('01_数值调参'!P47&lt;0,'03_全链计算'!AH51+1,0),IF('01_数值调参'!P48&lt;0,'03_全链计算'!AI51+1,0),IF('01_数值调参'!P49&lt;0,'03_全链计算'!AJ51+1,0),IF('01_数值调参'!P50&lt;0,'03_全链计算'!AK51+1,0),IF('01_数值调参'!P51&lt;0,'03_全链计算'!AL51+1,0),IF('01_数值调参'!P52&lt;0,'03_全链计算'!AM51+1,0))</x:f>
        <x:v>1</x:v>
      </x:c>
      <x:c r="Q52" s="9" t="n">
        <x:f>MAX(IF('01_数值调参'!Q18&lt;0,'03_全链计算'!E51+1,0),IF('01_数值调参'!Q19&lt;0,'03_全链计算'!F51+1,0),IF('01_数值调参'!Q20&lt;0,'03_全链计算'!G51+1,0),IF('01_数值调参'!Q21&lt;0,'03_全链计算'!H51+1,0),IF('01_数值调参'!Q22&lt;0,'03_全链计算'!I51+1,0),IF('01_数值调参'!Q23&lt;0,'03_全链计算'!J51+1,0),IF('01_数值调参'!Q24&lt;0,'03_全链计算'!K51+1,0),IF('01_数值调参'!Q25&lt;0,'03_全链计算'!L51+1,0),IF('01_数值调参'!Q26&lt;0,'03_全链计算'!M51+1,0),IF('01_数值调参'!Q27&lt;0,'03_全链计算'!N51+1,0),IF('01_数值调参'!Q28&lt;0,'03_全链计算'!O51+1,0),IF('01_数值调参'!Q29&lt;0,'03_全链计算'!P51+1,0),IF('01_数值调参'!Q30&lt;0,'03_全链计算'!Q51+1,0),IF('01_数值调参'!Q31&lt;0,'03_全链计算'!R51+1,0),IF('01_数值调参'!Q32&lt;0,'03_全链计算'!S51+1,0),IF('01_数值调参'!Q33&lt;0,'03_全链计算'!T51+1,0),IF('01_数值调参'!Q34&lt;0,'03_全链计算'!U51+1,0),IF('01_数值调参'!Q35&lt;0,'03_全链计算'!V51+1,0),IF('01_数值调参'!Q36&lt;0,'03_全链计算'!W51+1,0),IF('01_数值调参'!Q37&lt;0,'03_全链计算'!X51+1,0),IF('01_数值调参'!Q38&lt;0,'03_全链计算'!Y51+1,0),IF('01_数值调参'!Q39&lt;0,'03_全链计算'!Z51+1,0),IF('01_数值调参'!Q40&lt;0,'03_全链计算'!AA51+1,0),IF('01_数值调参'!Q41&lt;0,'03_全链计算'!AB51+1,0),IF('01_数值调参'!Q42&lt;0,'03_全链计算'!AC51+1,0),IF('01_数值调参'!Q43&lt;0,'03_全链计算'!AD51+1,0),IF('01_数值调参'!Q44&lt;0,'03_全链计算'!AE51+1,0),IF('01_数值调参'!Q45&lt;0,'03_全链计算'!AF51+1,0),IF('01_数值调参'!Q46&lt;0,'03_全链计算'!AG51+1,0),IF('01_数值调参'!Q47&lt;0,'03_全链计算'!AH51+1,0),IF('01_数值调参'!Q48&lt;0,'03_全链计算'!AI51+1,0),IF('01_数值调参'!Q49&lt;0,'03_全链计算'!AJ51+1,0),IF('01_数值调参'!Q50&lt;0,'03_全链计算'!AK51+1,0),IF('01_数值调参'!Q51&lt;0,'03_全链计算'!AL51+1,0),IF('01_数值调参'!Q52&lt;0,'03_全链计算'!AM51+1,0))</x:f>
        <x:v>1</x:v>
      </x:c>
      <x:c r="R52" s="9" t="n">
        <x:f>MAX(IF('01_数值调参'!R18&lt;0,'03_全链计算'!E51+1,0),IF('01_数值调参'!R19&lt;0,'03_全链计算'!F51+1,0),IF('01_数值调参'!R20&lt;0,'03_全链计算'!G51+1,0),IF('01_数值调参'!R21&lt;0,'03_全链计算'!H51+1,0),IF('01_数值调参'!R22&lt;0,'03_全链计算'!I51+1,0),IF('01_数值调参'!R23&lt;0,'03_全链计算'!J51+1,0),IF('01_数值调参'!R24&lt;0,'03_全链计算'!K51+1,0),IF('01_数值调参'!R25&lt;0,'03_全链计算'!L51+1,0),IF('01_数值调参'!R26&lt;0,'03_全链计算'!M51+1,0),IF('01_数值调参'!R27&lt;0,'03_全链计算'!N51+1,0),IF('01_数值调参'!R28&lt;0,'03_全链计算'!O51+1,0),IF('01_数值调参'!R29&lt;0,'03_全链计算'!P51+1,0),IF('01_数值调参'!R30&lt;0,'03_全链计算'!Q51+1,0),IF('01_数值调参'!R31&lt;0,'03_全链计算'!R51+1,0),IF('01_数值调参'!R32&lt;0,'03_全链计算'!S51+1,0),IF('01_数值调参'!R33&lt;0,'03_全链计算'!T51+1,0),IF('01_数值调参'!R34&lt;0,'03_全链计算'!U51+1,0),IF('01_数值调参'!R35&lt;0,'03_全链计算'!V51+1,0),IF('01_数值调参'!R36&lt;0,'03_全链计算'!W51+1,0),IF('01_数值调参'!R37&lt;0,'03_全链计算'!X51+1,0),IF('01_数值调参'!R38&lt;0,'03_全链计算'!Y51+1,0),IF('01_数值调参'!R39&lt;0,'03_全链计算'!Z51+1,0),IF('01_数值调参'!R40&lt;0,'03_全链计算'!AA51+1,0),IF('01_数值调参'!R41&lt;0,'03_全链计算'!AB51+1,0),IF('01_数值调参'!R42&lt;0,'03_全链计算'!AC51+1,0),IF('01_数值调参'!R43&lt;0,'03_全链计算'!AD51+1,0),IF('01_数值调参'!R44&lt;0,'03_全链计算'!AE51+1,0),IF('01_数值调参'!R45&lt;0,'03_全链计算'!AF51+1,0),IF('01_数值调参'!R46&lt;0,'03_全链计算'!AG51+1,0),IF('01_数值调参'!R47&lt;0,'03_全链计算'!AH51+1,0),IF('01_数值调参'!R48&lt;0,'03_全链计算'!AI51+1,0),IF('01_数值调参'!R49&lt;0,'03_全链计算'!AJ51+1,0),IF('01_数值调参'!R50&lt;0,'03_全链计算'!AK51+1,0),IF('01_数值调参'!R51&lt;0,'03_全链计算'!AL51+1,0),IF('01_数值调参'!R52&lt;0,'03_全链计算'!AM51+1,0))</x:f>
        <x:v>1</x:v>
      </x:c>
      <x:c r="S52" s="9" t="n">
        <x:f>MAX(IF('01_数值调参'!S18&lt;0,'03_全链计算'!E51+1,0),IF('01_数值调参'!S19&lt;0,'03_全链计算'!F51+1,0),IF('01_数值调参'!S20&lt;0,'03_全链计算'!G51+1,0),IF('01_数值调参'!S21&lt;0,'03_全链计算'!H51+1,0),IF('01_数值调参'!S22&lt;0,'03_全链计算'!I51+1,0),IF('01_数值调参'!S23&lt;0,'03_全链计算'!J51+1,0),IF('01_数值调参'!S24&lt;0,'03_全链计算'!K51+1,0),IF('01_数值调参'!S25&lt;0,'03_全链计算'!L51+1,0),IF('01_数值调参'!S26&lt;0,'03_全链计算'!M51+1,0),IF('01_数值调参'!S27&lt;0,'03_全链计算'!N51+1,0),IF('01_数值调参'!S28&lt;0,'03_全链计算'!O51+1,0),IF('01_数值调参'!S29&lt;0,'03_全链计算'!P51+1,0),IF('01_数值调参'!S30&lt;0,'03_全链计算'!Q51+1,0),IF('01_数值调参'!S31&lt;0,'03_全链计算'!R51+1,0),IF('01_数值调参'!S32&lt;0,'03_全链计算'!S51+1,0),IF('01_数值调参'!S33&lt;0,'03_全链计算'!T51+1,0),IF('01_数值调参'!S34&lt;0,'03_全链计算'!U51+1,0),IF('01_数值调参'!S35&lt;0,'03_全链计算'!V51+1,0),IF('01_数值调参'!S36&lt;0,'03_全链计算'!W51+1,0),IF('01_数值调参'!S37&lt;0,'03_全链计算'!X51+1,0),IF('01_数值调参'!S38&lt;0,'03_全链计算'!Y51+1,0),IF('01_数值调参'!S39&lt;0,'03_全链计算'!Z51+1,0),IF('01_数值调参'!S40&lt;0,'03_全链计算'!AA51+1,0),IF('01_数值调参'!S41&lt;0,'03_全链计算'!AB51+1,0),IF('01_数值调参'!S42&lt;0,'03_全链计算'!AC51+1,0),IF('01_数值调参'!S43&lt;0,'03_全链计算'!AD51+1,0),IF('01_数值调参'!S44&lt;0,'03_全链计算'!AE51+1,0),IF('01_数值调参'!S45&lt;0,'03_全链计算'!AF51+1,0),IF('01_数值调参'!S46&lt;0,'03_全链计算'!AG51+1,0),IF('01_数值调参'!S47&lt;0,'03_全链计算'!AH51+1,0),IF('01_数值调参'!S48&lt;0,'03_全链计算'!AI51+1,0),IF('01_数值调参'!S49&lt;0,'03_全链计算'!AJ51+1,0),IF('01_数值调参'!S50&lt;0,'03_全链计算'!AK51+1,0),IF('01_数值调参'!S51&lt;0,'03_全链计算'!AL51+1,0),IF('01_数值调参'!S52&lt;0,'03_全链计算'!AM51+1,0))</x:f>
        <x:v>1</x:v>
      </x:c>
      <x:c r="T52" s="9" t="n">
        <x:f>MAX(IF('01_数值调参'!T18&lt;0,'03_全链计算'!E51+1,0),IF('01_数值调参'!T19&lt;0,'03_全链计算'!F51+1,0),IF('01_数值调参'!T20&lt;0,'03_全链计算'!G51+1,0),IF('01_数值调参'!T21&lt;0,'03_全链计算'!H51+1,0),IF('01_数值调参'!T22&lt;0,'03_全链计算'!I51+1,0),IF('01_数值调参'!T23&lt;0,'03_全链计算'!J51+1,0),IF('01_数值调参'!T24&lt;0,'03_全链计算'!K51+1,0),IF('01_数值调参'!T25&lt;0,'03_全链计算'!L51+1,0),IF('01_数值调参'!T26&lt;0,'03_全链计算'!M51+1,0),IF('01_数值调参'!T27&lt;0,'03_全链计算'!N51+1,0),IF('01_数值调参'!T28&lt;0,'03_全链计算'!O51+1,0),IF('01_数值调参'!T29&lt;0,'03_全链计算'!P51+1,0),IF('01_数值调参'!T30&lt;0,'03_全链计算'!Q51+1,0),IF('01_数值调参'!T31&lt;0,'03_全链计算'!R51+1,0),IF('01_数值调参'!T32&lt;0,'03_全链计算'!S51+1,0),IF('01_数值调参'!T33&lt;0,'03_全链计算'!T51+1,0),IF('01_数值调参'!T34&lt;0,'03_全链计算'!U51+1,0),IF('01_数值调参'!T35&lt;0,'03_全链计算'!V51+1,0),IF('01_数值调参'!T36&lt;0,'03_全链计算'!W51+1,0),IF('01_数值调参'!T37&lt;0,'03_全链计算'!X51+1,0),IF('01_数值调参'!T38&lt;0,'03_全链计算'!Y51+1,0),IF('01_数值调参'!T39&lt;0,'03_全链计算'!Z51+1,0),IF('01_数值调参'!T40&lt;0,'03_全链计算'!AA51+1,0),IF('01_数值调参'!T41&lt;0,'03_全链计算'!AB51+1,0),IF('01_数值调参'!T42&lt;0,'03_全链计算'!AC51+1,0),IF('01_数值调参'!T43&lt;0,'03_全链计算'!AD51+1,0),IF('01_数值调参'!T44&lt;0,'03_全链计算'!AE51+1,0),IF('01_数值调参'!T45&lt;0,'03_全链计算'!AF51+1,0),IF('01_数值调参'!T46&lt;0,'03_全链计算'!AG51+1,0),IF('01_数值调参'!T47&lt;0,'03_全链计算'!AH51+1,0),IF('01_数值调参'!T48&lt;0,'03_全链计算'!AI51+1,0),IF('01_数值调参'!T49&lt;0,'03_全链计算'!AJ51+1,0),IF('01_数值调参'!T50&lt;0,'03_全链计算'!AK51+1,0),IF('01_数值调参'!T51&lt;0,'03_全链计算'!AL51+1,0),IF('01_数值调参'!T52&lt;0,'03_全链计算'!AM51+1,0))</x:f>
        <x:v>1</x:v>
      </x:c>
      <x:c r="U52" s="9" t="n">
        <x:f>MAX(IF('01_数值调参'!U18&lt;0,'03_全链计算'!E51+1,0),IF('01_数值调参'!U19&lt;0,'03_全链计算'!F51+1,0),IF('01_数值调参'!U20&lt;0,'03_全链计算'!G51+1,0),IF('01_数值调参'!U21&lt;0,'03_全链计算'!H51+1,0),IF('01_数值调参'!U22&lt;0,'03_全链计算'!I51+1,0),IF('01_数值调参'!U23&lt;0,'03_全链计算'!J51+1,0),IF('01_数值调参'!U24&lt;0,'03_全链计算'!K51+1,0),IF('01_数值调参'!U25&lt;0,'03_全链计算'!L51+1,0),IF('01_数值调参'!U26&lt;0,'03_全链计算'!M51+1,0),IF('01_数值调参'!U27&lt;0,'03_全链计算'!N51+1,0),IF('01_数值调参'!U28&lt;0,'03_全链计算'!O51+1,0),IF('01_数值调参'!U29&lt;0,'03_全链计算'!P51+1,0),IF('01_数值调参'!U30&lt;0,'03_全链计算'!Q51+1,0),IF('01_数值调参'!U31&lt;0,'03_全链计算'!R51+1,0),IF('01_数值调参'!U32&lt;0,'03_全链计算'!S51+1,0),IF('01_数值调参'!U33&lt;0,'03_全链计算'!T51+1,0),IF('01_数值调参'!U34&lt;0,'03_全链计算'!U51+1,0),IF('01_数值调参'!U35&lt;0,'03_全链计算'!V51+1,0),IF('01_数值调参'!U36&lt;0,'03_全链计算'!W51+1,0),IF('01_数值调参'!U37&lt;0,'03_全链计算'!X51+1,0),IF('01_数值调参'!U38&lt;0,'03_全链计算'!Y51+1,0),IF('01_数值调参'!U39&lt;0,'03_全链计算'!Z51+1,0),IF('01_数值调参'!U40&lt;0,'03_全链计算'!AA51+1,0),IF('01_数值调参'!U41&lt;0,'03_全链计算'!AB51+1,0),IF('01_数值调参'!U42&lt;0,'03_全链计算'!AC51+1,0),IF('01_数值调参'!U43&lt;0,'03_全链计算'!AD51+1,0),IF('01_数值调参'!U44&lt;0,'03_全链计算'!AE51+1,0),IF('01_数值调参'!U45&lt;0,'03_全链计算'!AF51+1,0),IF('01_数值调参'!U46&lt;0,'03_全链计算'!AG51+1,0),IF('01_数值调参'!U47&lt;0,'03_全链计算'!AH51+1,0),IF('01_数值调参'!U48&lt;0,'03_全链计算'!AI51+1,0),IF('01_数值调参'!U49&lt;0,'03_全链计算'!AJ51+1,0),IF('01_数值调参'!U50&lt;0,'03_全链计算'!AK51+1,0),IF('01_数值调参'!U51&lt;0,'03_全链计算'!AL51+1,0),IF('01_数值调参'!U52&lt;0,'03_全链计算'!AM51+1,0))</x:f>
        <x:v>1</x:v>
      </x:c>
      <x:c r="V52" s="9" t="n">
        <x:f>MAX(IF('01_数值调参'!V18&lt;0,'03_全链计算'!E51+1,0),IF('01_数值调参'!V19&lt;0,'03_全链计算'!F51+1,0),IF('01_数值调参'!V20&lt;0,'03_全链计算'!G51+1,0),IF('01_数值调参'!V21&lt;0,'03_全链计算'!H51+1,0),IF('01_数值调参'!V22&lt;0,'03_全链计算'!I51+1,0),IF('01_数值调参'!V23&lt;0,'03_全链计算'!J51+1,0),IF('01_数值调参'!V24&lt;0,'03_全链计算'!K51+1,0),IF('01_数值调参'!V25&lt;0,'03_全链计算'!L51+1,0),IF('01_数值调参'!V26&lt;0,'03_全链计算'!M51+1,0),IF('01_数值调参'!V27&lt;0,'03_全链计算'!N51+1,0),IF('01_数值调参'!V28&lt;0,'03_全链计算'!O51+1,0),IF('01_数值调参'!V29&lt;0,'03_全链计算'!P51+1,0),IF('01_数值调参'!V30&lt;0,'03_全链计算'!Q51+1,0),IF('01_数值调参'!V31&lt;0,'03_全链计算'!R51+1,0),IF('01_数值调参'!V32&lt;0,'03_全链计算'!S51+1,0),IF('01_数值调参'!V33&lt;0,'03_全链计算'!T51+1,0),IF('01_数值调参'!V34&lt;0,'03_全链计算'!U51+1,0),IF('01_数值调参'!V35&lt;0,'03_全链计算'!V51+1,0),IF('01_数值调参'!V36&lt;0,'03_全链计算'!W51+1,0),IF('01_数值调参'!V37&lt;0,'03_全链计算'!X51+1,0),IF('01_数值调参'!V38&lt;0,'03_全链计算'!Y51+1,0),IF('01_数值调参'!V39&lt;0,'03_全链计算'!Z51+1,0),IF('01_数值调参'!V40&lt;0,'03_全链计算'!AA51+1,0),IF('01_数值调参'!V41&lt;0,'03_全链计算'!AB51+1,0),IF('01_数值调参'!V42&lt;0,'03_全链计算'!AC51+1,0),IF('01_数值调参'!V43&lt;0,'03_全链计算'!AD51+1,0),IF('01_数值调参'!V44&lt;0,'03_全链计算'!AE51+1,0),IF('01_数值调参'!V45&lt;0,'03_全链计算'!AF51+1,0),IF('01_数值调参'!V46&lt;0,'03_全链计算'!AG51+1,0),IF('01_数值调参'!V47&lt;0,'03_全链计算'!AH51+1,0),IF('01_数值调参'!V48&lt;0,'03_全链计算'!AI51+1,0),IF('01_数值调参'!V49&lt;0,'03_全链计算'!AJ51+1,0),IF('01_数值调参'!V50&lt;0,'03_全链计算'!AK51+1,0),IF('01_数值调参'!V51&lt;0,'03_全链计算'!AL51+1,0),IF('01_数值调参'!V52&lt;0,'03_全链计算'!AM51+1,0))</x:f>
        <x:v>1</x:v>
      </x:c>
      <x:c r="W52" s="9" t="n">
        <x:f>MAX(IF('01_数值调参'!W18&lt;0,'03_全链计算'!E51+1,0),IF('01_数值调参'!W19&lt;0,'03_全链计算'!F51+1,0),IF('01_数值调参'!W20&lt;0,'03_全链计算'!G51+1,0),IF('01_数值调参'!W21&lt;0,'03_全链计算'!H51+1,0),IF('01_数值调参'!W22&lt;0,'03_全链计算'!I51+1,0),IF('01_数值调参'!W23&lt;0,'03_全链计算'!J51+1,0),IF('01_数值调参'!W24&lt;0,'03_全链计算'!K51+1,0),IF('01_数值调参'!W25&lt;0,'03_全链计算'!L51+1,0),IF('01_数值调参'!W26&lt;0,'03_全链计算'!M51+1,0),IF('01_数值调参'!W27&lt;0,'03_全链计算'!N51+1,0),IF('01_数值调参'!W28&lt;0,'03_全链计算'!O51+1,0),IF('01_数值调参'!W29&lt;0,'03_全链计算'!P51+1,0),IF('01_数值调参'!W30&lt;0,'03_全链计算'!Q51+1,0),IF('01_数值调参'!W31&lt;0,'03_全链计算'!R51+1,0),IF('01_数值调参'!W32&lt;0,'03_全链计算'!S51+1,0),IF('01_数值调参'!W33&lt;0,'03_全链计算'!T51+1,0),IF('01_数值调参'!W34&lt;0,'03_全链计算'!U51+1,0),IF('01_数值调参'!W35&lt;0,'03_全链计算'!V51+1,0),IF('01_数值调参'!W36&lt;0,'03_全链计算'!W51+1,0),IF('01_数值调参'!W37&lt;0,'03_全链计算'!X51+1,0),IF('01_数值调参'!W38&lt;0,'03_全链计算'!Y51+1,0),IF('01_数值调参'!W39&lt;0,'03_全链计算'!Z51+1,0),IF('01_数值调参'!W40&lt;0,'03_全链计算'!AA51+1,0),IF('01_数值调参'!W41&lt;0,'03_全链计算'!AB51+1,0),IF('01_数值调参'!W42&lt;0,'03_全链计算'!AC51+1,0),IF('01_数值调参'!W43&lt;0,'03_全链计算'!AD51+1,0),IF('01_数值调参'!W44&lt;0,'03_全链计算'!AE51+1,0),IF('01_数值调参'!W45&lt;0,'03_全链计算'!AF51+1,0),IF('01_数值调参'!W46&lt;0,'03_全链计算'!AG51+1,0),IF('01_数值调参'!W47&lt;0,'03_全链计算'!AH51+1,0),IF('01_数值调参'!W48&lt;0,'03_全链计算'!AI51+1,0),IF('01_数值调参'!W49&lt;0,'03_全链计算'!AJ51+1,0),IF('01_数值调参'!W50&lt;0,'03_全链计算'!AK51+1,0),IF('01_数值调参'!W51&lt;0,'03_全链计算'!AL51+1,0),IF('01_数值调参'!W52&lt;0,'03_全链计算'!AM51+1,0))</x:f>
        <x:v>1</x:v>
      </x:c>
      <x:c r="X52" s="9" t="n">
        <x:f>MAX(IF('01_数值调参'!X18&lt;0,'03_全链计算'!E51+1,0),IF('01_数值调参'!X19&lt;0,'03_全链计算'!F51+1,0),IF('01_数值调参'!X20&lt;0,'03_全链计算'!G51+1,0),IF('01_数值调参'!X21&lt;0,'03_全链计算'!H51+1,0),IF('01_数值调参'!X22&lt;0,'03_全链计算'!I51+1,0),IF('01_数值调参'!X23&lt;0,'03_全链计算'!J51+1,0),IF('01_数值调参'!X24&lt;0,'03_全链计算'!K51+1,0),IF('01_数值调参'!X25&lt;0,'03_全链计算'!L51+1,0),IF('01_数值调参'!X26&lt;0,'03_全链计算'!M51+1,0),IF('01_数值调参'!X27&lt;0,'03_全链计算'!N51+1,0),IF('01_数值调参'!X28&lt;0,'03_全链计算'!O51+1,0),IF('01_数值调参'!X29&lt;0,'03_全链计算'!P51+1,0),IF('01_数值调参'!X30&lt;0,'03_全链计算'!Q51+1,0),IF('01_数值调参'!X31&lt;0,'03_全链计算'!R51+1,0),IF('01_数值调参'!X32&lt;0,'03_全链计算'!S51+1,0),IF('01_数值调参'!X33&lt;0,'03_全链计算'!T51+1,0),IF('01_数值调参'!X34&lt;0,'03_全链计算'!U51+1,0),IF('01_数值调参'!X35&lt;0,'03_全链计算'!V51+1,0),IF('01_数值调参'!X36&lt;0,'03_全链计算'!W51+1,0),IF('01_数值调参'!X37&lt;0,'03_全链计算'!X51+1,0),IF('01_数值调参'!X38&lt;0,'03_全链计算'!Y51+1,0),IF('01_数值调参'!X39&lt;0,'03_全链计算'!Z51+1,0),IF('01_数值调参'!X40&lt;0,'03_全链计算'!AA51+1,0),IF('01_数值调参'!X41&lt;0,'03_全链计算'!AB51+1,0),IF('01_数值调参'!X42&lt;0,'03_全链计算'!AC51+1,0),IF('01_数值调参'!X43&lt;0,'03_全链计算'!AD51+1,0),IF('01_数值调参'!X44&lt;0,'03_全链计算'!AE51+1,0),IF('01_数值调参'!X45&lt;0,'03_全链计算'!AF51+1,0),IF('01_数值调参'!X46&lt;0,'03_全链计算'!AG51+1,0),IF('01_数值调参'!X47&lt;0,'03_全链计算'!AH51+1,0),IF('01_数值调参'!X48&lt;0,'03_全链计算'!AI51+1,0),IF('01_数值调参'!X49&lt;0,'03_全链计算'!AJ51+1,0),IF('01_数值调参'!X50&lt;0,'03_全链计算'!AK51+1,0),IF('01_数值调参'!X51&lt;0,'03_全链计算'!AL51+1,0),IF('01_数值调参'!X52&lt;0,'03_全链计算'!AM51+1,0))</x:f>
        <x:v>2</x:v>
      </x:c>
      <x:c r="Y52" s="9" t="n">
        <x:f>MAX(IF('01_数值调参'!Y18&lt;0,'03_全链计算'!E51+1,0),IF('01_数值调参'!Y19&lt;0,'03_全链计算'!F51+1,0),IF('01_数值调参'!Y20&lt;0,'03_全链计算'!G51+1,0),IF('01_数值调参'!Y21&lt;0,'03_全链计算'!H51+1,0),IF('01_数值调参'!Y22&lt;0,'03_全链计算'!I51+1,0),IF('01_数值调参'!Y23&lt;0,'03_全链计算'!J51+1,0),IF('01_数值调参'!Y24&lt;0,'03_全链计算'!K51+1,0),IF('01_数值调参'!Y25&lt;0,'03_全链计算'!L51+1,0),IF('01_数值调参'!Y26&lt;0,'03_全链计算'!M51+1,0),IF('01_数值调参'!Y27&lt;0,'03_全链计算'!N51+1,0),IF('01_数值调参'!Y28&lt;0,'03_全链计算'!O51+1,0),IF('01_数值调参'!Y29&lt;0,'03_全链计算'!P51+1,0),IF('01_数值调参'!Y30&lt;0,'03_全链计算'!Q51+1,0),IF('01_数值调参'!Y31&lt;0,'03_全链计算'!R51+1,0),IF('01_数值调参'!Y32&lt;0,'03_全链计算'!S51+1,0),IF('01_数值调参'!Y33&lt;0,'03_全链计算'!T51+1,0),IF('01_数值调参'!Y34&lt;0,'03_全链计算'!U51+1,0),IF('01_数值调参'!Y35&lt;0,'03_全链计算'!V51+1,0),IF('01_数值调参'!Y36&lt;0,'03_全链计算'!W51+1,0),IF('01_数值调参'!Y37&lt;0,'03_全链计算'!X51+1,0),IF('01_数值调参'!Y38&lt;0,'03_全链计算'!Y51+1,0),IF('01_数值调参'!Y39&lt;0,'03_全链计算'!Z51+1,0),IF('01_数值调参'!Y40&lt;0,'03_全链计算'!AA51+1,0),IF('01_数值调参'!Y41&lt;0,'03_全链计算'!AB51+1,0),IF('01_数值调参'!Y42&lt;0,'03_全链计算'!AC51+1,0),IF('01_数值调参'!Y43&lt;0,'03_全链计算'!AD51+1,0),IF('01_数值调参'!Y44&lt;0,'03_全链计算'!AE51+1,0),IF('01_数值调参'!Y45&lt;0,'03_全链计算'!AF51+1,0),IF('01_数值调参'!Y46&lt;0,'03_全链计算'!AG51+1,0),IF('01_数值调参'!Y47&lt;0,'03_全链计算'!AH51+1,0),IF('01_数值调参'!Y48&lt;0,'03_全链计算'!AI51+1,0),IF('01_数值调参'!Y49&lt;0,'03_全链计算'!AJ51+1,0),IF('01_数值调参'!Y50&lt;0,'03_全链计算'!AK51+1,0),IF('01_数值调参'!Y51&lt;0,'03_全链计算'!AL51+1,0),IF('01_数值调参'!Y52&lt;0,'03_全链计算'!AM51+1,0))</x:f>
        <x:v>2</x:v>
      </x:c>
      <x:c r="Z52" s="9" t="n">
        <x:f>MAX(IF('01_数值调参'!Z18&lt;0,'03_全链计算'!E51+1,0),IF('01_数值调参'!Z19&lt;0,'03_全链计算'!F51+1,0),IF('01_数值调参'!Z20&lt;0,'03_全链计算'!G51+1,0),IF('01_数值调参'!Z21&lt;0,'03_全链计算'!H51+1,0),IF('01_数值调参'!Z22&lt;0,'03_全链计算'!I51+1,0),IF('01_数值调参'!Z23&lt;0,'03_全链计算'!J51+1,0),IF('01_数值调参'!Z24&lt;0,'03_全链计算'!K51+1,0),IF('01_数值调参'!Z25&lt;0,'03_全链计算'!L51+1,0),IF('01_数值调参'!Z26&lt;0,'03_全链计算'!M51+1,0),IF('01_数值调参'!Z27&lt;0,'03_全链计算'!N51+1,0),IF('01_数值调参'!Z28&lt;0,'03_全链计算'!O51+1,0),IF('01_数值调参'!Z29&lt;0,'03_全链计算'!P51+1,0),IF('01_数值调参'!Z30&lt;0,'03_全链计算'!Q51+1,0),IF('01_数值调参'!Z31&lt;0,'03_全链计算'!R51+1,0),IF('01_数值调参'!Z32&lt;0,'03_全链计算'!S51+1,0),IF('01_数值调参'!Z33&lt;0,'03_全链计算'!T51+1,0),IF('01_数值调参'!Z34&lt;0,'03_全链计算'!U51+1,0),IF('01_数值调参'!Z35&lt;0,'03_全链计算'!V51+1,0),IF('01_数值调参'!Z36&lt;0,'03_全链计算'!W51+1,0),IF('01_数值调参'!Z37&lt;0,'03_全链计算'!X51+1,0),IF('01_数值调参'!Z38&lt;0,'03_全链计算'!Y51+1,0),IF('01_数值调参'!Z39&lt;0,'03_全链计算'!Z51+1,0),IF('01_数值调参'!Z40&lt;0,'03_全链计算'!AA51+1,0),IF('01_数值调参'!Z41&lt;0,'03_全链计算'!AB51+1,0),IF('01_数值调参'!Z42&lt;0,'03_全链计算'!AC51+1,0),IF('01_数值调参'!Z43&lt;0,'03_全链计算'!AD51+1,0),IF('01_数值调参'!Z44&lt;0,'03_全链计算'!AE51+1,0),IF('01_数值调参'!Z45&lt;0,'03_全链计算'!AF51+1,0),IF('01_数值调参'!Z46&lt;0,'03_全链计算'!AG51+1,0),IF('01_数值调参'!Z47&lt;0,'03_全链计算'!AH51+1,0),IF('01_数值调参'!Z48&lt;0,'03_全链计算'!AI51+1,0),IF('01_数值调参'!Z49&lt;0,'03_全链计算'!AJ51+1,0),IF('01_数值调参'!Z50&lt;0,'03_全链计算'!AK51+1,0),IF('01_数值调参'!Z51&lt;0,'03_全链计算'!AL51+1,0),IF('01_数值调参'!Z52&lt;0,'03_全链计算'!AM51+1,0))</x:f>
        <x:v>2</x:v>
      </x:c>
      <x:c r="AA52" s="9" t="n">
        <x:f>MAX(IF('01_数值调参'!AA18&lt;0,'03_全链计算'!E51+1,0),IF('01_数值调参'!AA19&lt;0,'03_全链计算'!F51+1,0),IF('01_数值调参'!AA20&lt;0,'03_全链计算'!G51+1,0),IF('01_数值调参'!AA21&lt;0,'03_全链计算'!H51+1,0),IF('01_数值调参'!AA22&lt;0,'03_全链计算'!I51+1,0),IF('01_数值调参'!AA23&lt;0,'03_全链计算'!J51+1,0),IF('01_数值调参'!AA24&lt;0,'03_全链计算'!K51+1,0),IF('01_数值调参'!AA25&lt;0,'03_全链计算'!L51+1,0),IF('01_数值调参'!AA26&lt;0,'03_全链计算'!M51+1,0),IF('01_数值调参'!AA27&lt;0,'03_全链计算'!N51+1,0),IF('01_数值调参'!AA28&lt;0,'03_全链计算'!O51+1,0),IF('01_数值调参'!AA29&lt;0,'03_全链计算'!P51+1,0),IF('01_数值调参'!AA30&lt;0,'03_全链计算'!Q51+1,0),IF('01_数值调参'!AA31&lt;0,'03_全链计算'!R51+1,0),IF('01_数值调参'!AA32&lt;0,'03_全链计算'!S51+1,0),IF('01_数值调参'!AA33&lt;0,'03_全链计算'!T51+1,0),IF('01_数值调参'!AA34&lt;0,'03_全链计算'!U51+1,0),IF('01_数值调参'!AA35&lt;0,'03_全链计算'!V51+1,0),IF('01_数值调参'!AA36&lt;0,'03_全链计算'!W51+1,0),IF('01_数值调参'!AA37&lt;0,'03_全链计算'!X51+1,0),IF('01_数值调参'!AA38&lt;0,'03_全链计算'!Y51+1,0),IF('01_数值调参'!AA39&lt;0,'03_全链计算'!Z51+1,0),IF('01_数值调参'!AA40&lt;0,'03_全链计算'!AA51+1,0),IF('01_数值调参'!AA41&lt;0,'03_全链计算'!AB51+1,0),IF('01_数值调参'!AA42&lt;0,'03_全链计算'!AC51+1,0),IF('01_数值调参'!AA43&lt;0,'03_全链计算'!AD51+1,0),IF('01_数值调参'!AA44&lt;0,'03_全链计算'!AE51+1,0),IF('01_数值调参'!AA45&lt;0,'03_全链计算'!AF51+1,0),IF('01_数值调参'!AA46&lt;0,'03_全链计算'!AG51+1,0),IF('01_数值调参'!AA47&lt;0,'03_全链计算'!AH51+1,0),IF('01_数值调参'!AA48&lt;0,'03_全链计算'!AI51+1,0),IF('01_数值调参'!AA49&lt;0,'03_全链计算'!AJ51+1,0),IF('01_数值调参'!AA50&lt;0,'03_全链计算'!AK51+1,0),IF('01_数值调参'!AA51&lt;0,'03_全链计算'!AL51+1,0),IF('01_数值调参'!AA52&lt;0,'03_全链计算'!AM51+1,0))</x:f>
        <x:v>2</x:v>
      </x:c>
      <x:c r="AB52" s="9" t="n">
        <x:f>MAX(IF('01_数值调参'!AB18&lt;0,'03_全链计算'!E51+1,0),IF('01_数值调参'!AB19&lt;0,'03_全链计算'!F51+1,0),IF('01_数值调参'!AB20&lt;0,'03_全链计算'!G51+1,0),IF('01_数值调参'!AB21&lt;0,'03_全链计算'!H51+1,0),IF('01_数值调参'!AB22&lt;0,'03_全链计算'!I51+1,0),IF('01_数值调参'!AB23&lt;0,'03_全链计算'!J51+1,0),IF('01_数值调参'!AB24&lt;0,'03_全链计算'!K51+1,0),IF('01_数值调参'!AB25&lt;0,'03_全链计算'!L51+1,0),IF('01_数值调参'!AB26&lt;0,'03_全链计算'!M51+1,0),IF('01_数值调参'!AB27&lt;0,'03_全链计算'!N51+1,0),IF('01_数值调参'!AB28&lt;0,'03_全链计算'!O51+1,0),IF('01_数值调参'!AB29&lt;0,'03_全链计算'!P51+1,0),IF('01_数值调参'!AB30&lt;0,'03_全链计算'!Q51+1,0),IF('01_数值调参'!AB31&lt;0,'03_全链计算'!R51+1,0),IF('01_数值调参'!AB32&lt;0,'03_全链计算'!S51+1,0),IF('01_数值调参'!AB33&lt;0,'03_全链计算'!T51+1,0),IF('01_数值调参'!AB34&lt;0,'03_全链计算'!U51+1,0),IF('01_数值调参'!AB35&lt;0,'03_全链计算'!V51+1,0),IF('01_数值调参'!AB36&lt;0,'03_全链计算'!W51+1,0),IF('01_数值调参'!AB37&lt;0,'03_全链计算'!X51+1,0),IF('01_数值调参'!AB38&lt;0,'03_全链计算'!Y51+1,0),IF('01_数值调参'!AB39&lt;0,'03_全链计算'!Z51+1,0),IF('01_数值调参'!AB40&lt;0,'03_全链计算'!AA51+1,0),IF('01_数值调参'!AB41&lt;0,'03_全链计算'!AB51+1,0),IF('01_数值调参'!AB42&lt;0,'03_全链计算'!AC51+1,0),IF('01_数值调参'!AB43&lt;0,'03_全链计算'!AD51+1,0),IF('01_数值调参'!AB44&lt;0,'03_全链计算'!AE51+1,0),IF('01_数值调参'!AB45&lt;0,'03_全链计算'!AF51+1,0),IF('01_数值调参'!AB46&lt;0,'03_全链计算'!AG51+1,0),IF('01_数值调参'!AB47&lt;0,'03_全链计算'!AH51+1,0),IF('01_数值调参'!AB48&lt;0,'03_全链计算'!AI51+1,0),IF('01_数值调参'!AB49&lt;0,'03_全链计算'!AJ51+1,0),IF('01_数值调参'!AB50&lt;0,'03_全链计算'!AK51+1,0),IF('01_数值调参'!AB51&lt;0,'03_全链计算'!AL51+1,0),IF('01_数值调参'!AB52&lt;0,'03_全链计算'!AM51+1,0))</x:f>
        <x:v>2</x:v>
      </x:c>
      <x:c r="AC52" s="9" t="n">
        <x:f>MAX(IF('01_数值调参'!AC18&lt;0,'03_全链计算'!E51+1,0),IF('01_数值调参'!AC19&lt;0,'03_全链计算'!F51+1,0),IF('01_数值调参'!AC20&lt;0,'03_全链计算'!G51+1,0),IF('01_数值调参'!AC21&lt;0,'03_全链计算'!H51+1,0),IF('01_数值调参'!AC22&lt;0,'03_全链计算'!I51+1,0),IF('01_数值调参'!AC23&lt;0,'03_全链计算'!J51+1,0),IF('01_数值调参'!AC24&lt;0,'03_全链计算'!K51+1,0),IF('01_数值调参'!AC25&lt;0,'03_全链计算'!L51+1,0),IF('01_数值调参'!AC26&lt;0,'03_全链计算'!M51+1,0),IF('01_数值调参'!AC27&lt;0,'03_全链计算'!N51+1,0),IF('01_数值调参'!AC28&lt;0,'03_全链计算'!O51+1,0),IF('01_数值调参'!AC29&lt;0,'03_全链计算'!P51+1,0),IF('01_数值调参'!AC30&lt;0,'03_全链计算'!Q51+1,0),IF('01_数值调参'!AC31&lt;0,'03_全链计算'!R51+1,0),IF('01_数值调参'!AC32&lt;0,'03_全链计算'!S51+1,0),IF('01_数值调参'!AC33&lt;0,'03_全链计算'!T51+1,0),IF('01_数值调参'!AC34&lt;0,'03_全链计算'!U51+1,0),IF('01_数值调参'!AC35&lt;0,'03_全链计算'!V51+1,0),IF('01_数值调参'!AC36&lt;0,'03_全链计算'!W51+1,0),IF('01_数值调参'!AC37&lt;0,'03_全链计算'!X51+1,0),IF('01_数值调参'!AC38&lt;0,'03_全链计算'!Y51+1,0),IF('01_数值调参'!AC39&lt;0,'03_全链计算'!Z51+1,0),IF('01_数值调参'!AC40&lt;0,'03_全链计算'!AA51+1,0),IF('01_数值调参'!AC41&lt;0,'03_全链计算'!AB51+1,0),IF('01_数值调参'!AC42&lt;0,'03_全链计算'!AC51+1,0),IF('01_数值调参'!AC43&lt;0,'03_全链计算'!AD51+1,0),IF('01_数值调参'!AC44&lt;0,'03_全链计算'!AE51+1,0),IF('01_数值调参'!AC45&lt;0,'03_全链计算'!AF51+1,0),IF('01_数值调参'!AC46&lt;0,'03_全链计算'!AG51+1,0),IF('01_数值调参'!AC47&lt;0,'03_全链计算'!AH51+1,0),IF('01_数值调参'!AC48&lt;0,'03_全链计算'!AI51+1,0),IF('01_数值调参'!AC49&lt;0,'03_全链计算'!AJ51+1,0),IF('01_数值调参'!AC50&lt;0,'03_全链计算'!AK51+1,0),IF('01_数值调参'!AC51&lt;0,'03_全链计算'!AL51+1,0),IF('01_数值调参'!AC52&lt;0,'03_全链计算'!AM51+1,0))</x:f>
        <x:v>2</x:v>
      </x:c>
      <x:c r="AD52" s="9" t="n">
        <x:f>MAX(IF('01_数值调参'!AD18&lt;0,'03_全链计算'!E51+1,0),IF('01_数值调参'!AD19&lt;0,'03_全链计算'!F51+1,0),IF('01_数值调参'!AD20&lt;0,'03_全链计算'!G51+1,0),IF('01_数值调参'!AD21&lt;0,'03_全链计算'!H51+1,0),IF('01_数值调参'!AD22&lt;0,'03_全链计算'!I51+1,0),IF('01_数值调参'!AD23&lt;0,'03_全链计算'!J51+1,0),IF('01_数值调参'!AD24&lt;0,'03_全链计算'!K51+1,0),IF('01_数值调参'!AD25&lt;0,'03_全链计算'!L51+1,0),IF('01_数值调参'!AD26&lt;0,'03_全链计算'!M51+1,0),IF('01_数值调参'!AD27&lt;0,'03_全链计算'!N51+1,0),IF('01_数值调参'!AD28&lt;0,'03_全链计算'!O51+1,0),IF('01_数值调参'!AD29&lt;0,'03_全链计算'!P51+1,0),IF('01_数值调参'!AD30&lt;0,'03_全链计算'!Q51+1,0),IF('01_数值调参'!AD31&lt;0,'03_全链计算'!R51+1,0),IF('01_数值调参'!AD32&lt;0,'03_全链计算'!S51+1,0),IF('01_数值调参'!AD33&lt;0,'03_全链计算'!T51+1,0),IF('01_数值调参'!AD34&lt;0,'03_全链计算'!U51+1,0),IF('01_数值调参'!AD35&lt;0,'03_全链计算'!V51+1,0),IF('01_数值调参'!AD36&lt;0,'03_全链计算'!W51+1,0),IF('01_数值调参'!AD37&lt;0,'03_全链计算'!X51+1,0),IF('01_数值调参'!AD38&lt;0,'03_全链计算'!Y51+1,0),IF('01_数值调参'!AD39&lt;0,'03_全链计算'!Z51+1,0),IF('01_数值调参'!AD40&lt;0,'03_全链计算'!AA51+1,0),IF('01_数值调参'!AD41&lt;0,'03_全链计算'!AB51+1,0),IF('01_数值调参'!AD42&lt;0,'03_全链计算'!AC51+1,0),IF('01_数值调参'!AD43&lt;0,'03_全链计算'!AD51+1,0),IF('01_数值调参'!AD44&lt;0,'03_全链计算'!AE51+1,0),IF('01_数值调参'!AD45&lt;0,'03_全链计算'!AF51+1,0),IF('01_数值调参'!AD46&lt;0,'03_全链计算'!AG51+1,0),IF('01_数值调参'!AD47&lt;0,'03_全链计算'!AH51+1,0),IF('01_数值调参'!AD48&lt;0,'03_全链计算'!AI51+1,0),IF('01_数值调参'!AD49&lt;0,'03_全链计算'!AJ51+1,0),IF('01_数值调参'!AD50&lt;0,'03_全链计算'!AK51+1,0),IF('01_数值调参'!AD51&lt;0,'03_全链计算'!AL51+1,0),IF('01_数值调参'!AD52&lt;0,'03_全链计算'!AM51+1,0))</x:f>
        <x:v>1</x:v>
      </x:c>
      <x:c r="AE52" s="9" t="n">
        <x:f>MAX(IF('01_数值调参'!AE18&lt;0,'03_全链计算'!E51+1,0),IF('01_数值调参'!AE19&lt;0,'03_全链计算'!F51+1,0),IF('01_数值调参'!AE20&lt;0,'03_全链计算'!G51+1,0),IF('01_数值调参'!AE21&lt;0,'03_全链计算'!H51+1,0),IF('01_数值调参'!AE22&lt;0,'03_全链计算'!I51+1,0),IF('01_数值调参'!AE23&lt;0,'03_全链计算'!J51+1,0),IF('01_数值调参'!AE24&lt;0,'03_全链计算'!K51+1,0),IF('01_数值调参'!AE25&lt;0,'03_全链计算'!L51+1,0),IF('01_数值调参'!AE26&lt;0,'03_全链计算'!M51+1,0),IF('01_数值调参'!AE27&lt;0,'03_全链计算'!N51+1,0),IF('01_数值调参'!AE28&lt;0,'03_全链计算'!O51+1,0),IF('01_数值调参'!AE29&lt;0,'03_全链计算'!P51+1,0),IF('01_数值调参'!AE30&lt;0,'03_全链计算'!Q51+1,0),IF('01_数值调参'!AE31&lt;0,'03_全链计算'!R51+1,0),IF('01_数值调参'!AE32&lt;0,'03_全链计算'!S51+1,0),IF('01_数值调参'!AE33&lt;0,'03_全链计算'!T51+1,0),IF('01_数值调参'!AE34&lt;0,'03_全链计算'!U51+1,0),IF('01_数值调参'!AE35&lt;0,'03_全链计算'!V51+1,0),IF('01_数值调参'!AE36&lt;0,'03_全链计算'!W51+1,0),IF('01_数值调参'!AE37&lt;0,'03_全链计算'!X51+1,0),IF('01_数值调参'!AE38&lt;0,'03_全链计算'!Y51+1,0),IF('01_数值调参'!AE39&lt;0,'03_全链计算'!Z51+1,0),IF('01_数值调参'!AE40&lt;0,'03_全链计算'!AA51+1,0),IF('01_数值调参'!AE41&lt;0,'03_全链计算'!AB51+1,0),IF('01_数值调参'!AE42&lt;0,'03_全链计算'!AC51+1,0),IF('01_数值调参'!AE43&lt;0,'03_全链计算'!AD51+1,0),IF('01_数值调参'!AE44&lt;0,'03_全链计算'!AE51+1,0),IF('01_数值调参'!AE45&lt;0,'03_全链计算'!AF51+1,0),IF('01_数值调参'!AE46&lt;0,'03_全链计算'!AG51+1,0),IF('01_数值调参'!AE47&lt;0,'03_全链计算'!AH51+1,0),IF('01_数值调参'!AE48&lt;0,'03_全链计算'!AI51+1,0),IF('01_数值调参'!AE49&lt;0,'03_全链计算'!AJ51+1,0),IF('01_数值调参'!AE50&lt;0,'03_全链计算'!AK51+1,0),IF('01_数值调参'!AE51&lt;0,'03_全链计算'!AL51+1,0),IF('01_数值调参'!AE52&lt;0,'03_全链计算'!AM51+1,0))</x:f>
        <x:v>1</x:v>
      </x:c>
      <x:c r="AF52" s="9" t="n">
        <x:f>MAX(IF('01_数值调参'!AF18&lt;0,'03_全链计算'!E51+1,0),IF('01_数值调参'!AF19&lt;0,'03_全链计算'!F51+1,0),IF('01_数值调参'!AF20&lt;0,'03_全链计算'!G51+1,0),IF('01_数值调参'!AF21&lt;0,'03_全链计算'!H51+1,0),IF('01_数值调参'!AF22&lt;0,'03_全链计算'!I51+1,0),IF('01_数值调参'!AF23&lt;0,'03_全链计算'!J51+1,0),IF('01_数值调参'!AF24&lt;0,'03_全链计算'!K51+1,0),IF('01_数值调参'!AF25&lt;0,'03_全链计算'!L51+1,0),IF('01_数值调参'!AF26&lt;0,'03_全链计算'!M51+1,0),IF('01_数值调参'!AF27&lt;0,'03_全链计算'!N51+1,0),IF('01_数值调参'!AF28&lt;0,'03_全链计算'!O51+1,0),IF('01_数值调参'!AF29&lt;0,'03_全链计算'!P51+1,0),IF('01_数值调参'!AF30&lt;0,'03_全链计算'!Q51+1,0),IF('01_数值调参'!AF31&lt;0,'03_全链计算'!R51+1,0),IF('01_数值调参'!AF32&lt;0,'03_全链计算'!S51+1,0),IF('01_数值调参'!AF33&lt;0,'03_全链计算'!T51+1,0),IF('01_数值调参'!AF34&lt;0,'03_全链计算'!U51+1,0),IF('01_数值调参'!AF35&lt;0,'03_全链计算'!V51+1,0),IF('01_数值调参'!AF36&lt;0,'03_全链计算'!W51+1,0),IF('01_数值调参'!AF37&lt;0,'03_全链计算'!X51+1,0),IF('01_数值调参'!AF38&lt;0,'03_全链计算'!Y51+1,0),IF('01_数值调参'!AF39&lt;0,'03_全链计算'!Z51+1,0),IF('01_数值调参'!AF40&lt;0,'03_全链计算'!AA51+1,0),IF('01_数值调参'!AF41&lt;0,'03_全链计算'!AB51+1,0),IF('01_数值调参'!AF42&lt;0,'03_全链计算'!AC51+1,0),IF('01_数值调参'!AF43&lt;0,'03_全链计算'!AD51+1,0),IF('01_数值调参'!AF44&lt;0,'03_全链计算'!AE51+1,0),IF('01_数值调参'!AF45&lt;0,'03_全链计算'!AF51+1,0),IF('01_数值调参'!AF46&lt;0,'03_全链计算'!AG51+1,0),IF('01_数值调参'!AF47&lt;0,'03_全链计算'!AH51+1,0),IF('01_数值调参'!AF48&lt;0,'03_全链计算'!AI51+1,0),IF('01_数值调参'!AF49&lt;0,'03_全链计算'!AJ51+1,0),IF('01_数值调参'!AF50&lt;0,'03_全链计算'!AK51+1,0),IF('01_数值调参'!AF51&lt;0,'03_全链计算'!AL51+1,0),IF('01_数值调参'!AF52&lt;0,'03_全链计算'!AM51+1,0))</x:f>
        <x:v>1</x:v>
      </x:c>
      <x:c r="AG52" s="9" t="n">
        <x:f>MAX(IF('01_数值调参'!AG18&lt;0,'03_全链计算'!E51+1,0),IF('01_数值调参'!AG19&lt;0,'03_全链计算'!F51+1,0),IF('01_数值调参'!AG20&lt;0,'03_全链计算'!G51+1,0),IF('01_数值调参'!AG21&lt;0,'03_全链计算'!H51+1,0),IF('01_数值调参'!AG22&lt;0,'03_全链计算'!I51+1,0),IF('01_数值调参'!AG23&lt;0,'03_全链计算'!J51+1,0),IF('01_数值调参'!AG24&lt;0,'03_全链计算'!K51+1,0),IF('01_数值调参'!AG25&lt;0,'03_全链计算'!L51+1,0),IF('01_数值调参'!AG26&lt;0,'03_全链计算'!M51+1,0),IF('01_数值调参'!AG27&lt;0,'03_全链计算'!N51+1,0),IF('01_数值调参'!AG28&lt;0,'03_全链计算'!O51+1,0),IF('01_数值调参'!AG29&lt;0,'03_全链计算'!P51+1,0),IF('01_数值调参'!AG30&lt;0,'03_全链计算'!Q51+1,0),IF('01_数值调参'!AG31&lt;0,'03_全链计算'!R51+1,0),IF('01_数值调参'!AG32&lt;0,'03_全链计算'!S51+1,0),IF('01_数值调参'!AG33&lt;0,'03_全链计算'!T51+1,0),IF('01_数值调参'!AG34&lt;0,'03_全链计算'!U51+1,0),IF('01_数值调参'!AG35&lt;0,'03_全链计算'!V51+1,0),IF('01_数值调参'!AG36&lt;0,'03_全链计算'!W51+1,0),IF('01_数值调参'!AG37&lt;0,'03_全链计算'!X51+1,0),IF('01_数值调参'!AG38&lt;0,'03_全链计算'!Y51+1,0),IF('01_数值调参'!AG39&lt;0,'03_全链计算'!Z51+1,0),IF('01_数值调参'!AG40&lt;0,'03_全链计算'!AA51+1,0),IF('01_数值调参'!AG41&lt;0,'03_全链计算'!AB51+1,0),IF('01_数值调参'!AG42&lt;0,'03_全链计算'!AC51+1,0),IF('01_数值调参'!AG43&lt;0,'03_全链计算'!AD51+1,0),IF('01_数值调参'!AG44&lt;0,'03_全链计算'!AE51+1,0),IF('01_数值调参'!AG45&lt;0,'03_全链计算'!AF51+1,0),IF('01_数值调参'!AG46&lt;0,'03_全链计算'!AG51+1,0),IF('01_数值调参'!AG47&lt;0,'03_全链计算'!AH51+1,0),IF('01_数值调参'!AG48&lt;0,'03_全链计算'!AI51+1,0),IF('01_数值调参'!AG49&lt;0,'03_全链计算'!AJ51+1,0),IF('01_数值调参'!AG50&lt;0,'03_全链计算'!AK51+1,0),IF('01_数值调参'!AG51&lt;0,'03_全链计算'!AL51+1,0),IF('01_数值调参'!AG52&lt;0,'03_全链计算'!AM51+1,0))</x:f>
        <x:v>1</x:v>
      </x:c>
      <x:c r="AH52" s="9" t="n">
        <x:f>MAX(IF('01_数值调参'!AH18&lt;0,'03_全链计算'!E51+1,0),IF('01_数值调参'!AH19&lt;0,'03_全链计算'!F51+1,0),IF('01_数值调参'!AH20&lt;0,'03_全链计算'!G51+1,0),IF('01_数值调参'!AH21&lt;0,'03_全链计算'!H51+1,0),IF('01_数值调参'!AH22&lt;0,'03_全链计算'!I51+1,0),IF('01_数值调参'!AH23&lt;0,'03_全链计算'!J51+1,0),IF('01_数值调参'!AH24&lt;0,'03_全链计算'!K51+1,0),IF('01_数值调参'!AH25&lt;0,'03_全链计算'!L51+1,0),IF('01_数值调参'!AH26&lt;0,'03_全链计算'!M51+1,0),IF('01_数值调参'!AH27&lt;0,'03_全链计算'!N51+1,0),IF('01_数值调参'!AH28&lt;0,'03_全链计算'!O51+1,0),IF('01_数值调参'!AH29&lt;0,'03_全链计算'!P51+1,0),IF('01_数值调参'!AH30&lt;0,'03_全链计算'!Q51+1,0),IF('01_数值调参'!AH31&lt;0,'03_全链计算'!R51+1,0),IF('01_数值调参'!AH32&lt;0,'03_全链计算'!S51+1,0),IF('01_数值调参'!AH33&lt;0,'03_全链计算'!T51+1,0),IF('01_数值调参'!AH34&lt;0,'03_全链计算'!U51+1,0),IF('01_数值调参'!AH35&lt;0,'03_全链计算'!V51+1,0),IF('01_数值调参'!AH36&lt;0,'03_全链计算'!W51+1,0),IF('01_数值调参'!AH37&lt;0,'03_全链计算'!X51+1,0),IF('01_数值调参'!AH38&lt;0,'03_全链计算'!Y51+1,0),IF('01_数值调参'!AH39&lt;0,'03_全链计算'!Z51+1,0),IF('01_数值调参'!AH40&lt;0,'03_全链计算'!AA51+1,0),IF('01_数值调参'!AH41&lt;0,'03_全链计算'!AB51+1,0),IF('01_数值调参'!AH42&lt;0,'03_全链计算'!AC51+1,0),IF('01_数值调参'!AH43&lt;0,'03_全链计算'!AD51+1,0),IF('01_数值调参'!AH44&lt;0,'03_全链计算'!AE51+1,0),IF('01_数值调参'!AH45&lt;0,'03_全链计算'!AF51+1,0),IF('01_数值调参'!AH46&lt;0,'03_全链计算'!AG51+1,0),IF('01_数值调参'!AH47&lt;0,'03_全链计算'!AH51+1,0),IF('01_数值调参'!AH48&lt;0,'03_全链计算'!AI51+1,0),IF('01_数值调参'!AH49&lt;0,'03_全链计算'!AJ51+1,0),IF('01_数值调参'!AH50&lt;0,'03_全链计算'!AK51+1,0),IF('01_数值调参'!AH51&lt;0,'03_全链计算'!AL51+1,0),IF('01_数值调参'!AH52&lt;0,'03_全链计算'!AM51+1,0))</x:f>
        <x:v>2</x:v>
      </x:c>
      <x:c r="AI52" s="9" t="n">
        <x:f>MAX(IF('01_数值调参'!AI18&lt;0,'03_全链计算'!E51+1,0),IF('01_数值调参'!AI19&lt;0,'03_全链计算'!F51+1,0),IF('01_数值调参'!AI20&lt;0,'03_全链计算'!G51+1,0),IF('01_数值调参'!AI21&lt;0,'03_全链计算'!H51+1,0),IF('01_数值调参'!AI22&lt;0,'03_全链计算'!I51+1,0),IF('01_数值调参'!AI23&lt;0,'03_全链计算'!J51+1,0),IF('01_数值调参'!AI24&lt;0,'03_全链计算'!K51+1,0),IF('01_数值调参'!AI25&lt;0,'03_全链计算'!L51+1,0),IF('01_数值调参'!AI26&lt;0,'03_全链计算'!M51+1,0),IF('01_数值调参'!AI27&lt;0,'03_全链计算'!N51+1,0),IF('01_数值调参'!AI28&lt;0,'03_全链计算'!O51+1,0),IF('01_数值调参'!AI29&lt;0,'03_全链计算'!P51+1,0),IF('01_数值调参'!AI30&lt;0,'03_全链计算'!Q51+1,0),IF('01_数值调参'!AI31&lt;0,'03_全链计算'!R51+1,0),IF('01_数值调参'!AI32&lt;0,'03_全链计算'!S51+1,0),IF('01_数值调参'!AI33&lt;0,'03_全链计算'!T51+1,0),IF('01_数值调参'!AI34&lt;0,'03_全链计算'!U51+1,0),IF('01_数值调参'!AI35&lt;0,'03_全链计算'!V51+1,0),IF('01_数值调参'!AI36&lt;0,'03_全链计算'!W51+1,0),IF('01_数值调参'!AI37&lt;0,'03_全链计算'!X51+1,0),IF('01_数值调参'!AI38&lt;0,'03_全链计算'!Y51+1,0),IF('01_数值调参'!AI39&lt;0,'03_全链计算'!Z51+1,0),IF('01_数值调参'!AI40&lt;0,'03_全链计算'!AA51+1,0),IF('01_数值调参'!AI41&lt;0,'03_全链计算'!AB51+1,0),IF('01_数值调参'!AI42&lt;0,'03_全链计算'!AC51+1,0),IF('01_数值调参'!AI43&lt;0,'03_全链计算'!AD51+1,0),IF('01_数值调参'!AI44&lt;0,'03_全链计算'!AE51+1,0),IF('01_数值调参'!AI45&lt;0,'03_全链计算'!AF51+1,0),IF('01_数值调参'!AI46&lt;0,'03_全链计算'!AG51+1,0),IF('01_数值调参'!AI47&lt;0,'03_全链计算'!AH51+1,0),IF('01_数值调参'!AI48&lt;0,'03_全链计算'!AI51+1,0),IF('01_数值调参'!AI49&lt;0,'03_全链计算'!AJ51+1,0),IF('01_数值调参'!AI50&lt;0,'03_全链计算'!AK51+1,0),IF('01_数值调参'!AI51&lt;0,'03_全链计算'!AL51+1,0),IF('01_数值调参'!AI52&lt;0,'03_全链计算'!AM51+1,0))</x:f>
        <x:v>2</x:v>
      </x:c>
      <x:c r="AJ52" s="9" t="n">
        <x:f>MAX(IF('01_数值调参'!AJ18&lt;0,'03_全链计算'!E51+1,0),IF('01_数值调参'!AJ19&lt;0,'03_全链计算'!F51+1,0),IF('01_数值调参'!AJ20&lt;0,'03_全链计算'!G51+1,0),IF('01_数值调参'!AJ21&lt;0,'03_全链计算'!H51+1,0),IF('01_数值调参'!AJ22&lt;0,'03_全链计算'!I51+1,0),IF('01_数值调参'!AJ23&lt;0,'03_全链计算'!J51+1,0),IF('01_数值调参'!AJ24&lt;0,'03_全链计算'!K51+1,0),IF('01_数值调参'!AJ25&lt;0,'03_全链计算'!L51+1,0),IF('01_数值调参'!AJ26&lt;0,'03_全链计算'!M51+1,0),IF('01_数值调参'!AJ27&lt;0,'03_全链计算'!N51+1,0),IF('01_数值调参'!AJ28&lt;0,'03_全链计算'!O51+1,0),IF('01_数值调参'!AJ29&lt;0,'03_全链计算'!P51+1,0),IF('01_数值调参'!AJ30&lt;0,'03_全链计算'!Q51+1,0),IF('01_数值调参'!AJ31&lt;0,'03_全链计算'!R51+1,0),IF('01_数值调参'!AJ32&lt;0,'03_全链计算'!S51+1,0),IF('01_数值调参'!AJ33&lt;0,'03_全链计算'!T51+1,0),IF('01_数值调参'!AJ34&lt;0,'03_全链计算'!U51+1,0),IF('01_数值调参'!AJ35&lt;0,'03_全链计算'!V51+1,0),IF('01_数值调参'!AJ36&lt;0,'03_全链计算'!W51+1,0),IF('01_数值调参'!AJ37&lt;0,'03_全链计算'!X51+1,0),IF('01_数值调参'!AJ38&lt;0,'03_全链计算'!Y51+1,0),IF('01_数值调参'!AJ39&lt;0,'03_全链计算'!Z51+1,0),IF('01_数值调参'!AJ40&lt;0,'03_全链计算'!AA51+1,0),IF('01_数值调参'!AJ41&lt;0,'03_全链计算'!AB51+1,0),IF('01_数值调参'!AJ42&lt;0,'03_全链计算'!AC51+1,0),IF('01_数值调参'!AJ43&lt;0,'03_全链计算'!AD51+1,0),IF('01_数值调参'!AJ44&lt;0,'03_全链计算'!AE51+1,0),IF('01_数值调参'!AJ45&lt;0,'03_全链计算'!AF51+1,0),IF('01_数值调参'!AJ46&lt;0,'03_全链计算'!AG51+1,0),IF('01_数值调参'!AJ47&lt;0,'03_全链计算'!AH51+1,0),IF('01_数值调参'!AJ48&lt;0,'03_全链计算'!AI51+1,0),IF('01_数值调参'!AJ49&lt;0,'03_全链计算'!AJ51+1,0),IF('01_数值调参'!AJ50&lt;0,'03_全链计算'!AK51+1,0),IF('01_数值调参'!AJ51&lt;0,'03_全链计算'!AL51+1,0),IF('01_数值调参'!AJ52&lt;0,'03_全链计算'!AM51+1,0))</x:f>
        <x:v>2</x:v>
      </x:c>
      <x:c r="AK52" s="9" t="n">
        <x:f>MAX(IF('01_数值调参'!AK18&lt;0,'03_全链计算'!E51+1,0),IF('01_数值调参'!AK19&lt;0,'03_全链计算'!F51+1,0),IF('01_数值调参'!AK20&lt;0,'03_全链计算'!G51+1,0),IF('01_数值调参'!AK21&lt;0,'03_全链计算'!H51+1,0),IF('01_数值调参'!AK22&lt;0,'03_全链计算'!I51+1,0),IF('01_数值调参'!AK23&lt;0,'03_全链计算'!J51+1,0),IF('01_数值调参'!AK24&lt;0,'03_全链计算'!K51+1,0),IF('01_数值调参'!AK25&lt;0,'03_全链计算'!L51+1,0),IF('01_数值调参'!AK26&lt;0,'03_全链计算'!M51+1,0),IF('01_数值调参'!AK27&lt;0,'03_全链计算'!N51+1,0),IF('01_数值调参'!AK28&lt;0,'03_全链计算'!O51+1,0),IF('01_数值调参'!AK29&lt;0,'03_全链计算'!P51+1,0),IF('01_数值调参'!AK30&lt;0,'03_全链计算'!Q51+1,0),IF('01_数值调参'!AK31&lt;0,'03_全链计算'!R51+1,0),IF('01_数值调参'!AK32&lt;0,'03_全链计算'!S51+1,0),IF('01_数值调参'!AK33&lt;0,'03_全链计算'!T51+1,0),IF('01_数值调参'!AK34&lt;0,'03_全链计算'!U51+1,0),IF('01_数值调参'!AK35&lt;0,'03_全链计算'!V51+1,0),IF('01_数值调参'!AK36&lt;0,'03_全链计算'!W51+1,0),IF('01_数值调参'!AK37&lt;0,'03_全链计算'!X51+1,0),IF('01_数值调参'!AK38&lt;0,'03_全链计算'!Y51+1,0),IF('01_数值调参'!AK39&lt;0,'03_全链计算'!Z51+1,0),IF('01_数值调参'!AK40&lt;0,'03_全链计算'!AA51+1,0),IF('01_数值调参'!AK41&lt;0,'03_全链计算'!AB51+1,0),IF('01_数值调参'!AK42&lt;0,'03_全链计算'!AC51+1,0),IF('01_数值调参'!AK43&lt;0,'03_全链计算'!AD51+1,0),IF('01_数值调参'!AK44&lt;0,'03_全链计算'!AE51+1,0),IF('01_数值调参'!AK45&lt;0,'03_全链计算'!AF51+1,0),IF('01_数值调参'!AK46&lt;0,'03_全链计算'!AG51+1,0),IF('01_数值调参'!AK47&lt;0,'03_全链计算'!AH51+1,0),IF('01_数值调参'!AK48&lt;0,'03_全链计算'!AI51+1,0),IF('01_数值调参'!AK49&lt;0,'03_全链计算'!AJ51+1,0),IF('01_数值调参'!AK50&lt;0,'03_全链计算'!AK51+1,0),IF('01_数值调参'!AK51&lt;0,'03_全链计算'!AL51+1,0),IF('01_数值调参'!AK52&lt;0,'03_全链计算'!AM51+1,0))</x:f>
        <x:v>2</x:v>
      </x:c>
      <x:c r="AL52" s="9" t="n">
        <x:f>MAX(IF('01_数值调参'!AL18&lt;0,'03_全链计算'!E51+1,0),IF('01_数值调参'!AL19&lt;0,'03_全链计算'!F51+1,0),IF('01_数值调参'!AL20&lt;0,'03_全链计算'!G51+1,0),IF('01_数值调参'!AL21&lt;0,'03_全链计算'!H51+1,0),IF('01_数值调参'!AL22&lt;0,'03_全链计算'!I51+1,0),IF('01_数值调参'!AL23&lt;0,'03_全链计算'!J51+1,0),IF('01_数值调参'!AL24&lt;0,'03_全链计算'!K51+1,0),IF('01_数值调参'!AL25&lt;0,'03_全链计算'!L51+1,0),IF('01_数值调参'!AL26&lt;0,'03_全链计算'!M51+1,0),IF('01_数值调参'!AL27&lt;0,'03_全链计算'!N51+1,0),IF('01_数值调参'!AL28&lt;0,'03_全链计算'!O51+1,0),IF('01_数值调参'!AL29&lt;0,'03_全链计算'!P51+1,0),IF('01_数值调参'!AL30&lt;0,'03_全链计算'!Q51+1,0),IF('01_数值调参'!AL31&lt;0,'03_全链计算'!R51+1,0),IF('01_数值调参'!AL32&lt;0,'03_全链计算'!S51+1,0),IF('01_数值调参'!AL33&lt;0,'03_全链计算'!T51+1,0),IF('01_数值调参'!AL34&lt;0,'03_全链计算'!U51+1,0),IF('01_数值调参'!AL35&lt;0,'03_全链计算'!V51+1,0),IF('01_数值调参'!AL36&lt;0,'03_全链计算'!W51+1,0),IF('01_数值调参'!AL37&lt;0,'03_全链计算'!X51+1,0),IF('01_数值调参'!AL38&lt;0,'03_全链计算'!Y51+1,0),IF('01_数值调参'!AL39&lt;0,'03_全链计算'!Z51+1,0),IF('01_数值调参'!AL40&lt;0,'03_全链计算'!AA51+1,0),IF('01_数值调参'!AL41&lt;0,'03_全链计算'!AB51+1,0),IF('01_数值调参'!AL42&lt;0,'03_全链计算'!AC51+1,0),IF('01_数值调参'!AL43&lt;0,'03_全链计算'!AD51+1,0),IF('01_数值调参'!AL44&lt;0,'03_全链计算'!AE51+1,0),IF('01_数值调参'!AL45&lt;0,'03_全链计算'!AF51+1,0),IF('01_数值调参'!AL46&lt;0,'03_全链计算'!AG51+1,0),IF('01_数值调参'!AL47&lt;0,'03_全链计算'!AH51+1,0),IF('01_数值调参'!AL48&lt;0,'03_全链计算'!AI51+1,0),IF('01_数值调参'!AL49&lt;0,'03_全链计算'!AJ51+1,0),IF('01_数值调参'!AL50&lt;0,'03_全链计算'!AK51+1,0),IF('01_数值调参'!AL51&lt;0,'03_全链计算'!AL51+1,0),IF('01_数值调参'!AL52&lt;0,'03_全链计算'!AM51+1,0))</x:f>
        <x:v>3</x:v>
      </x:c>
      <x:c r="AM52" s="9" t="n">
        <x:f>MAX(IF('01_数值调参'!AM18&lt;0,'03_全链计算'!E51+1,0),IF('01_数值调参'!AM19&lt;0,'03_全链计算'!F51+1,0),IF('01_数值调参'!AM20&lt;0,'03_全链计算'!G51+1,0),IF('01_数值调参'!AM21&lt;0,'03_全链计算'!H51+1,0),IF('01_数值调参'!AM22&lt;0,'03_全链计算'!I51+1,0),IF('01_数值调参'!AM23&lt;0,'03_全链计算'!J51+1,0),IF('01_数值调参'!AM24&lt;0,'03_全链计算'!K51+1,0),IF('01_数值调参'!AM25&lt;0,'03_全链计算'!L51+1,0),IF('01_数值调参'!AM26&lt;0,'03_全链计算'!M51+1,0),IF('01_数值调参'!AM27&lt;0,'03_全链计算'!N51+1,0),IF('01_数值调参'!AM28&lt;0,'03_全链计算'!O51+1,0),IF('01_数值调参'!AM29&lt;0,'03_全链计算'!P51+1,0),IF('01_数值调参'!AM30&lt;0,'03_全链计算'!Q51+1,0),IF('01_数值调参'!AM31&lt;0,'03_全链计算'!R51+1,0),IF('01_数值调参'!AM32&lt;0,'03_全链计算'!S51+1,0),IF('01_数值调参'!AM33&lt;0,'03_全链计算'!T51+1,0),IF('01_数值调参'!AM34&lt;0,'03_全链计算'!U51+1,0),IF('01_数值调参'!AM35&lt;0,'03_全链计算'!V51+1,0),IF('01_数值调参'!AM36&lt;0,'03_全链计算'!W51+1,0),IF('01_数值调参'!AM37&lt;0,'03_全链计算'!X51+1,0),IF('01_数值调参'!AM38&lt;0,'03_全链计算'!Y51+1,0),IF('01_数值调参'!AM39&lt;0,'03_全链计算'!Z51+1,0),IF('01_数值调参'!AM40&lt;0,'03_全链计算'!AA51+1,0),IF('01_数值调参'!AM41&lt;0,'03_全链计算'!AB51+1,0),IF('01_数值调参'!AM42&lt;0,'03_全链计算'!AC51+1,0),IF('01_数值调参'!AM43&lt;0,'03_全链计算'!AD51+1,0),IF('01_数值调参'!AM44&lt;0,'03_全链计算'!AE51+1,0),IF('01_数值调参'!AM45&lt;0,'03_全链计算'!AF51+1,0),IF('01_数值调参'!AM46&lt;0,'03_全链计算'!AG51+1,0),IF('01_数值调参'!AM47&lt;0,'03_全链计算'!AH51+1,0),IF('01_数值调参'!AM48&lt;0,'03_全链计算'!AI51+1,0),IF('01_数值调参'!AM49&lt;0,'03_全链计算'!AJ51+1,0),IF('01_数值调参'!AM50&lt;0,'03_全链计算'!AK51+1,0),IF('01_数值调参'!AM51&lt;0,'03_全链计算'!AL51+1,0),IF('01_数值调参'!AM52&lt;0,'03_全链计算'!AM51+1,0))</x:f>
        <x:v>3</x:v>
      </x:c>
    </x:row>
    <x:row r="53" ht="22" customHeight="1">
      <x:c r="A53" s="9" t="n">
        <x:v>8</x:v>
      </x:c>
      <x:c r="B53" s="9"/>
      <x:c r="C53" s="9"/>
      <x:c r="D53" s="9"/>
      <x:c r="E53" s="9" t="n">
        <x:f>MAX(IF('01_数值调参'!E18&lt;0,'03_全链计算'!E52+1,0),IF('01_数值调参'!E19&lt;0,'03_全链计算'!F52+1,0),IF('01_数值调参'!E20&lt;0,'03_全链计算'!G52+1,0),IF('01_数值调参'!E21&lt;0,'03_全链计算'!H52+1,0),IF('01_数值调参'!E22&lt;0,'03_全链计算'!I52+1,0),IF('01_数值调参'!E23&lt;0,'03_全链计算'!J52+1,0),IF('01_数值调参'!E24&lt;0,'03_全链计算'!K52+1,0),IF('01_数值调参'!E25&lt;0,'03_全链计算'!L52+1,0),IF('01_数值调参'!E26&lt;0,'03_全链计算'!M52+1,0),IF('01_数值调参'!E27&lt;0,'03_全链计算'!N52+1,0),IF('01_数值调参'!E28&lt;0,'03_全链计算'!O52+1,0),IF('01_数值调参'!E29&lt;0,'03_全链计算'!P52+1,0),IF('01_数值调参'!E30&lt;0,'03_全链计算'!Q52+1,0),IF('01_数值调参'!E31&lt;0,'03_全链计算'!R52+1,0),IF('01_数值调参'!E32&lt;0,'03_全链计算'!S52+1,0),IF('01_数值调参'!E33&lt;0,'03_全链计算'!T52+1,0),IF('01_数值调参'!E34&lt;0,'03_全链计算'!U52+1,0),IF('01_数值调参'!E35&lt;0,'03_全链计算'!V52+1,0),IF('01_数值调参'!E36&lt;0,'03_全链计算'!W52+1,0),IF('01_数值调参'!E37&lt;0,'03_全链计算'!X52+1,0),IF('01_数值调参'!E38&lt;0,'03_全链计算'!Y52+1,0),IF('01_数值调参'!E39&lt;0,'03_全链计算'!Z52+1,0),IF('01_数值调参'!E40&lt;0,'03_全链计算'!AA52+1,0),IF('01_数值调参'!E41&lt;0,'03_全链计算'!AB52+1,0),IF('01_数值调参'!E42&lt;0,'03_全链计算'!AC52+1,0),IF('01_数值调参'!E43&lt;0,'03_全链计算'!AD52+1,0),IF('01_数值调参'!E44&lt;0,'03_全链计算'!AE52+1,0),IF('01_数值调参'!E45&lt;0,'03_全链计算'!AF52+1,0),IF('01_数值调参'!E46&lt;0,'03_全链计算'!AG52+1,0),IF('01_数值调参'!E47&lt;0,'03_全链计算'!AH52+1,0),IF('01_数值调参'!E48&lt;0,'03_全链计算'!AI52+1,0),IF('01_数值调参'!E49&lt;0,'03_全链计算'!AJ52+1,0),IF('01_数值调参'!E50&lt;0,'03_全链计算'!AK52+1,0),IF('01_数值调参'!E51&lt;0,'03_全链计算'!AL52+1,0),IF('01_数值调参'!E52&lt;0,'03_全链计算'!AM52+1,0))</x:f>
        <x:v>0</x:v>
      </x:c>
      <x:c r="F53" s="9" t="n">
        <x:f>MAX(IF('01_数值调参'!F18&lt;0,'03_全链计算'!E52+1,0),IF('01_数值调参'!F19&lt;0,'03_全链计算'!F52+1,0),IF('01_数值调参'!F20&lt;0,'03_全链计算'!G52+1,0),IF('01_数值调参'!F21&lt;0,'03_全链计算'!H52+1,0),IF('01_数值调参'!F22&lt;0,'03_全链计算'!I52+1,0),IF('01_数值调参'!F23&lt;0,'03_全链计算'!J52+1,0),IF('01_数值调参'!F24&lt;0,'03_全链计算'!K52+1,0),IF('01_数值调参'!F25&lt;0,'03_全链计算'!L52+1,0),IF('01_数值调参'!F26&lt;0,'03_全链计算'!M52+1,0),IF('01_数值调参'!F27&lt;0,'03_全链计算'!N52+1,0),IF('01_数值调参'!F28&lt;0,'03_全链计算'!O52+1,0),IF('01_数值调参'!F29&lt;0,'03_全链计算'!P52+1,0),IF('01_数值调参'!F30&lt;0,'03_全链计算'!Q52+1,0),IF('01_数值调参'!F31&lt;0,'03_全链计算'!R52+1,0),IF('01_数值调参'!F32&lt;0,'03_全链计算'!S52+1,0),IF('01_数值调参'!F33&lt;0,'03_全链计算'!T52+1,0),IF('01_数值调参'!F34&lt;0,'03_全链计算'!U52+1,0),IF('01_数值调参'!F35&lt;0,'03_全链计算'!V52+1,0),IF('01_数值调参'!F36&lt;0,'03_全链计算'!W52+1,0),IF('01_数值调参'!F37&lt;0,'03_全链计算'!X52+1,0),IF('01_数值调参'!F38&lt;0,'03_全链计算'!Y52+1,0),IF('01_数值调参'!F39&lt;0,'03_全链计算'!Z52+1,0),IF('01_数值调参'!F40&lt;0,'03_全链计算'!AA52+1,0),IF('01_数值调参'!F41&lt;0,'03_全链计算'!AB52+1,0),IF('01_数值调参'!F42&lt;0,'03_全链计算'!AC52+1,0),IF('01_数值调参'!F43&lt;0,'03_全链计算'!AD52+1,0),IF('01_数值调参'!F44&lt;0,'03_全链计算'!AE52+1,0),IF('01_数值调参'!F45&lt;0,'03_全链计算'!AF52+1,0),IF('01_数值调参'!F46&lt;0,'03_全链计算'!AG52+1,0),IF('01_数值调参'!F47&lt;0,'03_全链计算'!AH52+1,0),IF('01_数值调参'!F48&lt;0,'03_全链计算'!AI52+1,0),IF('01_数值调参'!F49&lt;0,'03_全链计算'!AJ52+1,0),IF('01_数值调参'!F50&lt;0,'03_全链计算'!AK52+1,0),IF('01_数值调参'!F51&lt;0,'03_全链计算'!AL52+1,0),IF('01_数值调参'!F52&lt;0,'03_全链计算'!AM52+1,0))</x:f>
        <x:v>0</x:v>
      </x:c>
      <x:c r="G53" s="9" t="n">
        <x:f>MAX(IF('01_数值调参'!G18&lt;0,'03_全链计算'!E52+1,0),IF('01_数值调参'!G19&lt;0,'03_全链计算'!F52+1,0),IF('01_数值调参'!G20&lt;0,'03_全链计算'!G52+1,0),IF('01_数值调参'!G21&lt;0,'03_全链计算'!H52+1,0),IF('01_数值调参'!G22&lt;0,'03_全链计算'!I52+1,0),IF('01_数值调参'!G23&lt;0,'03_全链计算'!J52+1,0),IF('01_数值调参'!G24&lt;0,'03_全链计算'!K52+1,0),IF('01_数值调参'!G25&lt;0,'03_全链计算'!L52+1,0),IF('01_数值调参'!G26&lt;0,'03_全链计算'!M52+1,0),IF('01_数值调参'!G27&lt;0,'03_全链计算'!N52+1,0),IF('01_数值调参'!G28&lt;0,'03_全链计算'!O52+1,0),IF('01_数值调参'!G29&lt;0,'03_全链计算'!P52+1,0),IF('01_数值调参'!G30&lt;0,'03_全链计算'!Q52+1,0),IF('01_数值调参'!G31&lt;0,'03_全链计算'!R52+1,0),IF('01_数值调参'!G32&lt;0,'03_全链计算'!S52+1,0),IF('01_数值调参'!G33&lt;0,'03_全链计算'!T52+1,0),IF('01_数值调参'!G34&lt;0,'03_全链计算'!U52+1,0),IF('01_数值调参'!G35&lt;0,'03_全链计算'!V52+1,0),IF('01_数值调参'!G36&lt;0,'03_全链计算'!W52+1,0),IF('01_数值调参'!G37&lt;0,'03_全链计算'!X52+1,0),IF('01_数值调参'!G38&lt;0,'03_全链计算'!Y52+1,0),IF('01_数值调参'!G39&lt;0,'03_全链计算'!Z52+1,0),IF('01_数值调参'!G40&lt;0,'03_全链计算'!AA52+1,0),IF('01_数值调参'!G41&lt;0,'03_全链计算'!AB52+1,0),IF('01_数值调参'!G42&lt;0,'03_全链计算'!AC52+1,0),IF('01_数值调参'!G43&lt;0,'03_全链计算'!AD52+1,0),IF('01_数值调参'!G44&lt;0,'03_全链计算'!AE52+1,0),IF('01_数值调参'!G45&lt;0,'03_全链计算'!AF52+1,0),IF('01_数值调参'!G46&lt;0,'03_全链计算'!AG52+1,0),IF('01_数值调参'!G47&lt;0,'03_全链计算'!AH52+1,0),IF('01_数值调参'!G48&lt;0,'03_全链计算'!AI52+1,0),IF('01_数值调参'!G49&lt;0,'03_全链计算'!AJ52+1,0),IF('01_数值调参'!G50&lt;0,'03_全链计算'!AK52+1,0),IF('01_数值调参'!G51&lt;0,'03_全链计算'!AL52+1,0),IF('01_数值调参'!G52&lt;0,'03_全链计算'!AM52+1,0))</x:f>
        <x:v>0</x:v>
      </x:c>
      <x:c r="H53" s="9" t="n">
        <x:f>MAX(IF('01_数值调参'!H18&lt;0,'03_全链计算'!E52+1,0),IF('01_数值调参'!H19&lt;0,'03_全链计算'!F52+1,0),IF('01_数值调参'!H20&lt;0,'03_全链计算'!G52+1,0),IF('01_数值调参'!H21&lt;0,'03_全链计算'!H52+1,0),IF('01_数值调参'!H22&lt;0,'03_全链计算'!I52+1,0),IF('01_数值调参'!H23&lt;0,'03_全链计算'!J52+1,0),IF('01_数值调参'!H24&lt;0,'03_全链计算'!K52+1,0),IF('01_数值调参'!H25&lt;0,'03_全链计算'!L52+1,0),IF('01_数值调参'!H26&lt;0,'03_全链计算'!M52+1,0),IF('01_数值调参'!H27&lt;0,'03_全链计算'!N52+1,0),IF('01_数值调参'!H28&lt;0,'03_全链计算'!O52+1,0),IF('01_数值调参'!H29&lt;0,'03_全链计算'!P52+1,0),IF('01_数值调参'!H30&lt;0,'03_全链计算'!Q52+1,0),IF('01_数值调参'!H31&lt;0,'03_全链计算'!R52+1,0),IF('01_数值调参'!H32&lt;0,'03_全链计算'!S52+1,0),IF('01_数值调参'!H33&lt;0,'03_全链计算'!T52+1,0),IF('01_数值调参'!H34&lt;0,'03_全链计算'!U52+1,0),IF('01_数值调参'!H35&lt;0,'03_全链计算'!V52+1,0),IF('01_数值调参'!H36&lt;0,'03_全链计算'!W52+1,0),IF('01_数值调参'!H37&lt;0,'03_全链计算'!X52+1,0),IF('01_数值调参'!H38&lt;0,'03_全链计算'!Y52+1,0),IF('01_数值调参'!H39&lt;0,'03_全链计算'!Z52+1,0),IF('01_数值调参'!H40&lt;0,'03_全链计算'!AA52+1,0),IF('01_数值调参'!H41&lt;0,'03_全链计算'!AB52+1,0),IF('01_数值调参'!H42&lt;0,'03_全链计算'!AC52+1,0),IF('01_数值调参'!H43&lt;0,'03_全链计算'!AD52+1,0),IF('01_数值调参'!H44&lt;0,'03_全链计算'!AE52+1,0),IF('01_数值调参'!H45&lt;0,'03_全链计算'!AF52+1,0),IF('01_数值调参'!H46&lt;0,'03_全链计算'!AG52+1,0),IF('01_数值调参'!H47&lt;0,'03_全链计算'!AH52+1,0),IF('01_数值调参'!H48&lt;0,'03_全链计算'!AI52+1,0),IF('01_数值调参'!H49&lt;0,'03_全链计算'!AJ52+1,0),IF('01_数值调参'!H50&lt;0,'03_全链计算'!AK52+1,0),IF('01_数值调参'!H51&lt;0,'03_全链计算'!AL52+1,0),IF('01_数值调参'!H52&lt;0,'03_全链计算'!AM52+1,0))</x:f>
        <x:v>0</x:v>
      </x:c>
      <x:c r="I53" s="9" t="n">
        <x:f>MAX(IF('01_数值调参'!I18&lt;0,'03_全链计算'!E52+1,0),IF('01_数值调参'!I19&lt;0,'03_全链计算'!F52+1,0),IF('01_数值调参'!I20&lt;0,'03_全链计算'!G52+1,0),IF('01_数值调参'!I21&lt;0,'03_全链计算'!H52+1,0),IF('01_数值调参'!I22&lt;0,'03_全链计算'!I52+1,0),IF('01_数值调参'!I23&lt;0,'03_全链计算'!J52+1,0),IF('01_数值调参'!I24&lt;0,'03_全链计算'!K52+1,0),IF('01_数值调参'!I25&lt;0,'03_全链计算'!L52+1,0),IF('01_数值调参'!I26&lt;0,'03_全链计算'!M52+1,0),IF('01_数值调参'!I27&lt;0,'03_全链计算'!N52+1,0),IF('01_数值调参'!I28&lt;0,'03_全链计算'!O52+1,0),IF('01_数值调参'!I29&lt;0,'03_全链计算'!P52+1,0),IF('01_数值调参'!I30&lt;0,'03_全链计算'!Q52+1,0),IF('01_数值调参'!I31&lt;0,'03_全链计算'!R52+1,0),IF('01_数值调参'!I32&lt;0,'03_全链计算'!S52+1,0),IF('01_数值调参'!I33&lt;0,'03_全链计算'!T52+1,0),IF('01_数值调参'!I34&lt;0,'03_全链计算'!U52+1,0),IF('01_数值调参'!I35&lt;0,'03_全链计算'!V52+1,0),IF('01_数值调参'!I36&lt;0,'03_全链计算'!W52+1,0),IF('01_数值调参'!I37&lt;0,'03_全链计算'!X52+1,0),IF('01_数值调参'!I38&lt;0,'03_全链计算'!Y52+1,0),IF('01_数值调参'!I39&lt;0,'03_全链计算'!Z52+1,0),IF('01_数值调参'!I40&lt;0,'03_全链计算'!AA52+1,0),IF('01_数值调参'!I41&lt;0,'03_全链计算'!AB52+1,0),IF('01_数值调参'!I42&lt;0,'03_全链计算'!AC52+1,0),IF('01_数值调参'!I43&lt;0,'03_全链计算'!AD52+1,0),IF('01_数值调参'!I44&lt;0,'03_全链计算'!AE52+1,0),IF('01_数值调参'!I45&lt;0,'03_全链计算'!AF52+1,0),IF('01_数值调参'!I46&lt;0,'03_全链计算'!AG52+1,0),IF('01_数值调参'!I47&lt;0,'03_全链计算'!AH52+1,0),IF('01_数值调参'!I48&lt;0,'03_全链计算'!AI52+1,0),IF('01_数值调参'!I49&lt;0,'03_全链计算'!AJ52+1,0),IF('01_数值调参'!I50&lt;0,'03_全链计算'!AK52+1,0),IF('01_数值调参'!I51&lt;0,'03_全链计算'!AL52+1,0),IF('01_数值调参'!I52&lt;0,'03_全链计算'!AM52+1,0))</x:f>
        <x:v>0</x:v>
      </x:c>
      <x:c r="J53" s="9" t="n">
        <x:f>MAX(IF('01_数值调参'!J18&lt;0,'03_全链计算'!E52+1,0),IF('01_数值调参'!J19&lt;0,'03_全链计算'!F52+1,0),IF('01_数值调参'!J20&lt;0,'03_全链计算'!G52+1,0),IF('01_数值调参'!J21&lt;0,'03_全链计算'!H52+1,0),IF('01_数值调参'!J22&lt;0,'03_全链计算'!I52+1,0),IF('01_数值调参'!J23&lt;0,'03_全链计算'!J52+1,0),IF('01_数值调参'!J24&lt;0,'03_全链计算'!K52+1,0),IF('01_数值调参'!J25&lt;0,'03_全链计算'!L52+1,0),IF('01_数值调参'!J26&lt;0,'03_全链计算'!M52+1,0),IF('01_数值调参'!J27&lt;0,'03_全链计算'!N52+1,0),IF('01_数值调参'!J28&lt;0,'03_全链计算'!O52+1,0),IF('01_数值调参'!J29&lt;0,'03_全链计算'!P52+1,0),IF('01_数值调参'!J30&lt;0,'03_全链计算'!Q52+1,0),IF('01_数值调参'!J31&lt;0,'03_全链计算'!R52+1,0),IF('01_数值调参'!J32&lt;0,'03_全链计算'!S52+1,0),IF('01_数值调参'!J33&lt;0,'03_全链计算'!T52+1,0),IF('01_数值调参'!J34&lt;0,'03_全链计算'!U52+1,0),IF('01_数值调参'!J35&lt;0,'03_全链计算'!V52+1,0),IF('01_数值调参'!J36&lt;0,'03_全链计算'!W52+1,0),IF('01_数值调参'!J37&lt;0,'03_全链计算'!X52+1,0),IF('01_数值调参'!J38&lt;0,'03_全链计算'!Y52+1,0),IF('01_数值调参'!J39&lt;0,'03_全链计算'!Z52+1,0),IF('01_数值调参'!J40&lt;0,'03_全链计算'!AA52+1,0),IF('01_数值调参'!J41&lt;0,'03_全链计算'!AB52+1,0),IF('01_数值调参'!J42&lt;0,'03_全链计算'!AC52+1,0),IF('01_数值调参'!J43&lt;0,'03_全链计算'!AD52+1,0),IF('01_数值调参'!J44&lt;0,'03_全链计算'!AE52+1,0),IF('01_数值调参'!J45&lt;0,'03_全链计算'!AF52+1,0),IF('01_数值调参'!J46&lt;0,'03_全链计算'!AG52+1,0),IF('01_数值调参'!J47&lt;0,'03_全链计算'!AH52+1,0),IF('01_数值调参'!J48&lt;0,'03_全链计算'!AI52+1,0),IF('01_数值调参'!J49&lt;0,'03_全链计算'!AJ52+1,0),IF('01_数值调参'!J50&lt;0,'03_全链计算'!AK52+1,0),IF('01_数值调参'!J51&lt;0,'03_全链计算'!AL52+1,0),IF('01_数值调参'!J52&lt;0,'03_全链计算'!AM52+1,0))</x:f>
        <x:v>0</x:v>
      </x:c>
      <x:c r="K53" s="9" t="n">
        <x:f>MAX(IF('01_数值调参'!K18&lt;0,'03_全链计算'!E52+1,0),IF('01_数值调参'!K19&lt;0,'03_全链计算'!F52+1,0),IF('01_数值调参'!K20&lt;0,'03_全链计算'!G52+1,0),IF('01_数值调参'!K21&lt;0,'03_全链计算'!H52+1,0),IF('01_数值调参'!K22&lt;0,'03_全链计算'!I52+1,0),IF('01_数值调参'!K23&lt;0,'03_全链计算'!J52+1,0),IF('01_数值调参'!K24&lt;0,'03_全链计算'!K52+1,0),IF('01_数值调参'!K25&lt;0,'03_全链计算'!L52+1,0),IF('01_数值调参'!K26&lt;0,'03_全链计算'!M52+1,0),IF('01_数值调参'!K27&lt;0,'03_全链计算'!N52+1,0),IF('01_数值调参'!K28&lt;0,'03_全链计算'!O52+1,0),IF('01_数值调参'!K29&lt;0,'03_全链计算'!P52+1,0),IF('01_数值调参'!K30&lt;0,'03_全链计算'!Q52+1,0),IF('01_数值调参'!K31&lt;0,'03_全链计算'!R52+1,0),IF('01_数值调参'!K32&lt;0,'03_全链计算'!S52+1,0),IF('01_数值调参'!K33&lt;0,'03_全链计算'!T52+1,0),IF('01_数值调参'!K34&lt;0,'03_全链计算'!U52+1,0),IF('01_数值调参'!K35&lt;0,'03_全链计算'!V52+1,0),IF('01_数值调参'!K36&lt;0,'03_全链计算'!W52+1,0),IF('01_数值调参'!K37&lt;0,'03_全链计算'!X52+1,0),IF('01_数值调参'!K38&lt;0,'03_全链计算'!Y52+1,0),IF('01_数值调参'!K39&lt;0,'03_全链计算'!Z52+1,0),IF('01_数值调参'!K40&lt;0,'03_全链计算'!AA52+1,0),IF('01_数值调参'!K41&lt;0,'03_全链计算'!AB52+1,0),IF('01_数值调参'!K42&lt;0,'03_全链计算'!AC52+1,0),IF('01_数值调参'!K43&lt;0,'03_全链计算'!AD52+1,0),IF('01_数值调参'!K44&lt;0,'03_全链计算'!AE52+1,0),IF('01_数值调参'!K45&lt;0,'03_全链计算'!AF52+1,0),IF('01_数值调参'!K46&lt;0,'03_全链计算'!AG52+1,0),IF('01_数值调参'!K47&lt;0,'03_全链计算'!AH52+1,0),IF('01_数值调参'!K48&lt;0,'03_全链计算'!AI52+1,0),IF('01_数值调参'!K49&lt;0,'03_全链计算'!AJ52+1,0),IF('01_数值调参'!K50&lt;0,'03_全链计算'!AK52+1,0),IF('01_数值调参'!K51&lt;0,'03_全链计算'!AL52+1,0),IF('01_数值调参'!K52&lt;0,'03_全链计算'!AM52+1,0))</x:f>
        <x:v>0</x:v>
      </x:c>
      <x:c r="L53" s="9" t="n">
        <x:f>MAX(IF('01_数值调参'!L18&lt;0,'03_全链计算'!E52+1,0),IF('01_数值调参'!L19&lt;0,'03_全链计算'!F52+1,0),IF('01_数值调参'!L20&lt;0,'03_全链计算'!G52+1,0),IF('01_数值调参'!L21&lt;0,'03_全链计算'!H52+1,0),IF('01_数值调参'!L22&lt;0,'03_全链计算'!I52+1,0),IF('01_数值调参'!L23&lt;0,'03_全链计算'!J52+1,0),IF('01_数值调参'!L24&lt;0,'03_全链计算'!K52+1,0),IF('01_数值调参'!L25&lt;0,'03_全链计算'!L52+1,0),IF('01_数值调参'!L26&lt;0,'03_全链计算'!M52+1,0),IF('01_数值调参'!L27&lt;0,'03_全链计算'!N52+1,0),IF('01_数值调参'!L28&lt;0,'03_全链计算'!O52+1,0),IF('01_数值调参'!L29&lt;0,'03_全链计算'!P52+1,0),IF('01_数值调参'!L30&lt;0,'03_全链计算'!Q52+1,0),IF('01_数值调参'!L31&lt;0,'03_全链计算'!R52+1,0),IF('01_数值调参'!L32&lt;0,'03_全链计算'!S52+1,0),IF('01_数值调参'!L33&lt;0,'03_全链计算'!T52+1,0),IF('01_数值调参'!L34&lt;0,'03_全链计算'!U52+1,0),IF('01_数值调参'!L35&lt;0,'03_全链计算'!V52+1,0),IF('01_数值调参'!L36&lt;0,'03_全链计算'!W52+1,0),IF('01_数值调参'!L37&lt;0,'03_全链计算'!X52+1,0),IF('01_数值调参'!L38&lt;0,'03_全链计算'!Y52+1,0),IF('01_数值调参'!L39&lt;0,'03_全链计算'!Z52+1,0),IF('01_数值调参'!L40&lt;0,'03_全链计算'!AA52+1,0),IF('01_数值调参'!L41&lt;0,'03_全链计算'!AB52+1,0),IF('01_数值调参'!L42&lt;0,'03_全链计算'!AC52+1,0),IF('01_数值调参'!L43&lt;0,'03_全链计算'!AD52+1,0),IF('01_数值调参'!L44&lt;0,'03_全链计算'!AE52+1,0),IF('01_数值调参'!L45&lt;0,'03_全链计算'!AF52+1,0),IF('01_数值调参'!L46&lt;0,'03_全链计算'!AG52+1,0),IF('01_数值调参'!L47&lt;0,'03_全链计算'!AH52+1,0),IF('01_数值调参'!L48&lt;0,'03_全链计算'!AI52+1,0),IF('01_数值调参'!L49&lt;0,'03_全链计算'!AJ52+1,0),IF('01_数值调参'!L50&lt;0,'03_全链计算'!AK52+1,0),IF('01_数值调参'!L51&lt;0,'03_全链计算'!AL52+1,0),IF('01_数值调参'!L52&lt;0,'03_全链计算'!AM52+1,0))</x:f>
        <x:v>0</x:v>
      </x:c>
      <x:c r="M53" s="9" t="n">
        <x:f>MAX(IF('01_数值调参'!M18&lt;0,'03_全链计算'!E52+1,0),IF('01_数值调参'!M19&lt;0,'03_全链计算'!F52+1,0),IF('01_数值调参'!M20&lt;0,'03_全链计算'!G52+1,0),IF('01_数值调参'!M21&lt;0,'03_全链计算'!H52+1,0),IF('01_数值调参'!M22&lt;0,'03_全链计算'!I52+1,0),IF('01_数值调参'!M23&lt;0,'03_全链计算'!J52+1,0),IF('01_数值调参'!M24&lt;0,'03_全链计算'!K52+1,0),IF('01_数值调参'!M25&lt;0,'03_全链计算'!L52+1,0),IF('01_数值调参'!M26&lt;0,'03_全链计算'!M52+1,0),IF('01_数值调参'!M27&lt;0,'03_全链计算'!N52+1,0),IF('01_数值调参'!M28&lt;0,'03_全链计算'!O52+1,0),IF('01_数值调参'!M29&lt;0,'03_全链计算'!P52+1,0),IF('01_数值调参'!M30&lt;0,'03_全链计算'!Q52+1,0),IF('01_数值调参'!M31&lt;0,'03_全链计算'!R52+1,0),IF('01_数值调参'!M32&lt;0,'03_全链计算'!S52+1,0),IF('01_数值调参'!M33&lt;0,'03_全链计算'!T52+1,0),IF('01_数值调参'!M34&lt;0,'03_全链计算'!U52+1,0),IF('01_数值调参'!M35&lt;0,'03_全链计算'!V52+1,0),IF('01_数值调参'!M36&lt;0,'03_全链计算'!W52+1,0),IF('01_数值调参'!M37&lt;0,'03_全链计算'!X52+1,0),IF('01_数值调参'!M38&lt;0,'03_全链计算'!Y52+1,0),IF('01_数值调参'!M39&lt;0,'03_全链计算'!Z52+1,0),IF('01_数值调参'!M40&lt;0,'03_全链计算'!AA52+1,0),IF('01_数值调参'!M41&lt;0,'03_全链计算'!AB52+1,0),IF('01_数值调参'!M42&lt;0,'03_全链计算'!AC52+1,0),IF('01_数值调参'!M43&lt;0,'03_全链计算'!AD52+1,0),IF('01_数值调参'!M44&lt;0,'03_全链计算'!AE52+1,0),IF('01_数值调参'!M45&lt;0,'03_全链计算'!AF52+1,0),IF('01_数值调参'!M46&lt;0,'03_全链计算'!AG52+1,0),IF('01_数值调参'!M47&lt;0,'03_全链计算'!AH52+1,0),IF('01_数值调参'!M48&lt;0,'03_全链计算'!AI52+1,0),IF('01_数值调参'!M49&lt;0,'03_全链计算'!AJ52+1,0),IF('01_数值调参'!M50&lt;0,'03_全链计算'!AK52+1,0),IF('01_数值调参'!M51&lt;0,'03_全链计算'!AL52+1,0),IF('01_数值调参'!M52&lt;0,'03_全链计算'!AM52+1,0))</x:f>
        <x:v>0</x:v>
      </x:c>
      <x:c r="N53" s="9" t="n">
        <x:f>MAX(IF('01_数值调参'!N18&lt;0,'03_全链计算'!E52+1,0),IF('01_数值调参'!N19&lt;0,'03_全链计算'!F52+1,0),IF('01_数值调参'!N20&lt;0,'03_全链计算'!G52+1,0),IF('01_数值调参'!N21&lt;0,'03_全链计算'!H52+1,0),IF('01_数值调参'!N22&lt;0,'03_全链计算'!I52+1,0),IF('01_数值调参'!N23&lt;0,'03_全链计算'!J52+1,0),IF('01_数值调参'!N24&lt;0,'03_全链计算'!K52+1,0),IF('01_数值调参'!N25&lt;0,'03_全链计算'!L52+1,0),IF('01_数值调参'!N26&lt;0,'03_全链计算'!M52+1,0),IF('01_数值调参'!N27&lt;0,'03_全链计算'!N52+1,0),IF('01_数值调参'!N28&lt;0,'03_全链计算'!O52+1,0),IF('01_数值调参'!N29&lt;0,'03_全链计算'!P52+1,0),IF('01_数值调参'!N30&lt;0,'03_全链计算'!Q52+1,0),IF('01_数值调参'!N31&lt;0,'03_全链计算'!R52+1,0),IF('01_数值调参'!N32&lt;0,'03_全链计算'!S52+1,0),IF('01_数值调参'!N33&lt;0,'03_全链计算'!T52+1,0),IF('01_数值调参'!N34&lt;0,'03_全链计算'!U52+1,0),IF('01_数值调参'!N35&lt;0,'03_全链计算'!V52+1,0),IF('01_数值调参'!N36&lt;0,'03_全链计算'!W52+1,0),IF('01_数值调参'!N37&lt;0,'03_全链计算'!X52+1,0),IF('01_数值调参'!N38&lt;0,'03_全链计算'!Y52+1,0),IF('01_数值调参'!N39&lt;0,'03_全链计算'!Z52+1,0),IF('01_数值调参'!N40&lt;0,'03_全链计算'!AA52+1,0),IF('01_数值调参'!N41&lt;0,'03_全链计算'!AB52+1,0),IF('01_数值调参'!N42&lt;0,'03_全链计算'!AC52+1,0),IF('01_数值调参'!N43&lt;0,'03_全链计算'!AD52+1,0),IF('01_数值调参'!N44&lt;0,'03_全链计算'!AE52+1,0),IF('01_数值调参'!N45&lt;0,'03_全链计算'!AF52+1,0),IF('01_数值调参'!N46&lt;0,'03_全链计算'!AG52+1,0),IF('01_数值调参'!N47&lt;0,'03_全链计算'!AH52+1,0),IF('01_数值调参'!N48&lt;0,'03_全链计算'!AI52+1,0),IF('01_数值调参'!N49&lt;0,'03_全链计算'!AJ52+1,0),IF('01_数值调参'!N50&lt;0,'03_全链计算'!AK52+1,0),IF('01_数值调参'!N51&lt;0,'03_全链计算'!AL52+1,0),IF('01_数值调参'!N52&lt;0,'03_全链计算'!AM52+1,0))</x:f>
        <x:v>1</x:v>
      </x:c>
      <x:c r="O53" s="9" t="n">
        <x:f>MAX(IF('01_数值调参'!O18&lt;0,'03_全链计算'!E52+1,0),IF('01_数值调参'!O19&lt;0,'03_全链计算'!F52+1,0),IF('01_数值调参'!O20&lt;0,'03_全链计算'!G52+1,0),IF('01_数值调参'!O21&lt;0,'03_全链计算'!H52+1,0),IF('01_数值调参'!O22&lt;0,'03_全链计算'!I52+1,0),IF('01_数值调参'!O23&lt;0,'03_全链计算'!J52+1,0),IF('01_数值调参'!O24&lt;0,'03_全链计算'!K52+1,0),IF('01_数值调参'!O25&lt;0,'03_全链计算'!L52+1,0),IF('01_数值调参'!O26&lt;0,'03_全链计算'!M52+1,0),IF('01_数值调参'!O27&lt;0,'03_全链计算'!N52+1,0),IF('01_数值调参'!O28&lt;0,'03_全链计算'!O52+1,0),IF('01_数值调参'!O29&lt;0,'03_全链计算'!P52+1,0),IF('01_数值调参'!O30&lt;0,'03_全链计算'!Q52+1,0),IF('01_数值调参'!O31&lt;0,'03_全链计算'!R52+1,0),IF('01_数值调参'!O32&lt;0,'03_全链计算'!S52+1,0),IF('01_数值调参'!O33&lt;0,'03_全链计算'!T52+1,0),IF('01_数值调参'!O34&lt;0,'03_全链计算'!U52+1,0),IF('01_数值调参'!O35&lt;0,'03_全链计算'!V52+1,0),IF('01_数值调参'!O36&lt;0,'03_全链计算'!W52+1,0),IF('01_数值调参'!O37&lt;0,'03_全链计算'!X52+1,0),IF('01_数值调参'!O38&lt;0,'03_全链计算'!Y52+1,0),IF('01_数值调参'!O39&lt;0,'03_全链计算'!Z52+1,0),IF('01_数值调参'!O40&lt;0,'03_全链计算'!AA52+1,0),IF('01_数值调参'!O41&lt;0,'03_全链计算'!AB52+1,0),IF('01_数值调参'!O42&lt;0,'03_全链计算'!AC52+1,0),IF('01_数值调参'!O43&lt;0,'03_全链计算'!AD52+1,0),IF('01_数值调参'!O44&lt;0,'03_全链计算'!AE52+1,0),IF('01_数值调参'!O45&lt;0,'03_全链计算'!AF52+1,0),IF('01_数值调参'!O46&lt;0,'03_全链计算'!AG52+1,0),IF('01_数值调参'!O47&lt;0,'03_全链计算'!AH52+1,0),IF('01_数值调参'!O48&lt;0,'03_全链计算'!AI52+1,0),IF('01_数值调参'!O49&lt;0,'03_全链计算'!AJ52+1,0),IF('01_数值调参'!O50&lt;0,'03_全链计算'!AK52+1,0),IF('01_数值调参'!O51&lt;0,'03_全链计算'!AL52+1,0),IF('01_数值调参'!O52&lt;0,'03_全链计算'!AM52+1,0))</x:f>
        <x:v>1</x:v>
      </x:c>
      <x:c r="P53" s="9" t="n">
        <x:f>MAX(IF('01_数值调参'!P18&lt;0,'03_全链计算'!E52+1,0),IF('01_数值调参'!P19&lt;0,'03_全链计算'!F52+1,0),IF('01_数值调参'!P20&lt;0,'03_全链计算'!G52+1,0),IF('01_数值调参'!P21&lt;0,'03_全链计算'!H52+1,0),IF('01_数值调参'!P22&lt;0,'03_全链计算'!I52+1,0),IF('01_数值调参'!P23&lt;0,'03_全链计算'!J52+1,0),IF('01_数值调参'!P24&lt;0,'03_全链计算'!K52+1,0),IF('01_数值调参'!P25&lt;0,'03_全链计算'!L52+1,0),IF('01_数值调参'!P26&lt;0,'03_全链计算'!M52+1,0),IF('01_数值调参'!P27&lt;0,'03_全链计算'!N52+1,0),IF('01_数值调参'!P28&lt;0,'03_全链计算'!O52+1,0),IF('01_数值调参'!P29&lt;0,'03_全链计算'!P52+1,0),IF('01_数值调参'!P30&lt;0,'03_全链计算'!Q52+1,0),IF('01_数值调参'!P31&lt;0,'03_全链计算'!R52+1,0),IF('01_数值调参'!P32&lt;0,'03_全链计算'!S52+1,0),IF('01_数值调参'!P33&lt;0,'03_全链计算'!T52+1,0),IF('01_数值调参'!P34&lt;0,'03_全链计算'!U52+1,0),IF('01_数值调参'!P35&lt;0,'03_全链计算'!V52+1,0),IF('01_数值调参'!P36&lt;0,'03_全链计算'!W52+1,0),IF('01_数值调参'!P37&lt;0,'03_全链计算'!X52+1,0),IF('01_数值调参'!P38&lt;0,'03_全链计算'!Y52+1,0),IF('01_数值调参'!P39&lt;0,'03_全链计算'!Z52+1,0),IF('01_数值调参'!P40&lt;0,'03_全链计算'!AA52+1,0),IF('01_数值调参'!P41&lt;0,'03_全链计算'!AB52+1,0),IF('01_数值调参'!P42&lt;0,'03_全链计算'!AC52+1,0),IF('01_数值调参'!P43&lt;0,'03_全链计算'!AD52+1,0),IF('01_数值调参'!P44&lt;0,'03_全链计算'!AE52+1,0),IF('01_数值调参'!P45&lt;0,'03_全链计算'!AF52+1,0),IF('01_数值调参'!P46&lt;0,'03_全链计算'!AG52+1,0),IF('01_数值调参'!P47&lt;0,'03_全链计算'!AH52+1,0),IF('01_数值调参'!P48&lt;0,'03_全链计算'!AI52+1,0),IF('01_数值调参'!P49&lt;0,'03_全链计算'!AJ52+1,0),IF('01_数值调参'!P50&lt;0,'03_全链计算'!AK52+1,0),IF('01_数值调参'!P51&lt;0,'03_全链计算'!AL52+1,0),IF('01_数值调参'!P52&lt;0,'03_全链计算'!AM52+1,0))</x:f>
        <x:v>1</x:v>
      </x:c>
      <x:c r="Q53" s="9" t="n">
        <x:f>MAX(IF('01_数值调参'!Q18&lt;0,'03_全链计算'!E52+1,0),IF('01_数值调参'!Q19&lt;0,'03_全链计算'!F52+1,0),IF('01_数值调参'!Q20&lt;0,'03_全链计算'!G52+1,0),IF('01_数值调参'!Q21&lt;0,'03_全链计算'!H52+1,0),IF('01_数值调参'!Q22&lt;0,'03_全链计算'!I52+1,0),IF('01_数值调参'!Q23&lt;0,'03_全链计算'!J52+1,0),IF('01_数值调参'!Q24&lt;0,'03_全链计算'!K52+1,0),IF('01_数值调参'!Q25&lt;0,'03_全链计算'!L52+1,0),IF('01_数值调参'!Q26&lt;0,'03_全链计算'!M52+1,0),IF('01_数值调参'!Q27&lt;0,'03_全链计算'!N52+1,0),IF('01_数值调参'!Q28&lt;0,'03_全链计算'!O52+1,0),IF('01_数值调参'!Q29&lt;0,'03_全链计算'!P52+1,0),IF('01_数值调参'!Q30&lt;0,'03_全链计算'!Q52+1,0),IF('01_数值调参'!Q31&lt;0,'03_全链计算'!R52+1,0),IF('01_数值调参'!Q32&lt;0,'03_全链计算'!S52+1,0),IF('01_数值调参'!Q33&lt;0,'03_全链计算'!T52+1,0),IF('01_数值调参'!Q34&lt;0,'03_全链计算'!U52+1,0),IF('01_数值调参'!Q35&lt;0,'03_全链计算'!V52+1,0),IF('01_数值调参'!Q36&lt;0,'03_全链计算'!W52+1,0),IF('01_数值调参'!Q37&lt;0,'03_全链计算'!X52+1,0),IF('01_数值调参'!Q38&lt;0,'03_全链计算'!Y52+1,0),IF('01_数值调参'!Q39&lt;0,'03_全链计算'!Z52+1,0),IF('01_数值调参'!Q40&lt;0,'03_全链计算'!AA52+1,0),IF('01_数值调参'!Q41&lt;0,'03_全链计算'!AB52+1,0),IF('01_数值调参'!Q42&lt;0,'03_全链计算'!AC52+1,0),IF('01_数值调参'!Q43&lt;0,'03_全链计算'!AD52+1,0),IF('01_数值调参'!Q44&lt;0,'03_全链计算'!AE52+1,0),IF('01_数值调参'!Q45&lt;0,'03_全链计算'!AF52+1,0),IF('01_数值调参'!Q46&lt;0,'03_全链计算'!AG52+1,0),IF('01_数值调参'!Q47&lt;0,'03_全链计算'!AH52+1,0),IF('01_数值调参'!Q48&lt;0,'03_全链计算'!AI52+1,0),IF('01_数值调参'!Q49&lt;0,'03_全链计算'!AJ52+1,0),IF('01_数值调参'!Q50&lt;0,'03_全链计算'!AK52+1,0),IF('01_数值调参'!Q51&lt;0,'03_全链计算'!AL52+1,0),IF('01_数值调参'!Q52&lt;0,'03_全链计算'!AM52+1,0))</x:f>
        <x:v>1</x:v>
      </x:c>
      <x:c r="R53" s="9" t="n">
        <x:f>MAX(IF('01_数值调参'!R18&lt;0,'03_全链计算'!E52+1,0),IF('01_数值调参'!R19&lt;0,'03_全链计算'!F52+1,0),IF('01_数值调参'!R20&lt;0,'03_全链计算'!G52+1,0),IF('01_数值调参'!R21&lt;0,'03_全链计算'!H52+1,0),IF('01_数值调参'!R22&lt;0,'03_全链计算'!I52+1,0),IF('01_数值调参'!R23&lt;0,'03_全链计算'!J52+1,0),IF('01_数值调参'!R24&lt;0,'03_全链计算'!K52+1,0),IF('01_数值调参'!R25&lt;0,'03_全链计算'!L52+1,0),IF('01_数值调参'!R26&lt;0,'03_全链计算'!M52+1,0),IF('01_数值调参'!R27&lt;0,'03_全链计算'!N52+1,0),IF('01_数值调参'!R28&lt;0,'03_全链计算'!O52+1,0),IF('01_数值调参'!R29&lt;0,'03_全链计算'!P52+1,0),IF('01_数值调参'!R30&lt;0,'03_全链计算'!Q52+1,0),IF('01_数值调参'!R31&lt;0,'03_全链计算'!R52+1,0),IF('01_数值调参'!R32&lt;0,'03_全链计算'!S52+1,0),IF('01_数值调参'!R33&lt;0,'03_全链计算'!T52+1,0),IF('01_数值调参'!R34&lt;0,'03_全链计算'!U52+1,0),IF('01_数值调参'!R35&lt;0,'03_全链计算'!V52+1,0),IF('01_数值调参'!R36&lt;0,'03_全链计算'!W52+1,0),IF('01_数值调参'!R37&lt;0,'03_全链计算'!X52+1,0),IF('01_数值调参'!R38&lt;0,'03_全链计算'!Y52+1,0),IF('01_数值调参'!R39&lt;0,'03_全链计算'!Z52+1,0),IF('01_数值调参'!R40&lt;0,'03_全链计算'!AA52+1,0),IF('01_数值调参'!R41&lt;0,'03_全链计算'!AB52+1,0),IF('01_数值调参'!R42&lt;0,'03_全链计算'!AC52+1,0),IF('01_数值调参'!R43&lt;0,'03_全链计算'!AD52+1,0),IF('01_数值调参'!R44&lt;0,'03_全链计算'!AE52+1,0),IF('01_数值调参'!R45&lt;0,'03_全链计算'!AF52+1,0),IF('01_数值调参'!R46&lt;0,'03_全链计算'!AG52+1,0),IF('01_数值调参'!R47&lt;0,'03_全链计算'!AH52+1,0),IF('01_数值调参'!R48&lt;0,'03_全链计算'!AI52+1,0),IF('01_数值调参'!R49&lt;0,'03_全链计算'!AJ52+1,0),IF('01_数值调参'!R50&lt;0,'03_全链计算'!AK52+1,0),IF('01_数值调参'!R51&lt;0,'03_全链计算'!AL52+1,0),IF('01_数值调参'!R52&lt;0,'03_全链计算'!AM52+1,0))</x:f>
        <x:v>1</x:v>
      </x:c>
      <x:c r="S53" s="9" t="n">
        <x:f>MAX(IF('01_数值调参'!S18&lt;0,'03_全链计算'!E52+1,0),IF('01_数值调参'!S19&lt;0,'03_全链计算'!F52+1,0),IF('01_数值调参'!S20&lt;0,'03_全链计算'!G52+1,0),IF('01_数值调参'!S21&lt;0,'03_全链计算'!H52+1,0),IF('01_数值调参'!S22&lt;0,'03_全链计算'!I52+1,0),IF('01_数值调参'!S23&lt;0,'03_全链计算'!J52+1,0),IF('01_数值调参'!S24&lt;0,'03_全链计算'!K52+1,0),IF('01_数值调参'!S25&lt;0,'03_全链计算'!L52+1,0),IF('01_数值调参'!S26&lt;0,'03_全链计算'!M52+1,0),IF('01_数值调参'!S27&lt;0,'03_全链计算'!N52+1,0),IF('01_数值调参'!S28&lt;0,'03_全链计算'!O52+1,0),IF('01_数值调参'!S29&lt;0,'03_全链计算'!P52+1,0),IF('01_数值调参'!S30&lt;0,'03_全链计算'!Q52+1,0),IF('01_数值调参'!S31&lt;0,'03_全链计算'!R52+1,0),IF('01_数值调参'!S32&lt;0,'03_全链计算'!S52+1,0),IF('01_数值调参'!S33&lt;0,'03_全链计算'!T52+1,0),IF('01_数值调参'!S34&lt;0,'03_全链计算'!U52+1,0),IF('01_数值调参'!S35&lt;0,'03_全链计算'!V52+1,0),IF('01_数值调参'!S36&lt;0,'03_全链计算'!W52+1,0),IF('01_数值调参'!S37&lt;0,'03_全链计算'!X52+1,0),IF('01_数值调参'!S38&lt;0,'03_全链计算'!Y52+1,0),IF('01_数值调参'!S39&lt;0,'03_全链计算'!Z52+1,0),IF('01_数值调参'!S40&lt;0,'03_全链计算'!AA52+1,0),IF('01_数值调参'!S41&lt;0,'03_全链计算'!AB52+1,0),IF('01_数值调参'!S42&lt;0,'03_全链计算'!AC52+1,0),IF('01_数值调参'!S43&lt;0,'03_全链计算'!AD52+1,0),IF('01_数值调参'!S44&lt;0,'03_全链计算'!AE52+1,0),IF('01_数值调参'!S45&lt;0,'03_全链计算'!AF52+1,0),IF('01_数值调参'!S46&lt;0,'03_全链计算'!AG52+1,0),IF('01_数值调参'!S47&lt;0,'03_全链计算'!AH52+1,0),IF('01_数值调参'!S48&lt;0,'03_全链计算'!AI52+1,0),IF('01_数值调参'!S49&lt;0,'03_全链计算'!AJ52+1,0),IF('01_数值调参'!S50&lt;0,'03_全链计算'!AK52+1,0),IF('01_数值调参'!S51&lt;0,'03_全链计算'!AL52+1,0),IF('01_数值调参'!S52&lt;0,'03_全链计算'!AM52+1,0))</x:f>
        <x:v>1</x:v>
      </x:c>
      <x:c r="T53" s="9" t="n">
        <x:f>MAX(IF('01_数值调参'!T18&lt;0,'03_全链计算'!E52+1,0),IF('01_数值调参'!T19&lt;0,'03_全链计算'!F52+1,0),IF('01_数值调参'!T20&lt;0,'03_全链计算'!G52+1,0),IF('01_数值调参'!T21&lt;0,'03_全链计算'!H52+1,0),IF('01_数值调参'!T22&lt;0,'03_全链计算'!I52+1,0),IF('01_数值调参'!T23&lt;0,'03_全链计算'!J52+1,0),IF('01_数值调参'!T24&lt;0,'03_全链计算'!K52+1,0),IF('01_数值调参'!T25&lt;0,'03_全链计算'!L52+1,0),IF('01_数值调参'!T26&lt;0,'03_全链计算'!M52+1,0),IF('01_数值调参'!T27&lt;0,'03_全链计算'!N52+1,0),IF('01_数值调参'!T28&lt;0,'03_全链计算'!O52+1,0),IF('01_数值调参'!T29&lt;0,'03_全链计算'!P52+1,0),IF('01_数值调参'!T30&lt;0,'03_全链计算'!Q52+1,0),IF('01_数值调参'!T31&lt;0,'03_全链计算'!R52+1,0),IF('01_数值调参'!T32&lt;0,'03_全链计算'!S52+1,0),IF('01_数值调参'!T33&lt;0,'03_全链计算'!T52+1,0),IF('01_数值调参'!T34&lt;0,'03_全链计算'!U52+1,0),IF('01_数值调参'!T35&lt;0,'03_全链计算'!V52+1,0),IF('01_数值调参'!T36&lt;0,'03_全链计算'!W52+1,0),IF('01_数值调参'!T37&lt;0,'03_全链计算'!X52+1,0),IF('01_数值调参'!T38&lt;0,'03_全链计算'!Y52+1,0),IF('01_数值调参'!T39&lt;0,'03_全链计算'!Z52+1,0),IF('01_数值调参'!T40&lt;0,'03_全链计算'!AA52+1,0),IF('01_数值调参'!T41&lt;0,'03_全链计算'!AB52+1,0),IF('01_数值调参'!T42&lt;0,'03_全链计算'!AC52+1,0),IF('01_数值调参'!T43&lt;0,'03_全链计算'!AD52+1,0),IF('01_数值调参'!T44&lt;0,'03_全链计算'!AE52+1,0),IF('01_数值调参'!T45&lt;0,'03_全链计算'!AF52+1,0),IF('01_数值调参'!T46&lt;0,'03_全链计算'!AG52+1,0),IF('01_数值调参'!T47&lt;0,'03_全链计算'!AH52+1,0),IF('01_数值调参'!T48&lt;0,'03_全链计算'!AI52+1,0),IF('01_数值调参'!T49&lt;0,'03_全链计算'!AJ52+1,0),IF('01_数值调参'!T50&lt;0,'03_全链计算'!AK52+1,0),IF('01_数值调参'!T51&lt;0,'03_全链计算'!AL52+1,0),IF('01_数值调参'!T52&lt;0,'03_全链计算'!AM52+1,0))</x:f>
        <x:v>1</x:v>
      </x:c>
      <x:c r="U53" s="9" t="n">
        <x:f>MAX(IF('01_数值调参'!U18&lt;0,'03_全链计算'!E52+1,0),IF('01_数值调参'!U19&lt;0,'03_全链计算'!F52+1,0),IF('01_数值调参'!U20&lt;0,'03_全链计算'!G52+1,0),IF('01_数值调参'!U21&lt;0,'03_全链计算'!H52+1,0),IF('01_数值调参'!U22&lt;0,'03_全链计算'!I52+1,0),IF('01_数值调参'!U23&lt;0,'03_全链计算'!J52+1,0),IF('01_数值调参'!U24&lt;0,'03_全链计算'!K52+1,0),IF('01_数值调参'!U25&lt;0,'03_全链计算'!L52+1,0),IF('01_数值调参'!U26&lt;0,'03_全链计算'!M52+1,0),IF('01_数值调参'!U27&lt;0,'03_全链计算'!N52+1,0),IF('01_数值调参'!U28&lt;0,'03_全链计算'!O52+1,0),IF('01_数值调参'!U29&lt;0,'03_全链计算'!P52+1,0),IF('01_数值调参'!U30&lt;0,'03_全链计算'!Q52+1,0),IF('01_数值调参'!U31&lt;0,'03_全链计算'!R52+1,0),IF('01_数值调参'!U32&lt;0,'03_全链计算'!S52+1,0),IF('01_数值调参'!U33&lt;0,'03_全链计算'!T52+1,0),IF('01_数值调参'!U34&lt;0,'03_全链计算'!U52+1,0),IF('01_数值调参'!U35&lt;0,'03_全链计算'!V52+1,0),IF('01_数值调参'!U36&lt;0,'03_全链计算'!W52+1,0),IF('01_数值调参'!U37&lt;0,'03_全链计算'!X52+1,0),IF('01_数值调参'!U38&lt;0,'03_全链计算'!Y52+1,0),IF('01_数值调参'!U39&lt;0,'03_全链计算'!Z52+1,0),IF('01_数值调参'!U40&lt;0,'03_全链计算'!AA52+1,0),IF('01_数值调参'!U41&lt;0,'03_全链计算'!AB52+1,0),IF('01_数值调参'!U42&lt;0,'03_全链计算'!AC52+1,0),IF('01_数值调参'!U43&lt;0,'03_全链计算'!AD52+1,0),IF('01_数值调参'!U44&lt;0,'03_全链计算'!AE52+1,0),IF('01_数值调参'!U45&lt;0,'03_全链计算'!AF52+1,0),IF('01_数值调参'!U46&lt;0,'03_全链计算'!AG52+1,0),IF('01_数值调参'!U47&lt;0,'03_全链计算'!AH52+1,0),IF('01_数值调参'!U48&lt;0,'03_全链计算'!AI52+1,0),IF('01_数值调参'!U49&lt;0,'03_全链计算'!AJ52+1,0),IF('01_数值调参'!U50&lt;0,'03_全链计算'!AK52+1,0),IF('01_数值调参'!U51&lt;0,'03_全链计算'!AL52+1,0),IF('01_数值调参'!U52&lt;0,'03_全链计算'!AM52+1,0))</x:f>
        <x:v>1</x:v>
      </x:c>
      <x:c r="V53" s="9" t="n">
        <x:f>MAX(IF('01_数值调参'!V18&lt;0,'03_全链计算'!E52+1,0),IF('01_数值调参'!V19&lt;0,'03_全链计算'!F52+1,0),IF('01_数值调参'!V20&lt;0,'03_全链计算'!G52+1,0),IF('01_数值调参'!V21&lt;0,'03_全链计算'!H52+1,0),IF('01_数值调参'!V22&lt;0,'03_全链计算'!I52+1,0),IF('01_数值调参'!V23&lt;0,'03_全链计算'!J52+1,0),IF('01_数值调参'!V24&lt;0,'03_全链计算'!K52+1,0),IF('01_数值调参'!V25&lt;0,'03_全链计算'!L52+1,0),IF('01_数值调参'!V26&lt;0,'03_全链计算'!M52+1,0),IF('01_数值调参'!V27&lt;0,'03_全链计算'!N52+1,0),IF('01_数值调参'!V28&lt;0,'03_全链计算'!O52+1,0),IF('01_数值调参'!V29&lt;0,'03_全链计算'!P52+1,0),IF('01_数值调参'!V30&lt;0,'03_全链计算'!Q52+1,0),IF('01_数值调参'!V31&lt;0,'03_全链计算'!R52+1,0),IF('01_数值调参'!V32&lt;0,'03_全链计算'!S52+1,0),IF('01_数值调参'!V33&lt;0,'03_全链计算'!T52+1,0),IF('01_数值调参'!V34&lt;0,'03_全链计算'!U52+1,0),IF('01_数值调参'!V35&lt;0,'03_全链计算'!V52+1,0),IF('01_数值调参'!V36&lt;0,'03_全链计算'!W52+1,0),IF('01_数值调参'!V37&lt;0,'03_全链计算'!X52+1,0),IF('01_数值调参'!V38&lt;0,'03_全链计算'!Y52+1,0),IF('01_数值调参'!V39&lt;0,'03_全链计算'!Z52+1,0),IF('01_数值调参'!V40&lt;0,'03_全链计算'!AA52+1,0),IF('01_数值调参'!V41&lt;0,'03_全链计算'!AB52+1,0),IF('01_数值调参'!V42&lt;0,'03_全链计算'!AC52+1,0),IF('01_数值调参'!V43&lt;0,'03_全链计算'!AD52+1,0),IF('01_数值调参'!V44&lt;0,'03_全链计算'!AE52+1,0),IF('01_数值调参'!V45&lt;0,'03_全链计算'!AF52+1,0),IF('01_数值调参'!V46&lt;0,'03_全链计算'!AG52+1,0),IF('01_数值调参'!V47&lt;0,'03_全链计算'!AH52+1,0),IF('01_数值调参'!V48&lt;0,'03_全链计算'!AI52+1,0),IF('01_数值调参'!V49&lt;0,'03_全链计算'!AJ52+1,0),IF('01_数值调参'!V50&lt;0,'03_全链计算'!AK52+1,0),IF('01_数值调参'!V51&lt;0,'03_全链计算'!AL52+1,0),IF('01_数值调参'!V52&lt;0,'03_全链计算'!AM52+1,0))</x:f>
        <x:v>1</x:v>
      </x:c>
      <x:c r="W53" s="9" t="n">
        <x:f>MAX(IF('01_数值调参'!W18&lt;0,'03_全链计算'!E52+1,0),IF('01_数值调参'!W19&lt;0,'03_全链计算'!F52+1,0),IF('01_数值调参'!W20&lt;0,'03_全链计算'!G52+1,0),IF('01_数值调参'!W21&lt;0,'03_全链计算'!H52+1,0),IF('01_数值调参'!W22&lt;0,'03_全链计算'!I52+1,0),IF('01_数值调参'!W23&lt;0,'03_全链计算'!J52+1,0),IF('01_数值调参'!W24&lt;0,'03_全链计算'!K52+1,0),IF('01_数值调参'!W25&lt;0,'03_全链计算'!L52+1,0),IF('01_数值调参'!W26&lt;0,'03_全链计算'!M52+1,0),IF('01_数值调参'!W27&lt;0,'03_全链计算'!N52+1,0),IF('01_数值调参'!W28&lt;0,'03_全链计算'!O52+1,0),IF('01_数值调参'!W29&lt;0,'03_全链计算'!P52+1,0),IF('01_数值调参'!W30&lt;0,'03_全链计算'!Q52+1,0),IF('01_数值调参'!W31&lt;0,'03_全链计算'!R52+1,0),IF('01_数值调参'!W32&lt;0,'03_全链计算'!S52+1,0),IF('01_数值调参'!W33&lt;0,'03_全链计算'!T52+1,0),IF('01_数值调参'!W34&lt;0,'03_全链计算'!U52+1,0),IF('01_数值调参'!W35&lt;0,'03_全链计算'!V52+1,0),IF('01_数值调参'!W36&lt;0,'03_全链计算'!W52+1,0),IF('01_数值调参'!W37&lt;0,'03_全链计算'!X52+1,0),IF('01_数值调参'!W38&lt;0,'03_全链计算'!Y52+1,0),IF('01_数值调参'!W39&lt;0,'03_全链计算'!Z52+1,0),IF('01_数值调参'!W40&lt;0,'03_全链计算'!AA52+1,0),IF('01_数值调参'!W41&lt;0,'03_全链计算'!AB52+1,0),IF('01_数值调参'!W42&lt;0,'03_全链计算'!AC52+1,0),IF('01_数值调参'!W43&lt;0,'03_全链计算'!AD52+1,0),IF('01_数值调参'!W44&lt;0,'03_全链计算'!AE52+1,0),IF('01_数值调参'!W45&lt;0,'03_全链计算'!AF52+1,0),IF('01_数值调参'!W46&lt;0,'03_全链计算'!AG52+1,0),IF('01_数值调参'!W47&lt;0,'03_全链计算'!AH52+1,0),IF('01_数值调参'!W48&lt;0,'03_全链计算'!AI52+1,0),IF('01_数值调参'!W49&lt;0,'03_全链计算'!AJ52+1,0),IF('01_数值调参'!W50&lt;0,'03_全链计算'!AK52+1,0),IF('01_数值调参'!W51&lt;0,'03_全链计算'!AL52+1,0),IF('01_数值调参'!W52&lt;0,'03_全链计算'!AM52+1,0))</x:f>
        <x:v>1</x:v>
      </x:c>
      <x:c r="X53" s="9" t="n">
        <x:f>MAX(IF('01_数值调参'!X18&lt;0,'03_全链计算'!E52+1,0),IF('01_数值调参'!X19&lt;0,'03_全链计算'!F52+1,0),IF('01_数值调参'!X20&lt;0,'03_全链计算'!G52+1,0),IF('01_数值调参'!X21&lt;0,'03_全链计算'!H52+1,0),IF('01_数值调参'!X22&lt;0,'03_全链计算'!I52+1,0),IF('01_数值调参'!X23&lt;0,'03_全链计算'!J52+1,0),IF('01_数值调参'!X24&lt;0,'03_全链计算'!K52+1,0),IF('01_数值调参'!X25&lt;0,'03_全链计算'!L52+1,0),IF('01_数值调参'!X26&lt;0,'03_全链计算'!M52+1,0),IF('01_数值调参'!X27&lt;0,'03_全链计算'!N52+1,0),IF('01_数值调参'!X28&lt;0,'03_全链计算'!O52+1,0),IF('01_数值调参'!X29&lt;0,'03_全链计算'!P52+1,0),IF('01_数值调参'!X30&lt;0,'03_全链计算'!Q52+1,0),IF('01_数值调参'!X31&lt;0,'03_全链计算'!R52+1,0),IF('01_数值调参'!X32&lt;0,'03_全链计算'!S52+1,0),IF('01_数值调参'!X33&lt;0,'03_全链计算'!T52+1,0),IF('01_数值调参'!X34&lt;0,'03_全链计算'!U52+1,0),IF('01_数值调参'!X35&lt;0,'03_全链计算'!V52+1,0),IF('01_数值调参'!X36&lt;0,'03_全链计算'!W52+1,0),IF('01_数值调参'!X37&lt;0,'03_全链计算'!X52+1,0),IF('01_数值调参'!X38&lt;0,'03_全链计算'!Y52+1,0),IF('01_数值调参'!X39&lt;0,'03_全链计算'!Z52+1,0),IF('01_数值调参'!X40&lt;0,'03_全链计算'!AA52+1,0),IF('01_数值调参'!X41&lt;0,'03_全链计算'!AB52+1,0),IF('01_数值调参'!X42&lt;0,'03_全链计算'!AC52+1,0),IF('01_数值调参'!X43&lt;0,'03_全链计算'!AD52+1,0),IF('01_数值调参'!X44&lt;0,'03_全链计算'!AE52+1,0),IF('01_数值调参'!X45&lt;0,'03_全链计算'!AF52+1,0),IF('01_数值调参'!X46&lt;0,'03_全链计算'!AG52+1,0),IF('01_数值调参'!X47&lt;0,'03_全链计算'!AH52+1,0),IF('01_数值调参'!X48&lt;0,'03_全链计算'!AI52+1,0),IF('01_数值调参'!X49&lt;0,'03_全链计算'!AJ52+1,0),IF('01_数值调参'!X50&lt;0,'03_全链计算'!AK52+1,0),IF('01_数值调参'!X51&lt;0,'03_全链计算'!AL52+1,0),IF('01_数值调参'!X52&lt;0,'03_全链计算'!AM52+1,0))</x:f>
        <x:v>2</x:v>
      </x:c>
      <x:c r="Y53" s="9" t="n">
        <x:f>MAX(IF('01_数值调参'!Y18&lt;0,'03_全链计算'!E52+1,0),IF('01_数值调参'!Y19&lt;0,'03_全链计算'!F52+1,0),IF('01_数值调参'!Y20&lt;0,'03_全链计算'!G52+1,0),IF('01_数值调参'!Y21&lt;0,'03_全链计算'!H52+1,0),IF('01_数值调参'!Y22&lt;0,'03_全链计算'!I52+1,0),IF('01_数值调参'!Y23&lt;0,'03_全链计算'!J52+1,0),IF('01_数值调参'!Y24&lt;0,'03_全链计算'!K52+1,0),IF('01_数值调参'!Y25&lt;0,'03_全链计算'!L52+1,0),IF('01_数值调参'!Y26&lt;0,'03_全链计算'!M52+1,0),IF('01_数值调参'!Y27&lt;0,'03_全链计算'!N52+1,0),IF('01_数值调参'!Y28&lt;0,'03_全链计算'!O52+1,0),IF('01_数值调参'!Y29&lt;0,'03_全链计算'!P52+1,0),IF('01_数值调参'!Y30&lt;0,'03_全链计算'!Q52+1,0),IF('01_数值调参'!Y31&lt;0,'03_全链计算'!R52+1,0),IF('01_数值调参'!Y32&lt;0,'03_全链计算'!S52+1,0),IF('01_数值调参'!Y33&lt;0,'03_全链计算'!T52+1,0),IF('01_数值调参'!Y34&lt;0,'03_全链计算'!U52+1,0),IF('01_数值调参'!Y35&lt;0,'03_全链计算'!V52+1,0),IF('01_数值调参'!Y36&lt;0,'03_全链计算'!W52+1,0),IF('01_数值调参'!Y37&lt;0,'03_全链计算'!X52+1,0),IF('01_数值调参'!Y38&lt;0,'03_全链计算'!Y52+1,0),IF('01_数值调参'!Y39&lt;0,'03_全链计算'!Z52+1,0),IF('01_数值调参'!Y40&lt;0,'03_全链计算'!AA52+1,0),IF('01_数值调参'!Y41&lt;0,'03_全链计算'!AB52+1,0),IF('01_数值调参'!Y42&lt;0,'03_全链计算'!AC52+1,0),IF('01_数值调参'!Y43&lt;0,'03_全链计算'!AD52+1,0),IF('01_数值调参'!Y44&lt;0,'03_全链计算'!AE52+1,0),IF('01_数值调参'!Y45&lt;0,'03_全链计算'!AF52+1,0),IF('01_数值调参'!Y46&lt;0,'03_全链计算'!AG52+1,0),IF('01_数值调参'!Y47&lt;0,'03_全链计算'!AH52+1,0),IF('01_数值调参'!Y48&lt;0,'03_全链计算'!AI52+1,0),IF('01_数值调参'!Y49&lt;0,'03_全链计算'!AJ52+1,0),IF('01_数值调参'!Y50&lt;0,'03_全链计算'!AK52+1,0),IF('01_数值调参'!Y51&lt;0,'03_全链计算'!AL52+1,0),IF('01_数值调参'!Y52&lt;0,'03_全链计算'!AM52+1,0))</x:f>
        <x:v>2</x:v>
      </x:c>
      <x:c r="Z53" s="9" t="n">
        <x:f>MAX(IF('01_数值调参'!Z18&lt;0,'03_全链计算'!E52+1,0),IF('01_数值调参'!Z19&lt;0,'03_全链计算'!F52+1,0),IF('01_数值调参'!Z20&lt;0,'03_全链计算'!G52+1,0),IF('01_数值调参'!Z21&lt;0,'03_全链计算'!H52+1,0),IF('01_数值调参'!Z22&lt;0,'03_全链计算'!I52+1,0),IF('01_数值调参'!Z23&lt;0,'03_全链计算'!J52+1,0),IF('01_数值调参'!Z24&lt;0,'03_全链计算'!K52+1,0),IF('01_数值调参'!Z25&lt;0,'03_全链计算'!L52+1,0),IF('01_数值调参'!Z26&lt;0,'03_全链计算'!M52+1,0),IF('01_数值调参'!Z27&lt;0,'03_全链计算'!N52+1,0),IF('01_数值调参'!Z28&lt;0,'03_全链计算'!O52+1,0),IF('01_数值调参'!Z29&lt;0,'03_全链计算'!P52+1,0),IF('01_数值调参'!Z30&lt;0,'03_全链计算'!Q52+1,0),IF('01_数值调参'!Z31&lt;0,'03_全链计算'!R52+1,0),IF('01_数值调参'!Z32&lt;0,'03_全链计算'!S52+1,0),IF('01_数值调参'!Z33&lt;0,'03_全链计算'!T52+1,0),IF('01_数值调参'!Z34&lt;0,'03_全链计算'!U52+1,0),IF('01_数值调参'!Z35&lt;0,'03_全链计算'!V52+1,0),IF('01_数值调参'!Z36&lt;0,'03_全链计算'!W52+1,0),IF('01_数值调参'!Z37&lt;0,'03_全链计算'!X52+1,0),IF('01_数值调参'!Z38&lt;0,'03_全链计算'!Y52+1,0),IF('01_数值调参'!Z39&lt;0,'03_全链计算'!Z52+1,0),IF('01_数值调参'!Z40&lt;0,'03_全链计算'!AA52+1,0),IF('01_数值调参'!Z41&lt;0,'03_全链计算'!AB52+1,0),IF('01_数值调参'!Z42&lt;0,'03_全链计算'!AC52+1,0),IF('01_数值调参'!Z43&lt;0,'03_全链计算'!AD52+1,0),IF('01_数值调参'!Z44&lt;0,'03_全链计算'!AE52+1,0),IF('01_数值调参'!Z45&lt;0,'03_全链计算'!AF52+1,0),IF('01_数值调参'!Z46&lt;0,'03_全链计算'!AG52+1,0),IF('01_数值调参'!Z47&lt;0,'03_全链计算'!AH52+1,0),IF('01_数值调参'!Z48&lt;0,'03_全链计算'!AI52+1,0),IF('01_数值调参'!Z49&lt;0,'03_全链计算'!AJ52+1,0),IF('01_数值调参'!Z50&lt;0,'03_全链计算'!AK52+1,0),IF('01_数值调参'!Z51&lt;0,'03_全链计算'!AL52+1,0),IF('01_数值调参'!Z52&lt;0,'03_全链计算'!AM52+1,0))</x:f>
        <x:v>2</x:v>
      </x:c>
      <x:c r="AA53" s="9" t="n">
        <x:f>MAX(IF('01_数值调参'!AA18&lt;0,'03_全链计算'!E52+1,0),IF('01_数值调参'!AA19&lt;0,'03_全链计算'!F52+1,0),IF('01_数值调参'!AA20&lt;0,'03_全链计算'!G52+1,0),IF('01_数值调参'!AA21&lt;0,'03_全链计算'!H52+1,0),IF('01_数值调参'!AA22&lt;0,'03_全链计算'!I52+1,0),IF('01_数值调参'!AA23&lt;0,'03_全链计算'!J52+1,0),IF('01_数值调参'!AA24&lt;0,'03_全链计算'!K52+1,0),IF('01_数值调参'!AA25&lt;0,'03_全链计算'!L52+1,0),IF('01_数值调参'!AA26&lt;0,'03_全链计算'!M52+1,0),IF('01_数值调参'!AA27&lt;0,'03_全链计算'!N52+1,0),IF('01_数值调参'!AA28&lt;0,'03_全链计算'!O52+1,0),IF('01_数值调参'!AA29&lt;0,'03_全链计算'!P52+1,0),IF('01_数值调参'!AA30&lt;0,'03_全链计算'!Q52+1,0),IF('01_数值调参'!AA31&lt;0,'03_全链计算'!R52+1,0),IF('01_数值调参'!AA32&lt;0,'03_全链计算'!S52+1,0),IF('01_数值调参'!AA33&lt;0,'03_全链计算'!T52+1,0),IF('01_数值调参'!AA34&lt;0,'03_全链计算'!U52+1,0),IF('01_数值调参'!AA35&lt;0,'03_全链计算'!V52+1,0),IF('01_数值调参'!AA36&lt;0,'03_全链计算'!W52+1,0),IF('01_数值调参'!AA37&lt;0,'03_全链计算'!X52+1,0),IF('01_数值调参'!AA38&lt;0,'03_全链计算'!Y52+1,0),IF('01_数值调参'!AA39&lt;0,'03_全链计算'!Z52+1,0),IF('01_数值调参'!AA40&lt;0,'03_全链计算'!AA52+1,0),IF('01_数值调参'!AA41&lt;0,'03_全链计算'!AB52+1,0),IF('01_数值调参'!AA42&lt;0,'03_全链计算'!AC52+1,0),IF('01_数值调参'!AA43&lt;0,'03_全链计算'!AD52+1,0),IF('01_数值调参'!AA44&lt;0,'03_全链计算'!AE52+1,0),IF('01_数值调参'!AA45&lt;0,'03_全链计算'!AF52+1,0),IF('01_数值调参'!AA46&lt;0,'03_全链计算'!AG52+1,0),IF('01_数值调参'!AA47&lt;0,'03_全链计算'!AH52+1,0),IF('01_数值调参'!AA48&lt;0,'03_全链计算'!AI52+1,0),IF('01_数值调参'!AA49&lt;0,'03_全链计算'!AJ52+1,0),IF('01_数值调参'!AA50&lt;0,'03_全链计算'!AK52+1,0),IF('01_数值调参'!AA51&lt;0,'03_全链计算'!AL52+1,0),IF('01_数值调参'!AA52&lt;0,'03_全链计算'!AM52+1,0))</x:f>
        <x:v>2</x:v>
      </x:c>
      <x:c r="AB53" s="9" t="n">
        <x:f>MAX(IF('01_数值调参'!AB18&lt;0,'03_全链计算'!E52+1,0),IF('01_数值调参'!AB19&lt;0,'03_全链计算'!F52+1,0),IF('01_数值调参'!AB20&lt;0,'03_全链计算'!G52+1,0),IF('01_数值调参'!AB21&lt;0,'03_全链计算'!H52+1,0),IF('01_数值调参'!AB22&lt;0,'03_全链计算'!I52+1,0),IF('01_数值调参'!AB23&lt;0,'03_全链计算'!J52+1,0),IF('01_数值调参'!AB24&lt;0,'03_全链计算'!K52+1,0),IF('01_数值调参'!AB25&lt;0,'03_全链计算'!L52+1,0),IF('01_数值调参'!AB26&lt;0,'03_全链计算'!M52+1,0),IF('01_数值调参'!AB27&lt;0,'03_全链计算'!N52+1,0),IF('01_数值调参'!AB28&lt;0,'03_全链计算'!O52+1,0),IF('01_数值调参'!AB29&lt;0,'03_全链计算'!P52+1,0),IF('01_数值调参'!AB30&lt;0,'03_全链计算'!Q52+1,0),IF('01_数值调参'!AB31&lt;0,'03_全链计算'!R52+1,0),IF('01_数值调参'!AB32&lt;0,'03_全链计算'!S52+1,0),IF('01_数值调参'!AB33&lt;0,'03_全链计算'!T52+1,0),IF('01_数值调参'!AB34&lt;0,'03_全链计算'!U52+1,0),IF('01_数值调参'!AB35&lt;0,'03_全链计算'!V52+1,0),IF('01_数值调参'!AB36&lt;0,'03_全链计算'!W52+1,0),IF('01_数值调参'!AB37&lt;0,'03_全链计算'!X52+1,0),IF('01_数值调参'!AB38&lt;0,'03_全链计算'!Y52+1,0),IF('01_数值调参'!AB39&lt;0,'03_全链计算'!Z52+1,0),IF('01_数值调参'!AB40&lt;0,'03_全链计算'!AA52+1,0),IF('01_数值调参'!AB41&lt;0,'03_全链计算'!AB52+1,0),IF('01_数值调参'!AB42&lt;0,'03_全链计算'!AC52+1,0),IF('01_数值调参'!AB43&lt;0,'03_全链计算'!AD52+1,0),IF('01_数值调参'!AB44&lt;0,'03_全链计算'!AE52+1,0),IF('01_数值调参'!AB45&lt;0,'03_全链计算'!AF52+1,0),IF('01_数值调参'!AB46&lt;0,'03_全链计算'!AG52+1,0),IF('01_数值调参'!AB47&lt;0,'03_全链计算'!AH52+1,0),IF('01_数值调参'!AB48&lt;0,'03_全链计算'!AI52+1,0),IF('01_数值调参'!AB49&lt;0,'03_全链计算'!AJ52+1,0),IF('01_数值调参'!AB50&lt;0,'03_全链计算'!AK52+1,0),IF('01_数值调参'!AB51&lt;0,'03_全链计算'!AL52+1,0),IF('01_数值调参'!AB52&lt;0,'03_全链计算'!AM52+1,0))</x:f>
        <x:v>2</x:v>
      </x:c>
      <x:c r="AC53" s="9" t="n">
        <x:f>MAX(IF('01_数值调参'!AC18&lt;0,'03_全链计算'!E52+1,0),IF('01_数值调参'!AC19&lt;0,'03_全链计算'!F52+1,0),IF('01_数值调参'!AC20&lt;0,'03_全链计算'!G52+1,0),IF('01_数值调参'!AC21&lt;0,'03_全链计算'!H52+1,0),IF('01_数值调参'!AC22&lt;0,'03_全链计算'!I52+1,0),IF('01_数值调参'!AC23&lt;0,'03_全链计算'!J52+1,0),IF('01_数值调参'!AC24&lt;0,'03_全链计算'!K52+1,0),IF('01_数值调参'!AC25&lt;0,'03_全链计算'!L52+1,0),IF('01_数值调参'!AC26&lt;0,'03_全链计算'!M52+1,0),IF('01_数值调参'!AC27&lt;0,'03_全链计算'!N52+1,0),IF('01_数值调参'!AC28&lt;0,'03_全链计算'!O52+1,0),IF('01_数值调参'!AC29&lt;0,'03_全链计算'!P52+1,0),IF('01_数值调参'!AC30&lt;0,'03_全链计算'!Q52+1,0),IF('01_数值调参'!AC31&lt;0,'03_全链计算'!R52+1,0),IF('01_数值调参'!AC32&lt;0,'03_全链计算'!S52+1,0),IF('01_数值调参'!AC33&lt;0,'03_全链计算'!T52+1,0),IF('01_数值调参'!AC34&lt;0,'03_全链计算'!U52+1,0),IF('01_数值调参'!AC35&lt;0,'03_全链计算'!V52+1,0),IF('01_数值调参'!AC36&lt;0,'03_全链计算'!W52+1,0),IF('01_数值调参'!AC37&lt;0,'03_全链计算'!X52+1,0),IF('01_数值调参'!AC38&lt;0,'03_全链计算'!Y52+1,0),IF('01_数值调参'!AC39&lt;0,'03_全链计算'!Z52+1,0),IF('01_数值调参'!AC40&lt;0,'03_全链计算'!AA52+1,0),IF('01_数值调参'!AC41&lt;0,'03_全链计算'!AB52+1,0),IF('01_数值调参'!AC42&lt;0,'03_全链计算'!AC52+1,0),IF('01_数值调参'!AC43&lt;0,'03_全链计算'!AD52+1,0),IF('01_数值调参'!AC44&lt;0,'03_全链计算'!AE52+1,0),IF('01_数值调参'!AC45&lt;0,'03_全链计算'!AF52+1,0),IF('01_数值调参'!AC46&lt;0,'03_全链计算'!AG52+1,0),IF('01_数值调参'!AC47&lt;0,'03_全链计算'!AH52+1,0),IF('01_数值调参'!AC48&lt;0,'03_全链计算'!AI52+1,0),IF('01_数值调参'!AC49&lt;0,'03_全链计算'!AJ52+1,0),IF('01_数值调参'!AC50&lt;0,'03_全链计算'!AK52+1,0),IF('01_数值调参'!AC51&lt;0,'03_全链计算'!AL52+1,0),IF('01_数值调参'!AC52&lt;0,'03_全链计算'!AM52+1,0))</x:f>
        <x:v>2</x:v>
      </x:c>
      <x:c r="AD53" s="9" t="n">
        <x:f>MAX(IF('01_数值调参'!AD18&lt;0,'03_全链计算'!E52+1,0),IF('01_数值调参'!AD19&lt;0,'03_全链计算'!F52+1,0),IF('01_数值调参'!AD20&lt;0,'03_全链计算'!G52+1,0),IF('01_数值调参'!AD21&lt;0,'03_全链计算'!H52+1,0),IF('01_数值调参'!AD22&lt;0,'03_全链计算'!I52+1,0),IF('01_数值调参'!AD23&lt;0,'03_全链计算'!J52+1,0),IF('01_数值调参'!AD24&lt;0,'03_全链计算'!K52+1,0),IF('01_数值调参'!AD25&lt;0,'03_全链计算'!L52+1,0),IF('01_数值调参'!AD26&lt;0,'03_全链计算'!M52+1,0),IF('01_数值调参'!AD27&lt;0,'03_全链计算'!N52+1,0),IF('01_数值调参'!AD28&lt;0,'03_全链计算'!O52+1,0),IF('01_数值调参'!AD29&lt;0,'03_全链计算'!P52+1,0),IF('01_数值调参'!AD30&lt;0,'03_全链计算'!Q52+1,0),IF('01_数值调参'!AD31&lt;0,'03_全链计算'!R52+1,0),IF('01_数值调参'!AD32&lt;0,'03_全链计算'!S52+1,0),IF('01_数值调参'!AD33&lt;0,'03_全链计算'!T52+1,0),IF('01_数值调参'!AD34&lt;0,'03_全链计算'!U52+1,0),IF('01_数值调参'!AD35&lt;0,'03_全链计算'!V52+1,0),IF('01_数值调参'!AD36&lt;0,'03_全链计算'!W52+1,0),IF('01_数值调参'!AD37&lt;0,'03_全链计算'!X52+1,0),IF('01_数值调参'!AD38&lt;0,'03_全链计算'!Y52+1,0),IF('01_数值调参'!AD39&lt;0,'03_全链计算'!Z52+1,0),IF('01_数值调参'!AD40&lt;0,'03_全链计算'!AA52+1,0),IF('01_数值调参'!AD41&lt;0,'03_全链计算'!AB52+1,0),IF('01_数值调参'!AD42&lt;0,'03_全链计算'!AC52+1,0),IF('01_数值调参'!AD43&lt;0,'03_全链计算'!AD52+1,0),IF('01_数值调参'!AD44&lt;0,'03_全链计算'!AE52+1,0),IF('01_数值调参'!AD45&lt;0,'03_全链计算'!AF52+1,0),IF('01_数值调参'!AD46&lt;0,'03_全链计算'!AG52+1,0),IF('01_数值调参'!AD47&lt;0,'03_全链计算'!AH52+1,0),IF('01_数值调参'!AD48&lt;0,'03_全链计算'!AI52+1,0),IF('01_数值调参'!AD49&lt;0,'03_全链计算'!AJ52+1,0),IF('01_数值调参'!AD50&lt;0,'03_全链计算'!AK52+1,0),IF('01_数值调参'!AD51&lt;0,'03_全链计算'!AL52+1,0),IF('01_数值调参'!AD52&lt;0,'03_全链计算'!AM52+1,0))</x:f>
        <x:v>1</x:v>
      </x:c>
      <x:c r="AE53" s="9" t="n">
        <x:f>MAX(IF('01_数值调参'!AE18&lt;0,'03_全链计算'!E52+1,0),IF('01_数值调参'!AE19&lt;0,'03_全链计算'!F52+1,0),IF('01_数值调参'!AE20&lt;0,'03_全链计算'!G52+1,0),IF('01_数值调参'!AE21&lt;0,'03_全链计算'!H52+1,0),IF('01_数值调参'!AE22&lt;0,'03_全链计算'!I52+1,0),IF('01_数值调参'!AE23&lt;0,'03_全链计算'!J52+1,0),IF('01_数值调参'!AE24&lt;0,'03_全链计算'!K52+1,0),IF('01_数值调参'!AE25&lt;0,'03_全链计算'!L52+1,0),IF('01_数值调参'!AE26&lt;0,'03_全链计算'!M52+1,0),IF('01_数值调参'!AE27&lt;0,'03_全链计算'!N52+1,0),IF('01_数值调参'!AE28&lt;0,'03_全链计算'!O52+1,0),IF('01_数值调参'!AE29&lt;0,'03_全链计算'!P52+1,0),IF('01_数值调参'!AE30&lt;0,'03_全链计算'!Q52+1,0),IF('01_数值调参'!AE31&lt;0,'03_全链计算'!R52+1,0),IF('01_数值调参'!AE32&lt;0,'03_全链计算'!S52+1,0),IF('01_数值调参'!AE33&lt;0,'03_全链计算'!T52+1,0),IF('01_数值调参'!AE34&lt;0,'03_全链计算'!U52+1,0),IF('01_数值调参'!AE35&lt;0,'03_全链计算'!V52+1,0),IF('01_数值调参'!AE36&lt;0,'03_全链计算'!W52+1,0),IF('01_数值调参'!AE37&lt;0,'03_全链计算'!X52+1,0),IF('01_数值调参'!AE38&lt;0,'03_全链计算'!Y52+1,0),IF('01_数值调参'!AE39&lt;0,'03_全链计算'!Z52+1,0),IF('01_数值调参'!AE40&lt;0,'03_全链计算'!AA52+1,0),IF('01_数值调参'!AE41&lt;0,'03_全链计算'!AB52+1,0),IF('01_数值调参'!AE42&lt;0,'03_全链计算'!AC52+1,0),IF('01_数值调参'!AE43&lt;0,'03_全链计算'!AD52+1,0),IF('01_数值调参'!AE44&lt;0,'03_全链计算'!AE52+1,0),IF('01_数值调参'!AE45&lt;0,'03_全链计算'!AF52+1,0),IF('01_数值调参'!AE46&lt;0,'03_全链计算'!AG52+1,0),IF('01_数值调参'!AE47&lt;0,'03_全链计算'!AH52+1,0),IF('01_数值调参'!AE48&lt;0,'03_全链计算'!AI52+1,0),IF('01_数值调参'!AE49&lt;0,'03_全链计算'!AJ52+1,0),IF('01_数值调参'!AE50&lt;0,'03_全链计算'!AK52+1,0),IF('01_数值调参'!AE51&lt;0,'03_全链计算'!AL52+1,0),IF('01_数值调参'!AE52&lt;0,'03_全链计算'!AM52+1,0))</x:f>
        <x:v>1</x:v>
      </x:c>
      <x:c r="AF53" s="9" t="n">
        <x:f>MAX(IF('01_数值调参'!AF18&lt;0,'03_全链计算'!E52+1,0),IF('01_数值调参'!AF19&lt;0,'03_全链计算'!F52+1,0),IF('01_数值调参'!AF20&lt;0,'03_全链计算'!G52+1,0),IF('01_数值调参'!AF21&lt;0,'03_全链计算'!H52+1,0),IF('01_数值调参'!AF22&lt;0,'03_全链计算'!I52+1,0),IF('01_数值调参'!AF23&lt;0,'03_全链计算'!J52+1,0),IF('01_数值调参'!AF24&lt;0,'03_全链计算'!K52+1,0),IF('01_数值调参'!AF25&lt;0,'03_全链计算'!L52+1,0),IF('01_数值调参'!AF26&lt;0,'03_全链计算'!M52+1,0),IF('01_数值调参'!AF27&lt;0,'03_全链计算'!N52+1,0),IF('01_数值调参'!AF28&lt;0,'03_全链计算'!O52+1,0),IF('01_数值调参'!AF29&lt;0,'03_全链计算'!P52+1,0),IF('01_数值调参'!AF30&lt;0,'03_全链计算'!Q52+1,0),IF('01_数值调参'!AF31&lt;0,'03_全链计算'!R52+1,0),IF('01_数值调参'!AF32&lt;0,'03_全链计算'!S52+1,0),IF('01_数值调参'!AF33&lt;0,'03_全链计算'!T52+1,0),IF('01_数值调参'!AF34&lt;0,'03_全链计算'!U52+1,0),IF('01_数值调参'!AF35&lt;0,'03_全链计算'!V52+1,0),IF('01_数值调参'!AF36&lt;0,'03_全链计算'!W52+1,0),IF('01_数值调参'!AF37&lt;0,'03_全链计算'!X52+1,0),IF('01_数值调参'!AF38&lt;0,'03_全链计算'!Y52+1,0),IF('01_数值调参'!AF39&lt;0,'03_全链计算'!Z52+1,0),IF('01_数值调参'!AF40&lt;0,'03_全链计算'!AA52+1,0),IF('01_数值调参'!AF41&lt;0,'03_全链计算'!AB52+1,0),IF('01_数值调参'!AF42&lt;0,'03_全链计算'!AC52+1,0),IF('01_数值调参'!AF43&lt;0,'03_全链计算'!AD52+1,0),IF('01_数值调参'!AF44&lt;0,'03_全链计算'!AE52+1,0),IF('01_数值调参'!AF45&lt;0,'03_全链计算'!AF52+1,0),IF('01_数值调参'!AF46&lt;0,'03_全链计算'!AG52+1,0),IF('01_数值调参'!AF47&lt;0,'03_全链计算'!AH52+1,0),IF('01_数值调参'!AF48&lt;0,'03_全链计算'!AI52+1,0),IF('01_数值调参'!AF49&lt;0,'03_全链计算'!AJ52+1,0),IF('01_数值调参'!AF50&lt;0,'03_全链计算'!AK52+1,0),IF('01_数值调参'!AF51&lt;0,'03_全链计算'!AL52+1,0),IF('01_数值调参'!AF52&lt;0,'03_全链计算'!AM52+1,0))</x:f>
        <x:v>1</x:v>
      </x:c>
      <x:c r="AG53" s="9" t="n">
        <x:f>MAX(IF('01_数值调参'!AG18&lt;0,'03_全链计算'!E52+1,0),IF('01_数值调参'!AG19&lt;0,'03_全链计算'!F52+1,0),IF('01_数值调参'!AG20&lt;0,'03_全链计算'!G52+1,0),IF('01_数值调参'!AG21&lt;0,'03_全链计算'!H52+1,0),IF('01_数值调参'!AG22&lt;0,'03_全链计算'!I52+1,0),IF('01_数值调参'!AG23&lt;0,'03_全链计算'!J52+1,0),IF('01_数值调参'!AG24&lt;0,'03_全链计算'!K52+1,0),IF('01_数值调参'!AG25&lt;0,'03_全链计算'!L52+1,0),IF('01_数值调参'!AG26&lt;0,'03_全链计算'!M52+1,0),IF('01_数值调参'!AG27&lt;0,'03_全链计算'!N52+1,0),IF('01_数值调参'!AG28&lt;0,'03_全链计算'!O52+1,0),IF('01_数值调参'!AG29&lt;0,'03_全链计算'!P52+1,0),IF('01_数值调参'!AG30&lt;0,'03_全链计算'!Q52+1,0),IF('01_数值调参'!AG31&lt;0,'03_全链计算'!R52+1,0),IF('01_数值调参'!AG32&lt;0,'03_全链计算'!S52+1,0),IF('01_数值调参'!AG33&lt;0,'03_全链计算'!T52+1,0),IF('01_数值调参'!AG34&lt;0,'03_全链计算'!U52+1,0),IF('01_数值调参'!AG35&lt;0,'03_全链计算'!V52+1,0),IF('01_数值调参'!AG36&lt;0,'03_全链计算'!W52+1,0),IF('01_数值调参'!AG37&lt;0,'03_全链计算'!X52+1,0),IF('01_数值调参'!AG38&lt;0,'03_全链计算'!Y52+1,0),IF('01_数值调参'!AG39&lt;0,'03_全链计算'!Z52+1,0),IF('01_数值调参'!AG40&lt;0,'03_全链计算'!AA52+1,0),IF('01_数值调参'!AG41&lt;0,'03_全链计算'!AB52+1,0),IF('01_数值调参'!AG42&lt;0,'03_全链计算'!AC52+1,0),IF('01_数值调参'!AG43&lt;0,'03_全链计算'!AD52+1,0),IF('01_数值调参'!AG44&lt;0,'03_全链计算'!AE52+1,0),IF('01_数值调参'!AG45&lt;0,'03_全链计算'!AF52+1,0),IF('01_数值调参'!AG46&lt;0,'03_全链计算'!AG52+1,0),IF('01_数值调参'!AG47&lt;0,'03_全链计算'!AH52+1,0),IF('01_数值调参'!AG48&lt;0,'03_全链计算'!AI52+1,0),IF('01_数值调参'!AG49&lt;0,'03_全链计算'!AJ52+1,0),IF('01_数值调参'!AG50&lt;0,'03_全链计算'!AK52+1,0),IF('01_数值调参'!AG51&lt;0,'03_全链计算'!AL52+1,0),IF('01_数值调参'!AG52&lt;0,'03_全链计算'!AM52+1,0))</x:f>
        <x:v>1</x:v>
      </x:c>
      <x:c r="AH53" s="9" t="n">
        <x:f>MAX(IF('01_数值调参'!AH18&lt;0,'03_全链计算'!E52+1,0),IF('01_数值调参'!AH19&lt;0,'03_全链计算'!F52+1,0),IF('01_数值调参'!AH20&lt;0,'03_全链计算'!G52+1,0),IF('01_数值调参'!AH21&lt;0,'03_全链计算'!H52+1,0),IF('01_数值调参'!AH22&lt;0,'03_全链计算'!I52+1,0),IF('01_数值调参'!AH23&lt;0,'03_全链计算'!J52+1,0),IF('01_数值调参'!AH24&lt;0,'03_全链计算'!K52+1,0),IF('01_数值调参'!AH25&lt;0,'03_全链计算'!L52+1,0),IF('01_数值调参'!AH26&lt;0,'03_全链计算'!M52+1,0),IF('01_数值调参'!AH27&lt;0,'03_全链计算'!N52+1,0),IF('01_数值调参'!AH28&lt;0,'03_全链计算'!O52+1,0),IF('01_数值调参'!AH29&lt;0,'03_全链计算'!P52+1,0),IF('01_数值调参'!AH30&lt;0,'03_全链计算'!Q52+1,0),IF('01_数值调参'!AH31&lt;0,'03_全链计算'!R52+1,0),IF('01_数值调参'!AH32&lt;0,'03_全链计算'!S52+1,0),IF('01_数值调参'!AH33&lt;0,'03_全链计算'!T52+1,0),IF('01_数值调参'!AH34&lt;0,'03_全链计算'!U52+1,0),IF('01_数值调参'!AH35&lt;0,'03_全链计算'!V52+1,0),IF('01_数值调参'!AH36&lt;0,'03_全链计算'!W52+1,0),IF('01_数值调参'!AH37&lt;0,'03_全链计算'!X52+1,0),IF('01_数值调参'!AH38&lt;0,'03_全链计算'!Y52+1,0),IF('01_数值调参'!AH39&lt;0,'03_全链计算'!Z52+1,0),IF('01_数值调参'!AH40&lt;0,'03_全链计算'!AA52+1,0),IF('01_数值调参'!AH41&lt;0,'03_全链计算'!AB52+1,0),IF('01_数值调参'!AH42&lt;0,'03_全链计算'!AC52+1,0),IF('01_数值调参'!AH43&lt;0,'03_全链计算'!AD52+1,0),IF('01_数值调参'!AH44&lt;0,'03_全链计算'!AE52+1,0),IF('01_数值调参'!AH45&lt;0,'03_全链计算'!AF52+1,0),IF('01_数值调参'!AH46&lt;0,'03_全链计算'!AG52+1,0),IF('01_数值调参'!AH47&lt;0,'03_全链计算'!AH52+1,0),IF('01_数值调参'!AH48&lt;0,'03_全链计算'!AI52+1,0),IF('01_数值调参'!AH49&lt;0,'03_全链计算'!AJ52+1,0),IF('01_数值调参'!AH50&lt;0,'03_全链计算'!AK52+1,0),IF('01_数值调参'!AH51&lt;0,'03_全链计算'!AL52+1,0),IF('01_数值调参'!AH52&lt;0,'03_全链计算'!AM52+1,0))</x:f>
        <x:v>2</x:v>
      </x:c>
      <x:c r="AI53" s="9" t="n">
        <x:f>MAX(IF('01_数值调参'!AI18&lt;0,'03_全链计算'!E52+1,0),IF('01_数值调参'!AI19&lt;0,'03_全链计算'!F52+1,0),IF('01_数值调参'!AI20&lt;0,'03_全链计算'!G52+1,0),IF('01_数值调参'!AI21&lt;0,'03_全链计算'!H52+1,0),IF('01_数值调参'!AI22&lt;0,'03_全链计算'!I52+1,0),IF('01_数值调参'!AI23&lt;0,'03_全链计算'!J52+1,0),IF('01_数值调参'!AI24&lt;0,'03_全链计算'!K52+1,0),IF('01_数值调参'!AI25&lt;0,'03_全链计算'!L52+1,0),IF('01_数值调参'!AI26&lt;0,'03_全链计算'!M52+1,0),IF('01_数值调参'!AI27&lt;0,'03_全链计算'!N52+1,0),IF('01_数值调参'!AI28&lt;0,'03_全链计算'!O52+1,0),IF('01_数值调参'!AI29&lt;0,'03_全链计算'!P52+1,0),IF('01_数值调参'!AI30&lt;0,'03_全链计算'!Q52+1,0),IF('01_数值调参'!AI31&lt;0,'03_全链计算'!R52+1,0),IF('01_数值调参'!AI32&lt;0,'03_全链计算'!S52+1,0),IF('01_数值调参'!AI33&lt;0,'03_全链计算'!T52+1,0),IF('01_数值调参'!AI34&lt;0,'03_全链计算'!U52+1,0),IF('01_数值调参'!AI35&lt;0,'03_全链计算'!V52+1,0),IF('01_数值调参'!AI36&lt;0,'03_全链计算'!W52+1,0),IF('01_数值调参'!AI37&lt;0,'03_全链计算'!X52+1,0),IF('01_数值调参'!AI38&lt;0,'03_全链计算'!Y52+1,0),IF('01_数值调参'!AI39&lt;0,'03_全链计算'!Z52+1,0),IF('01_数值调参'!AI40&lt;0,'03_全链计算'!AA52+1,0),IF('01_数值调参'!AI41&lt;0,'03_全链计算'!AB52+1,0),IF('01_数值调参'!AI42&lt;0,'03_全链计算'!AC52+1,0),IF('01_数值调参'!AI43&lt;0,'03_全链计算'!AD52+1,0),IF('01_数值调参'!AI44&lt;0,'03_全链计算'!AE52+1,0),IF('01_数值调参'!AI45&lt;0,'03_全链计算'!AF52+1,0),IF('01_数值调参'!AI46&lt;0,'03_全链计算'!AG52+1,0),IF('01_数值调参'!AI47&lt;0,'03_全链计算'!AH52+1,0),IF('01_数值调参'!AI48&lt;0,'03_全链计算'!AI52+1,0),IF('01_数值调参'!AI49&lt;0,'03_全链计算'!AJ52+1,0),IF('01_数值调参'!AI50&lt;0,'03_全链计算'!AK52+1,0),IF('01_数值调参'!AI51&lt;0,'03_全链计算'!AL52+1,0),IF('01_数值调参'!AI52&lt;0,'03_全链计算'!AM52+1,0))</x:f>
        <x:v>2</x:v>
      </x:c>
      <x:c r="AJ53" s="9" t="n">
        <x:f>MAX(IF('01_数值调参'!AJ18&lt;0,'03_全链计算'!E52+1,0),IF('01_数值调参'!AJ19&lt;0,'03_全链计算'!F52+1,0),IF('01_数值调参'!AJ20&lt;0,'03_全链计算'!G52+1,0),IF('01_数值调参'!AJ21&lt;0,'03_全链计算'!H52+1,0),IF('01_数值调参'!AJ22&lt;0,'03_全链计算'!I52+1,0),IF('01_数值调参'!AJ23&lt;0,'03_全链计算'!J52+1,0),IF('01_数值调参'!AJ24&lt;0,'03_全链计算'!K52+1,0),IF('01_数值调参'!AJ25&lt;0,'03_全链计算'!L52+1,0),IF('01_数值调参'!AJ26&lt;0,'03_全链计算'!M52+1,0),IF('01_数值调参'!AJ27&lt;0,'03_全链计算'!N52+1,0),IF('01_数值调参'!AJ28&lt;0,'03_全链计算'!O52+1,0),IF('01_数值调参'!AJ29&lt;0,'03_全链计算'!P52+1,0),IF('01_数值调参'!AJ30&lt;0,'03_全链计算'!Q52+1,0),IF('01_数值调参'!AJ31&lt;0,'03_全链计算'!R52+1,0),IF('01_数值调参'!AJ32&lt;0,'03_全链计算'!S52+1,0),IF('01_数值调参'!AJ33&lt;0,'03_全链计算'!T52+1,0),IF('01_数值调参'!AJ34&lt;0,'03_全链计算'!U52+1,0),IF('01_数值调参'!AJ35&lt;0,'03_全链计算'!V52+1,0),IF('01_数值调参'!AJ36&lt;0,'03_全链计算'!W52+1,0),IF('01_数值调参'!AJ37&lt;0,'03_全链计算'!X52+1,0),IF('01_数值调参'!AJ38&lt;0,'03_全链计算'!Y52+1,0),IF('01_数值调参'!AJ39&lt;0,'03_全链计算'!Z52+1,0),IF('01_数值调参'!AJ40&lt;0,'03_全链计算'!AA52+1,0),IF('01_数值调参'!AJ41&lt;0,'03_全链计算'!AB52+1,0),IF('01_数值调参'!AJ42&lt;0,'03_全链计算'!AC52+1,0),IF('01_数值调参'!AJ43&lt;0,'03_全链计算'!AD52+1,0),IF('01_数值调参'!AJ44&lt;0,'03_全链计算'!AE52+1,0),IF('01_数值调参'!AJ45&lt;0,'03_全链计算'!AF52+1,0),IF('01_数值调参'!AJ46&lt;0,'03_全链计算'!AG52+1,0),IF('01_数值调参'!AJ47&lt;0,'03_全链计算'!AH52+1,0),IF('01_数值调参'!AJ48&lt;0,'03_全链计算'!AI52+1,0),IF('01_数值调参'!AJ49&lt;0,'03_全链计算'!AJ52+1,0),IF('01_数值调参'!AJ50&lt;0,'03_全链计算'!AK52+1,0),IF('01_数值调参'!AJ51&lt;0,'03_全链计算'!AL52+1,0),IF('01_数值调参'!AJ52&lt;0,'03_全链计算'!AM52+1,0))</x:f>
        <x:v>2</x:v>
      </x:c>
      <x:c r="AK53" s="9" t="n">
        <x:f>MAX(IF('01_数值调参'!AK18&lt;0,'03_全链计算'!E52+1,0),IF('01_数值调参'!AK19&lt;0,'03_全链计算'!F52+1,0),IF('01_数值调参'!AK20&lt;0,'03_全链计算'!G52+1,0),IF('01_数值调参'!AK21&lt;0,'03_全链计算'!H52+1,0),IF('01_数值调参'!AK22&lt;0,'03_全链计算'!I52+1,0),IF('01_数值调参'!AK23&lt;0,'03_全链计算'!J52+1,0),IF('01_数值调参'!AK24&lt;0,'03_全链计算'!K52+1,0),IF('01_数值调参'!AK25&lt;0,'03_全链计算'!L52+1,0),IF('01_数值调参'!AK26&lt;0,'03_全链计算'!M52+1,0),IF('01_数值调参'!AK27&lt;0,'03_全链计算'!N52+1,0),IF('01_数值调参'!AK28&lt;0,'03_全链计算'!O52+1,0),IF('01_数值调参'!AK29&lt;0,'03_全链计算'!P52+1,0),IF('01_数值调参'!AK30&lt;0,'03_全链计算'!Q52+1,0),IF('01_数值调参'!AK31&lt;0,'03_全链计算'!R52+1,0),IF('01_数值调参'!AK32&lt;0,'03_全链计算'!S52+1,0),IF('01_数值调参'!AK33&lt;0,'03_全链计算'!T52+1,0),IF('01_数值调参'!AK34&lt;0,'03_全链计算'!U52+1,0),IF('01_数值调参'!AK35&lt;0,'03_全链计算'!V52+1,0),IF('01_数值调参'!AK36&lt;0,'03_全链计算'!W52+1,0),IF('01_数值调参'!AK37&lt;0,'03_全链计算'!X52+1,0),IF('01_数值调参'!AK38&lt;0,'03_全链计算'!Y52+1,0),IF('01_数值调参'!AK39&lt;0,'03_全链计算'!Z52+1,0),IF('01_数值调参'!AK40&lt;0,'03_全链计算'!AA52+1,0),IF('01_数值调参'!AK41&lt;0,'03_全链计算'!AB52+1,0),IF('01_数值调参'!AK42&lt;0,'03_全链计算'!AC52+1,0),IF('01_数值调参'!AK43&lt;0,'03_全链计算'!AD52+1,0),IF('01_数值调参'!AK44&lt;0,'03_全链计算'!AE52+1,0),IF('01_数值调参'!AK45&lt;0,'03_全链计算'!AF52+1,0),IF('01_数值调参'!AK46&lt;0,'03_全链计算'!AG52+1,0),IF('01_数值调参'!AK47&lt;0,'03_全链计算'!AH52+1,0),IF('01_数值调参'!AK48&lt;0,'03_全链计算'!AI52+1,0),IF('01_数值调参'!AK49&lt;0,'03_全链计算'!AJ52+1,0),IF('01_数值调参'!AK50&lt;0,'03_全链计算'!AK52+1,0),IF('01_数值调参'!AK51&lt;0,'03_全链计算'!AL52+1,0),IF('01_数值调参'!AK52&lt;0,'03_全链计算'!AM52+1,0))</x:f>
        <x:v>2</x:v>
      </x:c>
      <x:c r="AL53" s="9" t="n">
        <x:f>MAX(IF('01_数值调参'!AL18&lt;0,'03_全链计算'!E52+1,0),IF('01_数值调参'!AL19&lt;0,'03_全链计算'!F52+1,0),IF('01_数值调参'!AL20&lt;0,'03_全链计算'!G52+1,0),IF('01_数值调参'!AL21&lt;0,'03_全链计算'!H52+1,0),IF('01_数值调参'!AL22&lt;0,'03_全链计算'!I52+1,0),IF('01_数值调参'!AL23&lt;0,'03_全链计算'!J52+1,0),IF('01_数值调参'!AL24&lt;0,'03_全链计算'!K52+1,0),IF('01_数值调参'!AL25&lt;0,'03_全链计算'!L52+1,0),IF('01_数值调参'!AL26&lt;0,'03_全链计算'!M52+1,0),IF('01_数值调参'!AL27&lt;0,'03_全链计算'!N52+1,0),IF('01_数值调参'!AL28&lt;0,'03_全链计算'!O52+1,0),IF('01_数值调参'!AL29&lt;0,'03_全链计算'!P52+1,0),IF('01_数值调参'!AL30&lt;0,'03_全链计算'!Q52+1,0),IF('01_数值调参'!AL31&lt;0,'03_全链计算'!R52+1,0),IF('01_数值调参'!AL32&lt;0,'03_全链计算'!S52+1,0),IF('01_数值调参'!AL33&lt;0,'03_全链计算'!T52+1,0),IF('01_数值调参'!AL34&lt;0,'03_全链计算'!U52+1,0),IF('01_数值调参'!AL35&lt;0,'03_全链计算'!V52+1,0),IF('01_数值调参'!AL36&lt;0,'03_全链计算'!W52+1,0),IF('01_数值调参'!AL37&lt;0,'03_全链计算'!X52+1,0),IF('01_数值调参'!AL38&lt;0,'03_全链计算'!Y52+1,0),IF('01_数值调参'!AL39&lt;0,'03_全链计算'!Z52+1,0),IF('01_数值调参'!AL40&lt;0,'03_全链计算'!AA52+1,0),IF('01_数值调参'!AL41&lt;0,'03_全链计算'!AB52+1,0),IF('01_数值调参'!AL42&lt;0,'03_全链计算'!AC52+1,0),IF('01_数值调参'!AL43&lt;0,'03_全链计算'!AD52+1,0),IF('01_数值调参'!AL44&lt;0,'03_全链计算'!AE52+1,0),IF('01_数值调参'!AL45&lt;0,'03_全链计算'!AF52+1,0),IF('01_数值调参'!AL46&lt;0,'03_全链计算'!AG52+1,0),IF('01_数值调参'!AL47&lt;0,'03_全链计算'!AH52+1,0),IF('01_数值调参'!AL48&lt;0,'03_全链计算'!AI52+1,0),IF('01_数值调参'!AL49&lt;0,'03_全链计算'!AJ52+1,0),IF('01_数值调参'!AL50&lt;0,'03_全链计算'!AK52+1,0),IF('01_数值调参'!AL51&lt;0,'03_全链计算'!AL52+1,0),IF('01_数值调参'!AL52&lt;0,'03_全链计算'!AM52+1,0))</x:f>
        <x:v>3</x:v>
      </x:c>
      <x:c r="AM53" s="9" t="n">
        <x:f>MAX(IF('01_数值调参'!AM18&lt;0,'03_全链计算'!E52+1,0),IF('01_数值调参'!AM19&lt;0,'03_全链计算'!F52+1,0),IF('01_数值调参'!AM20&lt;0,'03_全链计算'!G52+1,0),IF('01_数值调参'!AM21&lt;0,'03_全链计算'!H52+1,0),IF('01_数值调参'!AM22&lt;0,'03_全链计算'!I52+1,0),IF('01_数值调参'!AM23&lt;0,'03_全链计算'!J52+1,0),IF('01_数值调参'!AM24&lt;0,'03_全链计算'!K52+1,0),IF('01_数值调参'!AM25&lt;0,'03_全链计算'!L52+1,0),IF('01_数值调参'!AM26&lt;0,'03_全链计算'!M52+1,0),IF('01_数值调参'!AM27&lt;0,'03_全链计算'!N52+1,0),IF('01_数值调参'!AM28&lt;0,'03_全链计算'!O52+1,0),IF('01_数值调参'!AM29&lt;0,'03_全链计算'!P52+1,0),IF('01_数值调参'!AM30&lt;0,'03_全链计算'!Q52+1,0),IF('01_数值调参'!AM31&lt;0,'03_全链计算'!R52+1,0),IF('01_数值调参'!AM32&lt;0,'03_全链计算'!S52+1,0),IF('01_数值调参'!AM33&lt;0,'03_全链计算'!T52+1,0),IF('01_数值调参'!AM34&lt;0,'03_全链计算'!U52+1,0),IF('01_数值调参'!AM35&lt;0,'03_全链计算'!V52+1,0),IF('01_数值调参'!AM36&lt;0,'03_全链计算'!W52+1,0),IF('01_数值调参'!AM37&lt;0,'03_全链计算'!X52+1,0),IF('01_数值调参'!AM38&lt;0,'03_全链计算'!Y52+1,0),IF('01_数值调参'!AM39&lt;0,'03_全链计算'!Z52+1,0),IF('01_数值调参'!AM40&lt;0,'03_全链计算'!AA52+1,0),IF('01_数值调参'!AM41&lt;0,'03_全链计算'!AB52+1,0),IF('01_数值调参'!AM42&lt;0,'03_全链计算'!AC52+1,0),IF('01_数值调参'!AM43&lt;0,'03_全链计算'!AD52+1,0),IF('01_数值调参'!AM44&lt;0,'03_全链计算'!AE52+1,0),IF('01_数值调参'!AM45&lt;0,'03_全链计算'!AF52+1,0),IF('01_数值调参'!AM46&lt;0,'03_全链计算'!AG52+1,0),IF('01_数值调参'!AM47&lt;0,'03_全链计算'!AH52+1,0),IF('01_数值调参'!AM48&lt;0,'03_全链计算'!AI52+1,0),IF('01_数值调参'!AM49&lt;0,'03_全链计算'!AJ52+1,0),IF('01_数值调参'!AM50&lt;0,'03_全链计算'!AK52+1,0),IF('01_数值调参'!AM51&lt;0,'03_全链计算'!AL52+1,0),IF('01_数值调参'!AM52&lt;0,'03_全链计算'!AM52+1,0))</x:f>
        <x:v>3</x:v>
      </x:c>
    </x:row>
    <x:row r="54" ht="22" customHeight="1">
      <x:c r="A54" s="9" t="n">
        <x:v>9</x:v>
      </x:c>
      <x:c r="B54" s="9"/>
      <x:c r="C54" s="9"/>
      <x:c r="D54" s="9"/>
      <x:c r="E54" s="9" t="n">
        <x:f>MAX(IF('01_数值调参'!E18&lt;0,'03_全链计算'!E53+1,0),IF('01_数值调参'!E19&lt;0,'03_全链计算'!F53+1,0),IF('01_数值调参'!E20&lt;0,'03_全链计算'!G53+1,0),IF('01_数值调参'!E21&lt;0,'03_全链计算'!H53+1,0),IF('01_数值调参'!E22&lt;0,'03_全链计算'!I53+1,0),IF('01_数值调参'!E23&lt;0,'03_全链计算'!J53+1,0),IF('01_数值调参'!E24&lt;0,'03_全链计算'!K53+1,0),IF('01_数值调参'!E25&lt;0,'03_全链计算'!L53+1,0),IF('01_数值调参'!E26&lt;0,'03_全链计算'!M53+1,0),IF('01_数值调参'!E27&lt;0,'03_全链计算'!N53+1,0),IF('01_数值调参'!E28&lt;0,'03_全链计算'!O53+1,0),IF('01_数值调参'!E29&lt;0,'03_全链计算'!P53+1,0),IF('01_数值调参'!E30&lt;0,'03_全链计算'!Q53+1,0),IF('01_数值调参'!E31&lt;0,'03_全链计算'!R53+1,0),IF('01_数值调参'!E32&lt;0,'03_全链计算'!S53+1,0),IF('01_数值调参'!E33&lt;0,'03_全链计算'!T53+1,0),IF('01_数值调参'!E34&lt;0,'03_全链计算'!U53+1,0),IF('01_数值调参'!E35&lt;0,'03_全链计算'!V53+1,0),IF('01_数值调参'!E36&lt;0,'03_全链计算'!W53+1,0),IF('01_数值调参'!E37&lt;0,'03_全链计算'!X53+1,0),IF('01_数值调参'!E38&lt;0,'03_全链计算'!Y53+1,0),IF('01_数值调参'!E39&lt;0,'03_全链计算'!Z53+1,0),IF('01_数值调参'!E40&lt;0,'03_全链计算'!AA53+1,0),IF('01_数值调参'!E41&lt;0,'03_全链计算'!AB53+1,0),IF('01_数值调参'!E42&lt;0,'03_全链计算'!AC53+1,0),IF('01_数值调参'!E43&lt;0,'03_全链计算'!AD53+1,0),IF('01_数值调参'!E44&lt;0,'03_全链计算'!AE53+1,0),IF('01_数值调参'!E45&lt;0,'03_全链计算'!AF53+1,0),IF('01_数值调参'!E46&lt;0,'03_全链计算'!AG53+1,0),IF('01_数值调参'!E47&lt;0,'03_全链计算'!AH53+1,0),IF('01_数值调参'!E48&lt;0,'03_全链计算'!AI53+1,0),IF('01_数值调参'!E49&lt;0,'03_全链计算'!AJ53+1,0),IF('01_数值调参'!E50&lt;0,'03_全链计算'!AK53+1,0),IF('01_数值调参'!E51&lt;0,'03_全链计算'!AL53+1,0),IF('01_数值调参'!E52&lt;0,'03_全链计算'!AM53+1,0))</x:f>
        <x:v>0</x:v>
      </x:c>
      <x:c r="F54" s="9" t="n">
        <x:f>MAX(IF('01_数值调参'!F18&lt;0,'03_全链计算'!E53+1,0),IF('01_数值调参'!F19&lt;0,'03_全链计算'!F53+1,0),IF('01_数值调参'!F20&lt;0,'03_全链计算'!G53+1,0),IF('01_数值调参'!F21&lt;0,'03_全链计算'!H53+1,0),IF('01_数值调参'!F22&lt;0,'03_全链计算'!I53+1,0),IF('01_数值调参'!F23&lt;0,'03_全链计算'!J53+1,0),IF('01_数值调参'!F24&lt;0,'03_全链计算'!K53+1,0),IF('01_数值调参'!F25&lt;0,'03_全链计算'!L53+1,0),IF('01_数值调参'!F26&lt;0,'03_全链计算'!M53+1,0),IF('01_数值调参'!F27&lt;0,'03_全链计算'!N53+1,0),IF('01_数值调参'!F28&lt;0,'03_全链计算'!O53+1,0),IF('01_数值调参'!F29&lt;0,'03_全链计算'!P53+1,0),IF('01_数值调参'!F30&lt;0,'03_全链计算'!Q53+1,0),IF('01_数值调参'!F31&lt;0,'03_全链计算'!R53+1,0),IF('01_数值调参'!F32&lt;0,'03_全链计算'!S53+1,0),IF('01_数值调参'!F33&lt;0,'03_全链计算'!T53+1,0),IF('01_数值调参'!F34&lt;0,'03_全链计算'!U53+1,0),IF('01_数值调参'!F35&lt;0,'03_全链计算'!V53+1,0),IF('01_数值调参'!F36&lt;0,'03_全链计算'!W53+1,0),IF('01_数值调参'!F37&lt;0,'03_全链计算'!X53+1,0),IF('01_数值调参'!F38&lt;0,'03_全链计算'!Y53+1,0),IF('01_数值调参'!F39&lt;0,'03_全链计算'!Z53+1,0),IF('01_数值调参'!F40&lt;0,'03_全链计算'!AA53+1,0),IF('01_数值调参'!F41&lt;0,'03_全链计算'!AB53+1,0),IF('01_数值调参'!F42&lt;0,'03_全链计算'!AC53+1,0),IF('01_数值调参'!F43&lt;0,'03_全链计算'!AD53+1,0),IF('01_数值调参'!F44&lt;0,'03_全链计算'!AE53+1,0),IF('01_数值调参'!F45&lt;0,'03_全链计算'!AF53+1,0),IF('01_数值调参'!F46&lt;0,'03_全链计算'!AG53+1,0),IF('01_数值调参'!F47&lt;0,'03_全链计算'!AH53+1,0),IF('01_数值调参'!F48&lt;0,'03_全链计算'!AI53+1,0),IF('01_数值调参'!F49&lt;0,'03_全链计算'!AJ53+1,0),IF('01_数值调参'!F50&lt;0,'03_全链计算'!AK53+1,0),IF('01_数值调参'!F51&lt;0,'03_全链计算'!AL53+1,0),IF('01_数值调参'!F52&lt;0,'03_全链计算'!AM53+1,0))</x:f>
        <x:v>0</x:v>
      </x:c>
      <x:c r="G54" s="9" t="n">
        <x:f>MAX(IF('01_数值调参'!G18&lt;0,'03_全链计算'!E53+1,0),IF('01_数值调参'!G19&lt;0,'03_全链计算'!F53+1,0),IF('01_数值调参'!G20&lt;0,'03_全链计算'!G53+1,0),IF('01_数值调参'!G21&lt;0,'03_全链计算'!H53+1,0),IF('01_数值调参'!G22&lt;0,'03_全链计算'!I53+1,0),IF('01_数值调参'!G23&lt;0,'03_全链计算'!J53+1,0),IF('01_数值调参'!G24&lt;0,'03_全链计算'!K53+1,0),IF('01_数值调参'!G25&lt;0,'03_全链计算'!L53+1,0),IF('01_数值调参'!G26&lt;0,'03_全链计算'!M53+1,0),IF('01_数值调参'!G27&lt;0,'03_全链计算'!N53+1,0),IF('01_数值调参'!G28&lt;0,'03_全链计算'!O53+1,0),IF('01_数值调参'!G29&lt;0,'03_全链计算'!P53+1,0),IF('01_数值调参'!G30&lt;0,'03_全链计算'!Q53+1,0),IF('01_数值调参'!G31&lt;0,'03_全链计算'!R53+1,0),IF('01_数值调参'!G32&lt;0,'03_全链计算'!S53+1,0),IF('01_数值调参'!G33&lt;0,'03_全链计算'!T53+1,0),IF('01_数值调参'!G34&lt;0,'03_全链计算'!U53+1,0),IF('01_数值调参'!G35&lt;0,'03_全链计算'!V53+1,0),IF('01_数值调参'!G36&lt;0,'03_全链计算'!W53+1,0),IF('01_数值调参'!G37&lt;0,'03_全链计算'!X53+1,0),IF('01_数值调参'!G38&lt;0,'03_全链计算'!Y53+1,0),IF('01_数值调参'!G39&lt;0,'03_全链计算'!Z53+1,0),IF('01_数值调参'!G40&lt;0,'03_全链计算'!AA53+1,0),IF('01_数值调参'!G41&lt;0,'03_全链计算'!AB53+1,0),IF('01_数值调参'!G42&lt;0,'03_全链计算'!AC53+1,0),IF('01_数值调参'!G43&lt;0,'03_全链计算'!AD53+1,0),IF('01_数值调参'!G44&lt;0,'03_全链计算'!AE53+1,0),IF('01_数值调参'!G45&lt;0,'03_全链计算'!AF53+1,0),IF('01_数值调参'!G46&lt;0,'03_全链计算'!AG53+1,0),IF('01_数值调参'!G47&lt;0,'03_全链计算'!AH53+1,0),IF('01_数值调参'!G48&lt;0,'03_全链计算'!AI53+1,0),IF('01_数值调参'!G49&lt;0,'03_全链计算'!AJ53+1,0),IF('01_数值调参'!G50&lt;0,'03_全链计算'!AK53+1,0),IF('01_数值调参'!G51&lt;0,'03_全链计算'!AL53+1,0),IF('01_数值调参'!G52&lt;0,'03_全链计算'!AM53+1,0))</x:f>
        <x:v>0</x:v>
      </x:c>
      <x:c r="H54" s="9" t="n">
        <x:f>MAX(IF('01_数值调参'!H18&lt;0,'03_全链计算'!E53+1,0),IF('01_数值调参'!H19&lt;0,'03_全链计算'!F53+1,0),IF('01_数值调参'!H20&lt;0,'03_全链计算'!G53+1,0),IF('01_数值调参'!H21&lt;0,'03_全链计算'!H53+1,0),IF('01_数值调参'!H22&lt;0,'03_全链计算'!I53+1,0),IF('01_数值调参'!H23&lt;0,'03_全链计算'!J53+1,0),IF('01_数值调参'!H24&lt;0,'03_全链计算'!K53+1,0),IF('01_数值调参'!H25&lt;0,'03_全链计算'!L53+1,0),IF('01_数值调参'!H26&lt;0,'03_全链计算'!M53+1,0),IF('01_数值调参'!H27&lt;0,'03_全链计算'!N53+1,0),IF('01_数值调参'!H28&lt;0,'03_全链计算'!O53+1,0),IF('01_数值调参'!H29&lt;0,'03_全链计算'!P53+1,0),IF('01_数值调参'!H30&lt;0,'03_全链计算'!Q53+1,0),IF('01_数值调参'!H31&lt;0,'03_全链计算'!R53+1,0),IF('01_数值调参'!H32&lt;0,'03_全链计算'!S53+1,0),IF('01_数值调参'!H33&lt;0,'03_全链计算'!T53+1,0),IF('01_数值调参'!H34&lt;0,'03_全链计算'!U53+1,0),IF('01_数值调参'!H35&lt;0,'03_全链计算'!V53+1,0),IF('01_数值调参'!H36&lt;0,'03_全链计算'!W53+1,0),IF('01_数值调参'!H37&lt;0,'03_全链计算'!X53+1,0),IF('01_数值调参'!H38&lt;0,'03_全链计算'!Y53+1,0),IF('01_数值调参'!H39&lt;0,'03_全链计算'!Z53+1,0),IF('01_数值调参'!H40&lt;0,'03_全链计算'!AA53+1,0),IF('01_数值调参'!H41&lt;0,'03_全链计算'!AB53+1,0),IF('01_数值调参'!H42&lt;0,'03_全链计算'!AC53+1,0),IF('01_数值调参'!H43&lt;0,'03_全链计算'!AD53+1,0),IF('01_数值调参'!H44&lt;0,'03_全链计算'!AE53+1,0),IF('01_数值调参'!H45&lt;0,'03_全链计算'!AF53+1,0),IF('01_数值调参'!H46&lt;0,'03_全链计算'!AG53+1,0),IF('01_数值调参'!H47&lt;0,'03_全链计算'!AH53+1,0),IF('01_数值调参'!H48&lt;0,'03_全链计算'!AI53+1,0),IF('01_数值调参'!H49&lt;0,'03_全链计算'!AJ53+1,0),IF('01_数值调参'!H50&lt;0,'03_全链计算'!AK53+1,0),IF('01_数值调参'!H51&lt;0,'03_全链计算'!AL53+1,0),IF('01_数值调参'!H52&lt;0,'03_全链计算'!AM53+1,0))</x:f>
        <x:v>0</x:v>
      </x:c>
      <x:c r="I54" s="9" t="n">
        <x:f>MAX(IF('01_数值调参'!I18&lt;0,'03_全链计算'!E53+1,0),IF('01_数值调参'!I19&lt;0,'03_全链计算'!F53+1,0),IF('01_数值调参'!I20&lt;0,'03_全链计算'!G53+1,0),IF('01_数值调参'!I21&lt;0,'03_全链计算'!H53+1,0),IF('01_数值调参'!I22&lt;0,'03_全链计算'!I53+1,0),IF('01_数值调参'!I23&lt;0,'03_全链计算'!J53+1,0),IF('01_数值调参'!I24&lt;0,'03_全链计算'!K53+1,0),IF('01_数值调参'!I25&lt;0,'03_全链计算'!L53+1,0),IF('01_数值调参'!I26&lt;0,'03_全链计算'!M53+1,0),IF('01_数值调参'!I27&lt;0,'03_全链计算'!N53+1,0),IF('01_数值调参'!I28&lt;0,'03_全链计算'!O53+1,0),IF('01_数值调参'!I29&lt;0,'03_全链计算'!P53+1,0),IF('01_数值调参'!I30&lt;0,'03_全链计算'!Q53+1,0),IF('01_数值调参'!I31&lt;0,'03_全链计算'!R53+1,0),IF('01_数值调参'!I32&lt;0,'03_全链计算'!S53+1,0),IF('01_数值调参'!I33&lt;0,'03_全链计算'!T53+1,0),IF('01_数值调参'!I34&lt;0,'03_全链计算'!U53+1,0),IF('01_数值调参'!I35&lt;0,'03_全链计算'!V53+1,0),IF('01_数值调参'!I36&lt;0,'03_全链计算'!W53+1,0),IF('01_数值调参'!I37&lt;0,'03_全链计算'!X53+1,0),IF('01_数值调参'!I38&lt;0,'03_全链计算'!Y53+1,0),IF('01_数值调参'!I39&lt;0,'03_全链计算'!Z53+1,0),IF('01_数值调参'!I40&lt;0,'03_全链计算'!AA53+1,0),IF('01_数值调参'!I41&lt;0,'03_全链计算'!AB53+1,0),IF('01_数值调参'!I42&lt;0,'03_全链计算'!AC53+1,0),IF('01_数值调参'!I43&lt;0,'03_全链计算'!AD53+1,0),IF('01_数值调参'!I44&lt;0,'03_全链计算'!AE53+1,0),IF('01_数值调参'!I45&lt;0,'03_全链计算'!AF53+1,0),IF('01_数值调参'!I46&lt;0,'03_全链计算'!AG53+1,0),IF('01_数值调参'!I47&lt;0,'03_全链计算'!AH53+1,0),IF('01_数值调参'!I48&lt;0,'03_全链计算'!AI53+1,0),IF('01_数值调参'!I49&lt;0,'03_全链计算'!AJ53+1,0),IF('01_数值调参'!I50&lt;0,'03_全链计算'!AK53+1,0),IF('01_数值调参'!I51&lt;0,'03_全链计算'!AL53+1,0),IF('01_数值调参'!I52&lt;0,'03_全链计算'!AM53+1,0))</x:f>
        <x:v>0</x:v>
      </x:c>
      <x:c r="J54" s="9" t="n">
        <x:f>MAX(IF('01_数值调参'!J18&lt;0,'03_全链计算'!E53+1,0),IF('01_数值调参'!J19&lt;0,'03_全链计算'!F53+1,0),IF('01_数值调参'!J20&lt;0,'03_全链计算'!G53+1,0),IF('01_数值调参'!J21&lt;0,'03_全链计算'!H53+1,0),IF('01_数值调参'!J22&lt;0,'03_全链计算'!I53+1,0),IF('01_数值调参'!J23&lt;0,'03_全链计算'!J53+1,0),IF('01_数值调参'!J24&lt;0,'03_全链计算'!K53+1,0),IF('01_数值调参'!J25&lt;0,'03_全链计算'!L53+1,0),IF('01_数值调参'!J26&lt;0,'03_全链计算'!M53+1,0),IF('01_数值调参'!J27&lt;0,'03_全链计算'!N53+1,0),IF('01_数值调参'!J28&lt;0,'03_全链计算'!O53+1,0),IF('01_数值调参'!J29&lt;0,'03_全链计算'!P53+1,0),IF('01_数值调参'!J30&lt;0,'03_全链计算'!Q53+1,0),IF('01_数值调参'!J31&lt;0,'03_全链计算'!R53+1,0),IF('01_数值调参'!J32&lt;0,'03_全链计算'!S53+1,0),IF('01_数值调参'!J33&lt;0,'03_全链计算'!T53+1,0),IF('01_数值调参'!J34&lt;0,'03_全链计算'!U53+1,0),IF('01_数值调参'!J35&lt;0,'03_全链计算'!V53+1,0),IF('01_数值调参'!J36&lt;0,'03_全链计算'!W53+1,0),IF('01_数值调参'!J37&lt;0,'03_全链计算'!X53+1,0),IF('01_数值调参'!J38&lt;0,'03_全链计算'!Y53+1,0),IF('01_数值调参'!J39&lt;0,'03_全链计算'!Z53+1,0),IF('01_数值调参'!J40&lt;0,'03_全链计算'!AA53+1,0),IF('01_数值调参'!J41&lt;0,'03_全链计算'!AB53+1,0),IF('01_数值调参'!J42&lt;0,'03_全链计算'!AC53+1,0),IF('01_数值调参'!J43&lt;0,'03_全链计算'!AD53+1,0),IF('01_数值调参'!J44&lt;0,'03_全链计算'!AE53+1,0),IF('01_数值调参'!J45&lt;0,'03_全链计算'!AF53+1,0),IF('01_数值调参'!J46&lt;0,'03_全链计算'!AG53+1,0),IF('01_数值调参'!J47&lt;0,'03_全链计算'!AH53+1,0),IF('01_数值调参'!J48&lt;0,'03_全链计算'!AI53+1,0),IF('01_数值调参'!J49&lt;0,'03_全链计算'!AJ53+1,0),IF('01_数值调参'!J50&lt;0,'03_全链计算'!AK53+1,0),IF('01_数值调参'!J51&lt;0,'03_全链计算'!AL53+1,0),IF('01_数值调参'!J52&lt;0,'03_全链计算'!AM53+1,0))</x:f>
        <x:v>0</x:v>
      </x:c>
      <x:c r="K54" s="9" t="n">
        <x:f>MAX(IF('01_数值调参'!K18&lt;0,'03_全链计算'!E53+1,0),IF('01_数值调参'!K19&lt;0,'03_全链计算'!F53+1,0),IF('01_数值调参'!K20&lt;0,'03_全链计算'!G53+1,0),IF('01_数值调参'!K21&lt;0,'03_全链计算'!H53+1,0),IF('01_数值调参'!K22&lt;0,'03_全链计算'!I53+1,0),IF('01_数值调参'!K23&lt;0,'03_全链计算'!J53+1,0),IF('01_数值调参'!K24&lt;0,'03_全链计算'!K53+1,0),IF('01_数值调参'!K25&lt;0,'03_全链计算'!L53+1,0),IF('01_数值调参'!K26&lt;0,'03_全链计算'!M53+1,0),IF('01_数值调参'!K27&lt;0,'03_全链计算'!N53+1,0),IF('01_数值调参'!K28&lt;0,'03_全链计算'!O53+1,0),IF('01_数值调参'!K29&lt;0,'03_全链计算'!P53+1,0),IF('01_数值调参'!K30&lt;0,'03_全链计算'!Q53+1,0),IF('01_数值调参'!K31&lt;0,'03_全链计算'!R53+1,0),IF('01_数值调参'!K32&lt;0,'03_全链计算'!S53+1,0),IF('01_数值调参'!K33&lt;0,'03_全链计算'!T53+1,0),IF('01_数值调参'!K34&lt;0,'03_全链计算'!U53+1,0),IF('01_数值调参'!K35&lt;0,'03_全链计算'!V53+1,0),IF('01_数值调参'!K36&lt;0,'03_全链计算'!W53+1,0),IF('01_数值调参'!K37&lt;0,'03_全链计算'!X53+1,0),IF('01_数值调参'!K38&lt;0,'03_全链计算'!Y53+1,0),IF('01_数值调参'!K39&lt;0,'03_全链计算'!Z53+1,0),IF('01_数值调参'!K40&lt;0,'03_全链计算'!AA53+1,0),IF('01_数值调参'!K41&lt;0,'03_全链计算'!AB53+1,0),IF('01_数值调参'!K42&lt;0,'03_全链计算'!AC53+1,0),IF('01_数值调参'!K43&lt;0,'03_全链计算'!AD53+1,0),IF('01_数值调参'!K44&lt;0,'03_全链计算'!AE53+1,0),IF('01_数值调参'!K45&lt;0,'03_全链计算'!AF53+1,0),IF('01_数值调参'!K46&lt;0,'03_全链计算'!AG53+1,0),IF('01_数值调参'!K47&lt;0,'03_全链计算'!AH53+1,0),IF('01_数值调参'!K48&lt;0,'03_全链计算'!AI53+1,0),IF('01_数值调参'!K49&lt;0,'03_全链计算'!AJ53+1,0),IF('01_数值调参'!K50&lt;0,'03_全链计算'!AK53+1,0),IF('01_数值调参'!K51&lt;0,'03_全链计算'!AL53+1,0),IF('01_数值调参'!K52&lt;0,'03_全链计算'!AM53+1,0))</x:f>
        <x:v>0</x:v>
      </x:c>
      <x:c r="L54" s="9" t="n">
        <x:f>MAX(IF('01_数值调参'!L18&lt;0,'03_全链计算'!E53+1,0),IF('01_数值调参'!L19&lt;0,'03_全链计算'!F53+1,0),IF('01_数值调参'!L20&lt;0,'03_全链计算'!G53+1,0),IF('01_数值调参'!L21&lt;0,'03_全链计算'!H53+1,0),IF('01_数值调参'!L22&lt;0,'03_全链计算'!I53+1,0),IF('01_数值调参'!L23&lt;0,'03_全链计算'!J53+1,0),IF('01_数值调参'!L24&lt;0,'03_全链计算'!K53+1,0),IF('01_数值调参'!L25&lt;0,'03_全链计算'!L53+1,0),IF('01_数值调参'!L26&lt;0,'03_全链计算'!M53+1,0),IF('01_数值调参'!L27&lt;0,'03_全链计算'!N53+1,0),IF('01_数值调参'!L28&lt;0,'03_全链计算'!O53+1,0),IF('01_数值调参'!L29&lt;0,'03_全链计算'!P53+1,0),IF('01_数值调参'!L30&lt;0,'03_全链计算'!Q53+1,0),IF('01_数值调参'!L31&lt;0,'03_全链计算'!R53+1,0),IF('01_数值调参'!L32&lt;0,'03_全链计算'!S53+1,0),IF('01_数值调参'!L33&lt;0,'03_全链计算'!T53+1,0),IF('01_数值调参'!L34&lt;0,'03_全链计算'!U53+1,0),IF('01_数值调参'!L35&lt;0,'03_全链计算'!V53+1,0),IF('01_数值调参'!L36&lt;0,'03_全链计算'!W53+1,0),IF('01_数值调参'!L37&lt;0,'03_全链计算'!X53+1,0),IF('01_数值调参'!L38&lt;0,'03_全链计算'!Y53+1,0),IF('01_数值调参'!L39&lt;0,'03_全链计算'!Z53+1,0),IF('01_数值调参'!L40&lt;0,'03_全链计算'!AA53+1,0),IF('01_数值调参'!L41&lt;0,'03_全链计算'!AB53+1,0),IF('01_数值调参'!L42&lt;0,'03_全链计算'!AC53+1,0),IF('01_数值调参'!L43&lt;0,'03_全链计算'!AD53+1,0),IF('01_数值调参'!L44&lt;0,'03_全链计算'!AE53+1,0),IF('01_数值调参'!L45&lt;0,'03_全链计算'!AF53+1,0),IF('01_数值调参'!L46&lt;0,'03_全链计算'!AG53+1,0),IF('01_数值调参'!L47&lt;0,'03_全链计算'!AH53+1,0),IF('01_数值调参'!L48&lt;0,'03_全链计算'!AI53+1,0),IF('01_数值调参'!L49&lt;0,'03_全链计算'!AJ53+1,0),IF('01_数值调参'!L50&lt;0,'03_全链计算'!AK53+1,0),IF('01_数值调参'!L51&lt;0,'03_全链计算'!AL53+1,0),IF('01_数值调参'!L52&lt;0,'03_全链计算'!AM53+1,0))</x:f>
        <x:v>0</x:v>
      </x:c>
      <x:c r="M54" s="9" t="n">
        <x:f>MAX(IF('01_数值调参'!M18&lt;0,'03_全链计算'!E53+1,0),IF('01_数值调参'!M19&lt;0,'03_全链计算'!F53+1,0),IF('01_数值调参'!M20&lt;0,'03_全链计算'!G53+1,0),IF('01_数值调参'!M21&lt;0,'03_全链计算'!H53+1,0),IF('01_数值调参'!M22&lt;0,'03_全链计算'!I53+1,0),IF('01_数值调参'!M23&lt;0,'03_全链计算'!J53+1,0),IF('01_数值调参'!M24&lt;0,'03_全链计算'!K53+1,0),IF('01_数值调参'!M25&lt;0,'03_全链计算'!L53+1,0),IF('01_数值调参'!M26&lt;0,'03_全链计算'!M53+1,0),IF('01_数值调参'!M27&lt;0,'03_全链计算'!N53+1,0),IF('01_数值调参'!M28&lt;0,'03_全链计算'!O53+1,0),IF('01_数值调参'!M29&lt;0,'03_全链计算'!P53+1,0),IF('01_数值调参'!M30&lt;0,'03_全链计算'!Q53+1,0),IF('01_数值调参'!M31&lt;0,'03_全链计算'!R53+1,0),IF('01_数值调参'!M32&lt;0,'03_全链计算'!S53+1,0),IF('01_数值调参'!M33&lt;0,'03_全链计算'!T53+1,0),IF('01_数值调参'!M34&lt;0,'03_全链计算'!U53+1,0),IF('01_数值调参'!M35&lt;0,'03_全链计算'!V53+1,0),IF('01_数值调参'!M36&lt;0,'03_全链计算'!W53+1,0),IF('01_数值调参'!M37&lt;0,'03_全链计算'!X53+1,0),IF('01_数值调参'!M38&lt;0,'03_全链计算'!Y53+1,0),IF('01_数值调参'!M39&lt;0,'03_全链计算'!Z53+1,0),IF('01_数值调参'!M40&lt;0,'03_全链计算'!AA53+1,0),IF('01_数值调参'!M41&lt;0,'03_全链计算'!AB53+1,0),IF('01_数值调参'!M42&lt;0,'03_全链计算'!AC53+1,0),IF('01_数值调参'!M43&lt;0,'03_全链计算'!AD53+1,0),IF('01_数值调参'!M44&lt;0,'03_全链计算'!AE53+1,0),IF('01_数值调参'!M45&lt;0,'03_全链计算'!AF53+1,0),IF('01_数值调参'!M46&lt;0,'03_全链计算'!AG53+1,0),IF('01_数值调参'!M47&lt;0,'03_全链计算'!AH53+1,0),IF('01_数值调参'!M48&lt;0,'03_全链计算'!AI53+1,0),IF('01_数值调参'!M49&lt;0,'03_全链计算'!AJ53+1,0),IF('01_数值调参'!M50&lt;0,'03_全链计算'!AK53+1,0),IF('01_数值调参'!M51&lt;0,'03_全链计算'!AL53+1,0),IF('01_数值调参'!M52&lt;0,'03_全链计算'!AM53+1,0))</x:f>
        <x:v>0</x:v>
      </x:c>
      <x:c r="N54" s="9" t="n">
        <x:f>MAX(IF('01_数值调参'!N18&lt;0,'03_全链计算'!E53+1,0),IF('01_数值调参'!N19&lt;0,'03_全链计算'!F53+1,0),IF('01_数值调参'!N20&lt;0,'03_全链计算'!G53+1,0),IF('01_数值调参'!N21&lt;0,'03_全链计算'!H53+1,0),IF('01_数值调参'!N22&lt;0,'03_全链计算'!I53+1,0),IF('01_数值调参'!N23&lt;0,'03_全链计算'!J53+1,0),IF('01_数值调参'!N24&lt;0,'03_全链计算'!K53+1,0),IF('01_数值调参'!N25&lt;0,'03_全链计算'!L53+1,0),IF('01_数值调参'!N26&lt;0,'03_全链计算'!M53+1,0),IF('01_数值调参'!N27&lt;0,'03_全链计算'!N53+1,0),IF('01_数值调参'!N28&lt;0,'03_全链计算'!O53+1,0),IF('01_数值调参'!N29&lt;0,'03_全链计算'!P53+1,0),IF('01_数值调参'!N30&lt;0,'03_全链计算'!Q53+1,0),IF('01_数值调参'!N31&lt;0,'03_全链计算'!R53+1,0),IF('01_数值调参'!N32&lt;0,'03_全链计算'!S53+1,0),IF('01_数值调参'!N33&lt;0,'03_全链计算'!T53+1,0),IF('01_数值调参'!N34&lt;0,'03_全链计算'!U53+1,0),IF('01_数值调参'!N35&lt;0,'03_全链计算'!V53+1,0),IF('01_数值调参'!N36&lt;0,'03_全链计算'!W53+1,0),IF('01_数值调参'!N37&lt;0,'03_全链计算'!X53+1,0),IF('01_数值调参'!N38&lt;0,'03_全链计算'!Y53+1,0),IF('01_数值调参'!N39&lt;0,'03_全链计算'!Z53+1,0),IF('01_数值调参'!N40&lt;0,'03_全链计算'!AA53+1,0),IF('01_数值调参'!N41&lt;0,'03_全链计算'!AB53+1,0),IF('01_数值调参'!N42&lt;0,'03_全链计算'!AC53+1,0),IF('01_数值调参'!N43&lt;0,'03_全链计算'!AD53+1,0),IF('01_数值调参'!N44&lt;0,'03_全链计算'!AE53+1,0),IF('01_数值调参'!N45&lt;0,'03_全链计算'!AF53+1,0),IF('01_数值调参'!N46&lt;0,'03_全链计算'!AG53+1,0),IF('01_数值调参'!N47&lt;0,'03_全链计算'!AH53+1,0),IF('01_数值调参'!N48&lt;0,'03_全链计算'!AI53+1,0),IF('01_数值调参'!N49&lt;0,'03_全链计算'!AJ53+1,0),IF('01_数值调参'!N50&lt;0,'03_全链计算'!AK53+1,0),IF('01_数值调参'!N51&lt;0,'03_全链计算'!AL53+1,0),IF('01_数值调参'!N52&lt;0,'03_全链计算'!AM53+1,0))</x:f>
        <x:v>1</x:v>
      </x:c>
      <x:c r="O54" s="9" t="n">
        <x:f>MAX(IF('01_数值调参'!O18&lt;0,'03_全链计算'!E53+1,0),IF('01_数值调参'!O19&lt;0,'03_全链计算'!F53+1,0),IF('01_数值调参'!O20&lt;0,'03_全链计算'!G53+1,0),IF('01_数值调参'!O21&lt;0,'03_全链计算'!H53+1,0),IF('01_数值调参'!O22&lt;0,'03_全链计算'!I53+1,0),IF('01_数值调参'!O23&lt;0,'03_全链计算'!J53+1,0),IF('01_数值调参'!O24&lt;0,'03_全链计算'!K53+1,0),IF('01_数值调参'!O25&lt;0,'03_全链计算'!L53+1,0),IF('01_数值调参'!O26&lt;0,'03_全链计算'!M53+1,0),IF('01_数值调参'!O27&lt;0,'03_全链计算'!N53+1,0),IF('01_数值调参'!O28&lt;0,'03_全链计算'!O53+1,0),IF('01_数值调参'!O29&lt;0,'03_全链计算'!P53+1,0),IF('01_数值调参'!O30&lt;0,'03_全链计算'!Q53+1,0),IF('01_数值调参'!O31&lt;0,'03_全链计算'!R53+1,0),IF('01_数值调参'!O32&lt;0,'03_全链计算'!S53+1,0),IF('01_数值调参'!O33&lt;0,'03_全链计算'!T53+1,0),IF('01_数值调参'!O34&lt;0,'03_全链计算'!U53+1,0),IF('01_数值调参'!O35&lt;0,'03_全链计算'!V53+1,0),IF('01_数值调参'!O36&lt;0,'03_全链计算'!W53+1,0),IF('01_数值调参'!O37&lt;0,'03_全链计算'!X53+1,0),IF('01_数值调参'!O38&lt;0,'03_全链计算'!Y53+1,0),IF('01_数值调参'!O39&lt;0,'03_全链计算'!Z53+1,0),IF('01_数值调参'!O40&lt;0,'03_全链计算'!AA53+1,0),IF('01_数值调参'!O41&lt;0,'03_全链计算'!AB53+1,0),IF('01_数值调参'!O42&lt;0,'03_全链计算'!AC53+1,0),IF('01_数值调参'!O43&lt;0,'03_全链计算'!AD53+1,0),IF('01_数值调参'!O44&lt;0,'03_全链计算'!AE53+1,0),IF('01_数值调参'!O45&lt;0,'03_全链计算'!AF53+1,0),IF('01_数值调参'!O46&lt;0,'03_全链计算'!AG53+1,0),IF('01_数值调参'!O47&lt;0,'03_全链计算'!AH53+1,0),IF('01_数值调参'!O48&lt;0,'03_全链计算'!AI53+1,0),IF('01_数值调参'!O49&lt;0,'03_全链计算'!AJ53+1,0),IF('01_数值调参'!O50&lt;0,'03_全链计算'!AK53+1,0),IF('01_数值调参'!O51&lt;0,'03_全链计算'!AL53+1,0),IF('01_数值调参'!O52&lt;0,'03_全链计算'!AM53+1,0))</x:f>
        <x:v>1</x:v>
      </x:c>
      <x:c r="P54" s="9" t="n">
        <x:f>MAX(IF('01_数值调参'!P18&lt;0,'03_全链计算'!E53+1,0),IF('01_数值调参'!P19&lt;0,'03_全链计算'!F53+1,0),IF('01_数值调参'!P20&lt;0,'03_全链计算'!G53+1,0),IF('01_数值调参'!P21&lt;0,'03_全链计算'!H53+1,0),IF('01_数值调参'!P22&lt;0,'03_全链计算'!I53+1,0),IF('01_数值调参'!P23&lt;0,'03_全链计算'!J53+1,0),IF('01_数值调参'!P24&lt;0,'03_全链计算'!K53+1,0),IF('01_数值调参'!P25&lt;0,'03_全链计算'!L53+1,0),IF('01_数值调参'!P26&lt;0,'03_全链计算'!M53+1,0),IF('01_数值调参'!P27&lt;0,'03_全链计算'!N53+1,0),IF('01_数值调参'!P28&lt;0,'03_全链计算'!O53+1,0),IF('01_数值调参'!P29&lt;0,'03_全链计算'!P53+1,0),IF('01_数值调参'!P30&lt;0,'03_全链计算'!Q53+1,0),IF('01_数值调参'!P31&lt;0,'03_全链计算'!R53+1,0),IF('01_数值调参'!P32&lt;0,'03_全链计算'!S53+1,0),IF('01_数值调参'!P33&lt;0,'03_全链计算'!T53+1,0),IF('01_数值调参'!P34&lt;0,'03_全链计算'!U53+1,0),IF('01_数值调参'!P35&lt;0,'03_全链计算'!V53+1,0),IF('01_数值调参'!P36&lt;0,'03_全链计算'!W53+1,0),IF('01_数值调参'!P37&lt;0,'03_全链计算'!X53+1,0),IF('01_数值调参'!P38&lt;0,'03_全链计算'!Y53+1,0),IF('01_数值调参'!P39&lt;0,'03_全链计算'!Z53+1,0),IF('01_数值调参'!P40&lt;0,'03_全链计算'!AA53+1,0),IF('01_数值调参'!P41&lt;0,'03_全链计算'!AB53+1,0),IF('01_数值调参'!P42&lt;0,'03_全链计算'!AC53+1,0),IF('01_数值调参'!P43&lt;0,'03_全链计算'!AD53+1,0),IF('01_数值调参'!P44&lt;0,'03_全链计算'!AE53+1,0),IF('01_数值调参'!P45&lt;0,'03_全链计算'!AF53+1,0),IF('01_数值调参'!P46&lt;0,'03_全链计算'!AG53+1,0),IF('01_数值调参'!P47&lt;0,'03_全链计算'!AH53+1,0),IF('01_数值调参'!P48&lt;0,'03_全链计算'!AI53+1,0),IF('01_数值调参'!P49&lt;0,'03_全链计算'!AJ53+1,0),IF('01_数值调参'!P50&lt;0,'03_全链计算'!AK53+1,0),IF('01_数值调参'!P51&lt;0,'03_全链计算'!AL53+1,0),IF('01_数值调参'!P52&lt;0,'03_全链计算'!AM53+1,0))</x:f>
        <x:v>1</x:v>
      </x:c>
      <x:c r="Q54" s="9" t="n">
        <x:f>MAX(IF('01_数值调参'!Q18&lt;0,'03_全链计算'!E53+1,0),IF('01_数值调参'!Q19&lt;0,'03_全链计算'!F53+1,0),IF('01_数值调参'!Q20&lt;0,'03_全链计算'!G53+1,0),IF('01_数值调参'!Q21&lt;0,'03_全链计算'!H53+1,0),IF('01_数值调参'!Q22&lt;0,'03_全链计算'!I53+1,0),IF('01_数值调参'!Q23&lt;0,'03_全链计算'!J53+1,0),IF('01_数值调参'!Q24&lt;0,'03_全链计算'!K53+1,0),IF('01_数值调参'!Q25&lt;0,'03_全链计算'!L53+1,0),IF('01_数值调参'!Q26&lt;0,'03_全链计算'!M53+1,0),IF('01_数值调参'!Q27&lt;0,'03_全链计算'!N53+1,0),IF('01_数值调参'!Q28&lt;0,'03_全链计算'!O53+1,0),IF('01_数值调参'!Q29&lt;0,'03_全链计算'!P53+1,0),IF('01_数值调参'!Q30&lt;0,'03_全链计算'!Q53+1,0),IF('01_数值调参'!Q31&lt;0,'03_全链计算'!R53+1,0),IF('01_数值调参'!Q32&lt;0,'03_全链计算'!S53+1,0),IF('01_数值调参'!Q33&lt;0,'03_全链计算'!T53+1,0),IF('01_数值调参'!Q34&lt;0,'03_全链计算'!U53+1,0),IF('01_数值调参'!Q35&lt;0,'03_全链计算'!V53+1,0),IF('01_数值调参'!Q36&lt;0,'03_全链计算'!W53+1,0),IF('01_数值调参'!Q37&lt;0,'03_全链计算'!X53+1,0),IF('01_数值调参'!Q38&lt;0,'03_全链计算'!Y53+1,0),IF('01_数值调参'!Q39&lt;0,'03_全链计算'!Z53+1,0),IF('01_数值调参'!Q40&lt;0,'03_全链计算'!AA53+1,0),IF('01_数值调参'!Q41&lt;0,'03_全链计算'!AB53+1,0),IF('01_数值调参'!Q42&lt;0,'03_全链计算'!AC53+1,0),IF('01_数值调参'!Q43&lt;0,'03_全链计算'!AD53+1,0),IF('01_数值调参'!Q44&lt;0,'03_全链计算'!AE53+1,0),IF('01_数值调参'!Q45&lt;0,'03_全链计算'!AF53+1,0),IF('01_数值调参'!Q46&lt;0,'03_全链计算'!AG53+1,0),IF('01_数值调参'!Q47&lt;0,'03_全链计算'!AH53+1,0),IF('01_数值调参'!Q48&lt;0,'03_全链计算'!AI53+1,0),IF('01_数值调参'!Q49&lt;0,'03_全链计算'!AJ53+1,0),IF('01_数值调参'!Q50&lt;0,'03_全链计算'!AK53+1,0),IF('01_数值调参'!Q51&lt;0,'03_全链计算'!AL53+1,0),IF('01_数值调参'!Q52&lt;0,'03_全链计算'!AM53+1,0))</x:f>
        <x:v>1</x:v>
      </x:c>
      <x:c r="R54" s="9" t="n">
        <x:f>MAX(IF('01_数值调参'!R18&lt;0,'03_全链计算'!E53+1,0),IF('01_数值调参'!R19&lt;0,'03_全链计算'!F53+1,0),IF('01_数值调参'!R20&lt;0,'03_全链计算'!G53+1,0),IF('01_数值调参'!R21&lt;0,'03_全链计算'!H53+1,0),IF('01_数值调参'!R22&lt;0,'03_全链计算'!I53+1,0),IF('01_数值调参'!R23&lt;0,'03_全链计算'!J53+1,0),IF('01_数值调参'!R24&lt;0,'03_全链计算'!K53+1,0),IF('01_数值调参'!R25&lt;0,'03_全链计算'!L53+1,0),IF('01_数值调参'!R26&lt;0,'03_全链计算'!M53+1,0),IF('01_数值调参'!R27&lt;0,'03_全链计算'!N53+1,0),IF('01_数值调参'!R28&lt;0,'03_全链计算'!O53+1,0),IF('01_数值调参'!R29&lt;0,'03_全链计算'!P53+1,0),IF('01_数值调参'!R30&lt;0,'03_全链计算'!Q53+1,0),IF('01_数值调参'!R31&lt;0,'03_全链计算'!R53+1,0),IF('01_数值调参'!R32&lt;0,'03_全链计算'!S53+1,0),IF('01_数值调参'!R33&lt;0,'03_全链计算'!T53+1,0),IF('01_数值调参'!R34&lt;0,'03_全链计算'!U53+1,0),IF('01_数值调参'!R35&lt;0,'03_全链计算'!V53+1,0),IF('01_数值调参'!R36&lt;0,'03_全链计算'!W53+1,0),IF('01_数值调参'!R37&lt;0,'03_全链计算'!X53+1,0),IF('01_数值调参'!R38&lt;0,'03_全链计算'!Y53+1,0),IF('01_数值调参'!R39&lt;0,'03_全链计算'!Z53+1,0),IF('01_数值调参'!R40&lt;0,'03_全链计算'!AA53+1,0),IF('01_数值调参'!R41&lt;0,'03_全链计算'!AB53+1,0),IF('01_数值调参'!R42&lt;0,'03_全链计算'!AC53+1,0),IF('01_数值调参'!R43&lt;0,'03_全链计算'!AD53+1,0),IF('01_数值调参'!R44&lt;0,'03_全链计算'!AE53+1,0),IF('01_数值调参'!R45&lt;0,'03_全链计算'!AF53+1,0),IF('01_数值调参'!R46&lt;0,'03_全链计算'!AG53+1,0),IF('01_数值调参'!R47&lt;0,'03_全链计算'!AH53+1,0),IF('01_数值调参'!R48&lt;0,'03_全链计算'!AI53+1,0),IF('01_数值调参'!R49&lt;0,'03_全链计算'!AJ53+1,0),IF('01_数值调参'!R50&lt;0,'03_全链计算'!AK53+1,0),IF('01_数值调参'!R51&lt;0,'03_全链计算'!AL53+1,0),IF('01_数值调参'!R52&lt;0,'03_全链计算'!AM53+1,0))</x:f>
        <x:v>1</x:v>
      </x:c>
      <x:c r="S54" s="9" t="n">
        <x:f>MAX(IF('01_数值调参'!S18&lt;0,'03_全链计算'!E53+1,0),IF('01_数值调参'!S19&lt;0,'03_全链计算'!F53+1,0),IF('01_数值调参'!S20&lt;0,'03_全链计算'!G53+1,0),IF('01_数值调参'!S21&lt;0,'03_全链计算'!H53+1,0),IF('01_数值调参'!S22&lt;0,'03_全链计算'!I53+1,0),IF('01_数值调参'!S23&lt;0,'03_全链计算'!J53+1,0),IF('01_数值调参'!S24&lt;0,'03_全链计算'!K53+1,0),IF('01_数值调参'!S25&lt;0,'03_全链计算'!L53+1,0),IF('01_数值调参'!S26&lt;0,'03_全链计算'!M53+1,0),IF('01_数值调参'!S27&lt;0,'03_全链计算'!N53+1,0),IF('01_数值调参'!S28&lt;0,'03_全链计算'!O53+1,0),IF('01_数值调参'!S29&lt;0,'03_全链计算'!P53+1,0),IF('01_数值调参'!S30&lt;0,'03_全链计算'!Q53+1,0),IF('01_数值调参'!S31&lt;0,'03_全链计算'!R53+1,0),IF('01_数值调参'!S32&lt;0,'03_全链计算'!S53+1,0),IF('01_数值调参'!S33&lt;0,'03_全链计算'!T53+1,0),IF('01_数值调参'!S34&lt;0,'03_全链计算'!U53+1,0),IF('01_数值调参'!S35&lt;0,'03_全链计算'!V53+1,0),IF('01_数值调参'!S36&lt;0,'03_全链计算'!W53+1,0),IF('01_数值调参'!S37&lt;0,'03_全链计算'!X53+1,0),IF('01_数值调参'!S38&lt;0,'03_全链计算'!Y53+1,0),IF('01_数值调参'!S39&lt;0,'03_全链计算'!Z53+1,0),IF('01_数值调参'!S40&lt;0,'03_全链计算'!AA53+1,0),IF('01_数值调参'!S41&lt;0,'03_全链计算'!AB53+1,0),IF('01_数值调参'!S42&lt;0,'03_全链计算'!AC53+1,0),IF('01_数值调参'!S43&lt;0,'03_全链计算'!AD53+1,0),IF('01_数值调参'!S44&lt;0,'03_全链计算'!AE53+1,0),IF('01_数值调参'!S45&lt;0,'03_全链计算'!AF53+1,0),IF('01_数值调参'!S46&lt;0,'03_全链计算'!AG53+1,0),IF('01_数值调参'!S47&lt;0,'03_全链计算'!AH53+1,0),IF('01_数值调参'!S48&lt;0,'03_全链计算'!AI53+1,0),IF('01_数值调参'!S49&lt;0,'03_全链计算'!AJ53+1,0),IF('01_数值调参'!S50&lt;0,'03_全链计算'!AK53+1,0),IF('01_数值调参'!S51&lt;0,'03_全链计算'!AL53+1,0),IF('01_数值调参'!S52&lt;0,'03_全链计算'!AM53+1,0))</x:f>
        <x:v>1</x:v>
      </x:c>
      <x:c r="T54" s="9" t="n">
        <x:f>MAX(IF('01_数值调参'!T18&lt;0,'03_全链计算'!E53+1,0),IF('01_数值调参'!T19&lt;0,'03_全链计算'!F53+1,0),IF('01_数值调参'!T20&lt;0,'03_全链计算'!G53+1,0),IF('01_数值调参'!T21&lt;0,'03_全链计算'!H53+1,0),IF('01_数值调参'!T22&lt;0,'03_全链计算'!I53+1,0),IF('01_数值调参'!T23&lt;0,'03_全链计算'!J53+1,0),IF('01_数值调参'!T24&lt;0,'03_全链计算'!K53+1,0),IF('01_数值调参'!T25&lt;0,'03_全链计算'!L53+1,0),IF('01_数值调参'!T26&lt;0,'03_全链计算'!M53+1,0),IF('01_数值调参'!T27&lt;0,'03_全链计算'!N53+1,0),IF('01_数值调参'!T28&lt;0,'03_全链计算'!O53+1,0),IF('01_数值调参'!T29&lt;0,'03_全链计算'!P53+1,0),IF('01_数值调参'!T30&lt;0,'03_全链计算'!Q53+1,0),IF('01_数值调参'!T31&lt;0,'03_全链计算'!R53+1,0),IF('01_数值调参'!T32&lt;0,'03_全链计算'!S53+1,0),IF('01_数值调参'!T33&lt;0,'03_全链计算'!T53+1,0),IF('01_数值调参'!T34&lt;0,'03_全链计算'!U53+1,0),IF('01_数值调参'!T35&lt;0,'03_全链计算'!V53+1,0),IF('01_数值调参'!T36&lt;0,'03_全链计算'!W53+1,0),IF('01_数值调参'!T37&lt;0,'03_全链计算'!X53+1,0),IF('01_数值调参'!T38&lt;0,'03_全链计算'!Y53+1,0),IF('01_数值调参'!T39&lt;0,'03_全链计算'!Z53+1,0),IF('01_数值调参'!T40&lt;0,'03_全链计算'!AA53+1,0),IF('01_数值调参'!T41&lt;0,'03_全链计算'!AB53+1,0),IF('01_数值调参'!T42&lt;0,'03_全链计算'!AC53+1,0),IF('01_数值调参'!T43&lt;0,'03_全链计算'!AD53+1,0),IF('01_数值调参'!T44&lt;0,'03_全链计算'!AE53+1,0),IF('01_数值调参'!T45&lt;0,'03_全链计算'!AF53+1,0),IF('01_数值调参'!T46&lt;0,'03_全链计算'!AG53+1,0),IF('01_数值调参'!T47&lt;0,'03_全链计算'!AH53+1,0),IF('01_数值调参'!T48&lt;0,'03_全链计算'!AI53+1,0),IF('01_数值调参'!T49&lt;0,'03_全链计算'!AJ53+1,0),IF('01_数值调参'!T50&lt;0,'03_全链计算'!AK53+1,0),IF('01_数值调参'!T51&lt;0,'03_全链计算'!AL53+1,0),IF('01_数值调参'!T52&lt;0,'03_全链计算'!AM53+1,0))</x:f>
        <x:v>1</x:v>
      </x:c>
      <x:c r="U54" s="9" t="n">
        <x:f>MAX(IF('01_数值调参'!U18&lt;0,'03_全链计算'!E53+1,0),IF('01_数值调参'!U19&lt;0,'03_全链计算'!F53+1,0),IF('01_数值调参'!U20&lt;0,'03_全链计算'!G53+1,0),IF('01_数值调参'!U21&lt;0,'03_全链计算'!H53+1,0),IF('01_数值调参'!U22&lt;0,'03_全链计算'!I53+1,0),IF('01_数值调参'!U23&lt;0,'03_全链计算'!J53+1,0),IF('01_数值调参'!U24&lt;0,'03_全链计算'!K53+1,0),IF('01_数值调参'!U25&lt;0,'03_全链计算'!L53+1,0),IF('01_数值调参'!U26&lt;0,'03_全链计算'!M53+1,0),IF('01_数值调参'!U27&lt;0,'03_全链计算'!N53+1,0),IF('01_数值调参'!U28&lt;0,'03_全链计算'!O53+1,0),IF('01_数值调参'!U29&lt;0,'03_全链计算'!P53+1,0),IF('01_数值调参'!U30&lt;0,'03_全链计算'!Q53+1,0),IF('01_数值调参'!U31&lt;0,'03_全链计算'!R53+1,0),IF('01_数值调参'!U32&lt;0,'03_全链计算'!S53+1,0),IF('01_数值调参'!U33&lt;0,'03_全链计算'!T53+1,0),IF('01_数值调参'!U34&lt;0,'03_全链计算'!U53+1,0),IF('01_数值调参'!U35&lt;0,'03_全链计算'!V53+1,0),IF('01_数值调参'!U36&lt;0,'03_全链计算'!W53+1,0),IF('01_数值调参'!U37&lt;0,'03_全链计算'!X53+1,0),IF('01_数值调参'!U38&lt;0,'03_全链计算'!Y53+1,0),IF('01_数值调参'!U39&lt;0,'03_全链计算'!Z53+1,0),IF('01_数值调参'!U40&lt;0,'03_全链计算'!AA53+1,0),IF('01_数值调参'!U41&lt;0,'03_全链计算'!AB53+1,0),IF('01_数值调参'!U42&lt;0,'03_全链计算'!AC53+1,0),IF('01_数值调参'!U43&lt;0,'03_全链计算'!AD53+1,0),IF('01_数值调参'!U44&lt;0,'03_全链计算'!AE53+1,0),IF('01_数值调参'!U45&lt;0,'03_全链计算'!AF53+1,0),IF('01_数值调参'!U46&lt;0,'03_全链计算'!AG53+1,0),IF('01_数值调参'!U47&lt;0,'03_全链计算'!AH53+1,0),IF('01_数值调参'!U48&lt;0,'03_全链计算'!AI53+1,0),IF('01_数值调参'!U49&lt;0,'03_全链计算'!AJ53+1,0),IF('01_数值调参'!U50&lt;0,'03_全链计算'!AK53+1,0),IF('01_数值调参'!U51&lt;0,'03_全链计算'!AL53+1,0),IF('01_数值调参'!U52&lt;0,'03_全链计算'!AM53+1,0))</x:f>
        <x:v>1</x:v>
      </x:c>
      <x:c r="V54" s="9" t="n">
        <x:f>MAX(IF('01_数值调参'!V18&lt;0,'03_全链计算'!E53+1,0),IF('01_数值调参'!V19&lt;0,'03_全链计算'!F53+1,0),IF('01_数值调参'!V20&lt;0,'03_全链计算'!G53+1,0),IF('01_数值调参'!V21&lt;0,'03_全链计算'!H53+1,0),IF('01_数值调参'!V22&lt;0,'03_全链计算'!I53+1,0),IF('01_数值调参'!V23&lt;0,'03_全链计算'!J53+1,0),IF('01_数值调参'!V24&lt;0,'03_全链计算'!K53+1,0),IF('01_数值调参'!V25&lt;0,'03_全链计算'!L53+1,0),IF('01_数值调参'!V26&lt;0,'03_全链计算'!M53+1,0),IF('01_数值调参'!V27&lt;0,'03_全链计算'!N53+1,0),IF('01_数值调参'!V28&lt;0,'03_全链计算'!O53+1,0),IF('01_数值调参'!V29&lt;0,'03_全链计算'!P53+1,0),IF('01_数值调参'!V30&lt;0,'03_全链计算'!Q53+1,0),IF('01_数值调参'!V31&lt;0,'03_全链计算'!R53+1,0),IF('01_数值调参'!V32&lt;0,'03_全链计算'!S53+1,0),IF('01_数值调参'!V33&lt;0,'03_全链计算'!T53+1,0),IF('01_数值调参'!V34&lt;0,'03_全链计算'!U53+1,0),IF('01_数值调参'!V35&lt;0,'03_全链计算'!V53+1,0),IF('01_数值调参'!V36&lt;0,'03_全链计算'!W53+1,0),IF('01_数值调参'!V37&lt;0,'03_全链计算'!X53+1,0),IF('01_数值调参'!V38&lt;0,'03_全链计算'!Y53+1,0),IF('01_数值调参'!V39&lt;0,'03_全链计算'!Z53+1,0),IF('01_数值调参'!V40&lt;0,'03_全链计算'!AA53+1,0),IF('01_数值调参'!V41&lt;0,'03_全链计算'!AB53+1,0),IF('01_数值调参'!V42&lt;0,'03_全链计算'!AC53+1,0),IF('01_数值调参'!V43&lt;0,'03_全链计算'!AD53+1,0),IF('01_数值调参'!V44&lt;0,'03_全链计算'!AE53+1,0),IF('01_数值调参'!V45&lt;0,'03_全链计算'!AF53+1,0),IF('01_数值调参'!V46&lt;0,'03_全链计算'!AG53+1,0),IF('01_数值调参'!V47&lt;0,'03_全链计算'!AH53+1,0),IF('01_数值调参'!V48&lt;0,'03_全链计算'!AI53+1,0),IF('01_数值调参'!V49&lt;0,'03_全链计算'!AJ53+1,0),IF('01_数值调参'!V50&lt;0,'03_全链计算'!AK53+1,0),IF('01_数值调参'!V51&lt;0,'03_全链计算'!AL53+1,0),IF('01_数值调参'!V52&lt;0,'03_全链计算'!AM53+1,0))</x:f>
        <x:v>1</x:v>
      </x:c>
      <x:c r="W54" s="9" t="n">
        <x:f>MAX(IF('01_数值调参'!W18&lt;0,'03_全链计算'!E53+1,0),IF('01_数值调参'!W19&lt;0,'03_全链计算'!F53+1,0),IF('01_数值调参'!W20&lt;0,'03_全链计算'!G53+1,0),IF('01_数值调参'!W21&lt;0,'03_全链计算'!H53+1,0),IF('01_数值调参'!W22&lt;0,'03_全链计算'!I53+1,0),IF('01_数值调参'!W23&lt;0,'03_全链计算'!J53+1,0),IF('01_数值调参'!W24&lt;0,'03_全链计算'!K53+1,0),IF('01_数值调参'!W25&lt;0,'03_全链计算'!L53+1,0),IF('01_数值调参'!W26&lt;0,'03_全链计算'!M53+1,0),IF('01_数值调参'!W27&lt;0,'03_全链计算'!N53+1,0),IF('01_数值调参'!W28&lt;0,'03_全链计算'!O53+1,0),IF('01_数值调参'!W29&lt;0,'03_全链计算'!P53+1,0),IF('01_数值调参'!W30&lt;0,'03_全链计算'!Q53+1,0),IF('01_数值调参'!W31&lt;0,'03_全链计算'!R53+1,0),IF('01_数值调参'!W32&lt;0,'03_全链计算'!S53+1,0),IF('01_数值调参'!W33&lt;0,'03_全链计算'!T53+1,0),IF('01_数值调参'!W34&lt;0,'03_全链计算'!U53+1,0),IF('01_数值调参'!W35&lt;0,'03_全链计算'!V53+1,0),IF('01_数值调参'!W36&lt;0,'03_全链计算'!W53+1,0),IF('01_数值调参'!W37&lt;0,'03_全链计算'!X53+1,0),IF('01_数值调参'!W38&lt;0,'03_全链计算'!Y53+1,0),IF('01_数值调参'!W39&lt;0,'03_全链计算'!Z53+1,0),IF('01_数值调参'!W40&lt;0,'03_全链计算'!AA53+1,0),IF('01_数值调参'!W41&lt;0,'03_全链计算'!AB53+1,0),IF('01_数值调参'!W42&lt;0,'03_全链计算'!AC53+1,0),IF('01_数值调参'!W43&lt;0,'03_全链计算'!AD53+1,0),IF('01_数值调参'!W44&lt;0,'03_全链计算'!AE53+1,0),IF('01_数值调参'!W45&lt;0,'03_全链计算'!AF53+1,0),IF('01_数值调参'!W46&lt;0,'03_全链计算'!AG53+1,0),IF('01_数值调参'!W47&lt;0,'03_全链计算'!AH53+1,0),IF('01_数值调参'!W48&lt;0,'03_全链计算'!AI53+1,0),IF('01_数值调参'!W49&lt;0,'03_全链计算'!AJ53+1,0),IF('01_数值调参'!W50&lt;0,'03_全链计算'!AK53+1,0),IF('01_数值调参'!W51&lt;0,'03_全链计算'!AL53+1,0),IF('01_数值调参'!W52&lt;0,'03_全链计算'!AM53+1,0))</x:f>
        <x:v>1</x:v>
      </x:c>
      <x:c r="X54" s="9" t="n">
        <x:f>MAX(IF('01_数值调参'!X18&lt;0,'03_全链计算'!E53+1,0),IF('01_数值调参'!X19&lt;0,'03_全链计算'!F53+1,0),IF('01_数值调参'!X20&lt;0,'03_全链计算'!G53+1,0),IF('01_数值调参'!X21&lt;0,'03_全链计算'!H53+1,0),IF('01_数值调参'!X22&lt;0,'03_全链计算'!I53+1,0),IF('01_数值调参'!X23&lt;0,'03_全链计算'!J53+1,0),IF('01_数值调参'!X24&lt;0,'03_全链计算'!K53+1,0),IF('01_数值调参'!X25&lt;0,'03_全链计算'!L53+1,0),IF('01_数值调参'!X26&lt;0,'03_全链计算'!M53+1,0),IF('01_数值调参'!X27&lt;0,'03_全链计算'!N53+1,0),IF('01_数值调参'!X28&lt;0,'03_全链计算'!O53+1,0),IF('01_数值调参'!X29&lt;0,'03_全链计算'!P53+1,0),IF('01_数值调参'!X30&lt;0,'03_全链计算'!Q53+1,0),IF('01_数值调参'!X31&lt;0,'03_全链计算'!R53+1,0),IF('01_数值调参'!X32&lt;0,'03_全链计算'!S53+1,0),IF('01_数值调参'!X33&lt;0,'03_全链计算'!T53+1,0),IF('01_数值调参'!X34&lt;0,'03_全链计算'!U53+1,0),IF('01_数值调参'!X35&lt;0,'03_全链计算'!V53+1,0),IF('01_数值调参'!X36&lt;0,'03_全链计算'!W53+1,0),IF('01_数值调参'!X37&lt;0,'03_全链计算'!X53+1,0),IF('01_数值调参'!X38&lt;0,'03_全链计算'!Y53+1,0),IF('01_数值调参'!X39&lt;0,'03_全链计算'!Z53+1,0),IF('01_数值调参'!X40&lt;0,'03_全链计算'!AA53+1,0),IF('01_数值调参'!X41&lt;0,'03_全链计算'!AB53+1,0),IF('01_数值调参'!X42&lt;0,'03_全链计算'!AC53+1,0),IF('01_数值调参'!X43&lt;0,'03_全链计算'!AD53+1,0),IF('01_数值调参'!X44&lt;0,'03_全链计算'!AE53+1,0),IF('01_数值调参'!X45&lt;0,'03_全链计算'!AF53+1,0),IF('01_数值调参'!X46&lt;0,'03_全链计算'!AG53+1,0),IF('01_数值调参'!X47&lt;0,'03_全链计算'!AH53+1,0),IF('01_数值调参'!X48&lt;0,'03_全链计算'!AI53+1,0),IF('01_数值调参'!X49&lt;0,'03_全链计算'!AJ53+1,0),IF('01_数值调参'!X50&lt;0,'03_全链计算'!AK53+1,0),IF('01_数值调参'!X51&lt;0,'03_全链计算'!AL53+1,0),IF('01_数值调参'!X52&lt;0,'03_全链计算'!AM53+1,0))</x:f>
        <x:v>2</x:v>
      </x:c>
      <x:c r="Y54" s="9" t="n">
        <x:f>MAX(IF('01_数值调参'!Y18&lt;0,'03_全链计算'!E53+1,0),IF('01_数值调参'!Y19&lt;0,'03_全链计算'!F53+1,0),IF('01_数值调参'!Y20&lt;0,'03_全链计算'!G53+1,0),IF('01_数值调参'!Y21&lt;0,'03_全链计算'!H53+1,0),IF('01_数值调参'!Y22&lt;0,'03_全链计算'!I53+1,0),IF('01_数值调参'!Y23&lt;0,'03_全链计算'!J53+1,0),IF('01_数值调参'!Y24&lt;0,'03_全链计算'!K53+1,0),IF('01_数值调参'!Y25&lt;0,'03_全链计算'!L53+1,0),IF('01_数值调参'!Y26&lt;0,'03_全链计算'!M53+1,0),IF('01_数值调参'!Y27&lt;0,'03_全链计算'!N53+1,0),IF('01_数值调参'!Y28&lt;0,'03_全链计算'!O53+1,0),IF('01_数值调参'!Y29&lt;0,'03_全链计算'!P53+1,0),IF('01_数值调参'!Y30&lt;0,'03_全链计算'!Q53+1,0),IF('01_数值调参'!Y31&lt;0,'03_全链计算'!R53+1,0),IF('01_数值调参'!Y32&lt;0,'03_全链计算'!S53+1,0),IF('01_数值调参'!Y33&lt;0,'03_全链计算'!T53+1,0),IF('01_数值调参'!Y34&lt;0,'03_全链计算'!U53+1,0),IF('01_数值调参'!Y35&lt;0,'03_全链计算'!V53+1,0),IF('01_数值调参'!Y36&lt;0,'03_全链计算'!W53+1,0),IF('01_数值调参'!Y37&lt;0,'03_全链计算'!X53+1,0),IF('01_数值调参'!Y38&lt;0,'03_全链计算'!Y53+1,0),IF('01_数值调参'!Y39&lt;0,'03_全链计算'!Z53+1,0),IF('01_数值调参'!Y40&lt;0,'03_全链计算'!AA53+1,0),IF('01_数值调参'!Y41&lt;0,'03_全链计算'!AB53+1,0),IF('01_数值调参'!Y42&lt;0,'03_全链计算'!AC53+1,0),IF('01_数值调参'!Y43&lt;0,'03_全链计算'!AD53+1,0),IF('01_数值调参'!Y44&lt;0,'03_全链计算'!AE53+1,0),IF('01_数值调参'!Y45&lt;0,'03_全链计算'!AF53+1,0),IF('01_数值调参'!Y46&lt;0,'03_全链计算'!AG53+1,0),IF('01_数值调参'!Y47&lt;0,'03_全链计算'!AH53+1,0),IF('01_数值调参'!Y48&lt;0,'03_全链计算'!AI53+1,0),IF('01_数值调参'!Y49&lt;0,'03_全链计算'!AJ53+1,0),IF('01_数值调参'!Y50&lt;0,'03_全链计算'!AK53+1,0),IF('01_数值调参'!Y51&lt;0,'03_全链计算'!AL53+1,0),IF('01_数值调参'!Y52&lt;0,'03_全链计算'!AM53+1,0))</x:f>
        <x:v>2</x:v>
      </x:c>
      <x:c r="Z54" s="9" t="n">
        <x:f>MAX(IF('01_数值调参'!Z18&lt;0,'03_全链计算'!E53+1,0),IF('01_数值调参'!Z19&lt;0,'03_全链计算'!F53+1,0),IF('01_数值调参'!Z20&lt;0,'03_全链计算'!G53+1,0),IF('01_数值调参'!Z21&lt;0,'03_全链计算'!H53+1,0),IF('01_数值调参'!Z22&lt;0,'03_全链计算'!I53+1,0),IF('01_数值调参'!Z23&lt;0,'03_全链计算'!J53+1,0),IF('01_数值调参'!Z24&lt;0,'03_全链计算'!K53+1,0),IF('01_数值调参'!Z25&lt;0,'03_全链计算'!L53+1,0),IF('01_数值调参'!Z26&lt;0,'03_全链计算'!M53+1,0),IF('01_数值调参'!Z27&lt;0,'03_全链计算'!N53+1,0),IF('01_数值调参'!Z28&lt;0,'03_全链计算'!O53+1,0),IF('01_数值调参'!Z29&lt;0,'03_全链计算'!P53+1,0),IF('01_数值调参'!Z30&lt;0,'03_全链计算'!Q53+1,0),IF('01_数值调参'!Z31&lt;0,'03_全链计算'!R53+1,0),IF('01_数值调参'!Z32&lt;0,'03_全链计算'!S53+1,0),IF('01_数值调参'!Z33&lt;0,'03_全链计算'!T53+1,0),IF('01_数值调参'!Z34&lt;0,'03_全链计算'!U53+1,0),IF('01_数值调参'!Z35&lt;0,'03_全链计算'!V53+1,0),IF('01_数值调参'!Z36&lt;0,'03_全链计算'!W53+1,0),IF('01_数值调参'!Z37&lt;0,'03_全链计算'!X53+1,0),IF('01_数值调参'!Z38&lt;0,'03_全链计算'!Y53+1,0),IF('01_数值调参'!Z39&lt;0,'03_全链计算'!Z53+1,0),IF('01_数值调参'!Z40&lt;0,'03_全链计算'!AA53+1,0),IF('01_数值调参'!Z41&lt;0,'03_全链计算'!AB53+1,0),IF('01_数值调参'!Z42&lt;0,'03_全链计算'!AC53+1,0),IF('01_数值调参'!Z43&lt;0,'03_全链计算'!AD53+1,0),IF('01_数值调参'!Z44&lt;0,'03_全链计算'!AE53+1,0),IF('01_数值调参'!Z45&lt;0,'03_全链计算'!AF53+1,0),IF('01_数值调参'!Z46&lt;0,'03_全链计算'!AG53+1,0),IF('01_数值调参'!Z47&lt;0,'03_全链计算'!AH53+1,0),IF('01_数值调参'!Z48&lt;0,'03_全链计算'!AI53+1,0),IF('01_数值调参'!Z49&lt;0,'03_全链计算'!AJ53+1,0),IF('01_数值调参'!Z50&lt;0,'03_全链计算'!AK53+1,0),IF('01_数值调参'!Z51&lt;0,'03_全链计算'!AL53+1,0),IF('01_数值调参'!Z52&lt;0,'03_全链计算'!AM53+1,0))</x:f>
        <x:v>2</x:v>
      </x:c>
      <x:c r="AA54" s="9" t="n">
        <x:f>MAX(IF('01_数值调参'!AA18&lt;0,'03_全链计算'!E53+1,0),IF('01_数值调参'!AA19&lt;0,'03_全链计算'!F53+1,0),IF('01_数值调参'!AA20&lt;0,'03_全链计算'!G53+1,0),IF('01_数值调参'!AA21&lt;0,'03_全链计算'!H53+1,0),IF('01_数值调参'!AA22&lt;0,'03_全链计算'!I53+1,0),IF('01_数值调参'!AA23&lt;0,'03_全链计算'!J53+1,0),IF('01_数值调参'!AA24&lt;0,'03_全链计算'!K53+1,0),IF('01_数值调参'!AA25&lt;0,'03_全链计算'!L53+1,0),IF('01_数值调参'!AA26&lt;0,'03_全链计算'!M53+1,0),IF('01_数值调参'!AA27&lt;0,'03_全链计算'!N53+1,0),IF('01_数值调参'!AA28&lt;0,'03_全链计算'!O53+1,0),IF('01_数值调参'!AA29&lt;0,'03_全链计算'!P53+1,0),IF('01_数值调参'!AA30&lt;0,'03_全链计算'!Q53+1,0),IF('01_数值调参'!AA31&lt;0,'03_全链计算'!R53+1,0),IF('01_数值调参'!AA32&lt;0,'03_全链计算'!S53+1,0),IF('01_数值调参'!AA33&lt;0,'03_全链计算'!T53+1,0),IF('01_数值调参'!AA34&lt;0,'03_全链计算'!U53+1,0),IF('01_数值调参'!AA35&lt;0,'03_全链计算'!V53+1,0),IF('01_数值调参'!AA36&lt;0,'03_全链计算'!W53+1,0),IF('01_数值调参'!AA37&lt;0,'03_全链计算'!X53+1,0),IF('01_数值调参'!AA38&lt;0,'03_全链计算'!Y53+1,0),IF('01_数值调参'!AA39&lt;0,'03_全链计算'!Z53+1,0),IF('01_数值调参'!AA40&lt;0,'03_全链计算'!AA53+1,0),IF('01_数值调参'!AA41&lt;0,'03_全链计算'!AB53+1,0),IF('01_数值调参'!AA42&lt;0,'03_全链计算'!AC53+1,0),IF('01_数值调参'!AA43&lt;0,'03_全链计算'!AD53+1,0),IF('01_数值调参'!AA44&lt;0,'03_全链计算'!AE53+1,0),IF('01_数值调参'!AA45&lt;0,'03_全链计算'!AF53+1,0),IF('01_数值调参'!AA46&lt;0,'03_全链计算'!AG53+1,0),IF('01_数值调参'!AA47&lt;0,'03_全链计算'!AH53+1,0),IF('01_数值调参'!AA48&lt;0,'03_全链计算'!AI53+1,0),IF('01_数值调参'!AA49&lt;0,'03_全链计算'!AJ53+1,0),IF('01_数值调参'!AA50&lt;0,'03_全链计算'!AK53+1,0),IF('01_数值调参'!AA51&lt;0,'03_全链计算'!AL53+1,0),IF('01_数值调参'!AA52&lt;0,'03_全链计算'!AM53+1,0))</x:f>
        <x:v>2</x:v>
      </x:c>
      <x:c r="AB54" s="9" t="n">
        <x:f>MAX(IF('01_数值调参'!AB18&lt;0,'03_全链计算'!E53+1,0),IF('01_数值调参'!AB19&lt;0,'03_全链计算'!F53+1,0),IF('01_数值调参'!AB20&lt;0,'03_全链计算'!G53+1,0),IF('01_数值调参'!AB21&lt;0,'03_全链计算'!H53+1,0),IF('01_数值调参'!AB22&lt;0,'03_全链计算'!I53+1,0),IF('01_数值调参'!AB23&lt;0,'03_全链计算'!J53+1,0),IF('01_数值调参'!AB24&lt;0,'03_全链计算'!K53+1,0),IF('01_数值调参'!AB25&lt;0,'03_全链计算'!L53+1,0),IF('01_数值调参'!AB26&lt;0,'03_全链计算'!M53+1,0),IF('01_数值调参'!AB27&lt;0,'03_全链计算'!N53+1,0),IF('01_数值调参'!AB28&lt;0,'03_全链计算'!O53+1,0),IF('01_数值调参'!AB29&lt;0,'03_全链计算'!P53+1,0),IF('01_数值调参'!AB30&lt;0,'03_全链计算'!Q53+1,0),IF('01_数值调参'!AB31&lt;0,'03_全链计算'!R53+1,0),IF('01_数值调参'!AB32&lt;0,'03_全链计算'!S53+1,0),IF('01_数值调参'!AB33&lt;0,'03_全链计算'!T53+1,0),IF('01_数值调参'!AB34&lt;0,'03_全链计算'!U53+1,0),IF('01_数值调参'!AB35&lt;0,'03_全链计算'!V53+1,0),IF('01_数值调参'!AB36&lt;0,'03_全链计算'!W53+1,0),IF('01_数值调参'!AB37&lt;0,'03_全链计算'!X53+1,0),IF('01_数值调参'!AB38&lt;0,'03_全链计算'!Y53+1,0),IF('01_数值调参'!AB39&lt;0,'03_全链计算'!Z53+1,0),IF('01_数值调参'!AB40&lt;0,'03_全链计算'!AA53+1,0),IF('01_数值调参'!AB41&lt;0,'03_全链计算'!AB53+1,0),IF('01_数值调参'!AB42&lt;0,'03_全链计算'!AC53+1,0),IF('01_数值调参'!AB43&lt;0,'03_全链计算'!AD53+1,0),IF('01_数值调参'!AB44&lt;0,'03_全链计算'!AE53+1,0),IF('01_数值调参'!AB45&lt;0,'03_全链计算'!AF53+1,0),IF('01_数值调参'!AB46&lt;0,'03_全链计算'!AG53+1,0),IF('01_数值调参'!AB47&lt;0,'03_全链计算'!AH53+1,0),IF('01_数值调参'!AB48&lt;0,'03_全链计算'!AI53+1,0),IF('01_数值调参'!AB49&lt;0,'03_全链计算'!AJ53+1,0),IF('01_数值调参'!AB50&lt;0,'03_全链计算'!AK53+1,0),IF('01_数值调参'!AB51&lt;0,'03_全链计算'!AL53+1,0),IF('01_数值调参'!AB52&lt;0,'03_全链计算'!AM53+1,0))</x:f>
        <x:v>2</x:v>
      </x:c>
      <x:c r="AC54" s="9" t="n">
        <x:f>MAX(IF('01_数值调参'!AC18&lt;0,'03_全链计算'!E53+1,0),IF('01_数值调参'!AC19&lt;0,'03_全链计算'!F53+1,0),IF('01_数值调参'!AC20&lt;0,'03_全链计算'!G53+1,0),IF('01_数值调参'!AC21&lt;0,'03_全链计算'!H53+1,0),IF('01_数值调参'!AC22&lt;0,'03_全链计算'!I53+1,0),IF('01_数值调参'!AC23&lt;0,'03_全链计算'!J53+1,0),IF('01_数值调参'!AC24&lt;0,'03_全链计算'!K53+1,0),IF('01_数值调参'!AC25&lt;0,'03_全链计算'!L53+1,0),IF('01_数值调参'!AC26&lt;0,'03_全链计算'!M53+1,0),IF('01_数值调参'!AC27&lt;0,'03_全链计算'!N53+1,0),IF('01_数值调参'!AC28&lt;0,'03_全链计算'!O53+1,0),IF('01_数值调参'!AC29&lt;0,'03_全链计算'!P53+1,0),IF('01_数值调参'!AC30&lt;0,'03_全链计算'!Q53+1,0),IF('01_数值调参'!AC31&lt;0,'03_全链计算'!R53+1,0),IF('01_数值调参'!AC32&lt;0,'03_全链计算'!S53+1,0),IF('01_数值调参'!AC33&lt;0,'03_全链计算'!T53+1,0),IF('01_数值调参'!AC34&lt;0,'03_全链计算'!U53+1,0),IF('01_数值调参'!AC35&lt;0,'03_全链计算'!V53+1,0),IF('01_数值调参'!AC36&lt;0,'03_全链计算'!W53+1,0),IF('01_数值调参'!AC37&lt;0,'03_全链计算'!X53+1,0),IF('01_数值调参'!AC38&lt;0,'03_全链计算'!Y53+1,0),IF('01_数值调参'!AC39&lt;0,'03_全链计算'!Z53+1,0),IF('01_数值调参'!AC40&lt;0,'03_全链计算'!AA53+1,0),IF('01_数值调参'!AC41&lt;0,'03_全链计算'!AB53+1,0),IF('01_数值调参'!AC42&lt;0,'03_全链计算'!AC53+1,0),IF('01_数值调参'!AC43&lt;0,'03_全链计算'!AD53+1,0),IF('01_数值调参'!AC44&lt;0,'03_全链计算'!AE53+1,0),IF('01_数值调参'!AC45&lt;0,'03_全链计算'!AF53+1,0),IF('01_数值调参'!AC46&lt;0,'03_全链计算'!AG53+1,0),IF('01_数值调参'!AC47&lt;0,'03_全链计算'!AH53+1,0),IF('01_数值调参'!AC48&lt;0,'03_全链计算'!AI53+1,0),IF('01_数值调参'!AC49&lt;0,'03_全链计算'!AJ53+1,0),IF('01_数值调参'!AC50&lt;0,'03_全链计算'!AK53+1,0),IF('01_数值调参'!AC51&lt;0,'03_全链计算'!AL53+1,0),IF('01_数值调参'!AC52&lt;0,'03_全链计算'!AM53+1,0))</x:f>
        <x:v>2</x:v>
      </x:c>
      <x:c r="AD54" s="9" t="n">
        <x:f>MAX(IF('01_数值调参'!AD18&lt;0,'03_全链计算'!E53+1,0),IF('01_数值调参'!AD19&lt;0,'03_全链计算'!F53+1,0),IF('01_数值调参'!AD20&lt;0,'03_全链计算'!G53+1,0),IF('01_数值调参'!AD21&lt;0,'03_全链计算'!H53+1,0),IF('01_数值调参'!AD22&lt;0,'03_全链计算'!I53+1,0),IF('01_数值调参'!AD23&lt;0,'03_全链计算'!J53+1,0),IF('01_数值调参'!AD24&lt;0,'03_全链计算'!K53+1,0),IF('01_数值调参'!AD25&lt;0,'03_全链计算'!L53+1,0),IF('01_数值调参'!AD26&lt;0,'03_全链计算'!M53+1,0),IF('01_数值调参'!AD27&lt;0,'03_全链计算'!N53+1,0),IF('01_数值调参'!AD28&lt;0,'03_全链计算'!O53+1,0),IF('01_数值调参'!AD29&lt;0,'03_全链计算'!P53+1,0),IF('01_数值调参'!AD30&lt;0,'03_全链计算'!Q53+1,0),IF('01_数值调参'!AD31&lt;0,'03_全链计算'!R53+1,0),IF('01_数值调参'!AD32&lt;0,'03_全链计算'!S53+1,0),IF('01_数值调参'!AD33&lt;0,'03_全链计算'!T53+1,0),IF('01_数值调参'!AD34&lt;0,'03_全链计算'!U53+1,0),IF('01_数值调参'!AD35&lt;0,'03_全链计算'!V53+1,0),IF('01_数值调参'!AD36&lt;0,'03_全链计算'!W53+1,0),IF('01_数值调参'!AD37&lt;0,'03_全链计算'!X53+1,0),IF('01_数值调参'!AD38&lt;0,'03_全链计算'!Y53+1,0),IF('01_数值调参'!AD39&lt;0,'03_全链计算'!Z53+1,0),IF('01_数值调参'!AD40&lt;0,'03_全链计算'!AA53+1,0),IF('01_数值调参'!AD41&lt;0,'03_全链计算'!AB53+1,0),IF('01_数值调参'!AD42&lt;0,'03_全链计算'!AC53+1,0),IF('01_数值调参'!AD43&lt;0,'03_全链计算'!AD53+1,0),IF('01_数值调参'!AD44&lt;0,'03_全链计算'!AE53+1,0),IF('01_数值调参'!AD45&lt;0,'03_全链计算'!AF53+1,0),IF('01_数值调参'!AD46&lt;0,'03_全链计算'!AG53+1,0),IF('01_数值调参'!AD47&lt;0,'03_全链计算'!AH53+1,0),IF('01_数值调参'!AD48&lt;0,'03_全链计算'!AI53+1,0),IF('01_数值调参'!AD49&lt;0,'03_全链计算'!AJ53+1,0),IF('01_数值调参'!AD50&lt;0,'03_全链计算'!AK53+1,0),IF('01_数值调参'!AD51&lt;0,'03_全链计算'!AL53+1,0),IF('01_数值调参'!AD52&lt;0,'03_全链计算'!AM53+1,0))</x:f>
        <x:v>1</x:v>
      </x:c>
      <x:c r="AE54" s="9" t="n">
        <x:f>MAX(IF('01_数值调参'!AE18&lt;0,'03_全链计算'!E53+1,0),IF('01_数值调参'!AE19&lt;0,'03_全链计算'!F53+1,0),IF('01_数值调参'!AE20&lt;0,'03_全链计算'!G53+1,0),IF('01_数值调参'!AE21&lt;0,'03_全链计算'!H53+1,0),IF('01_数值调参'!AE22&lt;0,'03_全链计算'!I53+1,0),IF('01_数值调参'!AE23&lt;0,'03_全链计算'!J53+1,0),IF('01_数值调参'!AE24&lt;0,'03_全链计算'!K53+1,0),IF('01_数值调参'!AE25&lt;0,'03_全链计算'!L53+1,0),IF('01_数值调参'!AE26&lt;0,'03_全链计算'!M53+1,0),IF('01_数值调参'!AE27&lt;0,'03_全链计算'!N53+1,0),IF('01_数值调参'!AE28&lt;0,'03_全链计算'!O53+1,0),IF('01_数值调参'!AE29&lt;0,'03_全链计算'!P53+1,0),IF('01_数值调参'!AE30&lt;0,'03_全链计算'!Q53+1,0),IF('01_数值调参'!AE31&lt;0,'03_全链计算'!R53+1,0),IF('01_数值调参'!AE32&lt;0,'03_全链计算'!S53+1,0),IF('01_数值调参'!AE33&lt;0,'03_全链计算'!T53+1,0),IF('01_数值调参'!AE34&lt;0,'03_全链计算'!U53+1,0),IF('01_数值调参'!AE35&lt;0,'03_全链计算'!V53+1,0),IF('01_数值调参'!AE36&lt;0,'03_全链计算'!W53+1,0),IF('01_数值调参'!AE37&lt;0,'03_全链计算'!X53+1,0),IF('01_数值调参'!AE38&lt;0,'03_全链计算'!Y53+1,0),IF('01_数值调参'!AE39&lt;0,'03_全链计算'!Z53+1,0),IF('01_数值调参'!AE40&lt;0,'03_全链计算'!AA53+1,0),IF('01_数值调参'!AE41&lt;0,'03_全链计算'!AB53+1,0),IF('01_数值调参'!AE42&lt;0,'03_全链计算'!AC53+1,0),IF('01_数值调参'!AE43&lt;0,'03_全链计算'!AD53+1,0),IF('01_数值调参'!AE44&lt;0,'03_全链计算'!AE53+1,0),IF('01_数值调参'!AE45&lt;0,'03_全链计算'!AF53+1,0),IF('01_数值调参'!AE46&lt;0,'03_全链计算'!AG53+1,0),IF('01_数值调参'!AE47&lt;0,'03_全链计算'!AH53+1,0),IF('01_数值调参'!AE48&lt;0,'03_全链计算'!AI53+1,0),IF('01_数值调参'!AE49&lt;0,'03_全链计算'!AJ53+1,0),IF('01_数值调参'!AE50&lt;0,'03_全链计算'!AK53+1,0),IF('01_数值调参'!AE51&lt;0,'03_全链计算'!AL53+1,0),IF('01_数值调参'!AE52&lt;0,'03_全链计算'!AM53+1,0))</x:f>
        <x:v>1</x:v>
      </x:c>
      <x:c r="AF54" s="9" t="n">
        <x:f>MAX(IF('01_数值调参'!AF18&lt;0,'03_全链计算'!E53+1,0),IF('01_数值调参'!AF19&lt;0,'03_全链计算'!F53+1,0),IF('01_数值调参'!AF20&lt;0,'03_全链计算'!G53+1,0),IF('01_数值调参'!AF21&lt;0,'03_全链计算'!H53+1,0),IF('01_数值调参'!AF22&lt;0,'03_全链计算'!I53+1,0),IF('01_数值调参'!AF23&lt;0,'03_全链计算'!J53+1,0),IF('01_数值调参'!AF24&lt;0,'03_全链计算'!K53+1,0),IF('01_数值调参'!AF25&lt;0,'03_全链计算'!L53+1,0),IF('01_数值调参'!AF26&lt;0,'03_全链计算'!M53+1,0),IF('01_数值调参'!AF27&lt;0,'03_全链计算'!N53+1,0),IF('01_数值调参'!AF28&lt;0,'03_全链计算'!O53+1,0),IF('01_数值调参'!AF29&lt;0,'03_全链计算'!P53+1,0),IF('01_数值调参'!AF30&lt;0,'03_全链计算'!Q53+1,0),IF('01_数值调参'!AF31&lt;0,'03_全链计算'!R53+1,0),IF('01_数值调参'!AF32&lt;0,'03_全链计算'!S53+1,0),IF('01_数值调参'!AF33&lt;0,'03_全链计算'!T53+1,0),IF('01_数值调参'!AF34&lt;0,'03_全链计算'!U53+1,0),IF('01_数值调参'!AF35&lt;0,'03_全链计算'!V53+1,0),IF('01_数值调参'!AF36&lt;0,'03_全链计算'!W53+1,0),IF('01_数值调参'!AF37&lt;0,'03_全链计算'!X53+1,0),IF('01_数值调参'!AF38&lt;0,'03_全链计算'!Y53+1,0),IF('01_数值调参'!AF39&lt;0,'03_全链计算'!Z53+1,0),IF('01_数值调参'!AF40&lt;0,'03_全链计算'!AA53+1,0),IF('01_数值调参'!AF41&lt;0,'03_全链计算'!AB53+1,0),IF('01_数值调参'!AF42&lt;0,'03_全链计算'!AC53+1,0),IF('01_数值调参'!AF43&lt;0,'03_全链计算'!AD53+1,0),IF('01_数值调参'!AF44&lt;0,'03_全链计算'!AE53+1,0),IF('01_数值调参'!AF45&lt;0,'03_全链计算'!AF53+1,0),IF('01_数值调参'!AF46&lt;0,'03_全链计算'!AG53+1,0),IF('01_数值调参'!AF47&lt;0,'03_全链计算'!AH53+1,0),IF('01_数值调参'!AF48&lt;0,'03_全链计算'!AI53+1,0),IF('01_数值调参'!AF49&lt;0,'03_全链计算'!AJ53+1,0),IF('01_数值调参'!AF50&lt;0,'03_全链计算'!AK53+1,0),IF('01_数值调参'!AF51&lt;0,'03_全链计算'!AL53+1,0),IF('01_数值调参'!AF52&lt;0,'03_全链计算'!AM53+1,0))</x:f>
        <x:v>1</x:v>
      </x:c>
      <x:c r="AG54" s="9" t="n">
        <x:f>MAX(IF('01_数值调参'!AG18&lt;0,'03_全链计算'!E53+1,0),IF('01_数值调参'!AG19&lt;0,'03_全链计算'!F53+1,0),IF('01_数值调参'!AG20&lt;0,'03_全链计算'!G53+1,0),IF('01_数值调参'!AG21&lt;0,'03_全链计算'!H53+1,0),IF('01_数值调参'!AG22&lt;0,'03_全链计算'!I53+1,0),IF('01_数值调参'!AG23&lt;0,'03_全链计算'!J53+1,0),IF('01_数值调参'!AG24&lt;0,'03_全链计算'!K53+1,0),IF('01_数值调参'!AG25&lt;0,'03_全链计算'!L53+1,0),IF('01_数值调参'!AG26&lt;0,'03_全链计算'!M53+1,0),IF('01_数值调参'!AG27&lt;0,'03_全链计算'!N53+1,0),IF('01_数值调参'!AG28&lt;0,'03_全链计算'!O53+1,0),IF('01_数值调参'!AG29&lt;0,'03_全链计算'!P53+1,0),IF('01_数值调参'!AG30&lt;0,'03_全链计算'!Q53+1,0),IF('01_数值调参'!AG31&lt;0,'03_全链计算'!R53+1,0),IF('01_数值调参'!AG32&lt;0,'03_全链计算'!S53+1,0),IF('01_数值调参'!AG33&lt;0,'03_全链计算'!T53+1,0),IF('01_数值调参'!AG34&lt;0,'03_全链计算'!U53+1,0),IF('01_数值调参'!AG35&lt;0,'03_全链计算'!V53+1,0),IF('01_数值调参'!AG36&lt;0,'03_全链计算'!W53+1,0),IF('01_数值调参'!AG37&lt;0,'03_全链计算'!X53+1,0),IF('01_数值调参'!AG38&lt;0,'03_全链计算'!Y53+1,0),IF('01_数值调参'!AG39&lt;0,'03_全链计算'!Z53+1,0),IF('01_数值调参'!AG40&lt;0,'03_全链计算'!AA53+1,0),IF('01_数值调参'!AG41&lt;0,'03_全链计算'!AB53+1,0),IF('01_数值调参'!AG42&lt;0,'03_全链计算'!AC53+1,0),IF('01_数值调参'!AG43&lt;0,'03_全链计算'!AD53+1,0),IF('01_数值调参'!AG44&lt;0,'03_全链计算'!AE53+1,0),IF('01_数值调参'!AG45&lt;0,'03_全链计算'!AF53+1,0),IF('01_数值调参'!AG46&lt;0,'03_全链计算'!AG53+1,0),IF('01_数值调参'!AG47&lt;0,'03_全链计算'!AH53+1,0),IF('01_数值调参'!AG48&lt;0,'03_全链计算'!AI53+1,0),IF('01_数值调参'!AG49&lt;0,'03_全链计算'!AJ53+1,0),IF('01_数值调参'!AG50&lt;0,'03_全链计算'!AK53+1,0),IF('01_数值调参'!AG51&lt;0,'03_全链计算'!AL53+1,0),IF('01_数值调参'!AG52&lt;0,'03_全链计算'!AM53+1,0))</x:f>
        <x:v>1</x:v>
      </x:c>
      <x:c r="AH54" s="9" t="n">
        <x:f>MAX(IF('01_数值调参'!AH18&lt;0,'03_全链计算'!E53+1,0),IF('01_数值调参'!AH19&lt;0,'03_全链计算'!F53+1,0),IF('01_数值调参'!AH20&lt;0,'03_全链计算'!G53+1,0),IF('01_数值调参'!AH21&lt;0,'03_全链计算'!H53+1,0),IF('01_数值调参'!AH22&lt;0,'03_全链计算'!I53+1,0),IF('01_数值调参'!AH23&lt;0,'03_全链计算'!J53+1,0),IF('01_数值调参'!AH24&lt;0,'03_全链计算'!K53+1,0),IF('01_数值调参'!AH25&lt;0,'03_全链计算'!L53+1,0),IF('01_数值调参'!AH26&lt;0,'03_全链计算'!M53+1,0),IF('01_数值调参'!AH27&lt;0,'03_全链计算'!N53+1,0),IF('01_数值调参'!AH28&lt;0,'03_全链计算'!O53+1,0),IF('01_数值调参'!AH29&lt;0,'03_全链计算'!P53+1,0),IF('01_数值调参'!AH30&lt;0,'03_全链计算'!Q53+1,0),IF('01_数值调参'!AH31&lt;0,'03_全链计算'!R53+1,0),IF('01_数值调参'!AH32&lt;0,'03_全链计算'!S53+1,0),IF('01_数值调参'!AH33&lt;0,'03_全链计算'!T53+1,0),IF('01_数值调参'!AH34&lt;0,'03_全链计算'!U53+1,0),IF('01_数值调参'!AH35&lt;0,'03_全链计算'!V53+1,0),IF('01_数值调参'!AH36&lt;0,'03_全链计算'!W53+1,0),IF('01_数值调参'!AH37&lt;0,'03_全链计算'!X53+1,0),IF('01_数值调参'!AH38&lt;0,'03_全链计算'!Y53+1,0),IF('01_数值调参'!AH39&lt;0,'03_全链计算'!Z53+1,0),IF('01_数值调参'!AH40&lt;0,'03_全链计算'!AA53+1,0),IF('01_数值调参'!AH41&lt;0,'03_全链计算'!AB53+1,0),IF('01_数值调参'!AH42&lt;0,'03_全链计算'!AC53+1,0),IF('01_数值调参'!AH43&lt;0,'03_全链计算'!AD53+1,0),IF('01_数值调参'!AH44&lt;0,'03_全链计算'!AE53+1,0),IF('01_数值调参'!AH45&lt;0,'03_全链计算'!AF53+1,0),IF('01_数值调参'!AH46&lt;0,'03_全链计算'!AG53+1,0),IF('01_数值调参'!AH47&lt;0,'03_全链计算'!AH53+1,0),IF('01_数值调参'!AH48&lt;0,'03_全链计算'!AI53+1,0),IF('01_数值调参'!AH49&lt;0,'03_全链计算'!AJ53+1,0),IF('01_数值调参'!AH50&lt;0,'03_全链计算'!AK53+1,0),IF('01_数值调参'!AH51&lt;0,'03_全链计算'!AL53+1,0),IF('01_数值调参'!AH52&lt;0,'03_全链计算'!AM53+1,0))</x:f>
        <x:v>2</x:v>
      </x:c>
      <x:c r="AI54" s="9" t="n">
        <x:f>MAX(IF('01_数值调参'!AI18&lt;0,'03_全链计算'!E53+1,0),IF('01_数值调参'!AI19&lt;0,'03_全链计算'!F53+1,0),IF('01_数值调参'!AI20&lt;0,'03_全链计算'!G53+1,0),IF('01_数值调参'!AI21&lt;0,'03_全链计算'!H53+1,0),IF('01_数值调参'!AI22&lt;0,'03_全链计算'!I53+1,0),IF('01_数值调参'!AI23&lt;0,'03_全链计算'!J53+1,0),IF('01_数值调参'!AI24&lt;0,'03_全链计算'!K53+1,0),IF('01_数值调参'!AI25&lt;0,'03_全链计算'!L53+1,0),IF('01_数值调参'!AI26&lt;0,'03_全链计算'!M53+1,0),IF('01_数值调参'!AI27&lt;0,'03_全链计算'!N53+1,0),IF('01_数值调参'!AI28&lt;0,'03_全链计算'!O53+1,0),IF('01_数值调参'!AI29&lt;0,'03_全链计算'!P53+1,0),IF('01_数值调参'!AI30&lt;0,'03_全链计算'!Q53+1,0),IF('01_数值调参'!AI31&lt;0,'03_全链计算'!R53+1,0),IF('01_数值调参'!AI32&lt;0,'03_全链计算'!S53+1,0),IF('01_数值调参'!AI33&lt;0,'03_全链计算'!T53+1,0),IF('01_数值调参'!AI34&lt;0,'03_全链计算'!U53+1,0),IF('01_数值调参'!AI35&lt;0,'03_全链计算'!V53+1,0),IF('01_数值调参'!AI36&lt;0,'03_全链计算'!W53+1,0),IF('01_数值调参'!AI37&lt;0,'03_全链计算'!X53+1,0),IF('01_数值调参'!AI38&lt;0,'03_全链计算'!Y53+1,0),IF('01_数值调参'!AI39&lt;0,'03_全链计算'!Z53+1,0),IF('01_数值调参'!AI40&lt;0,'03_全链计算'!AA53+1,0),IF('01_数值调参'!AI41&lt;0,'03_全链计算'!AB53+1,0),IF('01_数值调参'!AI42&lt;0,'03_全链计算'!AC53+1,0),IF('01_数值调参'!AI43&lt;0,'03_全链计算'!AD53+1,0),IF('01_数值调参'!AI44&lt;0,'03_全链计算'!AE53+1,0),IF('01_数值调参'!AI45&lt;0,'03_全链计算'!AF53+1,0),IF('01_数值调参'!AI46&lt;0,'03_全链计算'!AG53+1,0),IF('01_数值调参'!AI47&lt;0,'03_全链计算'!AH53+1,0),IF('01_数值调参'!AI48&lt;0,'03_全链计算'!AI53+1,0),IF('01_数值调参'!AI49&lt;0,'03_全链计算'!AJ53+1,0),IF('01_数值调参'!AI50&lt;0,'03_全链计算'!AK53+1,0),IF('01_数值调参'!AI51&lt;0,'03_全链计算'!AL53+1,0),IF('01_数值调参'!AI52&lt;0,'03_全链计算'!AM53+1,0))</x:f>
        <x:v>2</x:v>
      </x:c>
      <x:c r="AJ54" s="9" t="n">
        <x:f>MAX(IF('01_数值调参'!AJ18&lt;0,'03_全链计算'!E53+1,0),IF('01_数值调参'!AJ19&lt;0,'03_全链计算'!F53+1,0),IF('01_数值调参'!AJ20&lt;0,'03_全链计算'!G53+1,0),IF('01_数值调参'!AJ21&lt;0,'03_全链计算'!H53+1,0),IF('01_数值调参'!AJ22&lt;0,'03_全链计算'!I53+1,0),IF('01_数值调参'!AJ23&lt;0,'03_全链计算'!J53+1,0),IF('01_数值调参'!AJ24&lt;0,'03_全链计算'!K53+1,0),IF('01_数值调参'!AJ25&lt;0,'03_全链计算'!L53+1,0),IF('01_数值调参'!AJ26&lt;0,'03_全链计算'!M53+1,0),IF('01_数值调参'!AJ27&lt;0,'03_全链计算'!N53+1,0),IF('01_数值调参'!AJ28&lt;0,'03_全链计算'!O53+1,0),IF('01_数值调参'!AJ29&lt;0,'03_全链计算'!P53+1,0),IF('01_数值调参'!AJ30&lt;0,'03_全链计算'!Q53+1,0),IF('01_数值调参'!AJ31&lt;0,'03_全链计算'!R53+1,0),IF('01_数值调参'!AJ32&lt;0,'03_全链计算'!S53+1,0),IF('01_数值调参'!AJ33&lt;0,'03_全链计算'!T53+1,0),IF('01_数值调参'!AJ34&lt;0,'03_全链计算'!U53+1,0),IF('01_数值调参'!AJ35&lt;0,'03_全链计算'!V53+1,0),IF('01_数值调参'!AJ36&lt;0,'03_全链计算'!W53+1,0),IF('01_数值调参'!AJ37&lt;0,'03_全链计算'!X53+1,0),IF('01_数值调参'!AJ38&lt;0,'03_全链计算'!Y53+1,0),IF('01_数值调参'!AJ39&lt;0,'03_全链计算'!Z53+1,0),IF('01_数值调参'!AJ40&lt;0,'03_全链计算'!AA53+1,0),IF('01_数值调参'!AJ41&lt;0,'03_全链计算'!AB53+1,0),IF('01_数值调参'!AJ42&lt;0,'03_全链计算'!AC53+1,0),IF('01_数值调参'!AJ43&lt;0,'03_全链计算'!AD53+1,0),IF('01_数值调参'!AJ44&lt;0,'03_全链计算'!AE53+1,0),IF('01_数值调参'!AJ45&lt;0,'03_全链计算'!AF53+1,0),IF('01_数值调参'!AJ46&lt;0,'03_全链计算'!AG53+1,0),IF('01_数值调参'!AJ47&lt;0,'03_全链计算'!AH53+1,0),IF('01_数值调参'!AJ48&lt;0,'03_全链计算'!AI53+1,0),IF('01_数值调参'!AJ49&lt;0,'03_全链计算'!AJ53+1,0),IF('01_数值调参'!AJ50&lt;0,'03_全链计算'!AK53+1,0),IF('01_数值调参'!AJ51&lt;0,'03_全链计算'!AL53+1,0),IF('01_数值调参'!AJ52&lt;0,'03_全链计算'!AM53+1,0))</x:f>
        <x:v>2</x:v>
      </x:c>
      <x:c r="AK54" s="9" t="n">
        <x:f>MAX(IF('01_数值调参'!AK18&lt;0,'03_全链计算'!E53+1,0),IF('01_数值调参'!AK19&lt;0,'03_全链计算'!F53+1,0),IF('01_数值调参'!AK20&lt;0,'03_全链计算'!G53+1,0),IF('01_数值调参'!AK21&lt;0,'03_全链计算'!H53+1,0),IF('01_数值调参'!AK22&lt;0,'03_全链计算'!I53+1,0),IF('01_数值调参'!AK23&lt;0,'03_全链计算'!J53+1,0),IF('01_数值调参'!AK24&lt;0,'03_全链计算'!K53+1,0),IF('01_数值调参'!AK25&lt;0,'03_全链计算'!L53+1,0),IF('01_数值调参'!AK26&lt;0,'03_全链计算'!M53+1,0),IF('01_数值调参'!AK27&lt;0,'03_全链计算'!N53+1,0),IF('01_数值调参'!AK28&lt;0,'03_全链计算'!O53+1,0),IF('01_数值调参'!AK29&lt;0,'03_全链计算'!P53+1,0),IF('01_数值调参'!AK30&lt;0,'03_全链计算'!Q53+1,0),IF('01_数值调参'!AK31&lt;0,'03_全链计算'!R53+1,0),IF('01_数值调参'!AK32&lt;0,'03_全链计算'!S53+1,0),IF('01_数值调参'!AK33&lt;0,'03_全链计算'!T53+1,0),IF('01_数值调参'!AK34&lt;0,'03_全链计算'!U53+1,0),IF('01_数值调参'!AK35&lt;0,'03_全链计算'!V53+1,0),IF('01_数值调参'!AK36&lt;0,'03_全链计算'!W53+1,0),IF('01_数值调参'!AK37&lt;0,'03_全链计算'!X53+1,0),IF('01_数值调参'!AK38&lt;0,'03_全链计算'!Y53+1,0),IF('01_数值调参'!AK39&lt;0,'03_全链计算'!Z53+1,0),IF('01_数值调参'!AK40&lt;0,'03_全链计算'!AA53+1,0),IF('01_数值调参'!AK41&lt;0,'03_全链计算'!AB53+1,0),IF('01_数值调参'!AK42&lt;0,'03_全链计算'!AC53+1,0),IF('01_数值调参'!AK43&lt;0,'03_全链计算'!AD53+1,0),IF('01_数值调参'!AK44&lt;0,'03_全链计算'!AE53+1,0),IF('01_数值调参'!AK45&lt;0,'03_全链计算'!AF53+1,0),IF('01_数值调参'!AK46&lt;0,'03_全链计算'!AG53+1,0),IF('01_数值调参'!AK47&lt;0,'03_全链计算'!AH53+1,0),IF('01_数值调参'!AK48&lt;0,'03_全链计算'!AI53+1,0),IF('01_数值调参'!AK49&lt;0,'03_全链计算'!AJ53+1,0),IF('01_数值调参'!AK50&lt;0,'03_全链计算'!AK53+1,0),IF('01_数值调参'!AK51&lt;0,'03_全链计算'!AL53+1,0),IF('01_数值调参'!AK52&lt;0,'03_全链计算'!AM53+1,0))</x:f>
        <x:v>2</x:v>
      </x:c>
      <x:c r="AL54" s="9" t="n">
        <x:f>MAX(IF('01_数值调参'!AL18&lt;0,'03_全链计算'!E53+1,0),IF('01_数值调参'!AL19&lt;0,'03_全链计算'!F53+1,0),IF('01_数值调参'!AL20&lt;0,'03_全链计算'!G53+1,0),IF('01_数值调参'!AL21&lt;0,'03_全链计算'!H53+1,0),IF('01_数值调参'!AL22&lt;0,'03_全链计算'!I53+1,0),IF('01_数值调参'!AL23&lt;0,'03_全链计算'!J53+1,0),IF('01_数值调参'!AL24&lt;0,'03_全链计算'!K53+1,0),IF('01_数值调参'!AL25&lt;0,'03_全链计算'!L53+1,0),IF('01_数值调参'!AL26&lt;0,'03_全链计算'!M53+1,0),IF('01_数值调参'!AL27&lt;0,'03_全链计算'!N53+1,0),IF('01_数值调参'!AL28&lt;0,'03_全链计算'!O53+1,0),IF('01_数值调参'!AL29&lt;0,'03_全链计算'!P53+1,0),IF('01_数值调参'!AL30&lt;0,'03_全链计算'!Q53+1,0),IF('01_数值调参'!AL31&lt;0,'03_全链计算'!R53+1,0),IF('01_数值调参'!AL32&lt;0,'03_全链计算'!S53+1,0),IF('01_数值调参'!AL33&lt;0,'03_全链计算'!T53+1,0),IF('01_数值调参'!AL34&lt;0,'03_全链计算'!U53+1,0),IF('01_数值调参'!AL35&lt;0,'03_全链计算'!V53+1,0),IF('01_数值调参'!AL36&lt;0,'03_全链计算'!W53+1,0),IF('01_数值调参'!AL37&lt;0,'03_全链计算'!X53+1,0),IF('01_数值调参'!AL38&lt;0,'03_全链计算'!Y53+1,0),IF('01_数值调参'!AL39&lt;0,'03_全链计算'!Z53+1,0),IF('01_数值调参'!AL40&lt;0,'03_全链计算'!AA53+1,0),IF('01_数值调参'!AL41&lt;0,'03_全链计算'!AB53+1,0),IF('01_数值调参'!AL42&lt;0,'03_全链计算'!AC53+1,0),IF('01_数值调参'!AL43&lt;0,'03_全链计算'!AD53+1,0),IF('01_数值调参'!AL44&lt;0,'03_全链计算'!AE53+1,0),IF('01_数值调参'!AL45&lt;0,'03_全链计算'!AF53+1,0),IF('01_数值调参'!AL46&lt;0,'03_全链计算'!AG53+1,0),IF('01_数值调参'!AL47&lt;0,'03_全链计算'!AH53+1,0),IF('01_数值调参'!AL48&lt;0,'03_全链计算'!AI53+1,0),IF('01_数值调参'!AL49&lt;0,'03_全链计算'!AJ53+1,0),IF('01_数值调参'!AL50&lt;0,'03_全链计算'!AK53+1,0),IF('01_数值调参'!AL51&lt;0,'03_全链计算'!AL53+1,0),IF('01_数值调参'!AL52&lt;0,'03_全链计算'!AM53+1,0))</x:f>
        <x:v>3</x:v>
      </x:c>
      <x:c r="AM54" s="9" t="n">
        <x:f>MAX(IF('01_数值调参'!AM18&lt;0,'03_全链计算'!E53+1,0),IF('01_数值调参'!AM19&lt;0,'03_全链计算'!F53+1,0),IF('01_数值调参'!AM20&lt;0,'03_全链计算'!G53+1,0),IF('01_数值调参'!AM21&lt;0,'03_全链计算'!H53+1,0),IF('01_数值调参'!AM22&lt;0,'03_全链计算'!I53+1,0),IF('01_数值调参'!AM23&lt;0,'03_全链计算'!J53+1,0),IF('01_数值调参'!AM24&lt;0,'03_全链计算'!K53+1,0),IF('01_数值调参'!AM25&lt;0,'03_全链计算'!L53+1,0),IF('01_数值调参'!AM26&lt;0,'03_全链计算'!M53+1,0),IF('01_数值调参'!AM27&lt;0,'03_全链计算'!N53+1,0),IF('01_数值调参'!AM28&lt;0,'03_全链计算'!O53+1,0),IF('01_数值调参'!AM29&lt;0,'03_全链计算'!P53+1,0),IF('01_数值调参'!AM30&lt;0,'03_全链计算'!Q53+1,0),IF('01_数值调参'!AM31&lt;0,'03_全链计算'!R53+1,0),IF('01_数值调参'!AM32&lt;0,'03_全链计算'!S53+1,0),IF('01_数值调参'!AM33&lt;0,'03_全链计算'!T53+1,0),IF('01_数值调参'!AM34&lt;0,'03_全链计算'!U53+1,0),IF('01_数值调参'!AM35&lt;0,'03_全链计算'!V53+1,0),IF('01_数值调参'!AM36&lt;0,'03_全链计算'!W53+1,0),IF('01_数值调参'!AM37&lt;0,'03_全链计算'!X53+1,0),IF('01_数值调参'!AM38&lt;0,'03_全链计算'!Y53+1,0),IF('01_数值调参'!AM39&lt;0,'03_全链计算'!Z53+1,0),IF('01_数值调参'!AM40&lt;0,'03_全链计算'!AA53+1,0),IF('01_数值调参'!AM41&lt;0,'03_全链计算'!AB53+1,0),IF('01_数值调参'!AM42&lt;0,'03_全链计算'!AC53+1,0),IF('01_数值调参'!AM43&lt;0,'03_全链计算'!AD53+1,0),IF('01_数值调参'!AM44&lt;0,'03_全链计算'!AE53+1,0),IF('01_数值调参'!AM45&lt;0,'03_全链计算'!AF53+1,0),IF('01_数值调参'!AM46&lt;0,'03_全链计算'!AG53+1,0),IF('01_数值调参'!AM47&lt;0,'03_全链计算'!AH53+1,0),IF('01_数值调参'!AM48&lt;0,'03_全链计算'!AI53+1,0),IF('01_数值调参'!AM49&lt;0,'03_全链计算'!AJ53+1,0),IF('01_数值调参'!AM50&lt;0,'03_全链计算'!AK53+1,0),IF('01_数值调参'!AM51&lt;0,'03_全链计算'!AL53+1,0),IF('01_数值调参'!AM52&lt;0,'03_全链计算'!AM53+1,0))</x:f>
        <x:v>3</x:v>
      </x:c>
    </x:row>
    <x:row r="55" ht="22" customHeight="1">
      <x:c r="A55" s="9" t="n">
        <x:v>10</x:v>
      </x:c>
      <x:c r="B55" s="9"/>
      <x:c r="C55" s="9"/>
      <x:c r="D55" s="9"/>
      <x:c r="E55" s="9" t="n">
        <x:f>MAX(IF('01_数值调参'!E18&lt;0,'03_全链计算'!E54+1,0),IF('01_数值调参'!E19&lt;0,'03_全链计算'!F54+1,0),IF('01_数值调参'!E20&lt;0,'03_全链计算'!G54+1,0),IF('01_数值调参'!E21&lt;0,'03_全链计算'!H54+1,0),IF('01_数值调参'!E22&lt;0,'03_全链计算'!I54+1,0),IF('01_数值调参'!E23&lt;0,'03_全链计算'!J54+1,0),IF('01_数值调参'!E24&lt;0,'03_全链计算'!K54+1,0),IF('01_数值调参'!E25&lt;0,'03_全链计算'!L54+1,0),IF('01_数值调参'!E26&lt;0,'03_全链计算'!M54+1,0),IF('01_数值调参'!E27&lt;0,'03_全链计算'!N54+1,0),IF('01_数值调参'!E28&lt;0,'03_全链计算'!O54+1,0),IF('01_数值调参'!E29&lt;0,'03_全链计算'!P54+1,0),IF('01_数值调参'!E30&lt;0,'03_全链计算'!Q54+1,0),IF('01_数值调参'!E31&lt;0,'03_全链计算'!R54+1,0),IF('01_数值调参'!E32&lt;0,'03_全链计算'!S54+1,0),IF('01_数值调参'!E33&lt;0,'03_全链计算'!T54+1,0),IF('01_数值调参'!E34&lt;0,'03_全链计算'!U54+1,0),IF('01_数值调参'!E35&lt;0,'03_全链计算'!V54+1,0),IF('01_数值调参'!E36&lt;0,'03_全链计算'!W54+1,0),IF('01_数值调参'!E37&lt;0,'03_全链计算'!X54+1,0),IF('01_数值调参'!E38&lt;0,'03_全链计算'!Y54+1,0),IF('01_数值调参'!E39&lt;0,'03_全链计算'!Z54+1,0),IF('01_数值调参'!E40&lt;0,'03_全链计算'!AA54+1,0),IF('01_数值调参'!E41&lt;0,'03_全链计算'!AB54+1,0),IF('01_数值调参'!E42&lt;0,'03_全链计算'!AC54+1,0),IF('01_数值调参'!E43&lt;0,'03_全链计算'!AD54+1,0),IF('01_数值调参'!E44&lt;0,'03_全链计算'!AE54+1,0),IF('01_数值调参'!E45&lt;0,'03_全链计算'!AF54+1,0),IF('01_数值调参'!E46&lt;0,'03_全链计算'!AG54+1,0),IF('01_数值调参'!E47&lt;0,'03_全链计算'!AH54+1,0),IF('01_数值调参'!E48&lt;0,'03_全链计算'!AI54+1,0),IF('01_数值调参'!E49&lt;0,'03_全链计算'!AJ54+1,0),IF('01_数值调参'!E50&lt;0,'03_全链计算'!AK54+1,0),IF('01_数值调参'!E51&lt;0,'03_全链计算'!AL54+1,0),IF('01_数值调参'!E52&lt;0,'03_全链计算'!AM54+1,0))</x:f>
        <x:v>0</x:v>
      </x:c>
      <x:c r="F55" s="9" t="n">
        <x:f>MAX(IF('01_数值调参'!F18&lt;0,'03_全链计算'!E54+1,0),IF('01_数值调参'!F19&lt;0,'03_全链计算'!F54+1,0),IF('01_数值调参'!F20&lt;0,'03_全链计算'!G54+1,0),IF('01_数值调参'!F21&lt;0,'03_全链计算'!H54+1,0),IF('01_数值调参'!F22&lt;0,'03_全链计算'!I54+1,0),IF('01_数值调参'!F23&lt;0,'03_全链计算'!J54+1,0),IF('01_数值调参'!F24&lt;0,'03_全链计算'!K54+1,0),IF('01_数值调参'!F25&lt;0,'03_全链计算'!L54+1,0),IF('01_数值调参'!F26&lt;0,'03_全链计算'!M54+1,0),IF('01_数值调参'!F27&lt;0,'03_全链计算'!N54+1,0),IF('01_数值调参'!F28&lt;0,'03_全链计算'!O54+1,0),IF('01_数值调参'!F29&lt;0,'03_全链计算'!P54+1,0),IF('01_数值调参'!F30&lt;0,'03_全链计算'!Q54+1,0),IF('01_数值调参'!F31&lt;0,'03_全链计算'!R54+1,0),IF('01_数值调参'!F32&lt;0,'03_全链计算'!S54+1,0),IF('01_数值调参'!F33&lt;0,'03_全链计算'!T54+1,0),IF('01_数值调参'!F34&lt;0,'03_全链计算'!U54+1,0),IF('01_数值调参'!F35&lt;0,'03_全链计算'!V54+1,0),IF('01_数值调参'!F36&lt;0,'03_全链计算'!W54+1,0),IF('01_数值调参'!F37&lt;0,'03_全链计算'!X54+1,0),IF('01_数值调参'!F38&lt;0,'03_全链计算'!Y54+1,0),IF('01_数值调参'!F39&lt;0,'03_全链计算'!Z54+1,0),IF('01_数值调参'!F40&lt;0,'03_全链计算'!AA54+1,0),IF('01_数值调参'!F41&lt;0,'03_全链计算'!AB54+1,0),IF('01_数值调参'!F42&lt;0,'03_全链计算'!AC54+1,0),IF('01_数值调参'!F43&lt;0,'03_全链计算'!AD54+1,0),IF('01_数值调参'!F44&lt;0,'03_全链计算'!AE54+1,0),IF('01_数值调参'!F45&lt;0,'03_全链计算'!AF54+1,0),IF('01_数值调参'!F46&lt;0,'03_全链计算'!AG54+1,0),IF('01_数值调参'!F47&lt;0,'03_全链计算'!AH54+1,0),IF('01_数值调参'!F48&lt;0,'03_全链计算'!AI54+1,0),IF('01_数值调参'!F49&lt;0,'03_全链计算'!AJ54+1,0),IF('01_数值调参'!F50&lt;0,'03_全链计算'!AK54+1,0),IF('01_数值调参'!F51&lt;0,'03_全链计算'!AL54+1,0),IF('01_数值调参'!F52&lt;0,'03_全链计算'!AM54+1,0))</x:f>
        <x:v>0</x:v>
      </x:c>
      <x:c r="G55" s="9" t="n">
        <x:f>MAX(IF('01_数值调参'!G18&lt;0,'03_全链计算'!E54+1,0),IF('01_数值调参'!G19&lt;0,'03_全链计算'!F54+1,0),IF('01_数值调参'!G20&lt;0,'03_全链计算'!G54+1,0),IF('01_数值调参'!G21&lt;0,'03_全链计算'!H54+1,0),IF('01_数值调参'!G22&lt;0,'03_全链计算'!I54+1,0),IF('01_数值调参'!G23&lt;0,'03_全链计算'!J54+1,0),IF('01_数值调参'!G24&lt;0,'03_全链计算'!K54+1,0),IF('01_数值调参'!G25&lt;0,'03_全链计算'!L54+1,0),IF('01_数值调参'!G26&lt;0,'03_全链计算'!M54+1,0),IF('01_数值调参'!G27&lt;0,'03_全链计算'!N54+1,0),IF('01_数值调参'!G28&lt;0,'03_全链计算'!O54+1,0),IF('01_数值调参'!G29&lt;0,'03_全链计算'!P54+1,0),IF('01_数值调参'!G30&lt;0,'03_全链计算'!Q54+1,0),IF('01_数值调参'!G31&lt;0,'03_全链计算'!R54+1,0),IF('01_数值调参'!G32&lt;0,'03_全链计算'!S54+1,0),IF('01_数值调参'!G33&lt;0,'03_全链计算'!T54+1,0),IF('01_数值调参'!G34&lt;0,'03_全链计算'!U54+1,0),IF('01_数值调参'!G35&lt;0,'03_全链计算'!V54+1,0),IF('01_数值调参'!G36&lt;0,'03_全链计算'!W54+1,0),IF('01_数值调参'!G37&lt;0,'03_全链计算'!X54+1,0),IF('01_数值调参'!G38&lt;0,'03_全链计算'!Y54+1,0),IF('01_数值调参'!G39&lt;0,'03_全链计算'!Z54+1,0),IF('01_数值调参'!G40&lt;0,'03_全链计算'!AA54+1,0),IF('01_数值调参'!G41&lt;0,'03_全链计算'!AB54+1,0),IF('01_数值调参'!G42&lt;0,'03_全链计算'!AC54+1,0),IF('01_数值调参'!G43&lt;0,'03_全链计算'!AD54+1,0),IF('01_数值调参'!G44&lt;0,'03_全链计算'!AE54+1,0),IF('01_数值调参'!G45&lt;0,'03_全链计算'!AF54+1,0),IF('01_数值调参'!G46&lt;0,'03_全链计算'!AG54+1,0),IF('01_数值调参'!G47&lt;0,'03_全链计算'!AH54+1,0),IF('01_数值调参'!G48&lt;0,'03_全链计算'!AI54+1,0),IF('01_数值调参'!G49&lt;0,'03_全链计算'!AJ54+1,0),IF('01_数值调参'!G50&lt;0,'03_全链计算'!AK54+1,0),IF('01_数值调参'!G51&lt;0,'03_全链计算'!AL54+1,0),IF('01_数值调参'!G52&lt;0,'03_全链计算'!AM54+1,0))</x:f>
        <x:v>0</x:v>
      </x:c>
      <x:c r="H55" s="9" t="n">
        <x:f>MAX(IF('01_数值调参'!H18&lt;0,'03_全链计算'!E54+1,0),IF('01_数值调参'!H19&lt;0,'03_全链计算'!F54+1,0),IF('01_数值调参'!H20&lt;0,'03_全链计算'!G54+1,0),IF('01_数值调参'!H21&lt;0,'03_全链计算'!H54+1,0),IF('01_数值调参'!H22&lt;0,'03_全链计算'!I54+1,0),IF('01_数值调参'!H23&lt;0,'03_全链计算'!J54+1,0),IF('01_数值调参'!H24&lt;0,'03_全链计算'!K54+1,0),IF('01_数值调参'!H25&lt;0,'03_全链计算'!L54+1,0),IF('01_数值调参'!H26&lt;0,'03_全链计算'!M54+1,0),IF('01_数值调参'!H27&lt;0,'03_全链计算'!N54+1,0),IF('01_数值调参'!H28&lt;0,'03_全链计算'!O54+1,0),IF('01_数值调参'!H29&lt;0,'03_全链计算'!P54+1,0),IF('01_数值调参'!H30&lt;0,'03_全链计算'!Q54+1,0),IF('01_数值调参'!H31&lt;0,'03_全链计算'!R54+1,0),IF('01_数值调参'!H32&lt;0,'03_全链计算'!S54+1,0),IF('01_数值调参'!H33&lt;0,'03_全链计算'!T54+1,0),IF('01_数值调参'!H34&lt;0,'03_全链计算'!U54+1,0),IF('01_数值调参'!H35&lt;0,'03_全链计算'!V54+1,0),IF('01_数值调参'!H36&lt;0,'03_全链计算'!W54+1,0),IF('01_数值调参'!H37&lt;0,'03_全链计算'!X54+1,0),IF('01_数值调参'!H38&lt;0,'03_全链计算'!Y54+1,0),IF('01_数值调参'!H39&lt;0,'03_全链计算'!Z54+1,0),IF('01_数值调参'!H40&lt;0,'03_全链计算'!AA54+1,0),IF('01_数值调参'!H41&lt;0,'03_全链计算'!AB54+1,0),IF('01_数值调参'!H42&lt;0,'03_全链计算'!AC54+1,0),IF('01_数值调参'!H43&lt;0,'03_全链计算'!AD54+1,0),IF('01_数值调参'!H44&lt;0,'03_全链计算'!AE54+1,0),IF('01_数值调参'!H45&lt;0,'03_全链计算'!AF54+1,0),IF('01_数值调参'!H46&lt;0,'03_全链计算'!AG54+1,0),IF('01_数值调参'!H47&lt;0,'03_全链计算'!AH54+1,0),IF('01_数值调参'!H48&lt;0,'03_全链计算'!AI54+1,0),IF('01_数值调参'!H49&lt;0,'03_全链计算'!AJ54+1,0),IF('01_数值调参'!H50&lt;0,'03_全链计算'!AK54+1,0),IF('01_数值调参'!H51&lt;0,'03_全链计算'!AL54+1,0),IF('01_数值调参'!H52&lt;0,'03_全链计算'!AM54+1,0))</x:f>
        <x:v>0</x:v>
      </x:c>
      <x:c r="I55" s="9" t="n">
        <x:f>MAX(IF('01_数值调参'!I18&lt;0,'03_全链计算'!E54+1,0),IF('01_数值调参'!I19&lt;0,'03_全链计算'!F54+1,0),IF('01_数值调参'!I20&lt;0,'03_全链计算'!G54+1,0),IF('01_数值调参'!I21&lt;0,'03_全链计算'!H54+1,0),IF('01_数值调参'!I22&lt;0,'03_全链计算'!I54+1,0),IF('01_数值调参'!I23&lt;0,'03_全链计算'!J54+1,0),IF('01_数值调参'!I24&lt;0,'03_全链计算'!K54+1,0),IF('01_数值调参'!I25&lt;0,'03_全链计算'!L54+1,0),IF('01_数值调参'!I26&lt;0,'03_全链计算'!M54+1,0),IF('01_数值调参'!I27&lt;0,'03_全链计算'!N54+1,0),IF('01_数值调参'!I28&lt;0,'03_全链计算'!O54+1,0),IF('01_数值调参'!I29&lt;0,'03_全链计算'!P54+1,0),IF('01_数值调参'!I30&lt;0,'03_全链计算'!Q54+1,0),IF('01_数值调参'!I31&lt;0,'03_全链计算'!R54+1,0),IF('01_数值调参'!I32&lt;0,'03_全链计算'!S54+1,0),IF('01_数值调参'!I33&lt;0,'03_全链计算'!T54+1,0),IF('01_数值调参'!I34&lt;0,'03_全链计算'!U54+1,0),IF('01_数值调参'!I35&lt;0,'03_全链计算'!V54+1,0),IF('01_数值调参'!I36&lt;0,'03_全链计算'!W54+1,0),IF('01_数值调参'!I37&lt;0,'03_全链计算'!X54+1,0),IF('01_数值调参'!I38&lt;0,'03_全链计算'!Y54+1,0),IF('01_数值调参'!I39&lt;0,'03_全链计算'!Z54+1,0),IF('01_数值调参'!I40&lt;0,'03_全链计算'!AA54+1,0),IF('01_数值调参'!I41&lt;0,'03_全链计算'!AB54+1,0),IF('01_数值调参'!I42&lt;0,'03_全链计算'!AC54+1,0),IF('01_数值调参'!I43&lt;0,'03_全链计算'!AD54+1,0),IF('01_数值调参'!I44&lt;0,'03_全链计算'!AE54+1,0),IF('01_数值调参'!I45&lt;0,'03_全链计算'!AF54+1,0),IF('01_数值调参'!I46&lt;0,'03_全链计算'!AG54+1,0),IF('01_数值调参'!I47&lt;0,'03_全链计算'!AH54+1,0),IF('01_数值调参'!I48&lt;0,'03_全链计算'!AI54+1,0),IF('01_数值调参'!I49&lt;0,'03_全链计算'!AJ54+1,0),IF('01_数值调参'!I50&lt;0,'03_全链计算'!AK54+1,0),IF('01_数值调参'!I51&lt;0,'03_全链计算'!AL54+1,0),IF('01_数值调参'!I52&lt;0,'03_全链计算'!AM54+1,0))</x:f>
        <x:v>0</x:v>
      </x:c>
      <x:c r="J55" s="9" t="n">
        <x:f>MAX(IF('01_数值调参'!J18&lt;0,'03_全链计算'!E54+1,0),IF('01_数值调参'!J19&lt;0,'03_全链计算'!F54+1,0),IF('01_数值调参'!J20&lt;0,'03_全链计算'!G54+1,0),IF('01_数值调参'!J21&lt;0,'03_全链计算'!H54+1,0),IF('01_数值调参'!J22&lt;0,'03_全链计算'!I54+1,0),IF('01_数值调参'!J23&lt;0,'03_全链计算'!J54+1,0),IF('01_数值调参'!J24&lt;0,'03_全链计算'!K54+1,0),IF('01_数值调参'!J25&lt;0,'03_全链计算'!L54+1,0),IF('01_数值调参'!J26&lt;0,'03_全链计算'!M54+1,0),IF('01_数值调参'!J27&lt;0,'03_全链计算'!N54+1,0),IF('01_数值调参'!J28&lt;0,'03_全链计算'!O54+1,0),IF('01_数值调参'!J29&lt;0,'03_全链计算'!P54+1,0),IF('01_数值调参'!J30&lt;0,'03_全链计算'!Q54+1,0),IF('01_数值调参'!J31&lt;0,'03_全链计算'!R54+1,0),IF('01_数值调参'!J32&lt;0,'03_全链计算'!S54+1,0),IF('01_数值调参'!J33&lt;0,'03_全链计算'!T54+1,0),IF('01_数值调参'!J34&lt;0,'03_全链计算'!U54+1,0),IF('01_数值调参'!J35&lt;0,'03_全链计算'!V54+1,0),IF('01_数值调参'!J36&lt;0,'03_全链计算'!W54+1,0),IF('01_数值调参'!J37&lt;0,'03_全链计算'!X54+1,0),IF('01_数值调参'!J38&lt;0,'03_全链计算'!Y54+1,0),IF('01_数值调参'!J39&lt;0,'03_全链计算'!Z54+1,0),IF('01_数值调参'!J40&lt;0,'03_全链计算'!AA54+1,0),IF('01_数值调参'!J41&lt;0,'03_全链计算'!AB54+1,0),IF('01_数值调参'!J42&lt;0,'03_全链计算'!AC54+1,0),IF('01_数值调参'!J43&lt;0,'03_全链计算'!AD54+1,0),IF('01_数值调参'!J44&lt;0,'03_全链计算'!AE54+1,0),IF('01_数值调参'!J45&lt;0,'03_全链计算'!AF54+1,0),IF('01_数值调参'!J46&lt;0,'03_全链计算'!AG54+1,0),IF('01_数值调参'!J47&lt;0,'03_全链计算'!AH54+1,0),IF('01_数值调参'!J48&lt;0,'03_全链计算'!AI54+1,0),IF('01_数值调参'!J49&lt;0,'03_全链计算'!AJ54+1,0),IF('01_数值调参'!J50&lt;0,'03_全链计算'!AK54+1,0),IF('01_数值调参'!J51&lt;0,'03_全链计算'!AL54+1,0),IF('01_数值调参'!J52&lt;0,'03_全链计算'!AM54+1,0))</x:f>
        <x:v>0</x:v>
      </x:c>
      <x:c r="K55" s="9" t="n">
        <x:f>MAX(IF('01_数值调参'!K18&lt;0,'03_全链计算'!E54+1,0),IF('01_数值调参'!K19&lt;0,'03_全链计算'!F54+1,0),IF('01_数值调参'!K20&lt;0,'03_全链计算'!G54+1,0),IF('01_数值调参'!K21&lt;0,'03_全链计算'!H54+1,0),IF('01_数值调参'!K22&lt;0,'03_全链计算'!I54+1,0),IF('01_数值调参'!K23&lt;0,'03_全链计算'!J54+1,0),IF('01_数值调参'!K24&lt;0,'03_全链计算'!K54+1,0),IF('01_数值调参'!K25&lt;0,'03_全链计算'!L54+1,0),IF('01_数值调参'!K26&lt;0,'03_全链计算'!M54+1,0),IF('01_数值调参'!K27&lt;0,'03_全链计算'!N54+1,0),IF('01_数值调参'!K28&lt;0,'03_全链计算'!O54+1,0),IF('01_数值调参'!K29&lt;0,'03_全链计算'!P54+1,0),IF('01_数值调参'!K30&lt;0,'03_全链计算'!Q54+1,0),IF('01_数值调参'!K31&lt;0,'03_全链计算'!R54+1,0),IF('01_数值调参'!K32&lt;0,'03_全链计算'!S54+1,0),IF('01_数值调参'!K33&lt;0,'03_全链计算'!T54+1,0),IF('01_数值调参'!K34&lt;0,'03_全链计算'!U54+1,0),IF('01_数值调参'!K35&lt;0,'03_全链计算'!V54+1,0),IF('01_数值调参'!K36&lt;0,'03_全链计算'!W54+1,0),IF('01_数值调参'!K37&lt;0,'03_全链计算'!X54+1,0),IF('01_数值调参'!K38&lt;0,'03_全链计算'!Y54+1,0),IF('01_数值调参'!K39&lt;0,'03_全链计算'!Z54+1,0),IF('01_数值调参'!K40&lt;0,'03_全链计算'!AA54+1,0),IF('01_数值调参'!K41&lt;0,'03_全链计算'!AB54+1,0),IF('01_数值调参'!K42&lt;0,'03_全链计算'!AC54+1,0),IF('01_数值调参'!K43&lt;0,'03_全链计算'!AD54+1,0),IF('01_数值调参'!K44&lt;0,'03_全链计算'!AE54+1,0),IF('01_数值调参'!K45&lt;0,'03_全链计算'!AF54+1,0),IF('01_数值调参'!K46&lt;0,'03_全链计算'!AG54+1,0),IF('01_数值调参'!K47&lt;0,'03_全链计算'!AH54+1,0),IF('01_数值调参'!K48&lt;0,'03_全链计算'!AI54+1,0),IF('01_数值调参'!K49&lt;0,'03_全链计算'!AJ54+1,0),IF('01_数值调参'!K50&lt;0,'03_全链计算'!AK54+1,0),IF('01_数值调参'!K51&lt;0,'03_全链计算'!AL54+1,0),IF('01_数值调参'!K52&lt;0,'03_全链计算'!AM54+1,0))</x:f>
        <x:v>0</x:v>
      </x:c>
      <x:c r="L55" s="9" t="n">
        <x:f>MAX(IF('01_数值调参'!L18&lt;0,'03_全链计算'!E54+1,0),IF('01_数值调参'!L19&lt;0,'03_全链计算'!F54+1,0),IF('01_数值调参'!L20&lt;0,'03_全链计算'!G54+1,0),IF('01_数值调参'!L21&lt;0,'03_全链计算'!H54+1,0),IF('01_数值调参'!L22&lt;0,'03_全链计算'!I54+1,0),IF('01_数值调参'!L23&lt;0,'03_全链计算'!J54+1,0),IF('01_数值调参'!L24&lt;0,'03_全链计算'!K54+1,0),IF('01_数值调参'!L25&lt;0,'03_全链计算'!L54+1,0),IF('01_数值调参'!L26&lt;0,'03_全链计算'!M54+1,0),IF('01_数值调参'!L27&lt;0,'03_全链计算'!N54+1,0),IF('01_数值调参'!L28&lt;0,'03_全链计算'!O54+1,0),IF('01_数值调参'!L29&lt;0,'03_全链计算'!P54+1,0),IF('01_数值调参'!L30&lt;0,'03_全链计算'!Q54+1,0),IF('01_数值调参'!L31&lt;0,'03_全链计算'!R54+1,0),IF('01_数值调参'!L32&lt;0,'03_全链计算'!S54+1,0),IF('01_数值调参'!L33&lt;0,'03_全链计算'!T54+1,0),IF('01_数值调参'!L34&lt;0,'03_全链计算'!U54+1,0),IF('01_数值调参'!L35&lt;0,'03_全链计算'!V54+1,0),IF('01_数值调参'!L36&lt;0,'03_全链计算'!W54+1,0),IF('01_数值调参'!L37&lt;0,'03_全链计算'!X54+1,0),IF('01_数值调参'!L38&lt;0,'03_全链计算'!Y54+1,0),IF('01_数值调参'!L39&lt;0,'03_全链计算'!Z54+1,0),IF('01_数值调参'!L40&lt;0,'03_全链计算'!AA54+1,0),IF('01_数值调参'!L41&lt;0,'03_全链计算'!AB54+1,0),IF('01_数值调参'!L42&lt;0,'03_全链计算'!AC54+1,0),IF('01_数值调参'!L43&lt;0,'03_全链计算'!AD54+1,0),IF('01_数值调参'!L44&lt;0,'03_全链计算'!AE54+1,0),IF('01_数值调参'!L45&lt;0,'03_全链计算'!AF54+1,0),IF('01_数值调参'!L46&lt;0,'03_全链计算'!AG54+1,0),IF('01_数值调参'!L47&lt;0,'03_全链计算'!AH54+1,0),IF('01_数值调参'!L48&lt;0,'03_全链计算'!AI54+1,0),IF('01_数值调参'!L49&lt;0,'03_全链计算'!AJ54+1,0),IF('01_数值调参'!L50&lt;0,'03_全链计算'!AK54+1,0),IF('01_数值调参'!L51&lt;0,'03_全链计算'!AL54+1,0),IF('01_数值调参'!L52&lt;0,'03_全链计算'!AM54+1,0))</x:f>
        <x:v>0</x:v>
      </x:c>
      <x:c r="M55" s="9" t="n">
        <x:f>MAX(IF('01_数值调参'!M18&lt;0,'03_全链计算'!E54+1,0),IF('01_数值调参'!M19&lt;0,'03_全链计算'!F54+1,0),IF('01_数值调参'!M20&lt;0,'03_全链计算'!G54+1,0),IF('01_数值调参'!M21&lt;0,'03_全链计算'!H54+1,0),IF('01_数值调参'!M22&lt;0,'03_全链计算'!I54+1,0),IF('01_数值调参'!M23&lt;0,'03_全链计算'!J54+1,0),IF('01_数值调参'!M24&lt;0,'03_全链计算'!K54+1,0),IF('01_数值调参'!M25&lt;0,'03_全链计算'!L54+1,0),IF('01_数值调参'!M26&lt;0,'03_全链计算'!M54+1,0),IF('01_数值调参'!M27&lt;0,'03_全链计算'!N54+1,0),IF('01_数值调参'!M28&lt;0,'03_全链计算'!O54+1,0),IF('01_数值调参'!M29&lt;0,'03_全链计算'!P54+1,0),IF('01_数值调参'!M30&lt;0,'03_全链计算'!Q54+1,0),IF('01_数值调参'!M31&lt;0,'03_全链计算'!R54+1,0),IF('01_数值调参'!M32&lt;0,'03_全链计算'!S54+1,0),IF('01_数值调参'!M33&lt;0,'03_全链计算'!T54+1,0),IF('01_数值调参'!M34&lt;0,'03_全链计算'!U54+1,0),IF('01_数值调参'!M35&lt;0,'03_全链计算'!V54+1,0),IF('01_数值调参'!M36&lt;0,'03_全链计算'!W54+1,0),IF('01_数值调参'!M37&lt;0,'03_全链计算'!X54+1,0),IF('01_数值调参'!M38&lt;0,'03_全链计算'!Y54+1,0),IF('01_数值调参'!M39&lt;0,'03_全链计算'!Z54+1,0),IF('01_数值调参'!M40&lt;0,'03_全链计算'!AA54+1,0),IF('01_数值调参'!M41&lt;0,'03_全链计算'!AB54+1,0),IF('01_数值调参'!M42&lt;0,'03_全链计算'!AC54+1,0),IF('01_数值调参'!M43&lt;0,'03_全链计算'!AD54+1,0),IF('01_数值调参'!M44&lt;0,'03_全链计算'!AE54+1,0),IF('01_数值调参'!M45&lt;0,'03_全链计算'!AF54+1,0),IF('01_数值调参'!M46&lt;0,'03_全链计算'!AG54+1,0),IF('01_数值调参'!M47&lt;0,'03_全链计算'!AH54+1,0),IF('01_数值调参'!M48&lt;0,'03_全链计算'!AI54+1,0),IF('01_数值调参'!M49&lt;0,'03_全链计算'!AJ54+1,0),IF('01_数值调参'!M50&lt;0,'03_全链计算'!AK54+1,0),IF('01_数值调参'!M51&lt;0,'03_全链计算'!AL54+1,0),IF('01_数值调参'!M52&lt;0,'03_全链计算'!AM54+1,0))</x:f>
        <x:v>0</x:v>
      </x:c>
      <x:c r="N55" s="9" t="n">
        <x:f>MAX(IF('01_数值调参'!N18&lt;0,'03_全链计算'!E54+1,0),IF('01_数值调参'!N19&lt;0,'03_全链计算'!F54+1,0),IF('01_数值调参'!N20&lt;0,'03_全链计算'!G54+1,0),IF('01_数值调参'!N21&lt;0,'03_全链计算'!H54+1,0),IF('01_数值调参'!N22&lt;0,'03_全链计算'!I54+1,0),IF('01_数值调参'!N23&lt;0,'03_全链计算'!J54+1,0),IF('01_数值调参'!N24&lt;0,'03_全链计算'!K54+1,0),IF('01_数值调参'!N25&lt;0,'03_全链计算'!L54+1,0),IF('01_数值调参'!N26&lt;0,'03_全链计算'!M54+1,0),IF('01_数值调参'!N27&lt;0,'03_全链计算'!N54+1,0),IF('01_数值调参'!N28&lt;0,'03_全链计算'!O54+1,0),IF('01_数值调参'!N29&lt;0,'03_全链计算'!P54+1,0),IF('01_数值调参'!N30&lt;0,'03_全链计算'!Q54+1,0),IF('01_数值调参'!N31&lt;0,'03_全链计算'!R54+1,0),IF('01_数值调参'!N32&lt;0,'03_全链计算'!S54+1,0),IF('01_数值调参'!N33&lt;0,'03_全链计算'!T54+1,0),IF('01_数值调参'!N34&lt;0,'03_全链计算'!U54+1,0),IF('01_数值调参'!N35&lt;0,'03_全链计算'!V54+1,0),IF('01_数值调参'!N36&lt;0,'03_全链计算'!W54+1,0),IF('01_数值调参'!N37&lt;0,'03_全链计算'!X54+1,0),IF('01_数值调参'!N38&lt;0,'03_全链计算'!Y54+1,0),IF('01_数值调参'!N39&lt;0,'03_全链计算'!Z54+1,0),IF('01_数值调参'!N40&lt;0,'03_全链计算'!AA54+1,0),IF('01_数值调参'!N41&lt;0,'03_全链计算'!AB54+1,0),IF('01_数值调参'!N42&lt;0,'03_全链计算'!AC54+1,0),IF('01_数值调参'!N43&lt;0,'03_全链计算'!AD54+1,0),IF('01_数值调参'!N44&lt;0,'03_全链计算'!AE54+1,0),IF('01_数值调参'!N45&lt;0,'03_全链计算'!AF54+1,0),IF('01_数值调参'!N46&lt;0,'03_全链计算'!AG54+1,0),IF('01_数值调参'!N47&lt;0,'03_全链计算'!AH54+1,0),IF('01_数值调参'!N48&lt;0,'03_全链计算'!AI54+1,0),IF('01_数值调参'!N49&lt;0,'03_全链计算'!AJ54+1,0),IF('01_数值调参'!N50&lt;0,'03_全链计算'!AK54+1,0),IF('01_数值调参'!N51&lt;0,'03_全链计算'!AL54+1,0),IF('01_数值调参'!N52&lt;0,'03_全链计算'!AM54+1,0))</x:f>
        <x:v>1</x:v>
      </x:c>
      <x:c r="O55" s="9" t="n">
        <x:f>MAX(IF('01_数值调参'!O18&lt;0,'03_全链计算'!E54+1,0),IF('01_数值调参'!O19&lt;0,'03_全链计算'!F54+1,0),IF('01_数值调参'!O20&lt;0,'03_全链计算'!G54+1,0),IF('01_数值调参'!O21&lt;0,'03_全链计算'!H54+1,0),IF('01_数值调参'!O22&lt;0,'03_全链计算'!I54+1,0),IF('01_数值调参'!O23&lt;0,'03_全链计算'!J54+1,0),IF('01_数值调参'!O24&lt;0,'03_全链计算'!K54+1,0),IF('01_数值调参'!O25&lt;0,'03_全链计算'!L54+1,0),IF('01_数值调参'!O26&lt;0,'03_全链计算'!M54+1,0),IF('01_数值调参'!O27&lt;0,'03_全链计算'!N54+1,0),IF('01_数值调参'!O28&lt;0,'03_全链计算'!O54+1,0),IF('01_数值调参'!O29&lt;0,'03_全链计算'!P54+1,0),IF('01_数值调参'!O30&lt;0,'03_全链计算'!Q54+1,0),IF('01_数值调参'!O31&lt;0,'03_全链计算'!R54+1,0),IF('01_数值调参'!O32&lt;0,'03_全链计算'!S54+1,0),IF('01_数值调参'!O33&lt;0,'03_全链计算'!T54+1,0),IF('01_数值调参'!O34&lt;0,'03_全链计算'!U54+1,0),IF('01_数值调参'!O35&lt;0,'03_全链计算'!V54+1,0),IF('01_数值调参'!O36&lt;0,'03_全链计算'!W54+1,0),IF('01_数值调参'!O37&lt;0,'03_全链计算'!X54+1,0),IF('01_数值调参'!O38&lt;0,'03_全链计算'!Y54+1,0),IF('01_数值调参'!O39&lt;0,'03_全链计算'!Z54+1,0),IF('01_数值调参'!O40&lt;0,'03_全链计算'!AA54+1,0),IF('01_数值调参'!O41&lt;0,'03_全链计算'!AB54+1,0),IF('01_数值调参'!O42&lt;0,'03_全链计算'!AC54+1,0),IF('01_数值调参'!O43&lt;0,'03_全链计算'!AD54+1,0),IF('01_数值调参'!O44&lt;0,'03_全链计算'!AE54+1,0),IF('01_数值调参'!O45&lt;0,'03_全链计算'!AF54+1,0),IF('01_数值调参'!O46&lt;0,'03_全链计算'!AG54+1,0),IF('01_数值调参'!O47&lt;0,'03_全链计算'!AH54+1,0),IF('01_数值调参'!O48&lt;0,'03_全链计算'!AI54+1,0),IF('01_数值调参'!O49&lt;0,'03_全链计算'!AJ54+1,0),IF('01_数值调参'!O50&lt;0,'03_全链计算'!AK54+1,0),IF('01_数值调参'!O51&lt;0,'03_全链计算'!AL54+1,0),IF('01_数值调参'!O52&lt;0,'03_全链计算'!AM54+1,0))</x:f>
        <x:v>1</x:v>
      </x:c>
      <x:c r="P55" s="9" t="n">
        <x:f>MAX(IF('01_数值调参'!P18&lt;0,'03_全链计算'!E54+1,0),IF('01_数值调参'!P19&lt;0,'03_全链计算'!F54+1,0),IF('01_数值调参'!P20&lt;0,'03_全链计算'!G54+1,0),IF('01_数值调参'!P21&lt;0,'03_全链计算'!H54+1,0),IF('01_数值调参'!P22&lt;0,'03_全链计算'!I54+1,0),IF('01_数值调参'!P23&lt;0,'03_全链计算'!J54+1,0),IF('01_数值调参'!P24&lt;0,'03_全链计算'!K54+1,0),IF('01_数值调参'!P25&lt;0,'03_全链计算'!L54+1,0),IF('01_数值调参'!P26&lt;0,'03_全链计算'!M54+1,0),IF('01_数值调参'!P27&lt;0,'03_全链计算'!N54+1,0),IF('01_数值调参'!P28&lt;0,'03_全链计算'!O54+1,0),IF('01_数值调参'!P29&lt;0,'03_全链计算'!P54+1,0),IF('01_数值调参'!P30&lt;0,'03_全链计算'!Q54+1,0),IF('01_数值调参'!P31&lt;0,'03_全链计算'!R54+1,0),IF('01_数值调参'!P32&lt;0,'03_全链计算'!S54+1,0),IF('01_数值调参'!P33&lt;0,'03_全链计算'!T54+1,0),IF('01_数值调参'!P34&lt;0,'03_全链计算'!U54+1,0),IF('01_数值调参'!P35&lt;0,'03_全链计算'!V54+1,0),IF('01_数值调参'!P36&lt;0,'03_全链计算'!W54+1,0),IF('01_数值调参'!P37&lt;0,'03_全链计算'!X54+1,0),IF('01_数值调参'!P38&lt;0,'03_全链计算'!Y54+1,0),IF('01_数值调参'!P39&lt;0,'03_全链计算'!Z54+1,0),IF('01_数值调参'!P40&lt;0,'03_全链计算'!AA54+1,0),IF('01_数值调参'!P41&lt;0,'03_全链计算'!AB54+1,0),IF('01_数值调参'!P42&lt;0,'03_全链计算'!AC54+1,0),IF('01_数值调参'!P43&lt;0,'03_全链计算'!AD54+1,0),IF('01_数值调参'!P44&lt;0,'03_全链计算'!AE54+1,0),IF('01_数值调参'!P45&lt;0,'03_全链计算'!AF54+1,0),IF('01_数值调参'!P46&lt;0,'03_全链计算'!AG54+1,0),IF('01_数值调参'!P47&lt;0,'03_全链计算'!AH54+1,0),IF('01_数值调参'!P48&lt;0,'03_全链计算'!AI54+1,0),IF('01_数值调参'!P49&lt;0,'03_全链计算'!AJ54+1,0),IF('01_数值调参'!P50&lt;0,'03_全链计算'!AK54+1,0),IF('01_数值调参'!P51&lt;0,'03_全链计算'!AL54+1,0),IF('01_数值调参'!P52&lt;0,'03_全链计算'!AM54+1,0))</x:f>
        <x:v>1</x:v>
      </x:c>
      <x:c r="Q55" s="9" t="n">
        <x:f>MAX(IF('01_数值调参'!Q18&lt;0,'03_全链计算'!E54+1,0),IF('01_数值调参'!Q19&lt;0,'03_全链计算'!F54+1,0),IF('01_数值调参'!Q20&lt;0,'03_全链计算'!G54+1,0),IF('01_数值调参'!Q21&lt;0,'03_全链计算'!H54+1,0),IF('01_数值调参'!Q22&lt;0,'03_全链计算'!I54+1,0),IF('01_数值调参'!Q23&lt;0,'03_全链计算'!J54+1,0),IF('01_数值调参'!Q24&lt;0,'03_全链计算'!K54+1,0),IF('01_数值调参'!Q25&lt;0,'03_全链计算'!L54+1,0),IF('01_数值调参'!Q26&lt;0,'03_全链计算'!M54+1,0),IF('01_数值调参'!Q27&lt;0,'03_全链计算'!N54+1,0),IF('01_数值调参'!Q28&lt;0,'03_全链计算'!O54+1,0),IF('01_数值调参'!Q29&lt;0,'03_全链计算'!P54+1,0),IF('01_数值调参'!Q30&lt;0,'03_全链计算'!Q54+1,0),IF('01_数值调参'!Q31&lt;0,'03_全链计算'!R54+1,0),IF('01_数值调参'!Q32&lt;0,'03_全链计算'!S54+1,0),IF('01_数值调参'!Q33&lt;0,'03_全链计算'!T54+1,0),IF('01_数值调参'!Q34&lt;0,'03_全链计算'!U54+1,0),IF('01_数值调参'!Q35&lt;0,'03_全链计算'!V54+1,0),IF('01_数值调参'!Q36&lt;0,'03_全链计算'!W54+1,0),IF('01_数值调参'!Q37&lt;0,'03_全链计算'!X54+1,0),IF('01_数值调参'!Q38&lt;0,'03_全链计算'!Y54+1,0),IF('01_数值调参'!Q39&lt;0,'03_全链计算'!Z54+1,0),IF('01_数值调参'!Q40&lt;0,'03_全链计算'!AA54+1,0),IF('01_数值调参'!Q41&lt;0,'03_全链计算'!AB54+1,0),IF('01_数值调参'!Q42&lt;0,'03_全链计算'!AC54+1,0),IF('01_数值调参'!Q43&lt;0,'03_全链计算'!AD54+1,0),IF('01_数值调参'!Q44&lt;0,'03_全链计算'!AE54+1,0),IF('01_数值调参'!Q45&lt;0,'03_全链计算'!AF54+1,0),IF('01_数值调参'!Q46&lt;0,'03_全链计算'!AG54+1,0),IF('01_数值调参'!Q47&lt;0,'03_全链计算'!AH54+1,0),IF('01_数值调参'!Q48&lt;0,'03_全链计算'!AI54+1,0),IF('01_数值调参'!Q49&lt;0,'03_全链计算'!AJ54+1,0),IF('01_数值调参'!Q50&lt;0,'03_全链计算'!AK54+1,0),IF('01_数值调参'!Q51&lt;0,'03_全链计算'!AL54+1,0),IF('01_数值调参'!Q52&lt;0,'03_全链计算'!AM54+1,0))</x:f>
        <x:v>1</x:v>
      </x:c>
      <x:c r="R55" s="9" t="n">
        <x:f>MAX(IF('01_数值调参'!R18&lt;0,'03_全链计算'!E54+1,0),IF('01_数值调参'!R19&lt;0,'03_全链计算'!F54+1,0),IF('01_数值调参'!R20&lt;0,'03_全链计算'!G54+1,0),IF('01_数值调参'!R21&lt;0,'03_全链计算'!H54+1,0),IF('01_数值调参'!R22&lt;0,'03_全链计算'!I54+1,0),IF('01_数值调参'!R23&lt;0,'03_全链计算'!J54+1,0),IF('01_数值调参'!R24&lt;0,'03_全链计算'!K54+1,0),IF('01_数值调参'!R25&lt;0,'03_全链计算'!L54+1,0),IF('01_数值调参'!R26&lt;0,'03_全链计算'!M54+1,0),IF('01_数值调参'!R27&lt;0,'03_全链计算'!N54+1,0),IF('01_数值调参'!R28&lt;0,'03_全链计算'!O54+1,0),IF('01_数值调参'!R29&lt;0,'03_全链计算'!P54+1,0),IF('01_数值调参'!R30&lt;0,'03_全链计算'!Q54+1,0),IF('01_数值调参'!R31&lt;0,'03_全链计算'!R54+1,0),IF('01_数值调参'!R32&lt;0,'03_全链计算'!S54+1,0),IF('01_数值调参'!R33&lt;0,'03_全链计算'!T54+1,0),IF('01_数值调参'!R34&lt;0,'03_全链计算'!U54+1,0),IF('01_数值调参'!R35&lt;0,'03_全链计算'!V54+1,0),IF('01_数值调参'!R36&lt;0,'03_全链计算'!W54+1,0),IF('01_数值调参'!R37&lt;0,'03_全链计算'!X54+1,0),IF('01_数值调参'!R38&lt;0,'03_全链计算'!Y54+1,0),IF('01_数值调参'!R39&lt;0,'03_全链计算'!Z54+1,0),IF('01_数值调参'!R40&lt;0,'03_全链计算'!AA54+1,0),IF('01_数值调参'!R41&lt;0,'03_全链计算'!AB54+1,0),IF('01_数值调参'!R42&lt;0,'03_全链计算'!AC54+1,0),IF('01_数值调参'!R43&lt;0,'03_全链计算'!AD54+1,0),IF('01_数值调参'!R44&lt;0,'03_全链计算'!AE54+1,0),IF('01_数值调参'!R45&lt;0,'03_全链计算'!AF54+1,0),IF('01_数值调参'!R46&lt;0,'03_全链计算'!AG54+1,0),IF('01_数值调参'!R47&lt;0,'03_全链计算'!AH54+1,0),IF('01_数值调参'!R48&lt;0,'03_全链计算'!AI54+1,0),IF('01_数值调参'!R49&lt;0,'03_全链计算'!AJ54+1,0),IF('01_数值调参'!R50&lt;0,'03_全链计算'!AK54+1,0),IF('01_数值调参'!R51&lt;0,'03_全链计算'!AL54+1,0),IF('01_数值调参'!R52&lt;0,'03_全链计算'!AM54+1,0))</x:f>
        <x:v>1</x:v>
      </x:c>
      <x:c r="S55" s="9" t="n">
        <x:f>MAX(IF('01_数值调参'!S18&lt;0,'03_全链计算'!E54+1,0),IF('01_数值调参'!S19&lt;0,'03_全链计算'!F54+1,0),IF('01_数值调参'!S20&lt;0,'03_全链计算'!G54+1,0),IF('01_数值调参'!S21&lt;0,'03_全链计算'!H54+1,0),IF('01_数值调参'!S22&lt;0,'03_全链计算'!I54+1,0),IF('01_数值调参'!S23&lt;0,'03_全链计算'!J54+1,0),IF('01_数值调参'!S24&lt;0,'03_全链计算'!K54+1,0),IF('01_数值调参'!S25&lt;0,'03_全链计算'!L54+1,0),IF('01_数值调参'!S26&lt;0,'03_全链计算'!M54+1,0),IF('01_数值调参'!S27&lt;0,'03_全链计算'!N54+1,0),IF('01_数值调参'!S28&lt;0,'03_全链计算'!O54+1,0),IF('01_数值调参'!S29&lt;0,'03_全链计算'!P54+1,0),IF('01_数值调参'!S30&lt;0,'03_全链计算'!Q54+1,0),IF('01_数值调参'!S31&lt;0,'03_全链计算'!R54+1,0),IF('01_数值调参'!S32&lt;0,'03_全链计算'!S54+1,0),IF('01_数值调参'!S33&lt;0,'03_全链计算'!T54+1,0),IF('01_数值调参'!S34&lt;0,'03_全链计算'!U54+1,0),IF('01_数值调参'!S35&lt;0,'03_全链计算'!V54+1,0),IF('01_数值调参'!S36&lt;0,'03_全链计算'!W54+1,0),IF('01_数值调参'!S37&lt;0,'03_全链计算'!X54+1,0),IF('01_数值调参'!S38&lt;0,'03_全链计算'!Y54+1,0),IF('01_数值调参'!S39&lt;0,'03_全链计算'!Z54+1,0),IF('01_数值调参'!S40&lt;0,'03_全链计算'!AA54+1,0),IF('01_数值调参'!S41&lt;0,'03_全链计算'!AB54+1,0),IF('01_数值调参'!S42&lt;0,'03_全链计算'!AC54+1,0),IF('01_数值调参'!S43&lt;0,'03_全链计算'!AD54+1,0),IF('01_数值调参'!S44&lt;0,'03_全链计算'!AE54+1,0),IF('01_数值调参'!S45&lt;0,'03_全链计算'!AF54+1,0),IF('01_数值调参'!S46&lt;0,'03_全链计算'!AG54+1,0),IF('01_数值调参'!S47&lt;0,'03_全链计算'!AH54+1,0),IF('01_数值调参'!S48&lt;0,'03_全链计算'!AI54+1,0),IF('01_数值调参'!S49&lt;0,'03_全链计算'!AJ54+1,0),IF('01_数值调参'!S50&lt;0,'03_全链计算'!AK54+1,0),IF('01_数值调参'!S51&lt;0,'03_全链计算'!AL54+1,0),IF('01_数值调参'!S52&lt;0,'03_全链计算'!AM54+1,0))</x:f>
        <x:v>1</x:v>
      </x:c>
      <x:c r="T55" s="9" t="n">
        <x:f>MAX(IF('01_数值调参'!T18&lt;0,'03_全链计算'!E54+1,0),IF('01_数值调参'!T19&lt;0,'03_全链计算'!F54+1,0),IF('01_数值调参'!T20&lt;0,'03_全链计算'!G54+1,0),IF('01_数值调参'!T21&lt;0,'03_全链计算'!H54+1,0),IF('01_数值调参'!T22&lt;0,'03_全链计算'!I54+1,0),IF('01_数值调参'!T23&lt;0,'03_全链计算'!J54+1,0),IF('01_数值调参'!T24&lt;0,'03_全链计算'!K54+1,0),IF('01_数值调参'!T25&lt;0,'03_全链计算'!L54+1,0),IF('01_数值调参'!T26&lt;0,'03_全链计算'!M54+1,0),IF('01_数值调参'!T27&lt;0,'03_全链计算'!N54+1,0),IF('01_数值调参'!T28&lt;0,'03_全链计算'!O54+1,0),IF('01_数值调参'!T29&lt;0,'03_全链计算'!P54+1,0),IF('01_数值调参'!T30&lt;0,'03_全链计算'!Q54+1,0),IF('01_数值调参'!T31&lt;0,'03_全链计算'!R54+1,0),IF('01_数值调参'!T32&lt;0,'03_全链计算'!S54+1,0),IF('01_数值调参'!T33&lt;0,'03_全链计算'!T54+1,0),IF('01_数值调参'!T34&lt;0,'03_全链计算'!U54+1,0),IF('01_数值调参'!T35&lt;0,'03_全链计算'!V54+1,0),IF('01_数值调参'!T36&lt;0,'03_全链计算'!W54+1,0),IF('01_数值调参'!T37&lt;0,'03_全链计算'!X54+1,0),IF('01_数值调参'!T38&lt;0,'03_全链计算'!Y54+1,0),IF('01_数值调参'!T39&lt;0,'03_全链计算'!Z54+1,0),IF('01_数值调参'!T40&lt;0,'03_全链计算'!AA54+1,0),IF('01_数值调参'!T41&lt;0,'03_全链计算'!AB54+1,0),IF('01_数值调参'!T42&lt;0,'03_全链计算'!AC54+1,0),IF('01_数值调参'!T43&lt;0,'03_全链计算'!AD54+1,0),IF('01_数值调参'!T44&lt;0,'03_全链计算'!AE54+1,0),IF('01_数值调参'!T45&lt;0,'03_全链计算'!AF54+1,0),IF('01_数值调参'!T46&lt;0,'03_全链计算'!AG54+1,0),IF('01_数值调参'!T47&lt;0,'03_全链计算'!AH54+1,0),IF('01_数值调参'!T48&lt;0,'03_全链计算'!AI54+1,0),IF('01_数值调参'!T49&lt;0,'03_全链计算'!AJ54+1,0),IF('01_数值调参'!T50&lt;0,'03_全链计算'!AK54+1,0),IF('01_数值调参'!T51&lt;0,'03_全链计算'!AL54+1,0),IF('01_数值调参'!T52&lt;0,'03_全链计算'!AM54+1,0))</x:f>
        <x:v>1</x:v>
      </x:c>
      <x:c r="U55" s="9" t="n">
        <x:f>MAX(IF('01_数值调参'!U18&lt;0,'03_全链计算'!E54+1,0),IF('01_数值调参'!U19&lt;0,'03_全链计算'!F54+1,0),IF('01_数值调参'!U20&lt;0,'03_全链计算'!G54+1,0),IF('01_数值调参'!U21&lt;0,'03_全链计算'!H54+1,0),IF('01_数值调参'!U22&lt;0,'03_全链计算'!I54+1,0),IF('01_数值调参'!U23&lt;0,'03_全链计算'!J54+1,0),IF('01_数值调参'!U24&lt;0,'03_全链计算'!K54+1,0),IF('01_数值调参'!U25&lt;0,'03_全链计算'!L54+1,0),IF('01_数值调参'!U26&lt;0,'03_全链计算'!M54+1,0),IF('01_数值调参'!U27&lt;0,'03_全链计算'!N54+1,0),IF('01_数值调参'!U28&lt;0,'03_全链计算'!O54+1,0),IF('01_数值调参'!U29&lt;0,'03_全链计算'!P54+1,0),IF('01_数值调参'!U30&lt;0,'03_全链计算'!Q54+1,0),IF('01_数值调参'!U31&lt;0,'03_全链计算'!R54+1,0),IF('01_数值调参'!U32&lt;0,'03_全链计算'!S54+1,0),IF('01_数值调参'!U33&lt;0,'03_全链计算'!T54+1,0),IF('01_数值调参'!U34&lt;0,'03_全链计算'!U54+1,0),IF('01_数值调参'!U35&lt;0,'03_全链计算'!V54+1,0),IF('01_数值调参'!U36&lt;0,'03_全链计算'!W54+1,0),IF('01_数值调参'!U37&lt;0,'03_全链计算'!X54+1,0),IF('01_数值调参'!U38&lt;0,'03_全链计算'!Y54+1,0),IF('01_数值调参'!U39&lt;0,'03_全链计算'!Z54+1,0),IF('01_数值调参'!U40&lt;0,'03_全链计算'!AA54+1,0),IF('01_数值调参'!U41&lt;0,'03_全链计算'!AB54+1,0),IF('01_数值调参'!U42&lt;0,'03_全链计算'!AC54+1,0),IF('01_数值调参'!U43&lt;0,'03_全链计算'!AD54+1,0),IF('01_数值调参'!U44&lt;0,'03_全链计算'!AE54+1,0),IF('01_数值调参'!U45&lt;0,'03_全链计算'!AF54+1,0),IF('01_数值调参'!U46&lt;0,'03_全链计算'!AG54+1,0),IF('01_数值调参'!U47&lt;0,'03_全链计算'!AH54+1,0),IF('01_数值调参'!U48&lt;0,'03_全链计算'!AI54+1,0),IF('01_数值调参'!U49&lt;0,'03_全链计算'!AJ54+1,0),IF('01_数值调参'!U50&lt;0,'03_全链计算'!AK54+1,0),IF('01_数值调参'!U51&lt;0,'03_全链计算'!AL54+1,0),IF('01_数值调参'!U52&lt;0,'03_全链计算'!AM54+1,0))</x:f>
        <x:v>1</x:v>
      </x:c>
      <x:c r="V55" s="9" t="n">
        <x:f>MAX(IF('01_数值调参'!V18&lt;0,'03_全链计算'!E54+1,0),IF('01_数值调参'!V19&lt;0,'03_全链计算'!F54+1,0),IF('01_数值调参'!V20&lt;0,'03_全链计算'!G54+1,0),IF('01_数值调参'!V21&lt;0,'03_全链计算'!H54+1,0),IF('01_数值调参'!V22&lt;0,'03_全链计算'!I54+1,0),IF('01_数值调参'!V23&lt;0,'03_全链计算'!J54+1,0),IF('01_数值调参'!V24&lt;0,'03_全链计算'!K54+1,0),IF('01_数值调参'!V25&lt;0,'03_全链计算'!L54+1,0),IF('01_数值调参'!V26&lt;0,'03_全链计算'!M54+1,0),IF('01_数值调参'!V27&lt;0,'03_全链计算'!N54+1,0),IF('01_数值调参'!V28&lt;0,'03_全链计算'!O54+1,0),IF('01_数值调参'!V29&lt;0,'03_全链计算'!P54+1,0),IF('01_数值调参'!V30&lt;0,'03_全链计算'!Q54+1,0),IF('01_数值调参'!V31&lt;0,'03_全链计算'!R54+1,0),IF('01_数值调参'!V32&lt;0,'03_全链计算'!S54+1,0),IF('01_数值调参'!V33&lt;0,'03_全链计算'!T54+1,0),IF('01_数值调参'!V34&lt;0,'03_全链计算'!U54+1,0),IF('01_数值调参'!V35&lt;0,'03_全链计算'!V54+1,0),IF('01_数值调参'!V36&lt;0,'03_全链计算'!W54+1,0),IF('01_数值调参'!V37&lt;0,'03_全链计算'!X54+1,0),IF('01_数值调参'!V38&lt;0,'03_全链计算'!Y54+1,0),IF('01_数值调参'!V39&lt;0,'03_全链计算'!Z54+1,0),IF('01_数值调参'!V40&lt;0,'03_全链计算'!AA54+1,0),IF('01_数值调参'!V41&lt;0,'03_全链计算'!AB54+1,0),IF('01_数值调参'!V42&lt;0,'03_全链计算'!AC54+1,0),IF('01_数值调参'!V43&lt;0,'03_全链计算'!AD54+1,0),IF('01_数值调参'!V44&lt;0,'03_全链计算'!AE54+1,0),IF('01_数值调参'!V45&lt;0,'03_全链计算'!AF54+1,0),IF('01_数值调参'!V46&lt;0,'03_全链计算'!AG54+1,0),IF('01_数值调参'!V47&lt;0,'03_全链计算'!AH54+1,0),IF('01_数值调参'!V48&lt;0,'03_全链计算'!AI54+1,0),IF('01_数值调参'!V49&lt;0,'03_全链计算'!AJ54+1,0),IF('01_数值调参'!V50&lt;0,'03_全链计算'!AK54+1,0),IF('01_数值调参'!V51&lt;0,'03_全链计算'!AL54+1,0),IF('01_数值调参'!V52&lt;0,'03_全链计算'!AM54+1,0))</x:f>
        <x:v>1</x:v>
      </x:c>
      <x:c r="W55" s="9" t="n">
        <x:f>MAX(IF('01_数值调参'!W18&lt;0,'03_全链计算'!E54+1,0),IF('01_数值调参'!W19&lt;0,'03_全链计算'!F54+1,0),IF('01_数值调参'!W20&lt;0,'03_全链计算'!G54+1,0),IF('01_数值调参'!W21&lt;0,'03_全链计算'!H54+1,0),IF('01_数值调参'!W22&lt;0,'03_全链计算'!I54+1,0),IF('01_数值调参'!W23&lt;0,'03_全链计算'!J54+1,0),IF('01_数值调参'!W24&lt;0,'03_全链计算'!K54+1,0),IF('01_数值调参'!W25&lt;0,'03_全链计算'!L54+1,0),IF('01_数值调参'!W26&lt;0,'03_全链计算'!M54+1,0),IF('01_数值调参'!W27&lt;0,'03_全链计算'!N54+1,0),IF('01_数值调参'!W28&lt;0,'03_全链计算'!O54+1,0),IF('01_数值调参'!W29&lt;0,'03_全链计算'!P54+1,0),IF('01_数值调参'!W30&lt;0,'03_全链计算'!Q54+1,0),IF('01_数值调参'!W31&lt;0,'03_全链计算'!R54+1,0),IF('01_数值调参'!W32&lt;0,'03_全链计算'!S54+1,0),IF('01_数值调参'!W33&lt;0,'03_全链计算'!T54+1,0),IF('01_数值调参'!W34&lt;0,'03_全链计算'!U54+1,0),IF('01_数值调参'!W35&lt;0,'03_全链计算'!V54+1,0),IF('01_数值调参'!W36&lt;0,'03_全链计算'!W54+1,0),IF('01_数值调参'!W37&lt;0,'03_全链计算'!X54+1,0),IF('01_数值调参'!W38&lt;0,'03_全链计算'!Y54+1,0),IF('01_数值调参'!W39&lt;0,'03_全链计算'!Z54+1,0),IF('01_数值调参'!W40&lt;0,'03_全链计算'!AA54+1,0),IF('01_数值调参'!W41&lt;0,'03_全链计算'!AB54+1,0),IF('01_数值调参'!W42&lt;0,'03_全链计算'!AC54+1,0),IF('01_数值调参'!W43&lt;0,'03_全链计算'!AD54+1,0),IF('01_数值调参'!W44&lt;0,'03_全链计算'!AE54+1,0),IF('01_数值调参'!W45&lt;0,'03_全链计算'!AF54+1,0),IF('01_数值调参'!W46&lt;0,'03_全链计算'!AG54+1,0),IF('01_数值调参'!W47&lt;0,'03_全链计算'!AH54+1,0),IF('01_数值调参'!W48&lt;0,'03_全链计算'!AI54+1,0),IF('01_数值调参'!W49&lt;0,'03_全链计算'!AJ54+1,0),IF('01_数值调参'!W50&lt;0,'03_全链计算'!AK54+1,0),IF('01_数值调参'!W51&lt;0,'03_全链计算'!AL54+1,0),IF('01_数值调参'!W52&lt;0,'03_全链计算'!AM54+1,0))</x:f>
        <x:v>1</x:v>
      </x:c>
      <x:c r="X55" s="9" t="n">
        <x:f>MAX(IF('01_数值调参'!X18&lt;0,'03_全链计算'!E54+1,0),IF('01_数值调参'!X19&lt;0,'03_全链计算'!F54+1,0),IF('01_数值调参'!X20&lt;0,'03_全链计算'!G54+1,0),IF('01_数值调参'!X21&lt;0,'03_全链计算'!H54+1,0),IF('01_数值调参'!X22&lt;0,'03_全链计算'!I54+1,0),IF('01_数值调参'!X23&lt;0,'03_全链计算'!J54+1,0),IF('01_数值调参'!X24&lt;0,'03_全链计算'!K54+1,0),IF('01_数值调参'!X25&lt;0,'03_全链计算'!L54+1,0),IF('01_数值调参'!X26&lt;0,'03_全链计算'!M54+1,0),IF('01_数值调参'!X27&lt;0,'03_全链计算'!N54+1,0),IF('01_数值调参'!X28&lt;0,'03_全链计算'!O54+1,0),IF('01_数值调参'!X29&lt;0,'03_全链计算'!P54+1,0),IF('01_数值调参'!X30&lt;0,'03_全链计算'!Q54+1,0),IF('01_数值调参'!X31&lt;0,'03_全链计算'!R54+1,0),IF('01_数值调参'!X32&lt;0,'03_全链计算'!S54+1,0),IF('01_数值调参'!X33&lt;0,'03_全链计算'!T54+1,0),IF('01_数值调参'!X34&lt;0,'03_全链计算'!U54+1,0),IF('01_数值调参'!X35&lt;0,'03_全链计算'!V54+1,0),IF('01_数值调参'!X36&lt;0,'03_全链计算'!W54+1,0),IF('01_数值调参'!X37&lt;0,'03_全链计算'!X54+1,0),IF('01_数值调参'!X38&lt;0,'03_全链计算'!Y54+1,0),IF('01_数值调参'!X39&lt;0,'03_全链计算'!Z54+1,0),IF('01_数值调参'!X40&lt;0,'03_全链计算'!AA54+1,0),IF('01_数值调参'!X41&lt;0,'03_全链计算'!AB54+1,0),IF('01_数值调参'!X42&lt;0,'03_全链计算'!AC54+1,0),IF('01_数值调参'!X43&lt;0,'03_全链计算'!AD54+1,0),IF('01_数值调参'!X44&lt;0,'03_全链计算'!AE54+1,0),IF('01_数值调参'!X45&lt;0,'03_全链计算'!AF54+1,0),IF('01_数值调参'!X46&lt;0,'03_全链计算'!AG54+1,0),IF('01_数值调参'!X47&lt;0,'03_全链计算'!AH54+1,0),IF('01_数值调参'!X48&lt;0,'03_全链计算'!AI54+1,0),IF('01_数值调参'!X49&lt;0,'03_全链计算'!AJ54+1,0),IF('01_数值调参'!X50&lt;0,'03_全链计算'!AK54+1,0),IF('01_数值调参'!X51&lt;0,'03_全链计算'!AL54+1,0),IF('01_数值调参'!X52&lt;0,'03_全链计算'!AM54+1,0))</x:f>
        <x:v>2</x:v>
      </x:c>
      <x:c r="Y55" s="9" t="n">
        <x:f>MAX(IF('01_数值调参'!Y18&lt;0,'03_全链计算'!E54+1,0),IF('01_数值调参'!Y19&lt;0,'03_全链计算'!F54+1,0),IF('01_数值调参'!Y20&lt;0,'03_全链计算'!G54+1,0),IF('01_数值调参'!Y21&lt;0,'03_全链计算'!H54+1,0),IF('01_数值调参'!Y22&lt;0,'03_全链计算'!I54+1,0),IF('01_数值调参'!Y23&lt;0,'03_全链计算'!J54+1,0),IF('01_数值调参'!Y24&lt;0,'03_全链计算'!K54+1,0),IF('01_数值调参'!Y25&lt;0,'03_全链计算'!L54+1,0),IF('01_数值调参'!Y26&lt;0,'03_全链计算'!M54+1,0),IF('01_数值调参'!Y27&lt;0,'03_全链计算'!N54+1,0),IF('01_数值调参'!Y28&lt;0,'03_全链计算'!O54+1,0),IF('01_数值调参'!Y29&lt;0,'03_全链计算'!P54+1,0),IF('01_数值调参'!Y30&lt;0,'03_全链计算'!Q54+1,0),IF('01_数值调参'!Y31&lt;0,'03_全链计算'!R54+1,0),IF('01_数值调参'!Y32&lt;0,'03_全链计算'!S54+1,0),IF('01_数值调参'!Y33&lt;0,'03_全链计算'!T54+1,0),IF('01_数值调参'!Y34&lt;0,'03_全链计算'!U54+1,0),IF('01_数值调参'!Y35&lt;0,'03_全链计算'!V54+1,0),IF('01_数值调参'!Y36&lt;0,'03_全链计算'!W54+1,0),IF('01_数值调参'!Y37&lt;0,'03_全链计算'!X54+1,0),IF('01_数值调参'!Y38&lt;0,'03_全链计算'!Y54+1,0),IF('01_数值调参'!Y39&lt;0,'03_全链计算'!Z54+1,0),IF('01_数值调参'!Y40&lt;0,'03_全链计算'!AA54+1,0),IF('01_数值调参'!Y41&lt;0,'03_全链计算'!AB54+1,0),IF('01_数值调参'!Y42&lt;0,'03_全链计算'!AC54+1,0),IF('01_数值调参'!Y43&lt;0,'03_全链计算'!AD54+1,0),IF('01_数值调参'!Y44&lt;0,'03_全链计算'!AE54+1,0),IF('01_数值调参'!Y45&lt;0,'03_全链计算'!AF54+1,0),IF('01_数值调参'!Y46&lt;0,'03_全链计算'!AG54+1,0),IF('01_数值调参'!Y47&lt;0,'03_全链计算'!AH54+1,0),IF('01_数值调参'!Y48&lt;0,'03_全链计算'!AI54+1,0),IF('01_数值调参'!Y49&lt;0,'03_全链计算'!AJ54+1,0),IF('01_数值调参'!Y50&lt;0,'03_全链计算'!AK54+1,0),IF('01_数值调参'!Y51&lt;0,'03_全链计算'!AL54+1,0),IF('01_数值调参'!Y52&lt;0,'03_全链计算'!AM54+1,0))</x:f>
        <x:v>2</x:v>
      </x:c>
      <x:c r="Z55" s="9" t="n">
        <x:f>MAX(IF('01_数值调参'!Z18&lt;0,'03_全链计算'!E54+1,0),IF('01_数值调参'!Z19&lt;0,'03_全链计算'!F54+1,0),IF('01_数值调参'!Z20&lt;0,'03_全链计算'!G54+1,0),IF('01_数值调参'!Z21&lt;0,'03_全链计算'!H54+1,0),IF('01_数值调参'!Z22&lt;0,'03_全链计算'!I54+1,0),IF('01_数值调参'!Z23&lt;0,'03_全链计算'!J54+1,0),IF('01_数值调参'!Z24&lt;0,'03_全链计算'!K54+1,0),IF('01_数值调参'!Z25&lt;0,'03_全链计算'!L54+1,0),IF('01_数值调参'!Z26&lt;0,'03_全链计算'!M54+1,0),IF('01_数值调参'!Z27&lt;0,'03_全链计算'!N54+1,0),IF('01_数值调参'!Z28&lt;0,'03_全链计算'!O54+1,0),IF('01_数值调参'!Z29&lt;0,'03_全链计算'!P54+1,0),IF('01_数值调参'!Z30&lt;0,'03_全链计算'!Q54+1,0),IF('01_数值调参'!Z31&lt;0,'03_全链计算'!R54+1,0),IF('01_数值调参'!Z32&lt;0,'03_全链计算'!S54+1,0),IF('01_数值调参'!Z33&lt;0,'03_全链计算'!T54+1,0),IF('01_数值调参'!Z34&lt;0,'03_全链计算'!U54+1,0),IF('01_数值调参'!Z35&lt;0,'03_全链计算'!V54+1,0),IF('01_数值调参'!Z36&lt;0,'03_全链计算'!W54+1,0),IF('01_数值调参'!Z37&lt;0,'03_全链计算'!X54+1,0),IF('01_数值调参'!Z38&lt;0,'03_全链计算'!Y54+1,0),IF('01_数值调参'!Z39&lt;0,'03_全链计算'!Z54+1,0),IF('01_数值调参'!Z40&lt;0,'03_全链计算'!AA54+1,0),IF('01_数值调参'!Z41&lt;0,'03_全链计算'!AB54+1,0),IF('01_数值调参'!Z42&lt;0,'03_全链计算'!AC54+1,0),IF('01_数值调参'!Z43&lt;0,'03_全链计算'!AD54+1,0),IF('01_数值调参'!Z44&lt;0,'03_全链计算'!AE54+1,0),IF('01_数值调参'!Z45&lt;0,'03_全链计算'!AF54+1,0),IF('01_数值调参'!Z46&lt;0,'03_全链计算'!AG54+1,0),IF('01_数值调参'!Z47&lt;0,'03_全链计算'!AH54+1,0),IF('01_数值调参'!Z48&lt;0,'03_全链计算'!AI54+1,0),IF('01_数值调参'!Z49&lt;0,'03_全链计算'!AJ54+1,0),IF('01_数值调参'!Z50&lt;0,'03_全链计算'!AK54+1,0),IF('01_数值调参'!Z51&lt;0,'03_全链计算'!AL54+1,0),IF('01_数值调参'!Z52&lt;0,'03_全链计算'!AM54+1,0))</x:f>
        <x:v>2</x:v>
      </x:c>
      <x:c r="AA55" s="9" t="n">
        <x:f>MAX(IF('01_数值调参'!AA18&lt;0,'03_全链计算'!E54+1,0),IF('01_数值调参'!AA19&lt;0,'03_全链计算'!F54+1,0),IF('01_数值调参'!AA20&lt;0,'03_全链计算'!G54+1,0),IF('01_数值调参'!AA21&lt;0,'03_全链计算'!H54+1,0),IF('01_数值调参'!AA22&lt;0,'03_全链计算'!I54+1,0),IF('01_数值调参'!AA23&lt;0,'03_全链计算'!J54+1,0),IF('01_数值调参'!AA24&lt;0,'03_全链计算'!K54+1,0),IF('01_数值调参'!AA25&lt;0,'03_全链计算'!L54+1,0),IF('01_数值调参'!AA26&lt;0,'03_全链计算'!M54+1,0),IF('01_数值调参'!AA27&lt;0,'03_全链计算'!N54+1,0),IF('01_数值调参'!AA28&lt;0,'03_全链计算'!O54+1,0),IF('01_数值调参'!AA29&lt;0,'03_全链计算'!P54+1,0),IF('01_数值调参'!AA30&lt;0,'03_全链计算'!Q54+1,0),IF('01_数值调参'!AA31&lt;0,'03_全链计算'!R54+1,0),IF('01_数值调参'!AA32&lt;0,'03_全链计算'!S54+1,0),IF('01_数值调参'!AA33&lt;0,'03_全链计算'!T54+1,0),IF('01_数值调参'!AA34&lt;0,'03_全链计算'!U54+1,0),IF('01_数值调参'!AA35&lt;0,'03_全链计算'!V54+1,0),IF('01_数值调参'!AA36&lt;0,'03_全链计算'!W54+1,0),IF('01_数值调参'!AA37&lt;0,'03_全链计算'!X54+1,0),IF('01_数值调参'!AA38&lt;0,'03_全链计算'!Y54+1,0),IF('01_数值调参'!AA39&lt;0,'03_全链计算'!Z54+1,0),IF('01_数值调参'!AA40&lt;0,'03_全链计算'!AA54+1,0),IF('01_数值调参'!AA41&lt;0,'03_全链计算'!AB54+1,0),IF('01_数值调参'!AA42&lt;0,'03_全链计算'!AC54+1,0),IF('01_数值调参'!AA43&lt;0,'03_全链计算'!AD54+1,0),IF('01_数值调参'!AA44&lt;0,'03_全链计算'!AE54+1,0),IF('01_数值调参'!AA45&lt;0,'03_全链计算'!AF54+1,0),IF('01_数值调参'!AA46&lt;0,'03_全链计算'!AG54+1,0),IF('01_数值调参'!AA47&lt;0,'03_全链计算'!AH54+1,0),IF('01_数值调参'!AA48&lt;0,'03_全链计算'!AI54+1,0),IF('01_数值调参'!AA49&lt;0,'03_全链计算'!AJ54+1,0),IF('01_数值调参'!AA50&lt;0,'03_全链计算'!AK54+1,0),IF('01_数值调参'!AA51&lt;0,'03_全链计算'!AL54+1,0),IF('01_数值调参'!AA52&lt;0,'03_全链计算'!AM54+1,0))</x:f>
        <x:v>2</x:v>
      </x:c>
      <x:c r="AB55" s="9" t="n">
        <x:f>MAX(IF('01_数值调参'!AB18&lt;0,'03_全链计算'!E54+1,0),IF('01_数值调参'!AB19&lt;0,'03_全链计算'!F54+1,0),IF('01_数值调参'!AB20&lt;0,'03_全链计算'!G54+1,0),IF('01_数值调参'!AB21&lt;0,'03_全链计算'!H54+1,0),IF('01_数值调参'!AB22&lt;0,'03_全链计算'!I54+1,0),IF('01_数值调参'!AB23&lt;0,'03_全链计算'!J54+1,0),IF('01_数值调参'!AB24&lt;0,'03_全链计算'!K54+1,0),IF('01_数值调参'!AB25&lt;0,'03_全链计算'!L54+1,0),IF('01_数值调参'!AB26&lt;0,'03_全链计算'!M54+1,0),IF('01_数值调参'!AB27&lt;0,'03_全链计算'!N54+1,0),IF('01_数值调参'!AB28&lt;0,'03_全链计算'!O54+1,0),IF('01_数值调参'!AB29&lt;0,'03_全链计算'!P54+1,0),IF('01_数值调参'!AB30&lt;0,'03_全链计算'!Q54+1,0),IF('01_数值调参'!AB31&lt;0,'03_全链计算'!R54+1,0),IF('01_数值调参'!AB32&lt;0,'03_全链计算'!S54+1,0),IF('01_数值调参'!AB33&lt;0,'03_全链计算'!T54+1,0),IF('01_数值调参'!AB34&lt;0,'03_全链计算'!U54+1,0),IF('01_数值调参'!AB35&lt;0,'03_全链计算'!V54+1,0),IF('01_数值调参'!AB36&lt;0,'03_全链计算'!W54+1,0),IF('01_数值调参'!AB37&lt;0,'03_全链计算'!X54+1,0),IF('01_数值调参'!AB38&lt;0,'03_全链计算'!Y54+1,0),IF('01_数值调参'!AB39&lt;0,'03_全链计算'!Z54+1,0),IF('01_数值调参'!AB40&lt;0,'03_全链计算'!AA54+1,0),IF('01_数值调参'!AB41&lt;0,'03_全链计算'!AB54+1,0),IF('01_数值调参'!AB42&lt;0,'03_全链计算'!AC54+1,0),IF('01_数值调参'!AB43&lt;0,'03_全链计算'!AD54+1,0),IF('01_数值调参'!AB44&lt;0,'03_全链计算'!AE54+1,0),IF('01_数值调参'!AB45&lt;0,'03_全链计算'!AF54+1,0),IF('01_数值调参'!AB46&lt;0,'03_全链计算'!AG54+1,0),IF('01_数值调参'!AB47&lt;0,'03_全链计算'!AH54+1,0),IF('01_数值调参'!AB48&lt;0,'03_全链计算'!AI54+1,0),IF('01_数值调参'!AB49&lt;0,'03_全链计算'!AJ54+1,0),IF('01_数值调参'!AB50&lt;0,'03_全链计算'!AK54+1,0),IF('01_数值调参'!AB51&lt;0,'03_全链计算'!AL54+1,0),IF('01_数值调参'!AB52&lt;0,'03_全链计算'!AM54+1,0))</x:f>
        <x:v>2</x:v>
      </x:c>
      <x:c r="AC55" s="9" t="n">
        <x:f>MAX(IF('01_数值调参'!AC18&lt;0,'03_全链计算'!E54+1,0),IF('01_数值调参'!AC19&lt;0,'03_全链计算'!F54+1,0),IF('01_数值调参'!AC20&lt;0,'03_全链计算'!G54+1,0),IF('01_数值调参'!AC21&lt;0,'03_全链计算'!H54+1,0),IF('01_数值调参'!AC22&lt;0,'03_全链计算'!I54+1,0),IF('01_数值调参'!AC23&lt;0,'03_全链计算'!J54+1,0),IF('01_数值调参'!AC24&lt;0,'03_全链计算'!K54+1,0),IF('01_数值调参'!AC25&lt;0,'03_全链计算'!L54+1,0),IF('01_数值调参'!AC26&lt;0,'03_全链计算'!M54+1,0),IF('01_数值调参'!AC27&lt;0,'03_全链计算'!N54+1,0),IF('01_数值调参'!AC28&lt;0,'03_全链计算'!O54+1,0),IF('01_数值调参'!AC29&lt;0,'03_全链计算'!P54+1,0),IF('01_数值调参'!AC30&lt;0,'03_全链计算'!Q54+1,0),IF('01_数值调参'!AC31&lt;0,'03_全链计算'!R54+1,0),IF('01_数值调参'!AC32&lt;0,'03_全链计算'!S54+1,0),IF('01_数值调参'!AC33&lt;0,'03_全链计算'!T54+1,0),IF('01_数值调参'!AC34&lt;0,'03_全链计算'!U54+1,0),IF('01_数值调参'!AC35&lt;0,'03_全链计算'!V54+1,0),IF('01_数值调参'!AC36&lt;0,'03_全链计算'!W54+1,0),IF('01_数值调参'!AC37&lt;0,'03_全链计算'!X54+1,0),IF('01_数值调参'!AC38&lt;0,'03_全链计算'!Y54+1,0),IF('01_数值调参'!AC39&lt;0,'03_全链计算'!Z54+1,0),IF('01_数值调参'!AC40&lt;0,'03_全链计算'!AA54+1,0),IF('01_数值调参'!AC41&lt;0,'03_全链计算'!AB54+1,0),IF('01_数值调参'!AC42&lt;0,'03_全链计算'!AC54+1,0),IF('01_数值调参'!AC43&lt;0,'03_全链计算'!AD54+1,0),IF('01_数值调参'!AC44&lt;0,'03_全链计算'!AE54+1,0),IF('01_数值调参'!AC45&lt;0,'03_全链计算'!AF54+1,0),IF('01_数值调参'!AC46&lt;0,'03_全链计算'!AG54+1,0),IF('01_数值调参'!AC47&lt;0,'03_全链计算'!AH54+1,0),IF('01_数值调参'!AC48&lt;0,'03_全链计算'!AI54+1,0),IF('01_数值调参'!AC49&lt;0,'03_全链计算'!AJ54+1,0),IF('01_数值调参'!AC50&lt;0,'03_全链计算'!AK54+1,0),IF('01_数值调参'!AC51&lt;0,'03_全链计算'!AL54+1,0),IF('01_数值调参'!AC52&lt;0,'03_全链计算'!AM54+1,0))</x:f>
        <x:v>2</x:v>
      </x:c>
      <x:c r="AD55" s="9" t="n">
        <x:f>MAX(IF('01_数值调参'!AD18&lt;0,'03_全链计算'!E54+1,0),IF('01_数值调参'!AD19&lt;0,'03_全链计算'!F54+1,0),IF('01_数值调参'!AD20&lt;0,'03_全链计算'!G54+1,0),IF('01_数值调参'!AD21&lt;0,'03_全链计算'!H54+1,0),IF('01_数值调参'!AD22&lt;0,'03_全链计算'!I54+1,0),IF('01_数值调参'!AD23&lt;0,'03_全链计算'!J54+1,0),IF('01_数值调参'!AD24&lt;0,'03_全链计算'!K54+1,0),IF('01_数值调参'!AD25&lt;0,'03_全链计算'!L54+1,0),IF('01_数值调参'!AD26&lt;0,'03_全链计算'!M54+1,0),IF('01_数值调参'!AD27&lt;0,'03_全链计算'!N54+1,0),IF('01_数值调参'!AD28&lt;0,'03_全链计算'!O54+1,0),IF('01_数值调参'!AD29&lt;0,'03_全链计算'!P54+1,0),IF('01_数值调参'!AD30&lt;0,'03_全链计算'!Q54+1,0),IF('01_数值调参'!AD31&lt;0,'03_全链计算'!R54+1,0),IF('01_数值调参'!AD32&lt;0,'03_全链计算'!S54+1,0),IF('01_数值调参'!AD33&lt;0,'03_全链计算'!T54+1,0),IF('01_数值调参'!AD34&lt;0,'03_全链计算'!U54+1,0),IF('01_数值调参'!AD35&lt;0,'03_全链计算'!V54+1,0),IF('01_数值调参'!AD36&lt;0,'03_全链计算'!W54+1,0),IF('01_数值调参'!AD37&lt;0,'03_全链计算'!X54+1,0),IF('01_数值调参'!AD38&lt;0,'03_全链计算'!Y54+1,0),IF('01_数值调参'!AD39&lt;0,'03_全链计算'!Z54+1,0),IF('01_数值调参'!AD40&lt;0,'03_全链计算'!AA54+1,0),IF('01_数值调参'!AD41&lt;0,'03_全链计算'!AB54+1,0),IF('01_数值调参'!AD42&lt;0,'03_全链计算'!AC54+1,0),IF('01_数值调参'!AD43&lt;0,'03_全链计算'!AD54+1,0),IF('01_数值调参'!AD44&lt;0,'03_全链计算'!AE54+1,0),IF('01_数值调参'!AD45&lt;0,'03_全链计算'!AF54+1,0),IF('01_数值调参'!AD46&lt;0,'03_全链计算'!AG54+1,0),IF('01_数值调参'!AD47&lt;0,'03_全链计算'!AH54+1,0),IF('01_数值调参'!AD48&lt;0,'03_全链计算'!AI54+1,0),IF('01_数值调参'!AD49&lt;0,'03_全链计算'!AJ54+1,0),IF('01_数值调参'!AD50&lt;0,'03_全链计算'!AK54+1,0),IF('01_数值调参'!AD51&lt;0,'03_全链计算'!AL54+1,0),IF('01_数值调参'!AD52&lt;0,'03_全链计算'!AM54+1,0))</x:f>
        <x:v>1</x:v>
      </x:c>
      <x:c r="AE55" s="9" t="n">
        <x:f>MAX(IF('01_数值调参'!AE18&lt;0,'03_全链计算'!E54+1,0),IF('01_数值调参'!AE19&lt;0,'03_全链计算'!F54+1,0),IF('01_数值调参'!AE20&lt;0,'03_全链计算'!G54+1,0),IF('01_数值调参'!AE21&lt;0,'03_全链计算'!H54+1,0),IF('01_数值调参'!AE22&lt;0,'03_全链计算'!I54+1,0),IF('01_数值调参'!AE23&lt;0,'03_全链计算'!J54+1,0),IF('01_数值调参'!AE24&lt;0,'03_全链计算'!K54+1,0),IF('01_数值调参'!AE25&lt;0,'03_全链计算'!L54+1,0),IF('01_数值调参'!AE26&lt;0,'03_全链计算'!M54+1,0),IF('01_数值调参'!AE27&lt;0,'03_全链计算'!N54+1,0),IF('01_数值调参'!AE28&lt;0,'03_全链计算'!O54+1,0),IF('01_数值调参'!AE29&lt;0,'03_全链计算'!P54+1,0),IF('01_数值调参'!AE30&lt;0,'03_全链计算'!Q54+1,0),IF('01_数值调参'!AE31&lt;0,'03_全链计算'!R54+1,0),IF('01_数值调参'!AE32&lt;0,'03_全链计算'!S54+1,0),IF('01_数值调参'!AE33&lt;0,'03_全链计算'!T54+1,0),IF('01_数值调参'!AE34&lt;0,'03_全链计算'!U54+1,0),IF('01_数值调参'!AE35&lt;0,'03_全链计算'!V54+1,0),IF('01_数值调参'!AE36&lt;0,'03_全链计算'!W54+1,0),IF('01_数值调参'!AE37&lt;0,'03_全链计算'!X54+1,0),IF('01_数值调参'!AE38&lt;0,'03_全链计算'!Y54+1,0),IF('01_数值调参'!AE39&lt;0,'03_全链计算'!Z54+1,0),IF('01_数值调参'!AE40&lt;0,'03_全链计算'!AA54+1,0),IF('01_数值调参'!AE41&lt;0,'03_全链计算'!AB54+1,0),IF('01_数值调参'!AE42&lt;0,'03_全链计算'!AC54+1,0),IF('01_数值调参'!AE43&lt;0,'03_全链计算'!AD54+1,0),IF('01_数值调参'!AE44&lt;0,'03_全链计算'!AE54+1,0),IF('01_数值调参'!AE45&lt;0,'03_全链计算'!AF54+1,0),IF('01_数值调参'!AE46&lt;0,'03_全链计算'!AG54+1,0),IF('01_数值调参'!AE47&lt;0,'03_全链计算'!AH54+1,0),IF('01_数值调参'!AE48&lt;0,'03_全链计算'!AI54+1,0),IF('01_数值调参'!AE49&lt;0,'03_全链计算'!AJ54+1,0),IF('01_数值调参'!AE50&lt;0,'03_全链计算'!AK54+1,0),IF('01_数值调参'!AE51&lt;0,'03_全链计算'!AL54+1,0),IF('01_数值调参'!AE52&lt;0,'03_全链计算'!AM54+1,0))</x:f>
        <x:v>1</x:v>
      </x:c>
      <x:c r="AF55" s="9" t="n">
        <x:f>MAX(IF('01_数值调参'!AF18&lt;0,'03_全链计算'!E54+1,0),IF('01_数值调参'!AF19&lt;0,'03_全链计算'!F54+1,0),IF('01_数值调参'!AF20&lt;0,'03_全链计算'!G54+1,0),IF('01_数值调参'!AF21&lt;0,'03_全链计算'!H54+1,0),IF('01_数值调参'!AF22&lt;0,'03_全链计算'!I54+1,0),IF('01_数值调参'!AF23&lt;0,'03_全链计算'!J54+1,0),IF('01_数值调参'!AF24&lt;0,'03_全链计算'!K54+1,0),IF('01_数值调参'!AF25&lt;0,'03_全链计算'!L54+1,0),IF('01_数值调参'!AF26&lt;0,'03_全链计算'!M54+1,0),IF('01_数值调参'!AF27&lt;0,'03_全链计算'!N54+1,0),IF('01_数值调参'!AF28&lt;0,'03_全链计算'!O54+1,0),IF('01_数值调参'!AF29&lt;0,'03_全链计算'!P54+1,0),IF('01_数值调参'!AF30&lt;0,'03_全链计算'!Q54+1,0),IF('01_数值调参'!AF31&lt;0,'03_全链计算'!R54+1,0),IF('01_数值调参'!AF32&lt;0,'03_全链计算'!S54+1,0),IF('01_数值调参'!AF33&lt;0,'03_全链计算'!T54+1,0),IF('01_数值调参'!AF34&lt;0,'03_全链计算'!U54+1,0),IF('01_数值调参'!AF35&lt;0,'03_全链计算'!V54+1,0),IF('01_数值调参'!AF36&lt;0,'03_全链计算'!W54+1,0),IF('01_数值调参'!AF37&lt;0,'03_全链计算'!X54+1,0),IF('01_数值调参'!AF38&lt;0,'03_全链计算'!Y54+1,0),IF('01_数值调参'!AF39&lt;0,'03_全链计算'!Z54+1,0),IF('01_数值调参'!AF40&lt;0,'03_全链计算'!AA54+1,0),IF('01_数值调参'!AF41&lt;0,'03_全链计算'!AB54+1,0),IF('01_数值调参'!AF42&lt;0,'03_全链计算'!AC54+1,0),IF('01_数值调参'!AF43&lt;0,'03_全链计算'!AD54+1,0),IF('01_数值调参'!AF44&lt;0,'03_全链计算'!AE54+1,0),IF('01_数值调参'!AF45&lt;0,'03_全链计算'!AF54+1,0),IF('01_数值调参'!AF46&lt;0,'03_全链计算'!AG54+1,0),IF('01_数值调参'!AF47&lt;0,'03_全链计算'!AH54+1,0),IF('01_数值调参'!AF48&lt;0,'03_全链计算'!AI54+1,0),IF('01_数值调参'!AF49&lt;0,'03_全链计算'!AJ54+1,0),IF('01_数值调参'!AF50&lt;0,'03_全链计算'!AK54+1,0),IF('01_数值调参'!AF51&lt;0,'03_全链计算'!AL54+1,0),IF('01_数值调参'!AF52&lt;0,'03_全链计算'!AM54+1,0))</x:f>
        <x:v>1</x:v>
      </x:c>
      <x:c r="AG55" s="9" t="n">
        <x:f>MAX(IF('01_数值调参'!AG18&lt;0,'03_全链计算'!E54+1,0),IF('01_数值调参'!AG19&lt;0,'03_全链计算'!F54+1,0),IF('01_数值调参'!AG20&lt;0,'03_全链计算'!G54+1,0),IF('01_数值调参'!AG21&lt;0,'03_全链计算'!H54+1,0),IF('01_数值调参'!AG22&lt;0,'03_全链计算'!I54+1,0),IF('01_数值调参'!AG23&lt;0,'03_全链计算'!J54+1,0),IF('01_数值调参'!AG24&lt;0,'03_全链计算'!K54+1,0),IF('01_数值调参'!AG25&lt;0,'03_全链计算'!L54+1,0),IF('01_数值调参'!AG26&lt;0,'03_全链计算'!M54+1,0),IF('01_数值调参'!AG27&lt;0,'03_全链计算'!N54+1,0),IF('01_数值调参'!AG28&lt;0,'03_全链计算'!O54+1,0),IF('01_数值调参'!AG29&lt;0,'03_全链计算'!P54+1,0),IF('01_数值调参'!AG30&lt;0,'03_全链计算'!Q54+1,0),IF('01_数值调参'!AG31&lt;0,'03_全链计算'!R54+1,0),IF('01_数值调参'!AG32&lt;0,'03_全链计算'!S54+1,0),IF('01_数值调参'!AG33&lt;0,'03_全链计算'!T54+1,0),IF('01_数值调参'!AG34&lt;0,'03_全链计算'!U54+1,0),IF('01_数值调参'!AG35&lt;0,'03_全链计算'!V54+1,0),IF('01_数值调参'!AG36&lt;0,'03_全链计算'!W54+1,0),IF('01_数值调参'!AG37&lt;0,'03_全链计算'!X54+1,0),IF('01_数值调参'!AG38&lt;0,'03_全链计算'!Y54+1,0),IF('01_数值调参'!AG39&lt;0,'03_全链计算'!Z54+1,0),IF('01_数值调参'!AG40&lt;0,'03_全链计算'!AA54+1,0),IF('01_数值调参'!AG41&lt;0,'03_全链计算'!AB54+1,0),IF('01_数值调参'!AG42&lt;0,'03_全链计算'!AC54+1,0),IF('01_数值调参'!AG43&lt;0,'03_全链计算'!AD54+1,0),IF('01_数值调参'!AG44&lt;0,'03_全链计算'!AE54+1,0),IF('01_数值调参'!AG45&lt;0,'03_全链计算'!AF54+1,0),IF('01_数值调参'!AG46&lt;0,'03_全链计算'!AG54+1,0),IF('01_数值调参'!AG47&lt;0,'03_全链计算'!AH54+1,0),IF('01_数值调参'!AG48&lt;0,'03_全链计算'!AI54+1,0),IF('01_数值调参'!AG49&lt;0,'03_全链计算'!AJ54+1,0),IF('01_数值调参'!AG50&lt;0,'03_全链计算'!AK54+1,0),IF('01_数值调参'!AG51&lt;0,'03_全链计算'!AL54+1,0),IF('01_数值调参'!AG52&lt;0,'03_全链计算'!AM54+1,0))</x:f>
        <x:v>1</x:v>
      </x:c>
      <x:c r="AH55" s="9" t="n">
        <x:f>MAX(IF('01_数值调参'!AH18&lt;0,'03_全链计算'!E54+1,0),IF('01_数值调参'!AH19&lt;0,'03_全链计算'!F54+1,0),IF('01_数值调参'!AH20&lt;0,'03_全链计算'!G54+1,0),IF('01_数值调参'!AH21&lt;0,'03_全链计算'!H54+1,0),IF('01_数值调参'!AH22&lt;0,'03_全链计算'!I54+1,0),IF('01_数值调参'!AH23&lt;0,'03_全链计算'!J54+1,0),IF('01_数值调参'!AH24&lt;0,'03_全链计算'!K54+1,0),IF('01_数值调参'!AH25&lt;0,'03_全链计算'!L54+1,0),IF('01_数值调参'!AH26&lt;0,'03_全链计算'!M54+1,0),IF('01_数值调参'!AH27&lt;0,'03_全链计算'!N54+1,0),IF('01_数值调参'!AH28&lt;0,'03_全链计算'!O54+1,0),IF('01_数值调参'!AH29&lt;0,'03_全链计算'!P54+1,0),IF('01_数值调参'!AH30&lt;0,'03_全链计算'!Q54+1,0),IF('01_数值调参'!AH31&lt;0,'03_全链计算'!R54+1,0),IF('01_数值调参'!AH32&lt;0,'03_全链计算'!S54+1,0),IF('01_数值调参'!AH33&lt;0,'03_全链计算'!T54+1,0),IF('01_数值调参'!AH34&lt;0,'03_全链计算'!U54+1,0),IF('01_数值调参'!AH35&lt;0,'03_全链计算'!V54+1,0),IF('01_数值调参'!AH36&lt;0,'03_全链计算'!W54+1,0),IF('01_数值调参'!AH37&lt;0,'03_全链计算'!X54+1,0),IF('01_数值调参'!AH38&lt;0,'03_全链计算'!Y54+1,0),IF('01_数值调参'!AH39&lt;0,'03_全链计算'!Z54+1,0),IF('01_数值调参'!AH40&lt;0,'03_全链计算'!AA54+1,0),IF('01_数值调参'!AH41&lt;0,'03_全链计算'!AB54+1,0),IF('01_数值调参'!AH42&lt;0,'03_全链计算'!AC54+1,0),IF('01_数值调参'!AH43&lt;0,'03_全链计算'!AD54+1,0),IF('01_数值调参'!AH44&lt;0,'03_全链计算'!AE54+1,0),IF('01_数值调参'!AH45&lt;0,'03_全链计算'!AF54+1,0),IF('01_数值调参'!AH46&lt;0,'03_全链计算'!AG54+1,0),IF('01_数值调参'!AH47&lt;0,'03_全链计算'!AH54+1,0),IF('01_数值调参'!AH48&lt;0,'03_全链计算'!AI54+1,0),IF('01_数值调参'!AH49&lt;0,'03_全链计算'!AJ54+1,0),IF('01_数值调参'!AH50&lt;0,'03_全链计算'!AK54+1,0),IF('01_数值调参'!AH51&lt;0,'03_全链计算'!AL54+1,0),IF('01_数值调参'!AH52&lt;0,'03_全链计算'!AM54+1,0))</x:f>
        <x:v>2</x:v>
      </x:c>
      <x:c r="AI55" s="9" t="n">
        <x:f>MAX(IF('01_数值调参'!AI18&lt;0,'03_全链计算'!E54+1,0),IF('01_数值调参'!AI19&lt;0,'03_全链计算'!F54+1,0),IF('01_数值调参'!AI20&lt;0,'03_全链计算'!G54+1,0),IF('01_数值调参'!AI21&lt;0,'03_全链计算'!H54+1,0),IF('01_数值调参'!AI22&lt;0,'03_全链计算'!I54+1,0),IF('01_数值调参'!AI23&lt;0,'03_全链计算'!J54+1,0),IF('01_数值调参'!AI24&lt;0,'03_全链计算'!K54+1,0),IF('01_数值调参'!AI25&lt;0,'03_全链计算'!L54+1,0),IF('01_数值调参'!AI26&lt;0,'03_全链计算'!M54+1,0),IF('01_数值调参'!AI27&lt;0,'03_全链计算'!N54+1,0),IF('01_数值调参'!AI28&lt;0,'03_全链计算'!O54+1,0),IF('01_数值调参'!AI29&lt;0,'03_全链计算'!P54+1,0),IF('01_数值调参'!AI30&lt;0,'03_全链计算'!Q54+1,0),IF('01_数值调参'!AI31&lt;0,'03_全链计算'!R54+1,0),IF('01_数值调参'!AI32&lt;0,'03_全链计算'!S54+1,0),IF('01_数值调参'!AI33&lt;0,'03_全链计算'!T54+1,0),IF('01_数值调参'!AI34&lt;0,'03_全链计算'!U54+1,0),IF('01_数值调参'!AI35&lt;0,'03_全链计算'!V54+1,0),IF('01_数值调参'!AI36&lt;0,'03_全链计算'!W54+1,0),IF('01_数值调参'!AI37&lt;0,'03_全链计算'!X54+1,0),IF('01_数值调参'!AI38&lt;0,'03_全链计算'!Y54+1,0),IF('01_数值调参'!AI39&lt;0,'03_全链计算'!Z54+1,0),IF('01_数值调参'!AI40&lt;0,'03_全链计算'!AA54+1,0),IF('01_数值调参'!AI41&lt;0,'03_全链计算'!AB54+1,0),IF('01_数值调参'!AI42&lt;0,'03_全链计算'!AC54+1,0),IF('01_数值调参'!AI43&lt;0,'03_全链计算'!AD54+1,0),IF('01_数值调参'!AI44&lt;0,'03_全链计算'!AE54+1,0),IF('01_数值调参'!AI45&lt;0,'03_全链计算'!AF54+1,0),IF('01_数值调参'!AI46&lt;0,'03_全链计算'!AG54+1,0),IF('01_数值调参'!AI47&lt;0,'03_全链计算'!AH54+1,0),IF('01_数值调参'!AI48&lt;0,'03_全链计算'!AI54+1,0),IF('01_数值调参'!AI49&lt;0,'03_全链计算'!AJ54+1,0),IF('01_数值调参'!AI50&lt;0,'03_全链计算'!AK54+1,0),IF('01_数值调参'!AI51&lt;0,'03_全链计算'!AL54+1,0),IF('01_数值调参'!AI52&lt;0,'03_全链计算'!AM54+1,0))</x:f>
        <x:v>2</x:v>
      </x:c>
      <x:c r="AJ55" s="9" t="n">
        <x:f>MAX(IF('01_数值调参'!AJ18&lt;0,'03_全链计算'!E54+1,0),IF('01_数值调参'!AJ19&lt;0,'03_全链计算'!F54+1,0),IF('01_数值调参'!AJ20&lt;0,'03_全链计算'!G54+1,0),IF('01_数值调参'!AJ21&lt;0,'03_全链计算'!H54+1,0),IF('01_数值调参'!AJ22&lt;0,'03_全链计算'!I54+1,0),IF('01_数值调参'!AJ23&lt;0,'03_全链计算'!J54+1,0),IF('01_数值调参'!AJ24&lt;0,'03_全链计算'!K54+1,0),IF('01_数值调参'!AJ25&lt;0,'03_全链计算'!L54+1,0),IF('01_数值调参'!AJ26&lt;0,'03_全链计算'!M54+1,0),IF('01_数值调参'!AJ27&lt;0,'03_全链计算'!N54+1,0),IF('01_数值调参'!AJ28&lt;0,'03_全链计算'!O54+1,0),IF('01_数值调参'!AJ29&lt;0,'03_全链计算'!P54+1,0),IF('01_数值调参'!AJ30&lt;0,'03_全链计算'!Q54+1,0),IF('01_数值调参'!AJ31&lt;0,'03_全链计算'!R54+1,0),IF('01_数值调参'!AJ32&lt;0,'03_全链计算'!S54+1,0),IF('01_数值调参'!AJ33&lt;0,'03_全链计算'!T54+1,0),IF('01_数值调参'!AJ34&lt;0,'03_全链计算'!U54+1,0),IF('01_数值调参'!AJ35&lt;0,'03_全链计算'!V54+1,0),IF('01_数值调参'!AJ36&lt;0,'03_全链计算'!W54+1,0),IF('01_数值调参'!AJ37&lt;0,'03_全链计算'!X54+1,0),IF('01_数值调参'!AJ38&lt;0,'03_全链计算'!Y54+1,0),IF('01_数值调参'!AJ39&lt;0,'03_全链计算'!Z54+1,0),IF('01_数值调参'!AJ40&lt;0,'03_全链计算'!AA54+1,0),IF('01_数值调参'!AJ41&lt;0,'03_全链计算'!AB54+1,0),IF('01_数值调参'!AJ42&lt;0,'03_全链计算'!AC54+1,0),IF('01_数值调参'!AJ43&lt;0,'03_全链计算'!AD54+1,0),IF('01_数值调参'!AJ44&lt;0,'03_全链计算'!AE54+1,0),IF('01_数值调参'!AJ45&lt;0,'03_全链计算'!AF54+1,0),IF('01_数值调参'!AJ46&lt;0,'03_全链计算'!AG54+1,0),IF('01_数值调参'!AJ47&lt;0,'03_全链计算'!AH54+1,0),IF('01_数值调参'!AJ48&lt;0,'03_全链计算'!AI54+1,0),IF('01_数值调参'!AJ49&lt;0,'03_全链计算'!AJ54+1,0),IF('01_数值调参'!AJ50&lt;0,'03_全链计算'!AK54+1,0),IF('01_数值调参'!AJ51&lt;0,'03_全链计算'!AL54+1,0),IF('01_数值调参'!AJ52&lt;0,'03_全链计算'!AM54+1,0))</x:f>
        <x:v>2</x:v>
      </x:c>
      <x:c r="AK55" s="9" t="n">
        <x:f>MAX(IF('01_数值调参'!AK18&lt;0,'03_全链计算'!E54+1,0),IF('01_数值调参'!AK19&lt;0,'03_全链计算'!F54+1,0),IF('01_数值调参'!AK20&lt;0,'03_全链计算'!G54+1,0),IF('01_数值调参'!AK21&lt;0,'03_全链计算'!H54+1,0),IF('01_数值调参'!AK22&lt;0,'03_全链计算'!I54+1,0),IF('01_数值调参'!AK23&lt;0,'03_全链计算'!J54+1,0),IF('01_数值调参'!AK24&lt;0,'03_全链计算'!K54+1,0),IF('01_数值调参'!AK25&lt;0,'03_全链计算'!L54+1,0),IF('01_数值调参'!AK26&lt;0,'03_全链计算'!M54+1,0),IF('01_数值调参'!AK27&lt;0,'03_全链计算'!N54+1,0),IF('01_数值调参'!AK28&lt;0,'03_全链计算'!O54+1,0),IF('01_数值调参'!AK29&lt;0,'03_全链计算'!P54+1,0),IF('01_数值调参'!AK30&lt;0,'03_全链计算'!Q54+1,0),IF('01_数值调参'!AK31&lt;0,'03_全链计算'!R54+1,0),IF('01_数值调参'!AK32&lt;0,'03_全链计算'!S54+1,0),IF('01_数值调参'!AK33&lt;0,'03_全链计算'!T54+1,0),IF('01_数值调参'!AK34&lt;0,'03_全链计算'!U54+1,0),IF('01_数值调参'!AK35&lt;0,'03_全链计算'!V54+1,0),IF('01_数值调参'!AK36&lt;0,'03_全链计算'!W54+1,0),IF('01_数值调参'!AK37&lt;0,'03_全链计算'!X54+1,0),IF('01_数值调参'!AK38&lt;0,'03_全链计算'!Y54+1,0),IF('01_数值调参'!AK39&lt;0,'03_全链计算'!Z54+1,0),IF('01_数值调参'!AK40&lt;0,'03_全链计算'!AA54+1,0),IF('01_数值调参'!AK41&lt;0,'03_全链计算'!AB54+1,0),IF('01_数值调参'!AK42&lt;0,'03_全链计算'!AC54+1,0),IF('01_数值调参'!AK43&lt;0,'03_全链计算'!AD54+1,0),IF('01_数值调参'!AK44&lt;0,'03_全链计算'!AE54+1,0),IF('01_数值调参'!AK45&lt;0,'03_全链计算'!AF54+1,0),IF('01_数值调参'!AK46&lt;0,'03_全链计算'!AG54+1,0),IF('01_数值调参'!AK47&lt;0,'03_全链计算'!AH54+1,0),IF('01_数值调参'!AK48&lt;0,'03_全链计算'!AI54+1,0),IF('01_数值调参'!AK49&lt;0,'03_全链计算'!AJ54+1,0),IF('01_数值调参'!AK50&lt;0,'03_全链计算'!AK54+1,0),IF('01_数值调参'!AK51&lt;0,'03_全链计算'!AL54+1,0),IF('01_数值调参'!AK52&lt;0,'03_全链计算'!AM54+1,0))</x:f>
        <x:v>2</x:v>
      </x:c>
      <x:c r="AL55" s="9" t="n">
        <x:f>MAX(IF('01_数值调参'!AL18&lt;0,'03_全链计算'!E54+1,0),IF('01_数值调参'!AL19&lt;0,'03_全链计算'!F54+1,0),IF('01_数值调参'!AL20&lt;0,'03_全链计算'!G54+1,0),IF('01_数值调参'!AL21&lt;0,'03_全链计算'!H54+1,0),IF('01_数值调参'!AL22&lt;0,'03_全链计算'!I54+1,0),IF('01_数值调参'!AL23&lt;0,'03_全链计算'!J54+1,0),IF('01_数值调参'!AL24&lt;0,'03_全链计算'!K54+1,0),IF('01_数值调参'!AL25&lt;0,'03_全链计算'!L54+1,0),IF('01_数值调参'!AL26&lt;0,'03_全链计算'!M54+1,0),IF('01_数值调参'!AL27&lt;0,'03_全链计算'!N54+1,0),IF('01_数值调参'!AL28&lt;0,'03_全链计算'!O54+1,0),IF('01_数值调参'!AL29&lt;0,'03_全链计算'!P54+1,0),IF('01_数值调参'!AL30&lt;0,'03_全链计算'!Q54+1,0),IF('01_数值调参'!AL31&lt;0,'03_全链计算'!R54+1,0),IF('01_数值调参'!AL32&lt;0,'03_全链计算'!S54+1,0),IF('01_数值调参'!AL33&lt;0,'03_全链计算'!T54+1,0),IF('01_数值调参'!AL34&lt;0,'03_全链计算'!U54+1,0),IF('01_数值调参'!AL35&lt;0,'03_全链计算'!V54+1,0),IF('01_数值调参'!AL36&lt;0,'03_全链计算'!W54+1,0),IF('01_数值调参'!AL37&lt;0,'03_全链计算'!X54+1,0),IF('01_数值调参'!AL38&lt;0,'03_全链计算'!Y54+1,0),IF('01_数值调参'!AL39&lt;0,'03_全链计算'!Z54+1,0),IF('01_数值调参'!AL40&lt;0,'03_全链计算'!AA54+1,0),IF('01_数值调参'!AL41&lt;0,'03_全链计算'!AB54+1,0),IF('01_数值调参'!AL42&lt;0,'03_全链计算'!AC54+1,0),IF('01_数值调参'!AL43&lt;0,'03_全链计算'!AD54+1,0),IF('01_数值调参'!AL44&lt;0,'03_全链计算'!AE54+1,0),IF('01_数值调参'!AL45&lt;0,'03_全链计算'!AF54+1,0),IF('01_数值调参'!AL46&lt;0,'03_全链计算'!AG54+1,0),IF('01_数值调参'!AL47&lt;0,'03_全链计算'!AH54+1,0),IF('01_数值调参'!AL48&lt;0,'03_全链计算'!AI54+1,0),IF('01_数值调参'!AL49&lt;0,'03_全链计算'!AJ54+1,0),IF('01_数值调参'!AL50&lt;0,'03_全链计算'!AK54+1,0),IF('01_数值调参'!AL51&lt;0,'03_全链计算'!AL54+1,0),IF('01_数值调参'!AL52&lt;0,'03_全链计算'!AM54+1,0))</x:f>
        <x:v>3</x:v>
      </x:c>
      <x:c r="AM55" s="9" t="n">
        <x:f>MAX(IF('01_数值调参'!AM18&lt;0,'03_全链计算'!E54+1,0),IF('01_数值调参'!AM19&lt;0,'03_全链计算'!F54+1,0),IF('01_数值调参'!AM20&lt;0,'03_全链计算'!G54+1,0),IF('01_数值调参'!AM21&lt;0,'03_全链计算'!H54+1,0),IF('01_数值调参'!AM22&lt;0,'03_全链计算'!I54+1,0),IF('01_数值调参'!AM23&lt;0,'03_全链计算'!J54+1,0),IF('01_数值调参'!AM24&lt;0,'03_全链计算'!K54+1,0),IF('01_数值调参'!AM25&lt;0,'03_全链计算'!L54+1,0),IF('01_数值调参'!AM26&lt;0,'03_全链计算'!M54+1,0),IF('01_数值调参'!AM27&lt;0,'03_全链计算'!N54+1,0),IF('01_数值调参'!AM28&lt;0,'03_全链计算'!O54+1,0),IF('01_数值调参'!AM29&lt;0,'03_全链计算'!P54+1,0),IF('01_数值调参'!AM30&lt;0,'03_全链计算'!Q54+1,0),IF('01_数值调参'!AM31&lt;0,'03_全链计算'!R54+1,0),IF('01_数值调参'!AM32&lt;0,'03_全链计算'!S54+1,0),IF('01_数值调参'!AM33&lt;0,'03_全链计算'!T54+1,0),IF('01_数值调参'!AM34&lt;0,'03_全链计算'!U54+1,0),IF('01_数值调参'!AM35&lt;0,'03_全链计算'!V54+1,0),IF('01_数值调参'!AM36&lt;0,'03_全链计算'!W54+1,0),IF('01_数值调参'!AM37&lt;0,'03_全链计算'!X54+1,0),IF('01_数值调参'!AM38&lt;0,'03_全链计算'!Y54+1,0),IF('01_数值调参'!AM39&lt;0,'03_全链计算'!Z54+1,0),IF('01_数值调参'!AM40&lt;0,'03_全链计算'!AA54+1,0),IF('01_数值调参'!AM41&lt;0,'03_全链计算'!AB54+1,0),IF('01_数值调参'!AM42&lt;0,'03_全链计算'!AC54+1,0),IF('01_数值调参'!AM43&lt;0,'03_全链计算'!AD54+1,0),IF('01_数值调参'!AM44&lt;0,'03_全链计算'!AE54+1,0),IF('01_数值调参'!AM45&lt;0,'03_全链计算'!AF54+1,0),IF('01_数值调参'!AM46&lt;0,'03_全链计算'!AG54+1,0),IF('01_数值调参'!AM47&lt;0,'03_全链计算'!AH54+1,0),IF('01_数值调参'!AM48&lt;0,'03_全链计算'!AI54+1,0),IF('01_数值调参'!AM49&lt;0,'03_全链计算'!AJ54+1,0),IF('01_数值调参'!AM50&lt;0,'03_全链计算'!AK54+1,0),IF('01_数值调参'!AM51&lt;0,'03_全链计算'!AL54+1,0),IF('01_数值调参'!AM52&lt;0,'03_全链计算'!AM54+1,0))</x:f>
        <x:v>3</x:v>
      </x:c>
    </x:row>
    <x:row r="56" ht="22" customHeight="1">
      <x:c r="A56" s="9" t="n">
        <x:v>11</x:v>
      </x:c>
      <x:c r="B56" s="9"/>
      <x:c r="C56" s="9"/>
      <x:c r="D56" s="9"/>
      <x:c r="E56" s="9" t="n">
        <x:f>MAX(IF('01_数值调参'!E18&lt;0,'03_全链计算'!E55+1,0),IF('01_数值调参'!E19&lt;0,'03_全链计算'!F55+1,0),IF('01_数值调参'!E20&lt;0,'03_全链计算'!G55+1,0),IF('01_数值调参'!E21&lt;0,'03_全链计算'!H55+1,0),IF('01_数值调参'!E22&lt;0,'03_全链计算'!I55+1,0),IF('01_数值调参'!E23&lt;0,'03_全链计算'!J55+1,0),IF('01_数值调参'!E24&lt;0,'03_全链计算'!K55+1,0),IF('01_数值调参'!E25&lt;0,'03_全链计算'!L55+1,0),IF('01_数值调参'!E26&lt;0,'03_全链计算'!M55+1,0),IF('01_数值调参'!E27&lt;0,'03_全链计算'!N55+1,0),IF('01_数值调参'!E28&lt;0,'03_全链计算'!O55+1,0),IF('01_数值调参'!E29&lt;0,'03_全链计算'!P55+1,0),IF('01_数值调参'!E30&lt;0,'03_全链计算'!Q55+1,0),IF('01_数值调参'!E31&lt;0,'03_全链计算'!R55+1,0),IF('01_数值调参'!E32&lt;0,'03_全链计算'!S55+1,0),IF('01_数值调参'!E33&lt;0,'03_全链计算'!T55+1,0),IF('01_数值调参'!E34&lt;0,'03_全链计算'!U55+1,0),IF('01_数值调参'!E35&lt;0,'03_全链计算'!V55+1,0),IF('01_数值调参'!E36&lt;0,'03_全链计算'!W55+1,0),IF('01_数值调参'!E37&lt;0,'03_全链计算'!X55+1,0),IF('01_数值调参'!E38&lt;0,'03_全链计算'!Y55+1,0),IF('01_数值调参'!E39&lt;0,'03_全链计算'!Z55+1,0),IF('01_数值调参'!E40&lt;0,'03_全链计算'!AA55+1,0),IF('01_数值调参'!E41&lt;0,'03_全链计算'!AB55+1,0),IF('01_数值调参'!E42&lt;0,'03_全链计算'!AC55+1,0),IF('01_数值调参'!E43&lt;0,'03_全链计算'!AD55+1,0),IF('01_数值调参'!E44&lt;0,'03_全链计算'!AE55+1,0),IF('01_数值调参'!E45&lt;0,'03_全链计算'!AF55+1,0),IF('01_数值调参'!E46&lt;0,'03_全链计算'!AG55+1,0),IF('01_数值调参'!E47&lt;0,'03_全链计算'!AH55+1,0),IF('01_数值调参'!E48&lt;0,'03_全链计算'!AI55+1,0),IF('01_数值调参'!E49&lt;0,'03_全链计算'!AJ55+1,0),IF('01_数值调参'!E50&lt;0,'03_全链计算'!AK55+1,0),IF('01_数值调参'!E51&lt;0,'03_全链计算'!AL55+1,0),IF('01_数值调参'!E52&lt;0,'03_全链计算'!AM55+1,0))</x:f>
        <x:v>0</x:v>
      </x:c>
      <x:c r="F56" s="9" t="n">
        <x:f>MAX(IF('01_数值调参'!F18&lt;0,'03_全链计算'!E55+1,0),IF('01_数值调参'!F19&lt;0,'03_全链计算'!F55+1,0),IF('01_数值调参'!F20&lt;0,'03_全链计算'!G55+1,0),IF('01_数值调参'!F21&lt;0,'03_全链计算'!H55+1,0),IF('01_数值调参'!F22&lt;0,'03_全链计算'!I55+1,0),IF('01_数值调参'!F23&lt;0,'03_全链计算'!J55+1,0),IF('01_数值调参'!F24&lt;0,'03_全链计算'!K55+1,0),IF('01_数值调参'!F25&lt;0,'03_全链计算'!L55+1,0),IF('01_数值调参'!F26&lt;0,'03_全链计算'!M55+1,0),IF('01_数值调参'!F27&lt;0,'03_全链计算'!N55+1,0),IF('01_数值调参'!F28&lt;0,'03_全链计算'!O55+1,0),IF('01_数值调参'!F29&lt;0,'03_全链计算'!P55+1,0),IF('01_数值调参'!F30&lt;0,'03_全链计算'!Q55+1,0),IF('01_数值调参'!F31&lt;0,'03_全链计算'!R55+1,0),IF('01_数值调参'!F32&lt;0,'03_全链计算'!S55+1,0),IF('01_数值调参'!F33&lt;0,'03_全链计算'!T55+1,0),IF('01_数值调参'!F34&lt;0,'03_全链计算'!U55+1,0),IF('01_数值调参'!F35&lt;0,'03_全链计算'!V55+1,0),IF('01_数值调参'!F36&lt;0,'03_全链计算'!W55+1,0),IF('01_数值调参'!F37&lt;0,'03_全链计算'!X55+1,0),IF('01_数值调参'!F38&lt;0,'03_全链计算'!Y55+1,0),IF('01_数值调参'!F39&lt;0,'03_全链计算'!Z55+1,0),IF('01_数值调参'!F40&lt;0,'03_全链计算'!AA55+1,0),IF('01_数值调参'!F41&lt;0,'03_全链计算'!AB55+1,0),IF('01_数值调参'!F42&lt;0,'03_全链计算'!AC55+1,0),IF('01_数值调参'!F43&lt;0,'03_全链计算'!AD55+1,0),IF('01_数值调参'!F44&lt;0,'03_全链计算'!AE55+1,0),IF('01_数值调参'!F45&lt;0,'03_全链计算'!AF55+1,0),IF('01_数值调参'!F46&lt;0,'03_全链计算'!AG55+1,0),IF('01_数值调参'!F47&lt;0,'03_全链计算'!AH55+1,0),IF('01_数值调参'!F48&lt;0,'03_全链计算'!AI55+1,0),IF('01_数值调参'!F49&lt;0,'03_全链计算'!AJ55+1,0),IF('01_数值调参'!F50&lt;0,'03_全链计算'!AK55+1,0),IF('01_数值调参'!F51&lt;0,'03_全链计算'!AL55+1,0),IF('01_数值调参'!F52&lt;0,'03_全链计算'!AM55+1,0))</x:f>
        <x:v>0</x:v>
      </x:c>
      <x:c r="G56" s="9" t="n">
        <x:f>MAX(IF('01_数值调参'!G18&lt;0,'03_全链计算'!E55+1,0),IF('01_数值调参'!G19&lt;0,'03_全链计算'!F55+1,0),IF('01_数值调参'!G20&lt;0,'03_全链计算'!G55+1,0),IF('01_数值调参'!G21&lt;0,'03_全链计算'!H55+1,0),IF('01_数值调参'!G22&lt;0,'03_全链计算'!I55+1,0),IF('01_数值调参'!G23&lt;0,'03_全链计算'!J55+1,0),IF('01_数值调参'!G24&lt;0,'03_全链计算'!K55+1,0),IF('01_数值调参'!G25&lt;0,'03_全链计算'!L55+1,0),IF('01_数值调参'!G26&lt;0,'03_全链计算'!M55+1,0),IF('01_数值调参'!G27&lt;0,'03_全链计算'!N55+1,0),IF('01_数值调参'!G28&lt;0,'03_全链计算'!O55+1,0),IF('01_数值调参'!G29&lt;0,'03_全链计算'!P55+1,0),IF('01_数值调参'!G30&lt;0,'03_全链计算'!Q55+1,0),IF('01_数值调参'!G31&lt;0,'03_全链计算'!R55+1,0),IF('01_数值调参'!G32&lt;0,'03_全链计算'!S55+1,0),IF('01_数值调参'!G33&lt;0,'03_全链计算'!T55+1,0),IF('01_数值调参'!G34&lt;0,'03_全链计算'!U55+1,0),IF('01_数值调参'!G35&lt;0,'03_全链计算'!V55+1,0),IF('01_数值调参'!G36&lt;0,'03_全链计算'!W55+1,0),IF('01_数值调参'!G37&lt;0,'03_全链计算'!X55+1,0),IF('01_数值调参'!G38&lt;0,'03_全链计算'!Y55+1,0),IF('01_数值调参'!G39&lt;0,'03_全链计算'!Z55+1,0),IF('01_数值调参'!G40&lt;0,'03_全链计算'!AA55+1,0),IF('01_数值调参'!G41&lt;0,'03_全链计算'!AB55+1,0),IF('01_数值调参'!G42&lt;0,'03_全链计算'!AC55+1,0),IF('01_数值调参'!G43&lt;0,'03_全链计算'!AD55+1,0),IF('01_数值调参'!G44&lt;0,'03_全链计算'!AE55+1,0),IF('01_数值调参'!G45&lt;0,'03_全链计算'!AF55+1,0),IF('01_数值调参'!G46&lt;0,'03_全链计算'!AG55+1,0),IF('01_数值调参'!G47&lt;0,'03_全链计算'!AH55+1,0),IF('01_数值调参'!G48&lt;0,'03_全链计算'!AI55+1,0),IF('01_数值调参'!G49&lt;0,'03_全链计算'!AJ55+1,0),IF('01_数值调参'!G50&lt;0,'03_全链计算'!AK55+1,0),IF('01_数值调参'!G51&lt;0,'03_全链计算'!AL55+1,0),IF('01_数值调参'!G52&lt;0,'03_全链计算'!AM55+1,0))</x:f>
        <x:v>0</x:v>
      </x:c>
      <x:c r="H56" s="9" t="n">
        <x:f>MAX(IF('01_数值调参'!H18&lt;0,'03_全链计算'!E55+1,0),IF('01_数值调参'!H19&lt;0,'03_全链计算'!F55+1,0),IF('01_数值调参'!H20&lt;0,'03_全链计算'!G55+1,0),IF('01_数值调参'!H21&lt;0,'03_全链计算'!H55+1,0),IF('01_数值调参'!H22&lt;0,'03_全链计算'!I55+1,0),IF('01_数值调参'!H23&lt;0,'03_全链计算'!J55+1,0),IF('01_数值调参'!H24&lt;0,'03_全链计算'!K55+1,0),IF('01_数值调参'!H25&lt;0,'03_全链计算'!L55+1,0),IF('01_数值调参'!H26&lt;0,'03_全链计算'!M55+1,0),IF('01_数值调参'!H27&lt;0,'03_全链计算'!N55+1,0),IF('01_数值调参'!H28&lt;0,'03_全链计算'!O55+1,0),IF('01_数值调参'!H29&lt;0,'03_全链计算'!P55+1,0),IF('01_数值调参'!H30&lt;0,'03_全链计算'!Q55+1,0),IF('01_数值调参'!H31&lt;0,'03_全链计算'!R55+1,0),IF('01_数值调参'!H32&lt;0,'03_全链计算'!S55+1,0),IF('01_数值调参'!H33&lt;0,'03_全链计算'!T55+1,0),IF('01_数值调参'!H34&lt;0,'03_全链计算'!U55+1,0),IF('01_数值调参'!H35&lt;0,'03_全链计算'!V55+1,0),IF('01_数值调参'!H36&lt;0,'03_全链计算'!W55+1,0),IF('01_数值调参'!H37&lt;0,'03_全链计算'!X55+1,0),IF('01_数值调参'!H38&lt;0,'03_全链计算'!Y55+1,0),IF('01_数值调参'!H39&lt;0,'03_全链计算'!Z55+1,0),IF('01_数值调参'!H40&lt;0,'03_全链计算'!AA55+1,0),IF('01_数值调参'!H41&lt;0,'03_全链计算'!AB55+1,0),IF('01_数值调参'!H42&lt;0,'03_全链计算'!AC55+1,0),IF('01_数值调参'!H43&lt;0,'03_全链计算'!AD55+1,0),IF('01_数值调参'!H44&lt;0,'03_全链计算'!AE55+1,0),IF('01_数值调参'!H45&lt;0,'03_全链计算'!AF55+1,0),IF('01_数值调参'!H46&lt;0,'03_全链计算'!AG55+1,0),IF('01_数值调参'!H47&lt;0,'03_全链计算'!AH55+1,0),IF('01_数值调参'!H48&lt;0,'03_全链计算'!AI55+1,0),IF('01_数值调参'!H49&lt;0,'03_全链计算'!AJ55+1,0),IF('01_数值调参'!H50&lt;0,'03_全链计算'!AK55+1,0),IF('01_数值调参'!H51&lt;0,'03_全链计算'!AL55+1,0),IF('01_数值调参'!H52&lt;0,'03_全链计算'!AM55+1,0))</x:f>
        <x:v>0</x:v>
      </x:c>
      <x:c r="I56" s="9" t="n">
        <x:f>MAX(IF('01_数值调参'!I18&lt;0,'03_全链计算'!E55+1,0),IF('01_数值调参'!I19&lt;0,'03_全链计算'!F55+1,0),IF('01_数值调参'!I20&lt;0,'03_全链计算'!G55+1,0),IF('01_数值调参'!I21&lt;0,'03_全链计算'!H55+1,0),IF('01_数值调参'!I22&lt;0,'03_全链计算'!I55+1,0),IF('01_数值调参'!I23&lt;0,'03_全链计算'!J55+1,0),IF('01_数值调参'!I24&lt;0,'03_全链计算'!K55+1,0),IF('01_数值调参'!I25&lt;0,'03_全链计算'!L55+1,0),IF('01_数值调参'!I26&lt;0,'03_全链计算'!M55+1,0),IF('01_数值调参'!I27&lt;0,'03_全链计算'!N55+1,0),IF('01_数值调参'!I28&lt;0,'03_全链计算'!O55+1,0),IF('01_数值调参'!I29&lt;0,'03_全链计算'!P55+1,0),IF('01_数值调参'!I30&lt;0,'03_全链计算'!Q55+1,0),IF('01_数值调参'!I31&lt;0,'03_全链计算'!R55+1,0),IF('01_数值调参'!I32&lt;0,'03_全链计算'!S55+1,0),IF('01_数值调参'!I33&lt;0,'03_全链计算'!T55+1,0),IF('01_数值调参'!I34&lt;0,'03_全链计算'!U55+1,0),IF('01_数值调参'!I35&lt;0,'03_全链计算'!V55+1,0),IF('01_数值调参'!I36&lt;0,'03_全链计算'!W55+1,0),IF('01_数值调参'!I37&lt;0,'03_全链计算'!X55+1,0),IF('01_数值调参'!I38&lt;0,'03_全链计算'!Y55+1,0),IF('01_数值调参'!I39&lt;0,'03_全链计算'!Z55+1,0),IF('01_数值调参'!I40&lt;0,'03_全链计算'!AA55+1,0),IF('01_数值调参'!I41&lt;0,'03_全链计算'!AB55+1,0),IF('01_数值调参'!I42&lt;0,'03_全链计算'!AC55+1,0),IF('01_数值调参'!I43&lt;0,'03_全链计算'!AD55+1,0),IF('01_数值调参'!I44&lt;0,'03_全链计算'!AE55+1,0),IF('01_数值调参'!I45&lt;0,'03_全链计算'!AF55+1,0),IF('01_数值调参'!I46&lt;0,'03_全链计算'!AG55+1,0),IF('01_数值调参'!I47&lt;0,'03_全链计算'!AH55+1,0),IF('01_数值调参'!I48&lt;0,'03_全链计算'!AI55+1,0),IF('01_数值调参'!I49&lt;0,'03_全链计算'!AJ55+1,0),IF('01_数值调参'!I50&lt;0,'03_全链计算'!AK55+1,0),IF('01_数值调参'!I51&lt;0,'03_全链计算'!AL55+1,0),IF('01_数值调参'!I52&lt;0,'03_全链计算'!AM55+1,0))</x:f>
        <x:v>0</x:v>
      </x:c>
      <x:c r="J56" s="9" t="n">
        <x:f>MAX(IF('01_数值调参'!J18&lt;0,'03_全链计算'!E55+1,0),IF('01_数值调参'!J19&lt;0,'03_全链计算'!F55+1,0),IF('01_数值调参'!J20&lt;0,'03_全链计算'!G55+1,0),IF('01_数值调参'!J21&lt;0,'03_全链计算'!H55+1,0),IF('01_数值调参'!J22&lt;0,'03_全链计算'!I55+1,0),IF('01_数值调参'!J23&lt;0,'03_全链计算'!J55+1,0),IF('01_数值调参'!J24&lt;0,'03_全链计算'!K55+1,0),IF('01_数值调参'!J25&lt;0,'03_全链计算'!L55+1,0),IF('01_数值调参'!J26&lt;0,'03_全链计算'!M55+1,0),IF('01_数值调参'!J27&lt;0,'03_全链计算'!N55+1,0),IF('01_数值调参'!J28&lt;0,'03_全链计算'!O55+1,0),IF('01_数值调参'!J29&lt;0,'03_全链计算'!P55+1,0),IF('01_数值调参'!J30&lt;0,'03_全链计算'!Q55+1,0),IF('01_数值调参'!J31&lt;0,'03_全链计算'!R55+1,0),IF('01_数值调参'!J32&lt;0,'03_全链计算'!S55+1,0),IF('01_数值调参'!J33&lt;0,'03_全链计算'!T55+1,0),IF('01_数值调参'!J34&lt;0,'03_全链计算'!U55+1,0),IF('01_数值调参'!J35&lt;0,'03_全链计算'!V55+1,0),IF('01_数值调参'!J36&lt;0,'03_全链计算'!W55+1,0),IF('01_数值调参'!J37&lt;0,'03_全链计算'!X55+1,0),IF('01_数值调参'!J38&lt;0,'03_全链计算'!Y55+1,0),IF('01_数值调参'!J39&lt;0,'03_全链计算'!Z55+1,0),IF('01_数值调参'!J40&lt;0,'03_全链计算'!AA55+1,0),IF('01_数值调参'!J41&lt;0,'03_全链计算'!AB55+1,0),IF('01_数值调参'!J42&lt;0,'03_全链计算'!AC55+1,0),IF('01_数值调参'!J43&lt;0,'03_全链计算'!AD55+1,0),IF('01_数值调参'!J44&lt;0,'03_全链计算'!AE55+1,0),IF('01_数值调参'!J45&lt;0,'03_全链计算'!AF55+1,0),IF('01_数值调参'!J46&lt;0,'03_全链计算'!AG55+1,0),IF('01_数值调参'!J47&lt;0,'03_全链计算'!AH55+1,0),IF('01_数值调参'!J48&lt;0,'03_全链计算'!AI55+1,0),IF('01_数值调参'!J49&lt;0,'03_全链计算'!AJ55+1,0),IF('01_数值调参'!J50&lt;0,'03_全链计算'!AK55+1,0),IF('01_数值调参'!J51&lt;0,'03_全链计算'!AL55+1,0),IF('01_数值调参'!J52&lt;0,'03_全链计算'!AM55+1,0))</x:f>
        <x:v>0</x:v>
      </x:c>
      <x:c r="K56" s="9" t="n">
        <x:f>MAX(IF('01_数值调参'!K18&lt;0,'03_全链计算'!E55+1,0),IF('01_数值调参'!K19&lt;0,'03_全链计算'!F55+1,0),IF('01_数值调参'!K20&lt;0,'03_全链计算'!G55+1,0),IF('01_数值调参'!K21&lt;0,'03_全链计算'!H55+1,0),IF('01_数值调参'!K22&lt;0,'03_全链计算'!I55+1,0),IF('01_数值调参'!K23&lt;0,'03_全链计算'!J55+1,0),IF('01_数值调参'!K24&lt;0,'03_全链计算'!K55+1,0),IF('01_数值调参'!K25&lt;0,'03_全链计算'!L55+1,0),IF('01_数值调参'!K26&lt;0,'03_全链计算'!M55+1,0),IF('01_数值调参'!K27&lt;0,'03_全链计算'!N55+1,0),IF('01_数值调参'!K28&lt;0,'03_全链计算'!O55+1,0),IF('01_数值调参'!K29&lt;0,'03_全链计算'!P55+1,0),IF('01_数值调参'!K30&lt;0,'03_全链计算'!Q55+1,0),IF('01_数值调参'!K31&lt;0,'03_全链计算'!R55+1,0),IF('01_数值调参'!K32&lt;0,'03_全链计算'!S55+1,0),IF('01_数值调参'!K33&lt;0,'03_全链计算'!T55+1,0),IF('01_数值调参'!K34&lt;0,'03_全链计算'!U55+1,0),IF('01_数值调参'!K35&lt;0,'03_全链计算'!V55+1,0),IF('01_数值调参'!K36&lt;0,'03_全链计算'!W55+1,0),IF('01_数值调参'!K37&lt;0,'03_全链计算'!X55+1,0),IF('01_数值调参'!K38&lt;0,'03_全链计算'!Y55+1,0),IF('01_数值调参'!K39&lt;0,'03_全链计算'!Z55+1,0),IF('01_数值调参'!K40&lt;0,'03_全链计算'!AA55+1,0),IF('01_数值调参'!K41&lt;0,'03_全链计算'!AB55+1,0),IF('01_数值调参'!K42&lt;0,'03_全链计算'!AC55+1,0),IF('01_数值调参'!K43&lt;0,'03_全链计算'!AD55+1,0),IF('01_数值调参'!K44&lt;0,'03_全链计算'!AE55+1,0),IF('01_数值调参'!K45&lt;0,'03_全链计算'!AF55+1,0),IF('01_数值调参'!K46&lt;0,'03_全链计算'!AG55+1,0),IF('01_数值调参'!K47&lt;0,'03_全链计算'!AH55+1,0),IF('01_数值调参'!K48&lt;0,'03_全链计算'!AI55+1,0),IF('01_数值调参'!K49&lt;0,'03_全链计算'!AJ55+1,0),IF('01_数值调参'!K50&lt;0,'03_全链计算'!AK55+1,0),IF('01_数值调参'!K51&lt;0,'03_全链计算'!AL55+1,0),IF('01_数值调参'!K52&lt;0,'03_全链计算'!AM55+1,0))</x:f>
        <x:v>0</x:v>
      </x:c>
      <x:c r="L56" s="9" t="n">
        <x:f>MAX(IF('01_数值调参'!L18&lt;0,'03_全链计算'!E55+1,0),IF('01_数值调参'!L19&lt;0,'03_全链计算'!F55+1,0),IF('01_数值调参'!L20&lt;0,'03_全链计算'!G55+1,0),IF('01_数值调参'!L21&lt;0,'03_全链计算'!H55+1,0),IF('01_数值调参'!L22&lt;0,'03_全链计算'!I55+1,0),IF('01_数值调参'!L23&lt;0,'03_全链计算'!J55+1,0),IF('01_数值调参'!L24&lt;0,'03_全链计算'!K55+1,0),IF('01_数值调参'!L25&lt;0,'03_全链计算'!L55+1,0),IF('01_数值调参'!L26&lt;0,'03_全链计算'!M55+1,0),IF('01_数值调参'!L27&lt;0,'03_全链计算'!N55+1,0),IF('01_数值调参'!L28&lt;0,'03_全链计算'!O55+1,0),IF('01_数值调参'!L29&lt;0,'03_全链计算'!P55+1,0),IF('01_数值调参'!L30&lt;0,'03_全链计算'!Q55+1,0),IF('01_数值调参'!L31&lt;0,'03_全链计算'!R55+1,0),IF('01_数值调参'!L32&lt;0,'03_全链计算'!S55+1,0),IF('01_数值调参'!L33&lt;0,'03_全链计算'!T55+1,0),IF('01_数值调参'!L34&lt;0,'03_全链计算'!U55+1,0),IF('01_数值调参'!L35&lt;0,'03_全链计算'!V55+1,0),IF('01_数值调参'!L36&lt;0,'03_全链计算'!W55+1,0),IF('01_数值调参'!L37&lt;0,'03_全链计算'!X55+1,0),IF('01_数值调参'!L38&lt;0,'03_全链计算'!Y55+1,0),IF('01_数值调参'!L39&lt;0,'03_全链计算'!Z55+1,0),IF('01_数值调参'!L40&lt;0,'03_全链计算'!AA55+1,0),IF('01_数值调参'!L41&lt;0,'03_全链计算'!AB55+1,0),IF('01_数值调参'!L42&lt;0,'03_全链计算'!AC55+1,0),IF('01_数值调参'!L43&lt;0,'03_全链计算'!AD55+1,0),IF('01_数值调参'!L44&lt;0,'03_全链计算'!AE55+1,0),IF('01_数值调参'!L45&lt;0,'03_全链计算'!AF55+1,0),IF('01_数值调参'!L46&lt;0,'03_全链计算'!AG55+1,0),IF('01_数值调参'!L47&lt;0,'03_全链计算'!AH55+1,0),IF('01_数值调参'!L48&lt;0,'03_全链计算'!AI55+1,0),IF('01_数值调参'!L49&lt;0,'03_全链计算'!AJ55+1,0),IF('01_数值调参'!L50&lt;0,'03_全链计算'!AK55+1,0),IF('01_数值调参'!L51&lt;0,'03_全链计算'!AL55+1,0),IF('01_数值调参'!L52&lt;0,'03_全链计算'!AM55+1,0))</x:f>
        <x:v>0</x:v>
      </x:c>
      <x:c r="M56" s="9" t="n">
        <x:f>MAX(IF('01_数值调参'!M18&lt;0,'03_全链计算'!E55+1,0),IF('01_数值调参'!M19&lt;0,'03_全链计算'!F55+1,0),IF('01_数值调参'!M20&lt;0,'03_全链计算'!G55+1,0),IF('01_数值调参'!M21&lt;0,'03_全链计算'!H55+1,0),IF('01_数值调参'!M22&lt;0,'03_全链计算'!I55+1,0),IF('01_数值调参'!M23&lt;0,'03_全链计算'!J55+1,0),IF('01_数值调参'!M24&lt;0,'03_全链计算'!K55+1,0),IF('01_数值调参'!M25&lt;0,'03_全链计算'!L55+1,0),IF('01_数值调参'!M26&lt;0,'03_全链计算'!M55+1,0),IF('01_数值调参'!M27&lt;0,'03_全链计算'!N55+1,0),IF('01_数值调参'!M28&lt;0,'03_全链计算'!O55+1,0),IF('01_数值调参'!M29&lt;0,'03_全链计算'!P55+1,0),IF('01_数值调参'!M30&lt;0,'03_全链计算'!Q55+1,0),IF('01_数值调参'!M31&lt;0,'03_全链计算'!R55+1,0),IF('01_数值调参'!M32&lt;0,'03_全链计算'!S55+1,0),IF('01_数值调参'!M33&lt;0,'03_全链计算'!T55+1,0),IF('01_数值调参'!M34&lt;0,'03_全链计算'!U55+1,0),IF('01_数值调参'!M35&lt;0,'03_全链计算'!V55+1,0),IF('01_数值调参'!M36&lt;0,'03_全链计算'!W55+1,0),IF('01_数值调参'!M37&lt;0,'03_全链计算'!X55+1,0),IF('01_数值调参'!M38&lt;0,'03_全链计算'!Y55+1,0),IF('01_数值调参'!M39&lt;0,'03_全链计算'!Z55+1,0),IF('01_数值调参'!M40&lt;0,'03_全链计算'!AA55+1,0),IF('01_数值调参'!M41&lt;0,'03_全链计算'!AB55+1,0),IF('01_数值调参'!M42&lt;0,'03_全链计算'!AC55+1,0),IF('01_数值调参'!M43&lt;0,'03_全链计算'!AD55+1,0),IF('01_数值调参'!M44&lt;0,'03_全链计算'!AE55+1,0),IF('01_数值调参'!M45&lt;0,'03_全链计算'!AF55+1,0),IF('01_数值调参'!M46&lt;0,'03_全链计算'!AG55+1,0),IF('01_数值调参'!M47&lt;0,'03_全链计算'!AH55+1,0),IF('01_数值调参'!M48&lt;0,'03_全链计算'!AI55+1,0),IF('01_数值调参'!M49&lt;0,'03_全链计算'!AJ55+1,0),IF('01_数值调参'!M50&lt;0,'03_全链计算'!AK55+1,0),IF('01_数值调参'!M51&lt;0,'03_全链计算'!AL55+1,0),IF('01_数值调参'!M52&lt;0,'03_全链计算'!AM55+1,0))</x:f>
        <x:v>0</x:v>
      </x:c>
      <x:c r="N56" s="9" t="n">
        <x:f>MAX(IF('01_数值调参'!N18&lt;0,'03_全链计算'!E55+1,0),IF('01_数值调参'!N19&lt;0,'03_全链计算'!F55+1,0),IF('01_数值调参'!N20&lt;0,'03_全链计算'!G55+1,0),IF('01_数值调参'!N21&lt;0,'03_全链计算'!H55+1,0),IF('01_数值调参'!N22&lt;0,'03_全链计算'!I55+1,0),IF('01_数值调参'!N23&lt;0,'03_全链计算'!J55+1,0),IF('01_数值调参'!N24&lt;0,'03_全链计算'!K55+1,0),IF('01_数值调参'!N25&lt;0,'03_全链计算'!L55+1,0),IF('01_数值调参'!N26&lt;0,'03_全链计算'!M55+1,0),IF('01_数值调参'!N27&lt;0,'03_全链计算'!N55+1,0),IF('01_数值调参'!N28&lt;0,'03_全链计算'!O55+1,0),IF('01_数值调参'!N29&lt;0,'03_全链计算'!P55+1,0),IF('01_数值调参'!N30&lt;0,'03_全链计算'!Q55+1,0),IF('01_数值调参'!N31&lt;0,'03_全链计算'!R55+1,0),IF('01_数值调参'!N32&lt;0,'03_全链计算'!S55+1,0),IF('01_数值调参'!N33&lt;0,'03_全链计算'!T55+1,0),IF('01_数值调参'!N34&lt;0,'03_全链计算'!U55+1,0),IF('01_数值调参'!N35&lt;0,'03_全链计算'!V55+1,0),IF('01_数值调参'!N36&lt;0,'03_全链计算'!W55+1,0),IF('01_数值调参'!N37&lt;0,'03_全链计算'!X55+1,0),IF('01_数值调参'!N38&lt;0,'03_全链计算'!Y55+1,0),IF('01_数值调参'!N39&lt;0,'03_全链计算'!Z55+1,0),IF('01_数值调参'!N40&lt;0,'03_全链计算'!AA55+1,0),IF('01_数值调参'!N41&lt;0,'03_全链计算'!AB55+1,0),IF('01_数值调参'!N42&lt;0,'03_全链计算'!AC55+1,0),IF('01_数值调参'!N43&lt;0,'03_全链计算'!AD55+1,0),IF('01_数值调参'!N44&lt;0,'03_全链计算'!AE55+1,0),IF('01_数值调参'!N45&lt;0,'03_全链计算'!AF55+1,0),IF('01_数值调参'!N46&lt;0,'03_全链计算'!AG55+1,0),IF('01_数值调参'!N47&lt;0,'03_全链计算'!AH55+1,0),IF('01_数值调参'!N48&lt;0,'03_全链计算'!AI55+1,0),IF('01_数值调参'!N49&lt;0,'03_全链计算'!AJ55+1,0),IF('01_数值调参'!N50&lt;0,'03_全链计算'!AK55+1,0),IF('01_数值调参'!N51&lt;0,'03_全链计算'!AL55+1,0),IF('01_数值调参'!N52&lt;0,'03_全链计算'!AM55+1,0))</x:f>
        <x:v>1</x:v>
      </x:c>
      <x:c r="O56" s="9" t="n">
        <x:f>MAX(IF('01_数值调参'!O18&lt;0,'03_全链计算'!E55+1,0),IF('01_数值调参'!O19&lt;0,'03_全链计算'!F55+1,0),IF('01_数值调参'!O20&lt;0,'03_全链计算'!G55+1,0),IF('01_数值调参'!O21&lt;0,'03_全链计算'!H55+1,0),IF('01_数值调参'!O22&lt;0,'03_全链计算'!I55+1,0),IF('01_数值调参'!O23&lt;0,'03_全链计算'!J55+1,0),IF('01_数值调参'!O24&lt;0,'03_全链计算'!K55+1,0),IF('01_数值调参'!O25&lt;0,'03_全链计算'!L55+1,0),IF('01_数值调参'!O26&lt;0,'03_全链计算'!M55+1,0),IF('01_数值调参'!O27&lt;0,'03_全链计算'!N55+1,0),IF('01_数值调参'!O28&lt;0,'03_全链计算'!O55+1,0),IF('01_数值调参'!O29&lt;0,'03_全链计算'!P55+1,0),IF('01_数值调参'!O30&lt;0,'03_全链计算'!Q55+1,0),IF('01_数值调参'!O31&lt;0,'03_全链计算'!R55+1,0),IF('01_数值调参'!O32&lt;0,'03_全链计算'!S55+1,0),IF('01_数值调参'!O33&lt;0,'03_全链计算'!T55+1,0),IF('01_数值调参'!O34&lt;0,'03_全链计算'!U55+1,0),IF('01_数值调参'!O35&lt;0,'03_全链计算'!V55+1,0),IF('01_数值调参'!O36&lt;0,'03_全链计算'!W55+1,0),IF('01_数值调参'!O37&lt;0,'03_全链计算'!X55+1,0),IF('01_数值调参'!O38&lt;0,'03_全链计算'!Y55+1,0),IF('01_数值调参'!O39&lt;0,'03_全链计算'!Z55+1,0),IF('01_数值调参'!O40&lt;0,'03_全链计算'!AA55+1,0),IF('01_数值调参'!O41&lt;0,'03_全链计算'!AB55+1,0),IF('01_数值调参'!O42&lt;0,'03_全链计算'!AC55+1,0),IF('01_数值调参'!O43&lt;0,'03_全链计算'!AD55+1,0),IF('01_数值调参'!O44&lt;0,'03_全链计算'!AE55+1,0),IF('01_数值调参'!O45&lt;0,'03_全链计算'!AF55+1,0),IF('01_数值调参'!O46&lt;0,'03_全链计算'!AG55+1,0),IF('01_数值调参'!O47&lt;0,'03_全链计算'!AH55+1,0),IF('01_数值调参'!O48&lt;0,'03_全链计算'!AI55+1,0),IF('01_数值调参'!O49&lt;0,'03_全链计算'!AJ55+1,0),IF('01_数值调参'!O50&lt;0,'03_全链计算'!AK55+1,0),IF('01_数值调参'!O51&lt;0,'03_全链计算'!AL55+1,0),IF('01_数值调参'!O52&lt;0,'03_全链计算'!AM55+1,0))</x:f>
        <x:v>1</x:v>
      </x:c>
      <x:c r="P56" s="9" t="n">
        <x:f>MAX(IF('01_数值调参'!P18&lt;0,'03_全链计算'!E55+1,0),IF('01_数值调参'!P19&lt;0,'03_全链计算'!F55+1,0),IF('01_数值调参'!P20&lt;0,'03_全链计算'!G55+1,0),IF('01_数值调参'!P21&lt;0,'03_全链计算'!H55+1,0),IF('01_数值调参'!P22&lt;0,'03_全链计算'!I55+1,0),IF('01_数值调参'!P23&lt;0,'03_全链计算'!J55+1,0),IF('01_数值调参'!P24&lt;0,'03_全链计算'!K55+1,0),IF('01_数值调参'!P25&lt;0,'03_全链计算'!L55+1,0),IF('01_数值调参'!P26&lt;0,'03_全链计算'!M55+1,0),IF('01_数值调参'!P27&lt;0,'03_全链计算'!N55+1,0),IF('01_数值调参'!P28&lt;0,'03_全链计算'!O55+1,0),IF('01_数值调参'!P29&lt;0,'03_全链计算'!P55+1,0),IF('01_数值调参'!P30&lt;0,'03_全链计算'!Q55+1,0),IF('01_数值调参'!P31&lt;0,'03_全链计算'!R55+1,0),IF('01_数值调参'!P32&lt;0,'03_全链计算'!S55+1,0),IF('01_数值调参'!P33&lt;0,'03_全链计算'!T55+1,0),IF('01_数值调参'!P34&lt;0,'03_全链计算'!U55+1,0),IF('01_数值调参'!P35&lt;0,'03_全链计算'!V55+1,0),IF('01_数值调参'!P36&lt;0,'03_全链计算'!W55+1,0),IF('01_数值调参'!P37&lt;0,'03_全链计算'!X55+1,0),IF('01_数值调参'!P38&lt;0,'03_全链计算'!Y55+1,0),IF('01_数值调参'!P39&lt;0,'03_全链计算'!Z55+1,0),IF('01_数值调参'!P40&lt;0,'03_全链计算'!AA55+1,0),IF('01_数值调参'!P41&lt;0,'03_全链计算'!AB55+1,0),IF('01_数值调参'!P42&lt;0,'03_全链计算'!AC55+1,0),IF('01_数值调参'!P43&lt;0,'03_全链计算'!AD55+1,0),IF('01_数值调参'!P44&lt;0,'03_全链计算'!AE55+1,0),IF('01_数值调参'!P45&lt;0,'03_全链计算'!AF55+1,0),IF('01_数值调参'!P46&lt;0,'03_全链计算'!AG55+1,0),IF('01_数值调参'!P47&lt;0,'03_全链计算'!AH55+1,0),IF('01_数值调参'!P48&lt;0,'03_全链计算'!AI55+1,0),IF('01_数值调参'!P49&lt;0,'03_全链计算'!AJ55+1,0),IF('01_数值调参'!P50&lt;0,'03_全链计算'!AK55+1,0),IF('01_数值调参'!P51&lt;0,'03_全链计算'!AL55+1,0),IF('01_数值调参'!P52&lt;0,'03_全链计算'!AM55+1,0))</x:f>
        <x:v>1</x:v>
      </x:c>
      <x:c r="Q56" s="9" t="n">
        <x:f>MAX(IF('01_数值调参'!Q18&lt;0,'03_全链计算'!E55+1,0),IF('01_数值调参'!Q19&lt;0,'03_全链计算'!F55+1,0),IF('01_数值调参'!Q20&lt;0,'03_全链计算'!G55+1,0),IF('01_数值调参'!Q21&lt;0,'03_全链计算'!H55+1,0),IF('01_数值调参'!Q22&lt;0,'03_全链计算'!I55+1,0),IF('01_数值调参'!Q23&lt;0,'03_全链计算'!J55+1,0),IF('01_数值调参'!Q24&lt;0,'03_全链计算'!K55+1,0),IF('01_数值调参'!Q25&lt;0,'03_全链计算'!L55+1,0),IF('01_数值调参'!Q26&lt;0,'03_全链计算'!M55+1,0),IF('01_数值调参'!Q27&lt;0,'03_全链计算'!N55+1,0),IF('01_数值调参'!Q28&lt;0,'03_全链计算'!O55+1,0),IF('01_数值调参'!Q29&lt;0,'03_全链计算'!P55+1,0),IF('01_数值调参'!Q30&lt;0,'03_全链计算'!Q55+1,0),IF('01_数值调参'!Q31&lt;0,'03_全链计算'!R55+1,0),IF('01_数值调参'!Q32&lt;0,'03_全链计算'!S55+1,0),IF('01_数值调参'!Q33&lt;0,'03_全链计算'!T55+1,0),IF('01_数值调参'!Q34&lt;0,'03_全链计算'!U55+1,0),IF('01_数值调参'!Q35&lt;0,'03_全链计算'!V55+1,0),IF('01_数值调参'!Q36&lt;0,'03_全链计算'!W55+1,0),IF('01_数值调参'!Q37&lt;0,'03_全链计算'!X55+1,0),IF('01_数值调参'!Q38&lt;0,'03_全链计算'!Y55+1,0),IF('01_数值调参'!Q39&lt;0,'03_全链计算'!Z55+1,0),IF('01_数值调参'!Q40&lt;0,'03_全链计算'!AA55+1,0),IF('01_数值调参'!Q41&lt;0,'03_全链计算'!AB55+1,0),IF('01_数值调参'!Q42&lt;0,'03_全链计算'!AC55+1,0),IF('01_数值调参'!Q43&lt;0,'03_全链计算'!AD55+1,0),IF('01_数值调参'!Q44&lt;0,'03_全链计算'!AE55+1,0),IF('01_数值调参'!Q45&lt;0,'03_全链计算'!AF55+1,0),IF('01_数值调参'!Q46&lt;0,'03_全链计算'!AG55+1,0),IF('01_数值调参'!Q47&lt;0,'03_全链计算'!AH55+1,0),IF('01_数值调参'!Q48&lt;0,'03_全链计算'!AI55+1,0),IF('01_数值调参'!Q49&lt;0,'03_全链计算'!AJ55+1,0),IF('01_数值调参'!Q50&lt;0,'03_全链计算'!AK55+1,0),IF('01_数值调参'!Q51&lt;0,'03_全链计算'!AL55+1,0),IF('01_数值调参'!Q52&lt;0,'03_全链计算'!AM55+1,0))</x:f>
        <x:v>1</x:v>
      </x:c>
      <x:c r="R56" s="9" t="n">
        <x:f>MAX(IF('01_数值调参'!R18&lt;0,'03_全链计算'!E55+1,0),IF('01_数值调参'!R19&lt;0,'03_全链计算'!F55+1,0),IF('01_数值调参'!R20&lt;0,'03_全链计算'!G55+1,0),IF('01_数值调参'!R21&lt;0,'03_全链计算'!H55+1,0),IF('01_数值调参'!R22&lt;0,'03_全链计算'!I55+1,0),IF('01_数值调参'!R23&lt;0,'03_全链计算'!J55+1,0),IF('01_数值调参'!R24&lt;0,'03_全链计算'!K55+1,0),IF('01_数值调参'!R25&lt;0,'03_全链计算'!L55+1,0),IF('01_数值调参'!R26&lt;0,'03_全链计算'!M55+1,0),IF('01_数值调参'!R27&lt;0,'03_全链计算'!N55+1,0),IF('01_数值调参'!R28&lt;0,'03_全链计算'!O55+1,0),IF('01_数值调参'!R29&lt;0,'03_全链计算'!P55+1,0),IF('01_数值调参'!R30&lt;0,'03_全链计算'!Q55+1,0),IF('01_数值调参'!R31&lt;0,'03_全链计算'!R55+1,0),IF('01_数值调参'!R32&lt;0,'03_全链计算'!S55+1,0),IF('01_数值调参'!R33&lt;0,'03_全链计算'!T55+1,0),IF('01_数值调参'!R34&lt;0,'03_全链计算'!U55+1,0),IF('01_数值调参'!R35&lt;0,'03_全链计算'!V55+1,0),IF('01_数值调参'!R36&lt;0,'03_全链计算'!W55+1,0),IF('01_数值调参'!R37&lt;0,'03_全链计算'!X55+1,0),IF('01_数值调参'!R38&lt;0,'03_全链计算'!Y55+1,0),IF('01_数值调参'!R39&lt;0,'03_全链计算'!Z55+1,0),IF('01_数值调参'!R40&lt;0,'03_全链计算'!AA55+1,0),IF('01_数值调参'!R41&lt;0,'03_全链计算'!AB55+1,0),IF('01_数值调参'!R42&lt;0,'03_全链计算'!AC55+1,0),IF('01_数值调参'!R43&lt;0,'03_全链计算'!AD55+1,0),IF('01_数值调参'!R44&lt;0,'03_全链计算'!AE55+1,0),IF('01_数值调参'!R45&lt;0,'03_全链计算'!AF55+1,0),IF('01_数值调参'!R46&lt;0,'03_全链计算'!AG55+1,0),IF('01_数值调参'!R47&lt;0,'03_全链计算'!AH55+1,0),IF('01_数值调参'!R48&lt;0,'03_全链计算'!AI55+1,0),IF('01_数值调参'!R49&lt;0,'03_全链计算'!AJ55+1,0),IF('01_数值调参'!R50&lt;0,'03_全链计算'!AK55+1,0),IF('01_数值调参'!R51&lt;0,'03_全链计算'!AL55+1,0),IF('01_数值调参'!R52&lt;0,'03_全链计算'!AM55+1,0))</x:f>
        <x:v>1</x:v>
      </x:c>
      <x:c r="S56" s="9" t="n">
        <x:f>MAX(IF('01_数值调参'!S18&lt;0,'03_全链计算'!E55+1,0),IF('01_数值调参'!S19&lt;0,'03_全链计算'!F55+1,0),IF('01_数值调参'!S20&lt;0,'03_全链计算'!G55+1,0),IF('01_数值调参'!S21&lt;0,'03_全链计算'!H55+1,0),IF('01_数值调参'!S22&lt;0,'03_全链计算'!I55+1,0),IF('01_数值调参'!S23&lt;0,'03_全链计算'!J55+1,0),IF('01_数值调参'!S24&lt;0,'03_全链计算'!K55+1,0),IF('01_数值调参'!S25&lt;0,'03_全链计算'!L55+1,0),IF('01_数值调参'!S26&lt;0,'03_全链计算'!M55+1,0),IF('01_数值调参'!S27&lt;0,'03_全链计算'!N55+1,0),IF('01_数值调参'!S28&lt;0,'03_全链计算'!O55+1,0),IF('01_数值调参'!S29&lt;0,'03_全链计算'!P55+1,0),IF('01_数值调参'!S30&lt;0,'03_全链计算'!Q55+1,0),IF('01_数值调参'!S31&lt;0,'03_全链计算'!R55+1,0),IF('01_数值调参'!S32&lt;0,'03_全链计算'!S55+1,0),IF('01_数值调参'!S33&lt;0,'03_全链计算'!T55+1,0),IF('01_数值调参'!S34&lt;0,'03_全链计算'!U55+1,0),IF('01_数值调参'!S35&lt;0,'03_全链计算'!V55+1,0),IF('01_数值调参'!S36&lt;0,'03_全链计算'!W55+1,0),IF('01_数值调参'!S37&lt;0,'03_全链计算'!X55+1,0),IF('01_数值调参'!S38&lt;0,'03_全链计算'!Y55+1,0),IF('01_数值调参'!S39&lt;0,'03_全链计算'!Z55+1,0),IF('01_数值调参'!S40&lt;0,'03_全链计算'!AA55+1,0),IF('01_数值调参'!S41&lt;0,'03_全链计算'!AB55+1,0),IF('01_数值调参'!S42&lt;0,'03_全链计算'!AC55+1,0),IF('01_数值调参'!S43&lt;0,'03_全链计算'!AD55+1,0),IF('01_数值调参'!S44&lt;0,'03_全链计算'!AE55+1,0),IF('01_数值调参'!S45&lt;0,'03_全链计算'!AF55+1,0),IF('01_数值调参'!S46&lt;0,'03_全链计算'!AG55+1,0),IF('01_数值调参'!S47&lt;0,'03_全链计算'!AH55+1,0),IF('01_数值调参'!S48&lt;0,'03_全链计算'!AI55+1,0),IF('01_数值调参'!S49&lt;0,'03_全链计算'!AJ55+1,0),IF('01_数值调参'!S50&lt;0,'03_全链计算'!AK55+1,0),IF('01_数值调参'!S51&lt;0,'03_全链计算'!AL55+1,0),IF('01_数值调参'!S52&lt;0,'03_全链计算'!AM55+1,0))</x:f>
        <x:v>1</x:v>
      </x:c>
      <x:c r="T56" s="9" t="n">
        <x:f>MAX(IF('01_数值调参'!T18&lt;0,'03_全链计算'!E55+1,0),IF('01_数值调参'!T19&lt;0,'03_全链计算'!F55+1,0),IF('01_数值调参'!T20&lt;0,'03_全链计算'!G55+1,0),IF('01_数值调参'!T21&lt;0,'03_全链计算'!H55+1,0),IF('01_数值调参'!T22&lt;0,'03_全链计算'!I55+1,0),IF('01_数值调参'!T23&lt;0,'03_全链计算'!J55+1,0),IF('01_数值调参'!T24&lt;0,'03_全链计算'!K55+1,0),IF('01_数值调参'!T25&lt;0,'03_全链计算'!L55+1,0),IF('01_数值调参'!T26&lt;0,'03_全链计算'!M55+1,0),IF('01_数值调参'!T27&lt;0,'03_全链计算'!N55+1,0),IF('01_数值调参'!T28&lt;0,'03_全链计算'!O55+1,0),IF('01_数值调参'!T29&lt;0,'03_全链计算'!P55+1,0),IF('01_数值调参'!T30&lt;0,'03_全链计算'!Q55+1,0),IF('01_数值调参'!T31&lt;0,'03_全链计算'!R55+1,0),IF('01_数值调参'!T32&lt;0,'03_全链计算'!S55+1,0),IF('01_数值调参'!T33&lt;0,'03_全链计算'!T55+1,0),IF('01_数值调参'!T34&lt;0,'03_全链计算'!U55+1,0),IF('01_数值调参'!T35&lt;0,'03_全链计算'!V55+1,0),IF('01_数值调参'!T36&lt;0,'03_全链计算'!W55+1,0),IF('01_数值调参'!T37&lt;0,'03_全链计算'!X55+1,0),IF('01_数值调参'!T38&lt;0,'03_全链计算'!Y55+1,0),IF('01_数值调参'!T39&lt;0,'03_全链计算'!Z55+1,0),IF('01_数值调参'!T40&lt;0,'03_全链计算'!AA55+1,0),IF('01_数值调参'!T41&lt;0,'03_全链计算'!AB55+1,0),IF('01_数值调参'!T42&lt;0,'03_全链计算'!AC55+1,0),IF('01_数值调参'!T43&lt;0,'03_全链计算'!AD55+1,0),IF('01_数值调参'!T44&lt;0,'03_全链计算'!AE55+1,0),IF('01_数值调参'!T45&lt;0,'03_全链计算'!AF55+1,0),IF('01_数值调参'!T46&lt;0,'03_全链计算'!AG55+1,0),IF('01_数值调参'!T47&lt;0,'03_全链计算'!AH55+1,0),IF('01_数值调参'!T48&lt;0,'03_全链计算'!AI55+1,0),IF('01_数值调参'!T49&lt;0,'03_全链计算'!AJ55+1,0),IF('01_数值调参'!T50&lt;0,'03_全链计算'!AK55+1,0),IF('01_数值调参'!T51&lt;0,'03_全链计算'!AL55+1,0),IF('01_数值调参'!T52&lt;0,'03_全链计算'!AM55+1,0))</x:f>
        <x:v>1</x:v>
      </x:c>
      <x:c r="U56" s="9" t="n">
        <x:f>MAX(IF('01_数值调参'!U18&lt;0,'03_全链计算'!E55+1,0),IF('01_数值调参'!U19&lt;0,'03_全链计算'!F55+1,0),IF('01_数值调参'!U20&lt;0,'03_全链计算'!G55+1,0),IF('01_数值调参'!U21&lt;0,'03_全链计算'!H55+1,0),IF('01_数值调参'!U22&lt;0,'03_全链计算'!I55+1,0),IF('01_数值调参'!U23&lt;0,'03_全链计算'!J55+1,0),IF('01_数值调参'!U24&lt;0,'03_全链计算'!K55+1,0),IF('01_数值调参'!U25&lt;0,'03_全链计算'!L55+1,0),IF('01_数值调参'!U26&lt;0,'03_全链计算'!M55+1,0),IF('01_数值调参'!U27&lt;0,'03_全链计算'!N55+1,0),IF('01_数值调参'!U28&lt;0,'03_全链计算'!O55+1,0),IF('01_数值调参'!U29&lt;0,'03_全链计算'!P55+1,0),IF('01_数值调参'!U30&lt;0,'03_全链计算'!Q55+1,0),IF('01_数值调参'!U31&lt;0,'03_全链计算'!R55+1,0),IF('01_数值调参'!U32&lt;0,'03_全链计算'!S55+1,0),IF('01_数值调参'!U33&lt;0,'03_全链计算'!T55+1,0),IF('01_数值调参'!U34&lt;0,'03_全链计算'!U55+1,0),IF('01_数值调参'!U35&lt;0,'03_全链计算'!V55+1,0),IF('01_数值调参'!U36&lt;0,'03_全链计算'!W55+1,0),IF('01_数值调参'!U37&lt;0,'03_全链计算'!X55+1,0),IF('01_数值调参'!U38&lt;0,'03_全链计算'!Y55+1,0),IF('01_数值调参'!U39&lt;0,'03_全链计算'!Z55+1,0),IF('01_数值调参'!U40&lt;0,'03_全链计算'!AA55+1,0),IF('01_数值调参'!U41&lt;0,'03_全链计算'!AB55+1,0),IF('01_数值调参'!U42&lt;0,'03_全链计算'!AC55+1,0),IF('01_数值调参'!U43&lt;0,'03_全链计算'!AD55+1,0),IF('01_数值调参'!U44&lt;0,'03_全链计算'!AE55+1,0),IF('01_数值调参'!U45&lt;0,'03_全链计算'!AF55+1,0),IF('01_数值调参'!U46&lt;0,'03_全链计算'!AG55+1,0),IF('01_数值调参'!U47&lt;0,'03_全链计算'!AH55+1,0),IF('01_数值调参'!U48&lt;0,'03_全链计算'!AI55+1,0),IF('01_数值调参'!U49&lt;0,'03_全链计算'!AJ55+1,0),IF('01_数值调参'!U50&lt;0,'03_全链计算'!AK55+1,0),IF('01_数值调参'!U51&lt;0,'03_全链计算'!AL55+1,0),IF('01_数值调参'!U52&lt;0,'03_全链计算'!AM55+1,0))</x:f>
        <x:v>1</x:v>
      </x:c>
      <x:c r="V56" s="9" t="n">
        <x:f>MAX(IF('01_数值调参'!V18&lt;0,'03_全链计算'!E55+1,0),IF('01_数值调参'!V19&lt;0,'03_全链计算'!F55+1,0),IF('01_数值调参'!V20&lt;0,'03_全链计算'!G55+1,0),IF('01_数值调参'!V21&lt;0,'03_全链计算'!H55+1,0),IF('01_数值调参'!V22&lt;0,'03_全链计算'!I55+1,0),IF('01_数值调参'!V23&lt;0,'03_全链计算'!J55+1,0),IF('01_数值调参'!V24&lt;0,'03_全链计算'!K55+1,0),IF('01_数值调参'!V25&lt;0,'03_全链计算'!L55+1,0),IF('01_数值调参'!V26&lt;0,'03_全链计算'!M55+1,0),IF('01_数值调参'!V27&lt;0,'03_全链计算'!N55+1,0),IF('01_数值调参'!V28&lt;0,'03_全链计算'!O55+1,0),IF('01_数值调参'!V29&lt;0,'03_全链计算'!P55+1,0),IF('01_数值调参'!V30&lt;0,'03_全链计算'!Q55+1,0),IF('01_数值调参'!V31&lt;0,'03_全链计算'!R55+1,0),IF('01_数值调参'!V32&lt;0,'03_全链计算'!S55+1,0),IF('01_数值调参'!V33&lt;0,'03_全链计算'!T55+1,0),IF('01_数值调参'!V34&lt;0,'03_全链计算'!U55+1,0),IF('01_数值调参'!V35&lt;0,'03_全链计算'!V55+1,0),IF('01_数值调参'!V36&lt;0,'03_全链计算'!W55+1,0),IF('01_数值调参'!V37&lt;0,'03_全链计算'!X55+1,0),IF('01_数值调参'!V38&lt;0,'03_全链计算'!Y55+1,0),IF('01_数值调参'!V39&lt;0,'03_全链计算'!Z55+1,0),IF('01_数值调参'!V40&lt;0,'03_全链计算'!AA55+1,0),IF('01_数值调参'!V41&lt;0,'03_全链计算'!AB55+1,0),IF('01_数值调参'!V42&lt;0,'03_全链计算'!AC55+1,0),IF('01_数值调参'!V43&lt;0,'03_全链计算'!AD55+1,0),IF('01_数值调参'!V44&lt;0,'03_全链计算'!AE55+1,0),IF('01_数值调参'!V45&lt;0,'03_全链计算'!AF55+1,0),IF('01_数值调参'!V46&lt;0,'03_全链计算'!AG55+1,0),IF('01_数值调参'!V47&lt;0,'03_全链计算'!AH55+1,0),IF('01_数值调参'!V48&lt;0,'03_全链计算'!AI55+1,0),IF('01_数值调参'!V49&lt;0,'03_全链计算'!AJ55+1,0),IF('01_数值调参'!V50&lt;0,'03_全链计算'!AK55+1,0),IF('01_数值调参'!V51&lt;0,'03_全链计算'!AL55+1,0),IF('01_数值调参'!V52&lt;0,'03_全链计算'!AM55+1,0))</x:f>
        <x:v>1</x:v>
      </x:c>
      <x:c r="W56" s="9" t="n">
        <x:f>MAX(IF('01_数值调参'!W18&lt;0,'03_全链计算'!E55+1,0),IF('01_数值调参'!W19&lt;0,'03_全链计算'!F55+1,0),IF('01_数值调参'!W20&lt;0,'03_全链计算'!G55+1,0),IF('01_数值调参'!W21&lt;0,'03_全链计算'!H55+1,0),IF('01_数值调参'!W22&lt;0,'03_全链计算'!I55+1,0),IF('01_数值调参'!W23&lt;0,'03_全链计算'!J55+1,0),IF('01_数值调参'!W24&lt;0,'03_全链计算'!K55+1,0),IF('01_数值调参'!W25&lt;0,'03_全链计算'!L55+1,0),IF('01_数值调参'!W26&lt;0,'03_全链计算'!M55+1,0),IF('01_数值调参'!W27&lt;0,'03_全链计算'!N55+1,0),IF('01_数值调参'!W28&lt;0,'03_全链计算'!O55+1,0),IF('01_数值调参'!W29&lt;0,'03_全链计算'!P55+1,0),IF('01_数值调参'!W30&lt;0,'03_全链计算'!Q55+1,0),IF('01_数值调参'!W31&lt;0,'03_全链计算'!R55+1,0),IF('01_数值调参'!W32&lt;0,'03_全链计算'!S55+1,0),IF('01_数值调参'!W33&lt;0,'03_全链计算'!T55+1,0),IF('01_数值调参'!W34&lt;0,'03_全链计算'!U55+1,0),IF('01_数值调参'!W35&lt;0,'03_全链计算'!V55+1,0),IF('01_数值调参'!W36&lt;0,'03_全链计算'!W55+1,0),IF('01_数值调参'!W37&lt;0,'03_全链计算'!X55+1,0),IF('01_数值调参'!W38&lt;0,'03_全链计算'!Y55+1,0),IF('01_数值调参'!W39&lt;0,'03_全链计算'!Z55+1,0),IF('01_数值调参'!W40&lt;0,'03_全链计算'!AA55+1,0),IF('01_数值调参'!W41&lt;0,'03_全链计算'!AB55+1,0),IF('01_数值调参'!W42&lt;0,'03_全链计算'!AC55+1,0),IF('01_数值调参'!W43&lt;0,'03_全链计算'!AD55+1,0),IF('01_数值调参'!W44&lt;0,'03_全链计算'!AE55+1,0),IF('01_数值调参'!W45&lt;0,'03_全链计算'!AF55+1,0),IF('01_数值调参'!W46&lt;0,'03_全链计算'!AG55+1,0),IF('01_数值调参'!W47&lt;0,'03_全链计算'!AH55+1,0),IF('01_数值调参'!W48&lt;0,'03_全链计算'!AI55+1,0),IF('01_数值调参'!W49&lt;0,'03_全链计算'!AJ55+1,0),IF('01_数值调参'!W50&lt;0,'03_全链计算'!AK55+1,0),IF('01_数值调参'!W51&lt;0,'03_全链计算'!AL55+1,0),IF('01_数值调参'!W52&lt;0,'03_全链计算'!AM55+1,0))</x:f>
        <x:v>1</x:v>
      </x:c>
      <x:c r="X56" s="9" t="n">
        <x:f>MAX(IF('01_数值调参'!X18&lt;0,'03_全链计算'!E55+1,0),IF('01_数值调参'!X19&lt;0,'03_全链计算'!F55+1,0),IF('01_数值调参'!X20&lt;0,'03_全链计算'!G55+1,0),IF('01_数值调参'!X21&lt;0,'03_全链计算'!H55+1,0),IF('01_数值调参'!X22&lt;0,'03_全链计算'!I55+1,0),IF('01_数值调参'!X23&lt;0,'03_全链计算'!J55+1,0),IF('01_数值调参'!X24&lt;0,'03_全链计算'!K55+1,0),IF('01_数值调参'!X25&lt;0,'03_全链计算'!L55+1,0),IF('01_数值调参'!X26&lt;0,'03_全链计算'!M55+1,0),IF('01_数值调参'!X27&lt;0,'03_全链计算'!N55+1,0),IF('01_数值调参'!X28&lt;0,'03_全链计算'!O55+1,0),IF('01_数值调参'!X29&lt;0,'03_全链计算'!P55+1,0),IF('01_数值调参'!X30&lt;0,'03_全链计算'!Q55+1,0),IF('01_数值调参'!X31&lt;0,'03_全链计算'!R55+1,0),IF('01_数值调参'!X32&lt;0,'03_全链计算'!S55+1,0),IF('01_数值调参'!X33&lt;0,'03_全链计算'!T55+1,0),IF('01_数值调参'!X34&lt;0,'03_全链计算'!U55+1,0),IF('01_数值调参'!X35&lt;0,'03_全链计算'!V55+1,0),IF('01_数值调参'!X36&lt;0,'03_全链计算'!W55+1,0),IF('01_数值调参'!X37&lt;0,'03_全链计算'!X55+1,0),IF('01_数值调参'!X38&lt;0,'03_全链计算'!Y55+1,0),IF('01_数值调参'!X39&lt;0,'03_全链计算'!Z55+1,0),IF('01_数值调参'!X40&lt;0,'03_全链计算'!AA55+1,0),IF('01_数值调参'!X41&lt;0,'03_全链计算'!AB55+1,0),IF('01_数值调参'!X42&lt;0,'03_全链计算'!AC55+1,0),IF('01_数值调参'!X43&lt;0,'03_全链计算'!AD55+1,0),IF('01_数值调参'!X44&lt;0,'03_全链计算'!AE55+1,0),IF('01_数值调参'!X45&lt;0,'03_全链计算'!AF55+1,0),IF('01_数值调参'!X46&lt;0,'03_全链计算'!AG55+1,0),IF('01_数值调参'!X47&lt;0,'03_全链计算'!AH55+1,0),IF('01_数值调参'!X48&lt;0,'03_全链计算'!AI55+1,0),IF('01_数值调参'!X49&lt;0,'03_全链计算'!AJ55+1,0),IF('01_数值调参'!X50&lt;0,'03_全链计算'!AK55+1,0),IF('01_数值调参'!X51&lt;0,'03_全链计算'!AL55+1,0),IF('01_数值调参'!X52&lt;0,'03_全链计算'!AM55+1,0))</x:f>
        <x:v>2</x:v>
      </x:c>
      <x:c r="Y56" s="9" t="n">
        <x:f>MAX(IF('01_数值调参'!Y18&lt;0,'03_全链计算'!E55+1,0),IF('01_数值调参'!Y19&lt;0,'03_全链计算'!F55+1,0),IF('01_数值调参'!Y20&lt;0,'03_全链计算'!G55+1,0),IF('01_数值调参'!Y21&lt;0,'03_全链计算'!H55+1,0),IF('01_数值调参'!Y22&lt;0,'03_全链计算'!I55+1,0),IF('01_数值调参'!Y23&lt;0,'03_全链计算'!J55+1,0),IF('01_数值调参'!Y24&lt;0,'03_全链计算'!K55+1,0),IF('01_数值调参'!Y25&lt;0,'03_全链计算'!L55+1,0),IF('01_数值调参'!Y26&lt;0,'03_全链计算'!M55+1,0),IF('01_数值调参'!Y27&lt;0,'03_全链计算'!N55+1,0),IF('01_数值调参'!Y28&lt;0,'03_全链计算'!O55+1,0),IF('01_数值调参'!Y29&lt;0,'03_全链计算'!P55+1,0),IF('01_数值调参'!Y30&lt;0,'03_全链计算'!Q55+1,0),IF('01_数值调参'!Y31&lt;0,'03_全链计算'!R55+1,0),IF('01_数值调参'!Y32&lt;0,'03_全链计算'!S55+1,0),IF('01_数值调参'!Y33&lt;0,'03_全链计算'!T55+1,0),IF('01_数值调参'!Y34&lt;0,'03_全链计算'!U55+1,0),IF('01_数值调参'!Y35&lt;0,'03_全链计算'!V55+1,0),IF('01_数值调参'!Y36&lt;0,'03_全链计算'!W55+1,0),IF('01_数值调参'!Y37&lt;0,'03_全链计算'!X55+1,0),IF('01_数值调参'!Y38&lt;0,'03_全链计算'!Y55+1,0),IF('01_数值调参'!Y39&lt;0,'03_全链计算'!Z55+1,0),IF('01_数值调参'!Y40&lt;0,'03_全链计算'!AA55+1,0),IF('01_数值调参'!Y41&lt;0,'03_全链计算'!AB55+1,0),IF('01_数值调参'!Y42&lt;0,'03_全链计算'!AC55+1,0),IF('01_数值调参'!Y43&lt;0,'03_全链计算'!AD55+1,0),IF('01_数值调参'!Y44&lt;0,'03_全链计算'!AE55+1,0),IF('01_数值调参'!Y45&lt;0,'03_全链计算'!AF55+1,0),IF('01_数值调参'!Y46&lt;0,'03_全链计算'!AG55+1,0),IF('01_数值调参'!Y47&lt;0,'03_全链计算'!AH55+1,0),IF('01_数值调参'!Y48&lt;0,'03_全链计算'!AI55+1,0),IF('01_数值调参'!Y49&lt;0,'03_全链计算'!AJ55+1,0),IF('01_数值调参'!Y50&lt;0,'03_全链计算'!AK55+1,0),IF('01_数值调参'!Y51&lt;0,'03_全链计算'!AL55+1,0),IF('01_数值调参'!Y52&lt;0,'03_全链计算'!AM55+1,0))</x:f>
        <x:v>2</x:v>
      </x:c>
      <x:c r="Z56" s="9" t="n">
        <x:f>MAX(IF('01_数值调参'!Z18&lt;0,'03_全链计算'!E55+1,0),IF('01_数值调参'!Z19&lt;0,'03_全链计算'!F55+1,0),IF('01_数值调参'!Z20&lt;0,'03_全链计算'!G55+1,0),IF('01_数值调参'!Z21&lt;0,'03_全链计算'!H55+1,0),IF('01_数值调参'!Z22&lt;0,'03_全链计算'!I55+1,0),IF('01_数值调参'!Z23&lt;0,'03_全链计算'!J55+1,0),IF('01_数值调参'!Z24&lt;0,'03_全链计算'!K55+1,0),IF('01_数值调参'!Z25&lt;0,'03_全链计算'!L55+1,0),IF('01_数值调参'!Z26&lt;0,'03_全链计算'!M55+1,0),IF('01_数值调参'!Z27&lt;0,'03_全链计算'!N55+1,0),IF('01_数值调参'!Z28&lt;0,'03_全链计算'!O55+1,0),IF('01_数值调参'!Z29&lt;0,'03_全链计算'!P55+1,0),IF('01_数值调参'!Z30&lt;0,'03_全链计算'!Q55+1,0),IF('01_数值调参'!Z31&lt;0,'03_全链计算'!R55+1,0),IF('01_数值调参'!Z32&lt;0,'03_全链计算'!S55+1,0),IF('01_数值调参'!Z33&lt;0,'03_全链计算'!T55+1,0),IF('01_数值调参'!Z34&lt;0,'03_全链计算'!U55+1,0),IF('01_数值调参'!Z35&lt;0,'03_全链计算'!V55+1,0),IF('01_数值调参'!Z36&lt;0,'03_全链计算'!W55+1,0),IF('01_数值调参'!Z37&lt;0,'03_全链计算'!X55+1,0),IF('01_数值调参'!Z38&lt;0,'03_全链计算'!Y55+1,0),IF('01_数值调参'!Z39&lt;0,'03_全链计算'!Z55+1,0),IF('01_数值调参'!Z40&lt;0,'03_全链计算'!AA55+1,0),IF('01_数值调参'!Z41&lt;0,'03_全链计算'!AB55+1,0),IF('01_数值调参'!Z42&lt;0,'03_全链计算'!AC55+1,0),IF('01_数值调参'!Z43&lt;0,'03_全链计算'!AD55+1,0),IF('01_数值调参'!Z44&lt;0,'03_全链计算'!AE55+1,0),IF('01_数值调参'!Z45&lt;0,'03_全链计算'!AF55+1,0),IF('01_数值调参'!Z46&lt;0,'03_全链计算'!AG55+1,0),IF('01_数值调参'!Z47&lt;0,'03_全链计算'!AH55+1,0),IF('01_数值调参'!Z48&lt;0,'03_全链计算'!AI55+1,0),IF('01_数值调参'!Z49&lt;0,'03_全链计算'!AJ55+1,0),IF('01_数值调参'!Z50&lt;0,'03_全链计算'!AK55+1,0),IF('01_数值调参'!Z51&lt;0,'03_全链计算'!AL55+1,0),IF('01_数值调参'!Z52&lt;0,'03_全链计算'!AM55+1,0))</x:f>
        <x:v>2</x:v>
      </x:c>
      <x:c r="AA56" s="9" t="n">
        <x:f>MAX(IF('01_数值调参'!AA18&lt;0,'03_全链计算'!E55+1,0),IF('01_数值调参'!AA19&lt;0,'03_全链计算'!F55+1,0),IF('01_数值调参'!AA20&lt;0,'03_全链计算'!G55+1,0),IF('01_数值调参'!AA21&lt;0,'03_全链计算'!H55+1,0),IF('01_数值调参'!AA22&lt;0,'03_全链计算'!I55+1,0),IF('01_数值调参'!AA23&lt;0,'03_全链计算'!J55+1,0),IF('01_数值调参'!AA24&lt;0,'03_全链计算'!K55+1,0),IF('01_数值调参'!AA25&lt;0,'03_全链计算'!L55+1,0),IF('01_数值调参'!AA26&lt;0,'03_全链计算'!M55+1,0),IF('01_数值调参'!AA27&lt;0,'03_全链计算'!N55+1,0),IF('01_数值调参'!AA28&lt;0,'03_全链计算'!O55+1,0),IF('01_数值调参'!AA29&lt;0,'03_全链计算'!P55+1,0),IF('01_数值调参'!AA30&lt;0,'03_全链计算'!Q55+1,0),IF('01_数值调参'!AA31&lt;0,'03_全链计算'!R55+1,0),IF('01_数值调参'!AA32&lt;0,'03_全链计算'!S55+1,0),IF('01_数值调参'!AA33&lt;0,'03_全链计算'!T55+1,0),IF('01_数值调参'!AA34&lt;0,'03_全链计算'!U55+1,0),IF('01_数值调参'!AA35&lt;0,'03_全链计算'!V55+1,0),IF('01_数值调参'!AA36&lt;0,'03_全链计算'!W55+1,0),IF('01_数值调参'!AA37&lt;0,'03_全链计算'!X55+1,0),IF('01_数值调参'!AA38&lt;0,'03_全链计算'!Y55+1,0),IF('01_数值调参'!AA39&lt;0,'03_全链计算'!Z55+1,0),IF('01_数值调参'!AA40&lt;0,'03_全链计算'!AA55+1,0),IF('01_数值调参'!AA41&lt;0,'03_全链计算'!AB55+1,0),IF('01_数值调参'!AA42&lt;0,'03_全链计算'!AC55+1,0),IF('01_数值调参'!AA43&lt;0,'03_全链计算'!AD55+1,0),IF('01_数值调参'!AA44&lt;0,'03_全链计算'!AE55+1,0),IF('01_数值调参'!AA45&lt;0,'03_全链计算'!AF55+1,0),IF('01_数值调参'!AA46&lt;0,'03_全链计算'!AG55+1,0),IF('01_数值调参'!AA47&lt;0,'03_全链计算'!AH55+1,0),IF('01_数值调参'!AA48&lt;0,'03_全链计算'!AI55+1,0),IF('01_数值调参'!AA49&lt;0,'03_全链计算'!AJ55+1,0),IF('01_数值调参'!AA50&lt;0,'03_全链计算'!AK55+1,0),IF('01_数值调参'!AA51&lt;0,'03_全链计算'!AL55+1,0),IF('01_数值调参'!AA52&lt;0,'03_全链计算'!AM55+1,0))</x:f>
        <x:v>2</x:v>
      </x:c>
      <x:c r="AB56" s="9" t="n">
        <x:f>MAX(IF('01_数值调参'!AB18&lt;0,'03_全链计算'!E55+1,0),IF('01_数值调参'!AB19&lt;0,'03_全链计算'!F55+1,0),IF('01_数值调参'!AB20&lt;0,'03_全链计算'!G55+1,0),IF('01_数值调参'!AB21&lt;0,'03_全链计算'!H55+1,0),IF('01_数值调参'!AB22&lt;0,'03_全链计算'!I55+1,0),IF('01_数值调参'!AB23&lt;0,'03_全链计算'!J55+1,0),IF('01_数值调参'!AB24&lt;0,'03_全链计算'!K55+1,0),IF('01_数值调参'!AB25&lt;0,'03_全链计算'!L55+1,0),IF('01_数值调参'!AB26&lt;0,'03_全链计算'!M55+1,0),IF('01_数值调参'!AB27&lt;0,'03_全链计算'!N55+1,0),IF('01_数值调参'!AB28&lt;0,'03_全链计算'!O55+1,0),IF('01_数值调参'!AB29&lt;0,'03_全链计算'!P55+1,0),IF('01_数值调参'!AB30&lt;0,'03_全链计算'!Q55+1,0),IF('01_数值调参'!AB31&lt;0,'03_全链计算'!R55+1,0),IF('01_数值调参'!AB32&lt;0,'03_全链计算'!S55+1,0),IF('01_数值调参'!AB33&lt;0,'03_全链计算'!T55+1,0),IF('01_数值调参'!AB34&lt;0,'03_全链计算'!U55+1,0),IF('01_数值调参'!AB35&lt;0,'03_全链计算'!V55+1,0),IF('01_数值调参'!AB36&lt;0,'03_全链计算'!W55+1,0),IF('01_数值调参'!AB37&lt;0,'03_全链计算'!X55+1,0),IF('01_数值调参'!AB38&lt;0,'03_全链计算'!Y55+1,0),IF('01_数值调参'!AB39&lt;0,'03_全链计算'!Z55+1,0),IF('01_数值调参'!AB40&lt;0,'03_全链计算'!AA55+1,0),IF('01_数值调参'!AB41&lt;0,'03_全链计算'!AB55+1,0),IF('01_数值调参'!AB42&lt;0,'03_全链计算'!AC55+1,0),IF('01_数值调参'!AB43&lt;0,'03_全链计算'!AD55+1,0),IF('01_数值调参'!AB44&lt;0,'03_全链计算'!AE55+1,0),IF('01_数值调参'!AB45&lt;0,'03_全链计算'!AF55+1,0),IF('01_数值调参'!AB46&lt;0,'03_全链计算'!AG55+1,0),IF('01_数值调参'!AB47&lt;0,'03_全链计算'!AH55+1,0),IF('01_数值调参'!AB48&lt;0,'03_全链计算'!AI55+1,0),IF('01_数值调参'!AB49&lt;0,'03_全链计算'!AJ55+1,0),IF('01_数值调参'!AB50&lt;0,'03_全链计算'!AK55+1,0),IF('01_数值调参'!AB51&lt;0,'03_全链计算'!AL55+1,0),IF('01_数值调参'!AB52&lt;0,'03_全链计算'!AM55+1,0))</x:f>
        <x:v>2</x:v>
      </x:c>
      <x:c r="AC56" s="9" t="n">
        <x:f>MAX(IF('01_数值调参'!AC18&lt;0,'03_全链计算'!E55+1,0),IF('01_数值调参'!AC19&lt;0,'03_全链计算'!F55+1,0),IF('01_数值调参'!AC20&lt;0,'03_全链计算'!G55+1,0),IF('01_数值调参'!AC21&lt;0,'03_全链计算'!H55+1,0),IF('01_数值调参'!AC22&lt;0,'03_全链计算'!I55+1,0),IF('01_数值调参'!AC23&lt;0,'03_全链计算'!J55+1,0),IF('01_数值调参'!AC24&lt;0,'03_全链计算'!K55+1,0),IF('01_数值调参'!AC25&lt;0,'03_全链计算'!L55+1,0),IF('01_数值调参'!AC26&lt;0,'03_全链计算'!M55+1,0),IF('01_数值调参'!AC27&lt;0,'03_全链计算'!N55+1,0),IF('01_数值调参'!AC28&lt;0,'03_全链计算'!O55+1,0),IF('01_数值调参'!AC29&lt;0,'03_全链计算'!P55+1,0),IF('01_数值调参'!AC30&lt;0,'03_全链计算'!Q55+1,0),IF('01_数值调参'!AC31&lt;0,'03_全链计算'!R55+1,0),IF('01_数值调参'!AC32&lt;0,'03_全链计算'!S55+1,0),IF('01_数值调参'!AC33&lt;0,'03_全链计算'!T55+1,0),IF('01_数值调参'!AC34&lt;0,'03_全链计算'!U55+1,0),IF('01_数值调参'!AC35&lt;0,'03_全链计算'!V55+1,0),IF('01_数值调参'!AC36&lt;0,'03_全链计算'!W55+1,0),IF('01_数值调参'!AC37&lt;0,'03_全链计算'!X55+1,0),IF('01_数值调参'!AC38&lt;0,'03_全链计算'!Y55+1,0),IF('01_数值调参'!AC39&lt;0,'03_全链计算'!Z55+1,0),IF('01_数值调参'!AC40&lt;0,'03_全链计算'!AA55+1,0),IF('01_数值调参'!AC41&lt;0,'03_全链计算'!AB55+1,0),IF('01_数值调参'!AC42&lt;0,'03_全链计算'!AC55+1,0),IF('01_数值调参'!AC43&lt;0,'03_全链计算'!AD55+1,0),IF('01_数值调参'!AC44&lt;0,'03_全链计算'!AE55+1,0),IF('01_数值调参'!AC45&lt;0,'03_全链计算'!AF55+1,0),IF('01_数值调参'!AC46&lt;0,'03_全链计算'!AG55+1,0),IF('01_数值调参'!AC47&lt;0,'03_全链计算'!AH55+1,0),IF('01_数值调参'!AC48&lt;0,'03_全链计算'!AI55+1,0),IF('01_数值调参'!AC49&lt;0,'03_全链计算'!AJ55+1,0),IF('01_数值调参'!AC50&lt;0,'03_全链计算'!AK55+1,0),IF('01_数值调参'!AC51&lt;0,'03_全链计算'!AL55+1,0),IF('01_数值调参'!AC52&lt;0,'03_全链计算'!AM55+1,0))</x:f>
        <x:v>2</x:v>
      </x:c>
      <x:c r="AD56" s="9" t="n">
        <x:f>MAX(IF('01_数值调参'!AD18&lt;0,'03_全链计算'!E55+1,0),IF('01_数值调参'!AD19&lt;0,'03_全链计算'!F55+1,0),IF('01_数值调参'!AD20&lt;0,'03_全链计算'!G55+1,0),IF('01_数值调参'!AD21&lt;0,'03_全链计算'!H55+1,0),IF('01_数值调参'!AD22&lt;0,'03_全链计算'!I55+1,0),IF('01_数值调参'!AD23&lt;0,'03_全链计算'!J55+1,0),IF('01_数值调参'!AD24&lt;0,'03_全链计算'!K55+1,0),IF('01_数值调参'!AD25&lt;0,'03_全链计算'!L55+1,0),IF('01_数值调参'!AD26&lt;0,'03_全链计算'!M55+1,0),IF('01_数值调参'!AD27&lt;0,'03_全链计算'!N55+1,0),IF('01_数值调参'!AD28&lt;0,'03_全链计算'!O55+1,0),IF('01_数值调参'!AD29&lt;0,'03_全链计算'!P55+1,0),IF('01_数值调参'!AD30&lt;0,'03_全链计算'!Q55+1,0),IF('01_数值调参'!AD31&lt;0,'03_全链计算'!R55+1,0),IF('01_数值调参'!AD32&lt;0,'03_全链计算'!S55+1,0),IF('01_数值调参'!AD33&lt;0,'03_全链计算'!T55+1,0),IF('01_数值调参'!AD34&lt;0,'03_全链计算'!U55+1,0),IF('01_数值调参'!AD35&lt;0,'03_全链计算'!V55+1,0),IF('01_数值调参'!AD36&lt;0,'03_全链计算'!W55+1,0),IF('01_数值调参'!AD37&lt;0,'03_全链计算'!X55+1,0),IF('01_数值调参'!AD38&lt;0,'03_全链计算'!Y55+1,0),IF('01_数值调参'!AD39&lt;0,'03_全链计算'!Z55+1,0),IF('01_数值调参'!AD40&lt;0,'03_全链计算'!AA55+1,0),IF('01_数值调参'!AD41&lt;0,'03_全链计算'!AB55+1,0),IF('01_数值调参'!AD42&lt;0,'03_全链计算'!AC55+1,0),IF('01_数值调参'!AD43&lt;0,'03_全链计算'!AD55+1,0),IF('01_数值调参'!AD44&lt;0,'03_全链计算'!AE55+1,0),IF('01_数值调参'!AD45&lt;0,'03_全链计算'!AF55+1,0),IF('01_数值调参'!AD46&lt;0,'03_全链计算'!AG55+1,0),IF('01_数值调参'!AD47&lt;0,'03_全链计算'!AH55+1,0),IF('01_数值调参'!AD48&lt;0,'03_全链计算'!AI55+1,0),IF('01_数值调参'!AD49&lt;0,'03_全链计算'!AJ55+1,0),IF('01_数值调参'!AD50&lt;0,'03_全链计算'!AK55+1,0),IF('01_数值调参'!AD51&lt;0,'03_全链计算'!AL55+1,0),IF('01_数值调参'!AD52&lt;0,'03_全链计算'!AM55+1,0))</x:f>
        <x:v>1</x:v>
      </x:c>
      <x:c r="AE56" s="9" t="n">
        <x:f>MAX(IF('01_数值调参'!AE18&lt;0,'03_全链计算'!E55+1,0),IF('01_数值调参'!AE19&lt;0,'03_全链计算'!F55+1,0),IF('01_数值调参'!AE20&lt;0,'03_全链计算'!G55+1,0),IF('01_数值调参'!AE21&lt;0,'03_全链计算'!H55+1,0),IF('01_数值调参'!AE22&lt;0,'03_全链计算'!I55+1,0),IF('01_数值调参'!AE23&lt;0,'03_全链计算'!J55+1,0),IF('01_数值调参'!AE24&lt;0,'03_全链计算'!K55+1,0),IF('01_数值调参'!AE25&lt;0,'03_全链计算'!L55+1,0),IF('01_数值调参'!AE26&lt;0,'03_全链计算'!M55+1,0),IF('01_数值调参'!AE27&lt;0,'03_全链计算'!N55+1,0),IF('01_数值调参'!AE28&lt;0,'03_全链计算'!O55+1,0),IF('01_数值调参'!AE29&lt;0,'03_全链计算'!P55+1,0),IF('01_数值调参'!AE30&lt;0,'03_全链计算'!Q55+1,0),IF('01_数值调参'!AE31&lt;0,'03_全链计算'!R55+1,0),IF('01_数值调参'!AE32&lt;0,'03_全链计算'!S55+1,0),IF('01_数值调参'!AE33&lt;0,'03_全链计算'!T55+1,0),IF('01_数值调参'!AE34&lt;0,'03_全链计算'!U55+1,0),IF('01_数值调参'!AE35&lt;0,'03_全链计算'!V55+1,0),IF('01_数值调参'!AE36&lt;0,'03_全链计算'!W55+1,0),IF('01_数值调参'!AE37&lt;0,'03_全链计算'!X55+1,0),IF('01_数值调参'!AE38&lt;0,'03_全链计算'!Y55+1,0),IF('01_数值调参'!AE39&lt;0,'03_全链计算'!Z55+1,0),IF('01_数值调参'!AE40&lt;0,'03_全链计算'!AA55+1,0),IF('01_数值调参'!AE41&lt;0,'03_全链计算'!AB55+1,0),IF('01_数值调参'!AE42&lt;0,'03_全链计算'!AC55+1,0),IF('01_数值调参'!AE43&lt;0,'03_全链计算'!AD55+1,0),IF('01_数值调参'!AE44&lt;0,'03_全链计算'!AE55+1,0),IF('01_数值调参'!AE45&lt;0,'03_全链计算'!AF55+1,0),IF('01_数值调参'!AE46&lt;0,'03_全链计算'!AG55+1,0),IF('01_数值调参'!AE47&lt;0,'03_全链计算'!AH55+1,0),IF('01_数值调参'!AE48&lt;0,'03_全链计算'!AI55+1,0),IF('01_数值调参'!AE49&lt;0,'03_全链计算'!AJ55+1,0),IF('01_数值调参'!AE50&lt;0,'03_全链计算'!AK55+1,0),IF('01_数值调参'!AE51&lt;0,'03_全链计算'!AL55+1,0),IF('01_数值调参'!AE52&lt;0,'03_全链计算'!AM55+1,0))</x:f>
        <x:v>1</x:v>
      </x:c>
      <x:c r="AF56" s="9" t="n">
        <x:f>MAX(IF('01_数值调参'!AF18&lt;0,'03_全链计算'!E55+1,0),IF('01_数值调参'!AF19&lt;0,'03_全链计算'!F55+1,0),IF('01_数值调参'!AF20&lt;0,'03_全链计算'!G55+1,0),IF('01_数值调参'!AF21&lt;0,'03_全链计算'!H55+1,0),IF('01_数值调参'!AF22&lt;0,'03_全链计算'!I55+1,0),IF('01_数值调参'!AF23&lt;0,'03_全链计算'!J55+1,0),IF('01_数值调参'!AF24&lt;0,'03_全链计算'!K55+1,0),IF('01_数值调参'!AF25&lt;0,'03_全链计算'!L55+1,0),IF('01_数值调参'!AF26&lt;0,'03_全链计算'!M55+1,0),IF('01_数值调参'!AF27&lt;0,'03_全链计算'!N55+1,0),IF('01_数值调参'!AF28&lt;0,'03_全链计算'!O55+1,0),IF('01_数值调参'!AF29&lt;0,'03_全链计算'!P55+1,0),IF('01_数值调参'!AF30&lt;0,'03_全链计算'!Q55+1,0),IF('01_数值调参'!AF31&lt;0,'03_全链计算'!R55+1,0),IF('01_数值调参'!AF32&lt;0,'03_全链计算'!S55+1,0),IF('01_数值调参'!AF33&lt;0,'03_全链计算'!T55+1,0),IF('01_数值调参'!AF34&lt;0,'03_全链计算'!U55+1,0),IF('01_数值调参'!AF35&lt;0,'03_全链计算'!V55+1,0),IF('01_数值调参'!AF36&lt;0,'03_全链计算'!W55+1,0),IF('01_数值调参'!AF37&lt;0,'03_全链计算'!X55+1,0),IF('01_数值调参'!AF38&lt;0,'03_全链计算'!Y55+1,0),IF('01_数值调参'!AF39&lt;0,'03_全链计算'!Z55+1,0),IF('01_数值调参'!AF40&lt;0,'03_全链计算'!AA55+1,0),IF('01_数值调参'!AF41&lt;0,'03_全链计算'!AB55+1,0),IF('01_数值调参'!AF42&lt;0,'03_全链计算'!AC55+1,0),IF('01_数值调参'!AF43&lt;0,'03_全链计算'!AD55+1,0),IF('01_数值调参'!AF44&lt;0,'03_全链计算'!AE55+1,0),IF('01_数值调参'!AF45&lt;0,'03_全链计算'!AF55+1,0),IF('01_数值调参'!AF46&lt;0,'03_全链计算'!AG55+1,0),IF('01_数值调参'!AF47&lt;0,'03_全链计算'!AH55+1,0),IF('01_数值调参'!AF48&lt;0,'03_全链计算'!AI55+1,0),IF('01_数值调参'!AF49&lt;0,'03_全链计算'!AJ55+1,0),IF('01_数值调参'!AF50&lt;0,'03_全链计算'!AK55+1,0),IF('01_数值调参'!AF51&lt;0,'03_全链计算'!AL55+1,0),IF('01_数值调参'!AF52&lt;0,'03_全链计算'!AM55+1,0))</x:f>
        <x:v>1</x:v>
      </x:c>
      <x:c r="AG56" s="9" t="n">
        <x:f>MAX(IF('01_数值调参'!AG18&lt;0,'03_全链计算'!E55+1,0),IF('01_数值调参'!AG19&lt;0,'03_全链计算'!F55+1,0),IF('01_数值调参'!AG20&lt;0,'03_全链计算'!G55+1,0),IF('01_数值调参'!AG21&lt;0,'03_全链计算'!H55+1,0),IF('01_数值调参'!AG22&lt;0,'03_全链计算'!I55+1,0),IF('01_数值调参'!AG23&lt;0,'03_全链计算'!J55+1,0),IF('01_数值调参'!AG24&lt;0,'03_全链计算'!K55+1,0),IF('01_数值调参'!AG25&lt;0,'03_全链计算'!L55+1,0),IF('01_数值调参'!AG26&lt;0,'03_全链计算'!M55+1,0),IF('01_数值调参'!AG27&lt;0,'03_全链计算'!N55+1,0),IF('01_数值调参'!AG28&lt;0,'03_全链计算'!O55+1,0),IF('01_数值调参'!AG29&lt;0,'03_全链计算'!P55+1,0),IF('01_数值调参'!AG30&lt;0,'03_全链计算'!Q55+1,0),IF('01_数值调参'!AG31&lt;0,'03_全链计算'!R55+1,0),IF('01_数值调参'!AG32&lt;0,'03_全链计算'!S55+1,0),IF('01_数值调参'!AG33&lt;0,'03_全链计算'!T55+1,0),IF('01_数值调参'!AG34&lt;0,'03_全链计算'!U55+1,0),IF('01_数值调参'!AG35&lt;0,'03_全链计算'!V55+1,0),IF('01_数值调参'!AG36&lt;0,'03_全链计算'!W55+1,0),IF('01_数值调参'!AG37&lt;0,'03_全链计算'!X55+1,0),IF('01_数值调参'!AG38&lt;0,'03_全链计算'!Y55+1,0),IF('01_数值调参'!AG39&lt;0,'03_全链计算'!Z55+1,0),IF('01_数值调参'!AG40&lt;0,'03_全链计算'!AA55+1,0),IF('01_数值调参'!AG41&lt;0,'03_全链计算'!AB55+1,0),IF('01_数值调参'!AG42&lt;0,'03_全链计算'!AC55+1,0),IF('01_数值调参'!AG43&lt;0,'03_全链计算'!AD55+1,0),IF('01_数值调参'!AG44&lt;0,'03_全链计算'!AE55+1,0),IF('01_数值调参'!AG45&lt;0,'03_全链计算'!AF55+1,0),IF('01_数值调参'!AG46&lt;0,'03_全链计算'!AG55+1,0),IF('01_数值调参'!AG47&lt;0,'03_全链计算'!AH55+1,0),IF('01_数值调参'!AG48&lt;0,'03_全链计算'!AI55+1,0),IF('01_数值调参'!AG49&lt;0,'03_全链计算'!AJ55+1,0),IF('01_数值调参'!AG50&lt;0,'03_全链计算'!AK55+1,0),IF('01_数值调参'!AG51&lt;0,'03_全链计算'!AL55+1,0),IF('01_数值调参'!AG52&lt;0,'03_全链计算'!AM55+1,0))</x:f>
        <x:v>1</x:v>
      </x:c>
      <x:c r="AH56" s="9" t="n">
        <x:f>MAX(IF('01_数值调参'!AH18&lt;0,'03_全链计算'!E55+1,0),IF('01_数值调参'!AH19&lt;0,'03_全链计算'!F55+1,0),IF('01_数值调参'!AH20&lt;0,'03_全链计算'!G55+1,0),IF('01_数值调参'!AH21&lt;0,'03_全链计算'!H55+1,0),IF('01_数值调参'!AH22&lt;0,'03_全链计算'!I55+1,0),IF('01_数值调参'!AH23&lt;0,'03_全链计算'!J55+1,0),IF('01_数值调参'!AH24&lt;0,'03_全链计算'!K55+1,0),IF('01_数值调参'!AH25&lt;0,'03_全链计算'!L55+1,0),IF('01_数值调参'!AH26&lt;0,'03_全链计算'!M55+1,0),IF('01_数值调参'!AH27&lt;0,'03_全链计算'!N55+1,0),IF('01_数值调参'!AH28&lt;0,'03_全链计算'!O55+1,0),IF('01_数值调参'!AH29&lt;0,'03_全链计算'!P55+1,0),IF('01_数值调参'!AH30&lt;0,'03_全链计算'!Q55+1,0),IF('01_数值调参'!AH31&lt;0,'03_全链计算'!R55+1,0),IF('01_数值调参'!AH32&lt;0,'03_全链计算'!S55+1,0),IF('01_数值调参'!AH33&lt;0,'03_全链计算'!T55+1,0),IF('01_数值调参'!AH34&lt;0,'03_全链计算'!U55+1,0),IF('01_数值调参'!AH35&lt;0,'03_全链计算'!V55+1,0),IF('01_数值调参'!AH36&lt;0,'03_全链计算'!W55+1,0),IF('01_数值调参'!AH37&lt;0,'03_全链计算'!X55+1,0),IF('01_数值调参'!AH38&lt;0,'03_全链计算'!Y55+1,0),IF('01_数值调参'!AH39&lt;0,'03_全链计算'!Z55+1,0),IF('01_数值调参'!AH40&lt;0,'03_全链计算'!AA55+1,0),IF('01_数值调参'!AH41&lt;0,'03_全链计算'!AB55+1,0),IF('01_数值调参'!AH42&lt;0,'03_全链计算'!AC55+1,0),IF('01_数值调参'!AH43&lt;0,'03_全链计算'!AD55+1,0),IF('01_数值调参'!AH44&lt;0,'03_全链计算'!AE55+1,0),IF('01_数值调参'!AH45&lt;0,'03_全链计算'!AF55+1,0),IF('01_数值调参'!AH46&lt;0,'03_全链计算'!AG55+1,0),IF('01_数值调参'!AH47&lt;0,'03_全链计算'!AH55+1,0),IF('01_数值调参'!AH48&lt;0,'03_全链计算'!AI55+1,0),IF('01_数值调参'!AH49&lt;0,'03_全链计算'!AJ55+1,0),IF('01_数值调参'!AH50&lt;0,'03_全链计算'!AK55+1,0),IF('01_数值调参'!AH51&lt;0,'03_全链计算'!AL55+1,0),IF('01_数值调参'!AH52&lt;0,'03_全链计算'!AM55+1,0))</x:f>
        <x:v>2</x:v>
      </x:c>
      <x:c r="AI56" s="9" t="n">
        <x:f>MAX(IF('01_数值调参'!AI18&lt;0,'03_全链计算'!E55+1,0),IF('01_数值调参'!AI19&lt;0,'03_全链计算'!F55+1,0),IF('01_数值调参'!AI20&lt;0,'03_全链计算'!G55+1,0),IF('01_数值调参'!AI21&lt;0,'03_全链计算'!H55+1,0),IF('01_数值调参'!AI22&lt;0,'03_全链计算'!I55+1,0),IF('01_数值调参'!AI23&lt;0,'03_全链计算'!J55+1,0),IF('01_数值调参'!AI24&lt;0,'03_全链计算'!K55+1,0),IF('01_数值调参'!AI25&lt;0,'03_全链计算'!L55+1,0),IF('01_数值调参'!AI26&lt;0,'03_全链计算'!M55+1,0),IF('01_数值调参'!AI27&lt;0,'03_全链计算'!N55+1,0),IF('01_数值调参'!AI28&lt;0,'03_全链计算'!O55+1,0),IF('01_数值调参'!AI29&lt;0,'03_全链计算'!P55+1,0),IF('01_数值调参'!AI30&lt;0,'03_全链计算'!Q55+1,0),IF('01_数值调参'!AI31&lt;0,'03_全链计算'!R55+1,0),IF('01_数值调参'!AI32&lt;0,'03_全链计算'!S55+1,0),IF('01_数值调参'!AI33&lt;0,'03_全链计算'!T55+1,0),IF('01_数值调参'!AI34&lt;0,'03_全链计算'!U55+1,0),IF('01_数值调参'!AI35&lt;0,'03_全链计算'!V55+1,0),IF('01_数值调参'!AI36&lt;0,'03_全链计算'!W55+1,0),IF('01_数值调参'!AI37&lt;0,'03_全链计算'!X55+1,0),IF('01_数值调参'!AI38&lt;0,'03_全链计算'!Y55+1,0),IF('01_数值调参'!AI39&lt;0,'03_全链计算'!Z55+1,0),IF('01_数值调参'!AI40&lt;0,'03_全链计算'!AA55+1,0),IF('01_数值调参'!AI41&lt;0,'03_全链计算'!AB55+1,0),IF('01_数值调参'!AI42&lt;0,'03_全链计算'!AC55+1,0),IF('01_数值调参'!AI43&lt;0,'03_全链计算'!AD55+1,0),IF('01_数值调参'!AI44&lt;0,'03_全链计算'!AE55+1,0),IF('01_数值调参'!AI45&lt;0,'03_全链计算'!AF55+1,0),IF('01_数值调参'!AI46&lt;0,'03_全链计算'!AG55+1,0),IF('01_数值调参'!AI47&lt;0,'03_全链计算'!AH55+1,0),IF('01_数值调参'!AI48&lt;0,'03_全链计算'!AI55+1,0),IF('01_数值调参'!AI49&lt;0,'03_全链计算'!AJ55+1,0),IF('01_数值调参'!AI50&lt;0,'03_全链计算'!AK55+1,0),IF('01_数值调参'!AI51&lt;0,'03_全链计算'!AL55+1,0),IF('01_数值调参'!AI52&lt;0,'03_全链计算'!AM55+1,0))</x:f>
        <x:v>2</x:v>
      </x:c>
      <x:c r="AJ56" s="9" t="n">
        <x:f>MAX(IF('01_数值调参'!AJ18&lt;0,'03_全链计算'!E55+1,0),IF('01_数值调参'!AJ19&lt;0,'03_全链计算'!F55+1,0),IF('01_数值调参'!AJ20&lt;0,'03_全链计算'!G55+1,0),IF('01_数值调参'!AJ21&lt;0,'03_全链计算'!H55+1,0),IF('01_数值调参'!AJ22&lt;0,'03_全链计算'!I55+1,0),IF('01_数值调参'!AJ23&lt;0,'03_全链计算'!J55+1,0),IF('01_数值调参'!AJ24&lt;0,'03_全链计算'!K55+1,0),IF('01_数值调参'!AJ25&lt;0,'03_全链计算'!L55+1,0),IF('01_数值调参'!AJ26&lt;0,'03_全链计算'!M55+1,0),IF('01_数值调参'!AJ27&lt;0,'03_全链计算'!N55+1,0),IF('01_数值调参'!AJ28&lt;0,'03_全链计算'!O55+1,0),IF('01_数值调参'!AJ29&lt;0,'03_全链计算'!P55+1,0),IF('01_数值调参'!AJ30&lt;0,'03_全链计算'!Q55+1,0),IF('01_数值调参'!AJ31&lt;0,'03_全链计算'!R55+1,0),IF('01_数值调参'!AJ32&lt;0,'03_全链计算'!S55+1,0),IF('01_数值调参'!AJ33&lt;0,'03_全链计算'!T55+1,0),IF('01_数值调参'!AJ34&lt;0,'03_全链计算'!U55+1,0),IF('01_数值调参'!AJ35&lt;0,'03_全链计算'!V55+1,0),IF('01_数值调参'!AJ36&lt;0,'03_全链计算'!W55+1,0),IF('01_数值调参'!AJ37&lt;0,'03_全链计算'!X55+1,0),IF('01_数值调参'!AJ38&lt;0,'03_全链计算'!Y55+1,0),IF('01_数值调参'!AJ39&lt;0,'03_全链计算'!Z55+1,0),IF('01_数值调参'!AJ40&lt;0,'03_全链计算'!AA55+1,0),IF('01_数值调参'!AJ41&lt;0,'03_全链计算'!AB55+1,0),IF('01_数值调参'!AJ42&lt;0,'03_全链计算'!AC55+1,0),IF('01_数值调参'!AJ43&lt;0,'03_全链计算'!AD55+1,0),IF('01_数值调参'!AJ44&lt;0,'03_全链计算'!AE55+1,0),IF('01_数值调参'!AJ45&lt;0,'03_全链计算'!AF55+1,0),IF('01_数值调参'!AJ46&lt;0,'03_全链计算'!AG55+1,0),IF('01_数值调参'!AJ47&lt;0,'03_全链计算'!AH55+1,0),IF('01_数值调参'!AJ48&lt;0,'03_全链计算'!AI55+1,0),IF('01_数值调参'!AJ49&lt;0,'03_全链计算'!AJ55+1,0),IF('01_数值调参'!AJ50&lt;0,'03_全链计算'!AK55+1,0),IF('01_数值调参'!AJ51&lt;0,'03_全链计算'!AL55+1,0),IF('01_数值调参'!AJ52&lt;0,'03_全链计算'!AM55+1,0))</x:f>
        <x:v>2</x:v>
      </x:c>
      <x:c r="AK56" s="9" t="n">
        <x:f>MAX(IF('01_数值调参'!AK18&lt;0,'03_全链计算'!E55+1,0),IF('01_数值调参'!AK19&lt;0,'03_全链计算'!F55+1,0),IF('01_数值调参'!AK20&lt;0,'03_全链计算'!G55+1,0),IF('01_数值调参'!AK21&lt;0,'03_全链计算'!H55+1,0),IF('01_数值调参'!AK22&lt;0,'03_全链计算'!I55+1,0),IF('01_数值调参'!AK23&lt;0,'03_全链计算'!J55+1,0),IF('01_数值调参'!AK24&lt;0,'03_全链计算'!K55+1,0),IF('01_数值调参'!AK25&lt;0,'03_全链计算'!L55+1,0),IF('01_数值调参'!AK26&lt;0,'03_全链计算'!M55+1,0),IF('01_数值调参'!AK27&lt;0,'03_全链计算'!N55+1,0),IF('01_数值调参'!AK28&lt;0,'03_全链计算'!O55+1,0),IF('01_数值调参'!AK29&lt;0,'03_全链计算'!P55+1,0),IF('01_数值调参'!AK30&lt;0,'03_全链计算'!Q55+1,0),IF('01_数值调参'!AK31&lt;0,'03_全链计算'!R55+1,0),IF('01_数值调参'!AK32&lt;0,'03_全链计算'!S55+1,0),IF('01_数值调参'!AK33&lt;0,'03_全链计算'!T55+1,0),IF('01_数值调参'!AK34&lt;0,'03_全链计算'!U55+1,0),IF('01_数值调参'!AK35&lt;0,'03_全链计算'!V55+1,0),IF('01_数值调参'!AK36&lt;0,'03_全链计算'!W55+1,0),IF('01_数值调参'!AK37&lt;0,'03_全链计算'!X55+1,0),IF('01_数值调参'!AK38&lt;0,'03_全链计算'!Y55+1,0),IF('01_数值调参'!AK39&lt;0,'03_全链计算'!Z55+1,0),IF('01_数值调参'!AK40&lt;0,'03_全链计算'!AA55+1,0),IF('01_数值调参'!AK41&lt;0,'03_全链计算'!AB55+1,0),IF('01_数值调参'!AK42&lt;0,'03_全链计算'!AC55+1,0),IF('01_数值调参'!AK43&lt;0,'03_全链计算'!AD55+1,0),IF('01_数值调参'!AK44&lt;0,'03_全链计算'!AE55+1,0),IF('01_数值调参'!AK45&lt;0,'03_全链计算'!AF55+1,0),IF('01_数值调参'!AK46&lt;0,'03_全链计算'!AG55+1,0),IF('01_数值调参'!AK47&lt;0,'03_全链计算'!AH55+1,0),IF('01_数值调参'!AK48&lt;0,'03_全链计算'!AI55+1,0),IF('01_数值调参'!AK49&lt;0,'03_全链计算'!AJ55+1,0),IF('01_数值调参'!AK50&lt;0,'03_全链计算'!AK55+1,0),IF('01_数值调参'!AK51&lt;0,'03_全链计算'!AL55+1,0),IF('01_数值调参'!AK52&lt;0,'03_全链计算'!AM55+1,0))</x:f>
        <x:v>2</x:v>
      </x:c>
      <x:c r="AL56" s="9" t="n">
        <x:f>MAX(IF('01_数值调参'!AL18&lt;0,'03_全链计算'!E55+1,0),IF('01_数值调参'!AL19&lt;0,'03_全链计算'!F55+1,0),IF('01_数值调参'!AL20&lt;0,'03_全链计算'!G55+1,0),IF('01_数值调参'!AL21&lt;0,'03_全链计算'!H55+1,0),IF('01_数值调参'!AL22&lt;0,'03_全链计算'!I55+1,0),IF('01_数值调参'!AL23&lt;0,'03_全链计算'!J55+1,0),IF('01_数值调参'!AL24&lt;0,'03_全链计算'!K55+1,0),IF('01_数值调参'!AL25&lt;0,'03_全链计算'!L55+1,0),IF('01_数值调参'!AL26&lt;0,'03_全链计算'!M55+1,0),IF('01_数值调参'!AL27&lt;0,'03_全链计算'!N55+1,0),IF('01_数值调参'!AL28&lt;0,'03_全链计算'!O55+1,0),IF('01_数值调参'!AL29&lt;0,'03_全链计算'!P55+1,0),IF('01_数值调参'!AL30&lt;0,'03_全链计算'!Q55+1,0),IF('01_数值调参'!AL31&lt;0,'03_全链计算'!R55+1,0),IF('01_数值调参'!AL32&lt;0,'03_全链计算'!S55+1,0),IF('01_数值调参'!AL33&lt;0,'03_全链计算'!T55+1,0),IF('01_数值调参'!AL34&lt;0,'03_全链计算'!U55+1,0),IF('01_数值调参'!AL35&lt;0,'03_全链计算'!V55+1,0),IF('01_数值调参'!AL36&lt;0,'03_全链计算'!W55+1,0),IF('01_数值调参'!AL37&lt;0,'03_全链计算'!X55+1,0),IF('01_数值调参'!AL38&lt;0,'03_全链计算'!Y55+1,0),IF('01_数值调参'!AL39&lt;0,'03_全链计算'!Z55+1,0),IF('01_数值调参'!AL40&lt;0,'03_全链计算'!AA55+1,0),IF('01_数值调参'!AL41&lt;0,'03_全链计算'!AB55+1,0),IF('01_数值调参'!AL42&lt;0,'03_全链计算'!AC55+1,0),IF('01_数值调参'!AL43&lt;0,'03_全链计算'!AD55+1,0),IF('01_数值调参'!AL44&lt;0,'03_全链计算'!AE55+1,0),IF('01_数值调参'!AL45&lt;0,'03_全链计算'!AF55+1,0),IF('01_数值调参'!AL46&lt;0,'03_全链计算'!AG55+1,0),IF('01_数值调参'!AL47&lt;0,'03_全链计算'!AH55+1,0),IF('01_数值调参'!AL48&lt;0,'03_全链计算'!AI55+1,0),IF('01_数值调参'!AL49&lt;0,'03_全链计算'!AJ55+1,0),IF('01_数值调参'!AL50&lt;0,'03_全链计算'!AK55+1,0),IF('01_数值调参'!AL51&lt;0,'03_全链计算'!AL55+1,0),IF('01_数值调参'!AL52&lt;0,'03_全链计算'!AM55+1,0))</x:f>
        <x:v>3</x:v>
      </x:c>
      <x:c r="AM56" s="9" t="n">
        <x:f>MAX(IF('01_数值调参'!AM18&lt;0,'03_全链计算'!E55+1,0),IF('01_数值调参'!AM19&lt;0,'03_全链计算'!F55+1,0),IF('01_数值调参'!AM20&lt;0,'03_全链计算'!G55+1,0),IF('01_数值调参'!AM21&lt;0,'03_全链计算'!H55+1,0),IF('01_数值调参'!AM22&lt;0,'03_全链计算'!I55+1,0),IF('01_数值调参'!AM23&lt;0,'03_全链计算'!J55+1,0),IF('01_数值调参'!AM24&lt;0,'03_全链计算'!K55+1,0),IF('01_数值调参'!AM25&lt;0,'03_全链计算'!L55+1,0),IF('01_数值调参'!AM26&lt;0,'03_全链计算'!M55+1,0),IF('01_数值调参'!AM27&lt;0,'03_全链计算'!N55+1,0),IF('01_数值调参'!AM28&lt;0,'03_全链计算'!O55+1,0),IF('01_数值调参'!AM29&lt;0,'03_全链计算'!P55+1,0),IF('01_数值调参'!AM30&lt;0,'03_全链计算'!Q55+1,0),IF('01_数值调参'!AM31&lt;0,'03_全链计算'!R55+1,0),IF('01_数值调参'!AM32&lt;0,'03_全链计算'!S55+1,0),IF('01_数值调参'!AM33&lt;0,'03_全链计算'!T55+1,0),IF('01_数值调参'!AM34&lt;0,'03_全链计算'!U55+1,0),IF('01_数值调参'!AM35&lt;0,'03_全链计算'!V55+1,0),IF('01_数值调参'!AM36&lt;0,'03_全链计算'!W55+1,0),IF('01_数值调参'!AM37&lt;0,'03_全链计算'!X55+1,0),IF('01_数值调参'!AM38&lt;0,'03_全链计算'!Y55+1,0),IF('01_数值调参'!AM39&lt;0,'03_全链计算'!Z55+1,0),IF('01_数值调参'!AM40&lt;0,'03_全链计算'!AA55+1,0),IF('01_数值调参'!AM41&lt;0,'03_全链计算'!AB55+1,0),IF('01_数值调参'!AM42&lt;0,'03_全链计算'!AC55+1,0),IF('01_数值调参'!AM43&lt;0,'03_全链计算'!AD55+1,0),IF('01_数值调参'!AM44&lt;0,'03_全链计算'!AE55+1,0),IF('01_数值调参'!AM45&lt;0,'03_全链计算'!AF55+1,0),IF('01_数值调参'!AM46&lt;0,'03_全链计算'!AG55+1,0),IF('01_数值调参'!AM47&lt;0,'03_全链计算'!AH55+1,0),IF('01_数值调参'!AM48&lt;0,'03_全链计算'!AI55+1,0),IF('01_数值调参'!AM49&lt;0,'03_全链计算'!AJ55+1,0),IF('01_数值调参'!AM50&lt;0,'03_全链计算'!AK55+1,0),IF('01_数值调参'!AM51&lt;0,'03_全链计算'!AL55+1,0),IF('01_数值调参'!AM52&lt;0,'03_全链计算'!AM55+1,0))</x:f>
        <x:v>3</x:v>
      </x:c>
    </x:row>
    <x:row r="57" ht="22" customHeight="1">
      <x:c r="A57" s="9" t="n">
        <x:v>12</x:v>
      </x:c>
      <x:c r="B57" s="9"/>
      <x:c r="C57" s="9"/>
      <x:c r="D57" s="9"/>
      <x:c r="E57" s="9" t="n">
        <x:f>MAX(IF('01_数值调参'!E18&lt;0,'03_全链计算'!E56+1,0),IF('01_数值调参'!E19&lt;0,'03_全链计算'!F56+1,0),IF('01_数值调参'!E20&lt;0,'03_全链计算'!G56+1,0),IF('01_数值调参'!E21&lt;0,'03_全链计算'!H56+1,0),IF('01_数值调参'!E22&lt;0,'03_全链计算'!I56+1,0),IF('01_数值调参'!E23&lt;0,'03_全链计算'!J56+1,0),IF('01_数值调参'!E24&lt;0,'03_全链计算'!K56+1,0),IF('01_数值调参'!E25&lt;0,'03_全链计算'!L56+1,0),IF('01_数值调参'!E26&lt;0,'03_全链计算'!M56+1,0),IF('01_数值调参'!E27&lt;0,'03_全链计算'!N56+1,0),IF('01_数值调参'!E28&lt;0,'03_全链计算'!O56+1,0),IF('01_数值调参'!E29&lt;0,'03_全链计算'!P56+1,0),IF('01_数值调参'!E30&lt;0,'03_全链计算'!Q56+1,0),IF('01_数值调参'!E31&lt;0,'03_全链计算'!R56+1,0),IF('01_数值调参'!E32&lt;0,'03_全链计算'!S56+1,0),IF('01_数值调参'!E33&lt;0,'03_全链计算'!T56+1,0),IF('01_数值调参'!E34&lt;0,'03_全链计算'!U56+1,0),IF('01_数值调参'!E35&lt;0,'03_全链计算'!V56+1,0),IF('01_数值调参'!E36&lt;0,'03_全链计算'!W56+1,0),IF('01_数值调参'!E37&lt;0,'03_全链计算'!X56+1,0),IF('01_数值调参'!E38&lt;0,'03_全链计算'!Y56+1,0),IF('01_数值调参'!E39&lt;0,'03_全链计算'!Z56+1,0),IF('01_数值调参'!E40&lt;0,'03_全链计算'!AA56+1,0),IF('01_数值调参'!E41&lt;0,'03_全链计算'!AB56+1,0),IF('01_数值调参'!E42&lt;0,'03_全链计算'!AC56+1,0),IF('01_数值调参'!E43&lt;0,'03_全链计算'!AD56+1,0),IF('01_数值调参'!E44&lt;0,'03_全链计算'!AE56+1,0),IF('01_数值调参'!E45&lt;0,'03_全链计算'!AF56+1,0),IF('01_数值调参'!E46&lt;0,'03_全链计算'!AG56+1,0),IF('01_数值调参'!E47&lt;0,'03_全链计算'!AH56+1,0),IF('01_数值调参'!E48&lt;0,'03_全链计算'!AI56+1,0),IF('01_数值调参'!E49&lt;0,'03_全链计算'!AJ56+1,0),IF('01_数值调参'!E50&lt;0,'03_全链计算'!AK56+1,0),IF('01_数值调参'!E51&lt;0,'03_全链计算'!AL56+1,0),IF('01_数值调参'!E52&lt;0,'03_全链计算'!AM56+1,0))</x:f>
        <x:v>0</x:v>
      </x:c>
      <x:c r="F57" s="9" t="n">
        <x:f>MAX(IF('01_数值调参'!F18&lt;0,'03_全链计算'!E56+1,0),IF('01_数值调参'!F19&lt;0,'03_全链计算'!F56+1,0),IF('01_数值调参'!F20&lt;0,'03_全链计算'!G56+1,0),IF('01_数值调参'!F21&lt;0,'03_全链计算'!H56+1,0),IF('01_数值调参'!F22&lt;0,'03_全链计算'!I56+1,0),IF('01_数值调参'!F23&lt;0,'03_全链计算'!J56+1,0),IF('01_数值调参'!F24&lt;0,'03_全链计算'!K56+1,0),IF('01_数值调参'!F25&lt;0,'03_全链计算'!L56+1,0),IF('01_数值调参'!F26&lt;0,'03_全链计算'!M56+1,0),IF('01_数值调参'!F27&lt;0,'03_全链计算'!N56+1,0),IF('01_数值调参'!F28&lt;0,'03_全链计算'!O56+1,0),IF('01_数值调参'!F29&lt;0,'03_全链计算'!P56+1,0),IF('01_数值调参'!F30&lt;0,'03_全链计算'!Q56+1,0),IF('01_数值调参'!F31&lt;0,'03_全链计算'!R56+1,0),IF('01_数值调参'!F32&lt;0,'03_全链计算'!S56+1,0),IF('01_数值调参'!F33&lt;0,'03_全链计算'!T56+1,0),IF('01_数值调参'!F34&lt;0,'03_全链计算'!U56+1,0),IF('01_数值调参'!F35&lt;0,'03_全链计算'!V56+1,0),IF('01_数值调参'!F36&lt;0,'03_全链计算'!W56+1,0),IF('01_数值调参'!F37&lt;0,'03_全链计算'!X56+1,0),IF('01_数值调参'!F38&lt;0,'03_全链计算'!Y56+1,0),IF('01_数值调参'!F39&lt;0,'03_全链计算'!Z56+1,0),IF('01_数值调参'!F40&lt;0,'03_全链计算'!AA56+1,0),IF('01_数值调参'!F41&lt;0,'03_全链计算'!AB56+1,0),IF('01_数值调参'!F42&lt;0,'03_全链计算'!AC56+1,0),IF('01_数值调参'!F43&lt;0,'03_全链计算'!AD56+1,0),IF('01_数值调参'!F44&lt;0,'03_全链计算'!AE56+1,0),IF('01_数值调参'!F45&lt;0,'03_全链计算'!AF56+1,0),IF('01_数值调参'!F46&lt;0,'03_全链计算'!AG56+1,0),IF('01_数值调参'!F47&lt;0,'03_全链计算'!AH56+1,0),IF('01_数值调参'!F48&lt;0,'03_全链计算'!AI56+1,0),IF('01_数值调参'!F49&lt;0,'03_全链计算'!AJ56+1,0),IF('01_数值调参'!F50&lt;0,'03_全链计算'!AK56+1,0),IF('01_数值调参'!F51&lt;0,'03_全链计算'!AL56+1,0),IF('01_数值调参'!F52&lt;0,'03_全链计算'!AM56+1,0))</x:f>
        <x:v>0</x:v>
      </x:c>
      <x:c r="G57" s="9" t="n">
        <x:f>MAX(IF('01_数值调参'!G18&lt;0,'03_全链计算'!E56+1,0),IF('01_数值调参'!G19&lt;0,'03_全链计算'!F56+1,0),IF('01_数值调参'!G20&lt;0,'03_全链计算'!G56+1,0),IF('01_数值调参'!G21&lt;0,'03_全链计算'!H56+1,0),IF('01_数值调参'!G22&lt;0,'03_全链计算'!I56+1,0),IF('01_数值调参'!G23&lt;0,'03_全链计算'!J56+1,0),IF('01_数值调参'!G24&lt;0,'03_全链计算'!K56+1,0),IF('01_数值调参'!G25&lt;0,'03_全链计算'!L56+1,0),IF('01_数值调参'!G26&lt;0,'03_全链计算'!M56+1,0),IF('01_数值调参'!G27&lt;0,'03_全链计算'!N56+1,0),IF('01_数值调参'!G28&lt;0,'03_全链计算'!O56+1,0),IF('01_数值调参'!G29&lt;0,'03_全链计算'!P56+1,0),IF('01_数值调参'!G30&lt;0,'03_全链计算'!Q56+1,0),IF('01_数值调参'!G31&lt;0,'03_全链计算'!R56+1,0),IF('01_数值调参'!G32&lt;0,'03_全链计算'!S56+1,0),IF('01_数值调参'!G33&lt;0,'03_全链计算'!T56+1,0),IF('01_数值调参'!G34&lt;0,'03_全链计算'!U56+1,0),IF('01_数值调参'!G35&lt;0,'03_全链计算'!V56+1,0),IF('01_数值调参'!G36&lt;0,'03_全链计算'!W56+1,0),IF('01_数值调参'!G37&lt;0,'03_全链计算'!X56+1,0),IF('01_数值调参'!G38&lt;0,'03_全链计算'!Y56+1,0),IF('01_数值调参'!G39&lt;0,'03_全链计算'!Z56+1,0),IF('01_数值调参'!G40&lt;0,'03_全链计算'!AA56+1,0),IF('01_数值调参'!G41&lt;0,'03_全链计算'!AB56+1,0),IF('01_数值调参'!G42&lt;0,'03_全链计算'!AC56+1,0),IF('01_数值调参'!G43&lt;0,'03_全链计算'!AD56+1,0),IF('01_数值调参'!G44&lt;0,'03_全链计算'!AE56+1,0),IF('01_数值调参'!G45&lt;0,'03_全链计算'!AF56+1,0),IF('01_数值调参'!G46&lt;0,'03_全链计算'!AG56+1,0),IF('01_数值调参'!G47&lt;0,'03_全链计算'!AH56+1,0),IF('01_数值调参'!G48&lt;0,'03_全链计算'!AI56+1,0),IF('01_数值调参'!G49&lt;0,'03_全链计算'!AJ56+1,0),IF('01_数值调参'!G50&lt;0,'03_全链计算'!AK56+1,0),IF('01_数值调参'!G51&lt;0,'03_全链计算'!AL56+1,0),IF('01_数值调参'!G52&lt;0,'03_全链计算'!AM56+1,0))</x:f>
        <x:v>0</x:v>
      </x:c>
      <x:c r="H57" s="9" t="n">
        <x:f>MAX(IF('01_数值调参'!H18&lt;0,'03_全链计算'!E56+1,0),IF('01_数值调参'!H19&lt;0,'03_全链计算'!F56+1,0),IF('01_数值调参'!H20&lt;0,'03_全链计算'!G56+1,0),IF('01_数值调参'!H21&lt;0,'03_全链计算'!H56+1,0),IF('01_数值调参'!H22&lt;0,'03_全链计算'!I56+1,0),IF('01_数值调参'!H23&lt;0,'03_全链计算'!J56+1,0),IF('01_数值调参'!H24&lt;0,'03_全链计算'!K56+1,0),IF('01_数值调参'!H25&lt;0,'03_全链计算'!L56+1,0),IF('01_数值调参'!H26&lt;0,'03_全链计算'!M56+1,0),IF('01_数值调参'!H27&lt;0,'03_全链计算'!N56+1,0),IF('01_数值调参'!H28&lt;0,'03_全链计算'!O56+1,0),IF('01_数值调参'!H29&lt;0,'03_全链计算'!P56+1,0),IF('01_数值调参'!H30&lt;0,'03_全链计算'!Q56+1,0),IF('01_数值调参'!H31&lt;0,'03_全链计算'!R56+1,0),IF('01_数值调参'!H32&lt;0,'03_全链计算'!S56+1,0),IF('01_数值调参'!H33&lt;0,'03_全链计算'!T56+1,0),IF('01_数值调参'!H34&lt;0,'03_全链计算'!U56+1,0),IF('01_数值调参'!H35&lt;0,'03_全链计算'!V56+1,0),IF('01_数值调参'!H36&lt;0,'03_全链计算'!W56+1,0),IF('01_数值调参'!H37&lt;0,'03_全链计算'!X56+1,0),IF('01_数值调参'!H38&lt;0,'03_全链计算'!Y56+1,0),IF('01_数值调参'!H39&lt;0,'03_全链计算'!Z56+1,0),IF('01_数值调参'!H40&lt;0,'03_全链计算'!AA56+1,0),IF('01_数值调参'!H41&lt;0,'03_全链计算'!AB56+1,0),IF('01_数值调参'!H42&lt;0,'03_全链计算'!AC56+1,0),IF('01_数值调参'!H43&lt;0,'03_全链计算'!AD56+1,0),IF('01_数值调参'!H44&lt;0,'03_全链计算'!AE56+1,0),IF('01_数值调参'!H45&lt;0,'03_全链计算'!AF56+1,0),IF('01_数值调参'!H46&lt;0,'03_全链计算'!AG56+1,0),IF('01_数值调参'!H47&lt;0,'03_全链计算'!AH56+1,0),IF('01_数值调参'!H48&lt;0,'03_全链计算'!AI56+1,0),IF('01_数值调参'!H49&lt;0,'03_全链计算'!AJ56+1,0),IF('01_数值调参'!H50&lt;0,'03_全链计算'!AK56+1,0),IF('01_数值调参'!H51&lt;0,'03_全链计算'!AL56+1,0),IF('01_数值调参'!H52&lt;0,'03_全链计算'!AM56+1,0))</x:f>
        <x:v>0</x:v>
      </x:c>
      <x:c r="I57" s="9" t="n">
        <x:f>MAX(IF('01_数值调参'!I18&lt;0,'03_全链计算'!E56+1,0),IF('01_数值调参'!I19&lt;0,'03_全链计算'!F56+1,0),IF('01_数值调参'!I20&lt;0,'03_全链计算'!G56+1,0),IF('01_数值调参'!I21&lt;0,'03_全链计算'!H56+1,0),IF('01_数值调参'!I22&lt;0,'03_全链计算'!I56+1,0),IF('01_数值调参'!I23&lt;0,'03_全链计算'!J56+1,0),IF('01_数值调参'!I24&lt;0,'03_全链计算'!K56+1,0),IF('01_数值调参'!I25&lt;0,'03_全链计算'!L56+1,0),IF('01_数值调参'!I26&lt;0,'03_全链计算'!M56+1,0),IF('01_数值调参'!I27&lt;0,'03_全链计算'!N56+1,0),IF('01_数值调参'!I28&lt;0,'03_全链计算'!O56+1,0),IF('01_数值调参'!I29&lt;0,'03_全链计算'!P56+1,0),IF('01_数值调参'!I30&lt;0,'03_全链计算'!Q56+1,0),IF('01_数值调参'!I31&lt;0,'03_全链计算'!R56+1,0),IF('01_数值调参'!I32&lt;0,'03_全链计算'!S56+1,0),IF('01_数值调参'!I33&lt;0,'03_全链计算'!T56+1,0),IF('01_数值调参'!I34&lt;0,'03_全链计算'!U56+1,0),IF('01_数值调参'!I35&lt;0,'03_全链计算'!V56+1,0),IF('01_数值调参'!I36&lt;0,'03_全链计算'!W56+1,0),IF('01_数值调参'!I37&lt;0,'03_全链计算'!X56+1,0),IF('01_数值调参'!I38&lt;0,'03_全链计算'!Y56+1,0),IF('01_数值调参'!I39&lt;0,'03_全链计算'!Z56+1,0),IF('01_数值调参'!I40&lt;0,'03_全链计算'!AA56+1,0),IF('01_数值调参'!I41&lt;0,'03_全链计算'!AB56+1,0),IF('01_数值调参'!I42&lt;0,'03_全链计算'!AC56+1,0),IF('01_数值调参'!I43&lt;0,'03_全链计算'!AD56+1,0),IF('01_数值调参'!I44&lt;0,'03_全链计算'!AE56+1,0),IF('01_数值调参'!I45&lt;0,'03_全链计算'!AF56+1,0),IF('01_数值调参'!I46&lt;0,'03_全链计算'!AG56+1,0),IF('01_数值调参'!I47&lt;0,'03_全链计算'!AH56+1,0),IF('01_数值调参'!I48&lt;0,'03_全链计算'!AI56+1,0),IF('01_数值调参'!I49&lt;0,'03_全链计算'!AJ56+1,0),IF('01_数值调参'!I50&lt;0,'03_全链计算'!AK56+1,0),IF('01_数值调参'!I51&lt;0,'03_全链计算'!AL56+1,0),IF('01_数值调参'!I52&lt;0,'03_全链计算'!AM56+1,0))</x:f>
        <x:v>0</x:v>
      </x:c>
      <x:c r="J57" s="9" t="n">
        <x:f>MAX(IF('01_数值调参'!J18&lt;0,'03_全链计算'!E56+1,0),IF('01_数值调参'!J19&lt;0,'03_全链计算'!F56+1,0),IF('01_数值调参'!J20&lt;0,'03_全链计算'!G56+1,0),IF('01_数值调参'!J21&lt;0,'03_全链计算'!H56+1,0),IF('01_数值调参'!J22&lt;0,'03_全链计算'!I56+1,0),IF('01_数值调参'!J23&lt;0,'03_全链计算'!J56+1,0),IF('01_数值调参'!J24&lt;0,'03_全链计算'!K56+1,0),IF('01_数值调参'!J25&lt;0,'03_全链计算'!L56+1,0),IF('01_数值调参'!J26&lt;0,'03_全链计算'!M56+1,0),IF('01_数值调参'!J27&lt;0,'03_全链计算'!N56+1,0),IF('01_数值调参'!J28&lt;0,'03_全链计算'!O56+1,0),IF('01_数值调参'!J29&lt;0,'03_全链计算'!P56+1,0),IF('01_数值调参'!J30&lt;0,'03_全链计算'!Q56+1,0),IF('01_数值调参'!J31&lt;0,'03_全链计算'!R56+1,0),IF('01_数值调参'!J32&lt;0,'03_全链计算'!S56+1,0),IF('01_数值调参'!J33&lt;0,'03_全链计算'!T56+1,0),IF('01_数值调参'!J34&lt;0,'03_全链计算'!U56+1,0),IF('01_数值调参'!J35&lt;0,'03_全链计算'!V56+1,0),IF('01_数值调参'!J36&lt;0,'03_全链计算'!W56+1,0),IF('01_数值调参'!J37&lt;0,'03_全链计算'!X56+1,0),IF('01_数值调参'!J38&lt;0,'03_全链计算'!Y56+1,0),IF('01_数值调参'!J39&lt;0,'03_全链计算'!Z56+1,0),IF('01_数值调参'!J40&lt;0,'03_全链计算'!AA56+1,0),IF('01_数值调参'!J41&lt;0,'03_全链计算'!AB56+1,0),IF('01_数值调参'!J42&lt;0,'03_全链计算'!AC56+1,0),IF('01_数值调参'!J43&lt;0,'03_全链计算'!AD56+1,0),IF('01_数值调参'!J44&lt;0,'03_全链计算'!AE56+1,0),IF('01_数值调参'!J45&lt;0,'03_全链计算'!AF56+1,0),IF('01_数值调参'!J46&lt;0,'03_全链计算'!AG56+1,0),IF('01_数值调参'!J47&lt;0,'03_全链计算'!AH56+1,0),IF('01_数值调参'!J48&lt;0,'03_全链计算'!AI56+1,0),IF('01_数值调参'!J49&lt;0,'03_全链计算'!AJ56+1,0),IF('01_数值调参'!J50&lt;0,'03_全链计算'!AK56+1,0),IF('01_数值调参'!J51&lt;0,'03_全链计算'!AL56+1,0),IF('01_数值调参'!J52&lt;0,'03_全链计算'!AM56+1,0))</x:f>
        <x:v>0</x:v>
      </x:c>
      <x:c r="K57" s="9" t="n">
        <x:f>MAX(IF('01_数值调参'!K18&lt;0,'03_全链计算'!E56+1,0),IF('01_数值调参'!K19&lt;0,'03_全链计算'!F56+1,0),IF('01_数值调参'!K20&lt;0,'03_全链计算'!G56+1,0),IF('01_数值调参'!K21&lt;0,'03_全链计算'!H56+1,0),IF('01_数值调参'!K22&lt;0,'03_全链计算'!I56+1,0),IF('01_数值调参'!K23&lt;0,'03_全链计算'!J56+1,0),IF('01_数值调参'!K24&lt;0,'03_全链计算'!K56+1,0),IF('01_数值调参'!K25&lt;0,'03_全链计算'!L56+1,0),IF('01_数值调参'!K26&lt;0,'03_全链计算'!M56+1,0),IF('01_数值调参'!K27&lt;0,'03_全链计算'!N56+1,0),IF('01_数值调参'!K28&lt;0,'03_全链计算'!O56+1,0),IF('01_数值调参'!K29&lt;0,'03_全链计算'!P56+1,0),IF('01_数值调参'!K30&lt;0,'03_全链计算'!Q56+1,0),IF('01_数值调参'!K31&lt;0,'03_全链计算'!R56+1,0),IF('01_数值调参'!K32&lt;0,'03_全链计算'!S56+1,0),IF('01_数值调参'!K33&lt;0,'03_全链计算'!T56+1,0),IF('01_数值调参'!K34&lt;0,'03_全链计算'!U56+1,0),IF('01_数值调参'!K35&lt;0,'03_全链计算'!V56+1,0),IF('01_数值调参'!K36&lt;0,'03_全链计算'!W56+1,0),IF('01_数值调参'!K37&lt;0,'03_全链计算'!X56+1,0),IF('01_数值调参'!K38&lt;0,'03_全链计算'!Y56+1,0),IF('01_数值调参'!K39&lt;0,'03_全链计算'!Z56+1,0),IF('01_数值调参'!K40&lt;0,'03_全链计算'!AA56+1,0),IF('01_数值调参'!K41&lt;0,'03_全链计算'!AB56+1,0),IF('01_数值调参'!K42&lt;0,'03_全链计算'!AC56+1,0),IF('01_数值调参'!K43&lt;0,'03_全链计算'!AD56+1,0),IF('01_数值调参'!K44&lt;0,'03_全链计算'!AE56+1,0),IF('01_数值调参'!K45&lt;0,'03_全链计算'!AF56+1,0),IF('01_数值调参'!K46&lt;0,'03_全链计算'!AG56+1,0),IF('01_数值调参'!K47&lt;0,'03_全链计算'!AH56+1,0),IF('01_数值调参'!K48&lt;0,'03_全链计算'!AI56+1,0),IF('01_数值调参'!K49&lt;0,'03_全链计算'!AJ56+1,0),IF('01_数值调参'!K50&lt;0,'03_全链计算'!AK56+1,0),IF('01_数值调参'!K51&lt;0,'03_全链计算'!AL56+1,0),IF('01_数值调参'!K52&lt;0,'03_全链计算'!AM56+1,0))</x:f>
        <x:v>0</x:v>
      </x:c>
      <x:c r="L57" s="9" t="n">
        <x:f>MAX(IF('01_数值调参'!L18&lt;0,'03_全链计算'!E56+1,0),IF('01_数值调参'!L19&lt;0,'03_全链计算'!F56+1,0),IF('01_数值调参'!L20&lt;0,'03_全链计算'!G56+1,0),IF('01_数值调参'!L21&lt;0,'03_全链计算'!H56+1,0),IF('01_数值调参'!L22&lt;0,'03_全链计算'!I56+1,0),IF('01_数值调参'!L23&lt;0,'03_全链计算'!J56+1,0),IF('01_数值调参'!L24&lt;0,'03_全链计算'!K56+1,0),IF('01_数值调参'!L25&lt;0,'03_全链计算'!L56+1,0),IF('01_数值调参'!L26&lt;0,'03_全链计算'!M56+1,0),IF('01_数值调参'!L27&lt;0,'03_全链计算'!N56+1,0),IF('01_数值调参'!L28&lt;0,'03_全链计算'!O56+1,0),IF('01_数值调参'!L29&lt;0,'03_全链计算'!P56+1,0),IF('01_数值调参'!L30&lt;0,'03_全链计算'!Q56+1,0),IF('01_数值调参'!L31&lt;0,'03_全链计算'!R56+1,0),IF('01_数值调参'!L32&lt;0,'03_全链计算'!S56+1,0),IF('01_数值调参'!L33&lt;0,'03_全链计算'!T56+1,0),IF('01_数值调参'!L34&lt;0,'03_全链计算'!U56+1,0),IF('01_数值调参'!L35&lt;0,'03_全链计算'!V56+1,0),IF('01_数值调参'!L36&lt;0,'03_全链计算'!W56+1,0),IF('01_数值调参'!L37&lt;0,'03_全链计算'!X56+1,0),IF('01_数值调参'!L38&lt;0,'03_全链计算'!Y56+1,0),IF('01_数值调参'!L39&lt;0,'03_全链计算'!Z56+1,0),IF('01_数值调参'!L40&lt;0,'03_全链计算'!AA56+1,0),IF('01_数值调参'!L41&lt;0,'03_全链计算'!AB56+1,0),IF('01_数值调参'!L42&lt;0,'03_全链计算'!AC56+1,0),IF('01_数值调参'!L43&lt;0,'03_全链计算'!AD56+1,0),IF('01_数值调参'!L44&lt;0,'03_全链计算'!AE56+1,0),IF('01_数值调参'!L45&lt;0,'03_全链计算'!AF56+1,0),IF('01_数值调参'!L46&lt;0,'03_全链计算'!AG56+1,0),IF('01_数值调参'!L47&lt;0,'03_全链计算'!AH56+1,0),IF('01_数值调参'!L48&lt;0,'03_全链计算'!AI56+1,0),IF('01_数值调参'!L49&lt;0,'03_全链计算'!AJ56+1,0),IF('01_数值调参'!L50&lt;0,'03_全链计算'!AK56+1,0),IF('01_数值调参'!L51&lt;0,'03_全链计算'!AL56+1,0),IF('01_数值调参'!L52&lt;0,'03_全链计算'!AM56+1,0))</x:f>
        <x:v>0</x:v>
      </x:c>
      <x:c r="M57" s="9" t="n">
        <x:f>MAX(IF('01_数值调参'!M18&lt;0,'03_全链计算'!E56+1,0),IF('01_数值调参'!M19&lt;0,'03_全链计算'!F56+1,0),IF('01_数值调参'!M20&lt;0,'03_全链计算'!G56+1,0),IF('01_数值调参'!M21&lt;0,'03_全链计算'!H56+1,0),IF('01_数值调参'!M22&lt;0,'03_全链计算'!I56+1,0),IF('01_数值调参'!M23&lt;0,'03_全链计算'!J56+1,0),IF('01_数值调参'!M24&lt;0,'03_全链计算'!K56+1,0),IF('01_数值调参'!M25&lt;0,'03_全链计算'!L56+1,0),IF('01_数值调参'!M26&lt;0,'03_全链计算'!M56+1,0),IF('01_数值调参'!M27&lt;0,'03_全链计算'!N56+1,0),IF('01_数值调参'!M28&lt;0,'03_全链计算'!O56+1,0),IF('01_数值调参'!M29&lt;0,'03_全链计算'!P56+1,0),IF('01_数值调参'!M30&lt;0,'03_全链计算'!Q56+1,0),IF('01_数值调参'!M31&lt;0,'03_全链计算'!R56+1,0),IF('01_数值调参'!M32&lt;0,'03_全链计算'!S56+1,0),IF('01_数值调参'!M33&lt;0,'03_全链计算'!T56+1,0),IF('01_数值调参'!M34&lt;0,'03_全链计算'!U56+1,0),IF('01_数值调参'!M35&lt;0,'03_全链计算'!V56+1,0),IF('01_数值调参'!M36&lt;0,'03_全链计算'!W56+1,0),IF('01_数值调参'!M37&lt;0,'03_全链计算'!X56+1,0),IF('01_数值调参'!M38&lt;0,'03_全链计算'!Y56+1,0),IF('01_数值调参'!M39&lt;0,'03_全链计算'!Z56+1,0),IF('01_数值调参'!M40&lt;0,'03_全链计算'!AA56+1,0),IF('01_数值调参'!M41&lt;0,'03_全链计算'!AB56+1,0),IF('01_数值调参'!M42&lt;0,'03_全链计算'!AC56+1,0),IF('01_数值调参'!M43&lt;0,'03_全链计算'!AD56+1,0),IF('01_数值调参'!M44&lt;0,'03_全链计算'!AE56+1,0),IF('01_数值调参'!M45&lt;0,'03_全链计算'!AF56+1,0),IF('01_数值调参'!M46&lt;0,'03_全链计算'!AG56+1,0),IF('01_数值调参'!M47&lt;0,'03_全链计算'!AH56+1,0),IF('01_数值调参'!M48&lt;0,'03_全链计算'!AI56+1,0),IF('01_数值调参'!M49&lt;0,'03_全链计算'!AJ56+1,0),IF('01_数值调参'!M50&lt;0,'03_全链计算'!AK56+1,0),IF('01_数值调参'!M51&lt;0,'03_全链计算'!AL56+1,0),IF('01_数值调参'!M52&lt;0,'03_全链计算'!AM56+1,0))</x:f>
        <x:v>0</x:v>
      </x:c>
      <x:c r="N57" s="9" t="n">
        <x:f>MAX(IF('01_数值调参'!N18&lt;0,'03_全链计算'!E56+1,0),IF('01_数值调参'!N19&lt;0,'03_全链计算'!F56+1,0),IF('01_数值调参'!N20&lt;0,'03_全链计算'!G56+1,0),IF('01_数值调参'!N21&lt;0,'03_全链计算'!H56+1,0),IF('01_数值调参'!N22&lt;0,'03_全链计算'!I56+1,0),IF('01_数值调参'!N23&lt;0,'03_全链计算'!J56+1,0),IF('01_数值调参'!N24&lt;0,'03_全链计算'!K56+1,0),IF('01_数值调参'!N25&lt;0,'03_全链计算'!L56+1,0),IF('01_数值调参'!N26&lt;0,'03_全链计算'!M56+1,0),IF('01_数值调参'!N27&lt;0,'03_全链计算'!N56+1,0),IF('01_数值调参'!N28&lt;0,'03_全链计算'!O56+1,0),IF('01_数值调参'!N29&lt;0,'03_全链计算'!P56+1,0),IF('01_数值调参'!N30&lt;0,'03_全链计算'!Q56+1,0),IF('01_数值调参'!N31&lt;0,'03_全链计算'!R56+1,0),IF('01_数值调参'!N32&lt;0,'03_全链计算'!S56+1,0),IF('01_数值调参'!N33&lt;0,'03_全链计算'!T56+1,0),IF('01_数值调参'!N34&lt;0,'03_全链计算'!U56+1,0),IF('01_数值调参'!N35&lt;0,'03_全链计算'!V56+1,0),IF('01_数值调参'!N36&lt;0,'03_全链计算'!W56+1,0),IF('01_数值调参'!N37&lt;0,'03_全链计算'!X56+1,0),IF('01_数值调参'!N38&lt;0,'03_全链计算'!Y56+1,0),IF('01_数值调参'!N39&lt;0,'03_全链计算'!Z56+1,0),IF('01_数值调参'!N40&lt;0,'03_全链计算'!AA56+1,0),IF('01_数值调参'!N41&lt;0,'03_全链计算'!AB56+1,0),IF('01_数值调参'!N42&lt;0,'03_全链计算'!AC56+1,0),IF('01_数值调参'!N43&lt;0,'03_全链计算'!AD56+1,0),IF('01_数值调参'!N44&lt;0,'03_全链计算'!AE56+1,0),IF('01_数值调参'!N45&lt;0,'03_全链计算'!AF56+1,0),IF('01_数值调参'!N46&lt;0,'03_全链计算'!AG56+1,0),IF('01_数值调参'!N47&lt;0,'03_全链计算'!AH56+1,0),IF('01_数值调参'!N48&lt;0,'03_全链计算'!AI56+1,0),IF('01_数值调参'!N49&lt;0,'03_全链计算'!AJ56+1,0),IF('01_数值调参'!N50&lt;0,'03_全链计算'!AK56+1,0),IF('01_数值调参'!N51&lt;0,'03_全链计算'!AL56+1,0),IF('01_数值调参'!N52&lt;0,'03_全链计算'!AM56+1,0))</x:f>
        <x:v>1</x:v>
      </x:c>
      <x:c r="O57" s="9" t="n">
        <x:f>MAX(IF('01_数值调参'!O18&lt;0,'03_全链计算'!E56+1,0),IF('01_数值调参'!O19&lt;0,'03_全链计算'!F56+1,0),IF('01_数值调参'!O20&lt;0,'03_全链计算'!G56+1,0),IF('01_数值调参'!O21&lt;0,'03_全链计算'!H56+1,0),IF('01_数值调参'!O22&lt;0,'03_全链计算'!I56+1,0),IF('01_数值调参'!O23&lt;0,'03_全链计算'!J56+1,0),IF('01_数值调参'!O24&lt;0,'03_全链计算'!K56+1,0),IF('01_数值调参'!O25&lt;0,'03_全链计算'!L56+1,0),IF('01_数值调参'!O26&lt;0,'03_全链计算'!M56+1,0),IF('01_数值调参'!O27&lt;0,'03_全链计算'!N56+1,0),IF('01_数值调参'!O28&lt;0,'03_全链计算'!O56+1,0),IF('01_数值调参'!O29&lt;0,'03_全链计算'!P56+1,0),IF('01_数值调参'!O30&lt;0,'03_全链计算'!Q56+1,0),IF('01_数值调参'!O31&lt;0,'03_全链计算'!R56+1,0),IF('01_数值调参'!O32&lt;0,'03_全链计算'!S56+1,0),IF('01_数值调参'!O33&lt;0,'03_全链计算'!T56+1,0),IF('01_数值调参'!O34&lt;0,'03_全链计算'!U56+1,0),IF('01_数值调参'!O35&lt;0,'03_全链计算'!V56+1,0),IF('01_数值调参'!O36&lt;0,'03_全链计算'!W56+1,0),IF('01_数值调参'!O37&lt;0,'03_全链计算'!X56+1,0),IF('01_数值调参'!O38&lt;0,'03_全链计算'!Y56+1,0),IF('01_数值调参'!O39&lt;0,'03_全链计算'!Z56+1,0),IF('01_数值调参'!O40&lt;0,'03_全链计算'!AA56+1,0),IF('01_数值调参'!O41&lt;0,'03_全链计算'!AB56+1,0),IF('01_数值调参'!O42&lt;0,'03_全链计算'!AC56+1,0),IF('01_数值调参'!O43&lt;0,'03_全链计算'!AD56+1,0),IF('01_数值调参'!O44&lt;0,'03_全链计算'!AE56+1,0),IF('01_数值调参'!O45&lt;0,'03_全链计算'!AF56+1,0),IF('01_数值调参'!O46&lt;0,'03_全链计算'!AG56+1,0),IF('01_数值调参'!O47&lt;0,'03_全链计算'!AH56+1,0),IF('01_数值调参'!O48&lt;0,'03_全链计算'!AI56+1,0),IF('01_数值调参'!O49&lt;0,'03_全链计算'!AJ56+1,0),IF('01_数值调参'!O50&lt;0,'03_全链计算'!AK56+1,0),IF('01_数值调参'!O51&lt;0,'03_全链计算'!AL56+1,0),IF('01_数值调参'!O52&lt;0,'03_全链计算'!AM56+1,0))</x:f>
        <x:v>1</x:v>
      </x:c>
      <x:c r="P57" s="9" t="n">
        <x:f>MAX(IF('01_数值调参'!P18&lt;0,'03_全链计算'!E56+1,0),IF('01_数值调参'!P19&lt;0,'03_全链计算'!F56+1,0),IF('01_数值调参'!P20&lt;0,'03_全链计算'!G56+1,0),IF('01_数值调参'!P21&lt;0,'03_全链计算'!H56+1,0),IF('01_数值调参'!P22&lt;0,'03_全链计算'!I56+1,0),IF('01_数值调参'!P23&lt;0,'03_全链计算'!J56+1,0),IF('01_数值调参'!P24&lt;0,'03_全链计算'!K56+1,0),IF('01_数值调参'!P25&lt;0,'03_全链计算'!L56+1,0),IF('01_数值调参'!P26&lt;0,'03_全链计算'!M56+1,0),IF('01_数值调参'!P27&lt;0,'03_全链计算'!N56+1,0),IF('01_数值调参'!P28&lt;0,'03_全链计算'!O56+1,0),IF('01_数值调参'!P29&lt;0,'03_全链计算'!P56+1,0),IF('01_数值调参'!P30&lt;0,'03_全链计算'!Q56+1,0),IF('01_数值调参'!P31&lt;0,'03_全链计算'!R56+1,0),IF('01_数值调参'!P32&lt;0,'03_全链计算'!S56+1,0),IF('01_数值调参'!P33&lt;0,'03_全链计算'!T56+1,0),IF('01_数值调参'!P34&lt;0,'03_全链计算'!U56+1,0),IF('01_数值调参'!P35&lt;0,'03_全链计算'!V56+1,0),IF('01_数值调参'!P36&lt;0,'03_全链计算'!W56+1,0),IF('01_数值调参'!P37&lt;0,'03_全链计算'!X56+1,0),IF('01_数值调参'!P38&lt;0,'03_全链计算'!Y56+1,0),IF('01_数值调参'!P39&lt;0,'03_全链计算'!Z56+1,0),IF('01_数值调参'!P40&lt;0,'03_全链计算'!AA56+1,0),IF('01_数值调参'!P41&lt;0,'03_全链计算'!AB56+1,0),IF('01_数值调参'!P42&lt;0,'03_全链计算'!AC56+1,0),IF('01_数值调参'!P43&lt;0,'03_全链计算'!AD56+1,0),IF('01_数值调参'!P44&lt;0,'03_全链计算'!AE56+1,0),IF('01_数值调参'!P45&lt;0,'03_全链计算'!AF56+1,0),IF('01_数值调参'!P46&lt;0,'03_全链计算'!AG56+1,0),IF('01_数值调参'!P47&lt;0,'03_全链计算'!AH56+1,0),IF('01_数值调参'!P48&lt;0,'03_全链计算'!AI56+1,0),IF('01_数值调参'!P49&lt;0,'03_全链计算'!AJ56+1,0),IF('01_数值调参'!P50&lt;0,'03_全链计算'!AK56+1,0),IF('01_数值调参'!P51&lt;0,'03_全链计算'!AL56+1,0),IF('01_数值调参'!P52&lt;0,'03_全链计算'!AM56+1,0))</x:f>
        <x:v>1</x:v>
      </x:c>
      <x:c r="Q57" s="9" t="n">
        <x:f>MAX(IF('01_数值调参'!Q18&lt;0,'03_全链计算'!E56+1,0),IF('01_数值调参'!Q19&lt;0,'03_全链计算'!F56+1,0),IF('01_数值调参'!Q20&lt;0,'03_全链计算'!G56+1,0),IF('01_数值调参'!Q21&lt;0,'03_全链计算'!H56+1,0),IF('01_数值调参'!Q22&lt;0,'03_全链计算'!I56+1,0),IF('01_数值调参'!Q23&lt;0,'03_全链计算'!J56+1,0),IF('01_数值调参'!Q24&lt;0,'03_全链计算'!K56+1,0),IF('01_数值调参'!Q25&lt;0,'03_全链计算'!L56+1,0),IF('01_数值调参'!Q26&lt;0,'03_全链计算'!M56+1,0),IF('01_数值调参'!Q27&lt;0,'03_全链计算'!N56+1,0),IF('01_数值调参'!Q28&lt;0,'03_全链计算'!O56+1,0),IF('01_数值调参'!Q29&lt;0,'03_全链计算'!P56+1,0),IF('01_数值调参'!Q30&lt;0,'03_全链计算'!Q56+1,0),IF('01_数值调参'!Q31&lt;0,'03_全链计算'!R56+1,0),IF('01_数值调参'!Q32&lt;0,'03_全链计算'!S56+1,0),IF('01_数值调参'!Q33&lt;0,'03_全链计算'!T56+1,0),IF('01_数值调参'!Q34&lt;0,'03_全链计算'!U56+1,0),IF('01_数值调参'!Q35&lt;0,'03_全链计算'!V56+1,0),IF('01_数值调参'!Q36&lt;0,'03_全链计算'!W56+1,0),IF('01_数值调参'!Q37&lt;0,'03_全链计算'!X56+1,0),IF('01_数值调参'!Q38&lt;0,'03_全链计算'!Y56+1,0),IF('01_数值调参'!Q39&lt;0,'03_全链计算'!Z56+1,0),IF('01_数值调参'!Q40&lt;0,'03_全链计算'!AA56+1,0),IF('01_数值调参'!Q41&lt;0,'03_全链计算'!AB56+1,0),IF('01_数值调参'!Q42&lt;0,'03_全链计算'!AC56+1,0),IF('01_数值调参'!Q43&lt;0,'03_全链计算'!AD56+1,0),IF('01_数值调参'!Q44&lt;0,'03_全链计算'!AE56+1,0),IF('01_数值调参'!Q45&lt;0,'03_全链计算'!AF56+1,0),IF('01_数值调参'!Q46&lt;0,'03_全链计算'!AG56+1,0),IF('01_数值调参'!Q47&lt;0,'03_全链计算'!AH56+1,0),IF('01_数值调参'!Q48&lt;0,'03_全链计算'!AI56+1,0),IF('01_数值调参'!Q49&lt;0,'03_全链计算'!AJ56+1,0),IF('01_数值调参'!Q50&lt;0,'03_全链计算'!AK56+1,0),IF('01_数值调参'!Q51&lt;0,'03_全链计算'!AL56+1,0),IF('01_数值调参'!Q52&lt;0,'03_全链计算'!AM56+1,0))</x:f>
        <x:v>1</x:v>
      </x:c>
      <x:c r="R57" s="9" t="n">
        <x:f>MAX(IF('01_数值调参'!R18&lt;0,'03_全链计算'!E56+1,0),IF('01_数值调参'!R19&lt;0,'03_全链计算'!F56+1,0),IF('01_数值调参'!R20&lt;0,'03_全链计算'!G56+1,0),IF('01_数值调参'!R21&lt;0,'03_全链计算'!H56+1,0),IF('01_数值调参'!R22&lt;0,'03_全链计算'!I56+1,0),IF('01_数值调参'!R23&lt;0,'03_全链计算'!J56+1,0),IF('01_数值调参'!R24&lt;0,'03_全链计算'!K56+1,0),IF('01_数值调参'!R25&lt;0,'03_全链计算'!L56+1,0),IF('01_数值调参'!R26&lt;0,'03_全链计算'!M56+1,0),IF('01_数值调参'!R27&lt;0,'03_全链计算'!N56+1,0),IF('01_数值调参'!R28&lt;0,'03_全链计算'!O56+1,0),IF('01_数值调参'!R29&lt;0,'03_全链计算'!P56+1,0),IF('01_数值调参'!R30&lt;0,'03_全链计算'!Q56+1,0),IF('01_数值调参'!R31&lt;0,'03_全链计算'!R56+1,0),IF('01_数值调参'!R32&lt;0,'03_全链计算'!S56+1,0),IF('01_数值调参'!R33&lt;0,'03_全链计算'!T56+1,0),IF('01_数值调参'!R34&lt;0,'03_全链计算'!U56+1,0),IF('01_数值调参'!R35&lt;0,'03_全链计算'!V56+1,0),IF('01_数值调参'!R36&lt;0,'03_全链计算'!W56+1,0),IF('01_数值调参'!R37&lt;0,'03_全链计算'!X56+1,0),IF('01_数值调参'!R38&lt;0,'03_全链计算'!Y56+1,0),IF('01_数值调参'!R39&lt;0,'03_全链计算'!Z56+1,0),IF('01_数值调参'!R40&lt;0,'03_全链计算'!AA56+1,0),IF('01_数值调参'!R41&lt;0,'03_全链计算'!AB56+1,0),IF('01_数值调参'!R42&lt;0,'03_全链计算'!AC56+1,0),IF('01_数值调参'!R43&lt;0,'03_全链计算'!AD56+1,0),IF('01_数值调参'!R44&lt;0,'03_全链计算'!AE56+1,0),IF('01_数值调参'!R45&lt;0,'03_全链计算'!AF56+1,0),IF('01_数值调参'!R46&lt;0,'03_全链计算'!AG56+1,0),IF('01_数值调参'!R47&lt;0,'03_全链计算'!AH56+1,0),IF('01_数值调参'!R48&lt;0,'03_全链计算'!AI56+1,0),IF('01_数值调参'!R49&lt;0,'03_全链计算'!AJ56+1,0),IF('01_数值调参'!R50&lt;0,'03_全链计算'!AK56+1,0),IF('01_数值调参'!R51&lt;0,'03_全链计算'!AL56+1,0),IF('01_数值调参'!R52&lt;0,'03_全链计算'!AM56+1,0))</x:f>
        <x:v>1</x:v>
      </x:c>
      <x:c r="S57" s="9" t="n">
        <x:f>MAX(IF('01_数值调参'!S18&lt;0,'03_全链计算'!E56+1,0),IF('01_数值调参'!S19&lt;0,'03_全链计算'!F56+1,0),IF('01_数值调参'!S20&lt;0,'03_全链计算'!G56+1,0),IF('01_数值调参'!S21&lt;0,'03_全链计算'!H56+1,0),IF('01_数值调参'!S22&lt;0,'03_全链计算'!I56+1,0),IF('01_数值调参'!S23&lt;0,'03_全链计算'!J56+1,0),IF('01_数值调参'!S24&lt;0,'03_全链计算'!K56+1,0),IF('01_数值调参'!S25&lt;0,'03_全链计算'!L56+1,0),IF('01_数值调参'!S26&lt;0,'03_全链计算'!M56+1,0),IF('01_数值调参'!S27&lt;0,'03_全链计算'!N56+1,0),IF('01_数值调参'!S28&lt;0,'03_全链计算'!O56+1,0),IF('01_数值调参'!S29&lt;0,'03_全链计算'!P56+1,0),IF('01_数值调参'!S30&lt;0,'03_全链计算'!Q56+1,0),IF('01_数值调参'!S31&lt;0,'03_全链计算'!R56+1,0),IF('01_数值调参'!S32&lt;0,'03_全链计算'!S56+1,0),IF('01_数值调参'!S33&lt;0,'03_全链计算'!T56+1,0),IF('01_数值调参'!S34&lt;0,'03_全链计算'!U56+1,0),IF('01_数值调参'!S35&lt;0,'03_全链计算'!V56+1,0),IF('01_数值调参'!S36&lt;0,'03_全链计算'!W56+1,0),IF('01_数值调参'!S37&lt;0,'03_全链计算'!X56+1,0),IF('01_数值调参'!S38&lt;0,'03_全链计算'!Y56+1,0),IF('01_数值调参'!S39&lt;0,'03_全链计算'!Z56+1,0),IF('01_数值调参'!S40&lt;0,'03_全链计算'!AA56+1,0),IF('01_数值调参'!S41&lt;0,'03_全链计算'!AB56+1,0),IF('01_数值调参'!S42&lt;0,'03_全链计算'!AC56+1,0),IF('01_数值调参'!S43&lt;0,'03_全链计算'!AD56+1,0),IF('01_数值调参'!S44&lt;0,'03_全链计算'!AE56+1,0),IF('01_数值调参'!S45&lt;0,'03_全链计算'!AF56+1,0),IF('01_数值调参'!S46&lt;0,'03_全链计算'!AG56+1,0),IF('01_数值调参'!S47&lt;0,'03_全链计算'!AH56+1,0),IF('01_数值调参'!S48&lt;0,'03_全链计算'!AI56+1,0),IF('01_数值调参'!S49&lt;0,'03_全链计算'!AJ56+1,0),IF('01_数值调参'!S50&lt;0,'03_全链计算'!AK56+1,0),IF('01_数值调参'!S51&lt;0,'03_全链计算'!AL56+1,0),IF('01_数值调参'!S52&lt;0,'03_全链计算'!AM56+1,0))</x:f>
        <x:v>1</x:v>
      </x:c>
      <x:c r="T57" s="9" t="n">
        <x:f>MAX(IF('01_数值调参'!T18&lt;0,'03_全链计算'!E56+1,0),IF('01_数值调参'!T19&lt;0,'03_全链计算'!F56+1,0),IF('01_数值调参'!T20&lt;0,'03_全链计算'!G56+1,0),IF('01_数值调参'!T21&lt;0,'03_全链计算'!H56+1,0),IF('01_数值调参'!T22&lt;0,'03_全链计算'!I56+1,0),IF('01_数值调参'!T23&lt;0,'03_全链计算'!J56+1,0),IF('01_数值调参'!T24&lt;0,'03_全链计算'!K56+1,0),IF('01_数值调参'!T25&lt;0,'03_全链计算'!L56+1,0),IF('01_数值调参'!T26&lt;0,'03_全链计算'!M56+1,0),IF('01_数值调参'!T27&lt;0,'03_全链计算'!N56+1,0),IF('01_数值调参'!T28&lt;0,'03_全链计算'!O56+1,0),IF('01_数值调参'!T29&lt;0,'03_全链计算'!P56+1,0),IF('01_数值调参'!T30&lt;0,'03_全链计算'!Q56+1,0),IF('01_数值调参'!T31&lt;0,'03_全链计算'!R56+1,0),IF('01_数值调参'!T32&lt;0,'03_全链计算'!S56+1,0),IF('01_数值调参'!T33&lt;0,'03_全链计算'!T56+1,0),IF('01_数值调参'!T34&lt;0,'03_全链计算'!U56+1,0),IF('01_数值调参'!T35&lt;0,'03_全链计算'!V56+1,0),IF('01_数值调参'!T36&lt;0,'03_全链计算'!W56+1,0),IF('01_数值调参'!T37&lt;0,'03_全链计算'!X56+1,0),IF('01_数值调参'!T38&lt;0,'03_全链计算'!Y56+1,0),IF('01_数值调参'!T39&lt;0,'03_全链计算'!Z56+1,0),IF('01_数值调参'!T40&lt;0,'03_全链计算'!AA56+1,0),IF('01_数值调参'!T41&lt;0,'03_全链计算'!AB56+1,0),IF('01_数值调参'!T42&lt;0,'03_全链计算'!AC56+1,0),IF('01_数值调参'!T43&lt;0,'03_全链计算'!AD56+1,0),IF('01_数值调参'!T44&lt;0,'03_全链计算'!AE56+1,0),IF('01_数值调参'!T45&lt;0,'03_全链计算'!AF56+1,0),IF('01_数值调参'!T46&lt;0,'03_全链计算'!AG56+1,0),IF('01_数值调参'!T47&lt;0,'03_全链计算'!AH56+1,0),IF('01_数值调参'!T48&lt;0,'03_全链计算'!AI56+1,0),IF('01_数值调参'!T49&lt;0,'03_全链计算'!AJ56+1,0),IF('01_数值调参'!T50&lt;0,'03_全链计算'!AK56+1,0),IF('01_数值调参'!T51&lt;0,'03_全链计算'!AL56+1,0),IF('01_数值调参'!T52&lt;0,'03_全链计算'!AM56+1,0))</x:f>
        <x:v>1</x:v>
      </x:c>
      <x:c r="U57" s="9" t="n">
        <x:f>MAX(IF('01_数值调参'!U18&lt;0,'03_全链计算'!E56+1,0),IF('01_数值调参'!U19&lt;0,'03_全链计算'!F56+1,0),IF('01_数值调参'!U20&lt;0,'03_全链计算'!G56+1,0),IF('01_数值调参'!U21&lt;0,'03_全链计算'!H56+1,0),IF('01_数值调参'!U22&lt;0,'03_全链计算'!I56+1,0),IF('01_数值调参'!U23&lt;0,'03_全链计算'!J56+1,0),IF('01_数值调参'!U24&lt;0,'03_全链计算'!K56+1,0),IF('01_数值调参'!U25&lt;0,'03_全链计算'!L56+1,0),IF('01_数值调参'!U26&lt;0,'03_全链计算'!M56+1,0),IF('01_数值调参'!U27&lt;0,'03_全链计算'!N56+1,0),IF('01_数值调参'!U28&lt;0,'03_全链计算'!O56+1,0),IF('01_数值调参'!U29&lt;0,'03_全链计算'!P56+1,0),IF('01_数值调参'!U30&lt;0,'03_全链计算'!Q56+1,0),IF('01_数值调参'!U31&lt;0,'03_全链计算'!R56+1,0),IF('01_数值调参'!U32&lt;0,'03_全链计算'!S56+1,0),IF('01_数值调参'!U33&lt;0,'03_全链计算'!T56+1,0),IF('01_数值调参'!U34&lt;0,'03_全链计算'!U56+1,0),IF('01_数值调参'!U35&lt;0,'03_全链计算'!V56+1,0),IF('01_数值调参'!U36&lt;0,'03_全链计算'!W56+1,0),IF('01_数值调参'!U37&lt;0,'03_全链计算'!X56+1,0),IF('01_数值调参'!U38&lt;0,'03_全链计算'!Y56+1,0),IF('01_数值调参'!U39&lt;0,'03_全链计算'!Z56+1,0),IF('01_数值调参'!U40&lt;0,'03_全链计算'!AA56+1,0),IF('01_数值调参'!U41&lt;0,'03_全链计算'!AB56+1,0),IF('01_数值调参'!U42&lt;0,'03_全链计算'!AC56+1,0),IF('01_数值调参'!U43&lt;0,'03_全链计算'!AD56+1,0),IF('01_数值调参'!U44&lt;0,'03_全链计算'!AE56+1,0),IF('01_数值调参'!U45&lt;0,'03_全链计算'!AF56+1,0),IF('01_数值调参'!U46&lt;0,'03_全链计算'!AG56+1,0),IF('01_数值调参'!U47&lt;0,'03_全链计算'!AH56+1,0),IF('01_数值调参'!U48&lt;0,'03_全链计算'!AI56+1,0),IF('01_数值调参'!U49&lt;0,'03_全链计算'!AJ56+1,0),IF('01_数值调参'!U50&lt;0,'03_全链计算'!AK56+1,0),IF('01_数值调参'!U51&lt;0,'03_全链计算'!AL56+1,0),IF('01_数值调参'!U52&lt;0,'03_全链计算'!AM56+1,0))</x:f>
        <x:v>1</x:v>
      </x:c>
      <x:c r="V57" s="9" t="n">
        <x:f>MAX(IF('01_数值调参'!V18&lt;0,'03_全链计算'!E56+1,0),IF('01_数值调参'!V19&lt;0,'03_全链计算'!F56+1,0),IF('01_数值调参'!V20&lt;0,'03_全链计算'!G56+1,0),IF('01_数值调参'!V21&lt;0,'03_全链计算'!H56+1,0),IF('01_数值调参'!V22&lt;0,'03_全链计算'!I56+1,0),IF('01_数值调参'!V23&lt;0,'03_全链计算'!J56+1,0),IF('01_数值调参'!V24&lt;0,'03_全链计算'!K56+1,0),IF('01_数值调参'!V25&lt;0,'03_全链计算'!L56+1,0),IF('01_数值调参'!V26&lt;0,'03_全链计算'!M56+1,0),IF('01_数值调参'!V27&lt;0,'03_全链计算'!N56+1,0),IF('01_数值调参'!V28&lt;0,'03_全链计算'!O56+1,0),IF('01_数值调参'!V29&lt;0,'03_全链计算'!P56+1,0),IF('01_数值调参'!V30&lt;0,'03_全链计算'!Q56+1,0),IF('01_数值调参'!V31&lt;0,'03_全链计算'!R56+1,0),IF('01_数值调参'!V32&lt;0,'03_全链计算'!S56+1,0),IF('01_数值调参'!V33&lt;0,'03_全链计算'!T56+1,0),IF('01_数值调参'!V34&lt;0,'03_全链计算'!U56+1,0),IF('01_数值调参'!V35&lt;0,'03_全链计算'!V56+1,0),IF('01_数值调参'!V36&lt;0,'03_全链计算'!W56+1,0),IF('01_数值调参'!V37&lt;0,'03_全链计算'!X56+1,0),IF('01_数值调参'!V38&lt;0,'03_全链计算'!Y56+1,0),IF('01_数值调参'!V39&lt;0,'03_全链计算'!Z56+1,0),IF('01_数值调参'!V40&lt;0,'03_全链计算'!AA56+1,0),IF('01_数值调参'!V41&lt;0,'03_全链计算'!AB56+1,0),IF('01_数值调参'!V42&lt;0,'03_全链计算'!AC56+1,0),IF('01_数值调参'!V43&lt;0,'03_全链计算'!AD56+1,0),IF('01_数值调参'!V44&lt;0,'03_全链计算'!AE56+1,0),IF('01_数值调参'!V45&lt;0,'03_全链计算'!AF56+1,0),IF('01_数值调参'!V46&lt;0,'03_全链计算'!AG56+1,0),IF('01_数值调参'!V47&lt;0,'03_全链计算'!AH56+1,0),IF('01_数值调参'!V48&lt;0,'03_全链计算'!AI56+1,0),IF('01_数值调参'!V49&lt;0,'03_全链计算'!AJ56+1,0),IF('01_数值调参'!V50&lt;0,'03_全链计算'!AK56+1,0),IF('01_数值调参'!V51&lt;0,'03_全链计算'!AL56+1,0),IF('01_数值调参'!V52&lt;0,'03_全链计算'!AM56+1,0))</x:f>
        <x:v>1</x:v>
      </x:c>
      <x:c r="W57" s="9" t="n">
        <x:f>MAX(IF('01_数值调参'!W18&lt;0,'03_全链计算'!E56+1,0),IF('01_数值调参'!W19&lt;0,'03_全链计算'!F56+1,0),IF('01_数值调参'!W20&lt;0,'03_全链计算'!G56+1,0),IF('01_数值调参'!W21&lt;0,'03_全链计算'!H56+1,0),IF('01_数值调参'!W22&lt;0,'03_全链计算'!I56+1,0),IF('01_数值调参'!W23&lt;0,'03_全链计算'!J56+1,0),IF('01_数值调参'!W24&lt;0,'03_全链计算'!K56+1,0),IF('01_数值调参'!W25&lt;0,'03_全链计算'!L56+1,0),IF('01_数值调参'!W26&lt;0,'03_全链计算'!M56+1,0),IF('01_数值调参'!W27&lt;0,'03_全链计算'!N56+1,0),IF('01_数值调参'!W28&lt;0,'03_全链计算'!O56+1,0),IF('01_数值调参'!W29&lt;0,'03_全链计算'!P56+1,0),IF('01_数值调参'!W30&lt;0,'03_全链计算'!Q56+1,0),IF('01_数值调参'!W31&lt;0,'03_全链计算'!R56+1,0),IF('01_数值调参'!W32&lt;0,'03_全链计算'!S56+1,0),IF('01_数值调参'!W33&lt;0,'03_全链计算'!T56+1,0),IF('01_数值调参'!W34&lt;0,'03_全链计算'!U56+1,0),IF('01_数值调参'!W35&lt;0,'03_全链计算'!V56+1,0),IF('01_数值调参'!W36&lt;0,'03_全链计算'!W56+1,0),IF('01_数值调参'!W37&lt;0,'03_全链计算'!X56+1,0),IF('01_数值调参'!W38&lt;0,'03_全链计算'!Y56+1,0),IF('01_数值调参'!W39&lt;0,'03_全链计算'!Z56+1,0),IF('01_数值调参'!W40&lt;0,'03_全链计算'!AA56+1,0),IF('01_数值调参'!W41&lt;0,'03_全链计算'!AB56+1,0),IF('01_数值调参'!W42&lt;0,'03_全链计算'!AC56+1,0),IF('01_数值调参'!W43&lt;0,'03_全链计算'!AD56+1,0),IF('01_数值调参'!W44&lt;0,'03_全链计算'!AE56+1,0),IF('01_数值调参'!W45&lt;0,'03_全链计算'!AF56+1,0),IF('01_数值调参'!W46&lt;0,'03_全链计算'!AG56+1,0),IF('01_数值调参'!W47&lt;0,'03_全链计算'!AH56+1,0),IF('01_数值调参'!W48&lt;0,'03_全链计算'!AI56+1,0),IF('01_数值调参'!W49&lt;0,'03_全链计算'!AJ56+1,0),IF('01_数值调参'!W50&lt;0,'03_全链计算'!AK56+1,0),IF('01_数值调参'!W51&lt;0,'03_全链计算'!AL56+1,0),IF('01_数值调参'!W52&lt;0,'03_全链计算'!AM56+1,0))</x:f>
        <x:v>1</x:v>
      </x:c>
      <x:c r="X57" s="9" t="n">
        <x:f>MAX(IF('01_数值调参'!X18&lt;0,'03_全链计算'!E56+1,0),IF('01_数值调参'!X19&lt;0,'03_全链计算'!F56+1,0),IF('01_数值调参'!X20&lt;0,'03_全链计算'!G56+1,0),IF('01_数值调参'!X21&lt;0,'03_全链计算'!H56+1,0),IF('01_数值调参'!X22&lt;0,'03_全链计算'!I56+1,0),IF('01_数值调参'!X23&lt;0,'03_全链计算'!J56+1,0),IF('01_数值调参'!X24&lt;0,'03_全链计算'!K56+1,0),IF('01_数值调参'!X25&lt;0,'03_全链计算'!L56+1,0),IF('01_数值调参'!X26&lt;0,'03_全链计算'!M56+1,0),IF('01_数值调参'!X27&lt;0,'03_全链计算'!N56+1,0),IF('01_数值调参'!X28&lt;0,'03_全链计算'!O56+1,0),IF('01_数值调参'!X29&lt;0,'03_全链计算'!P56+1,0),IF('01_数值调参'!X30&lt;0,'03_全链计算'!Q56+1,0),IF('01_数值调参'!X31&lt;0,'03_全链计算'!R56+1,0),IF('01_数值调参'!X32&lt;0,'03_全链计算'!S56+1,0),IF('01_数值调参'!X33&lt;0,'03_全链计算'!T56+1,0),IF('01_数值调参'!X34&lt;0,'03_全链计算'!U56+1,0),IF('01_数值调参'!X35&lt;0,'03_全链计算'!V56+1,0),IF('01_数值调参'!X36&lt;0,'03_全链计算'!W56+1,0),IF('01_数值调参'!X37&lt;0,'03_全链计算'!X56+1,0),IF('01_数值调参'!X38&lt;0,'03_全链计算'!Y56+1,0),IF('01_数值调参'!X39&lt;0,'03_全链计算'!Z56+1,0),IF('01_数值调参'!X40&lt;0,'03_全链计算'!AA56+1,0),IF('01_数值调参'!X41&lt;0,'03_全链计算'!AB56+1,0),IF('01_数值调参'!X42&lt;0,'03_全链计算'!AC56+1,0),IF('01_数值调参'!X43&lt;0,'03_全链计算'!AD56+1,0),IF('01_数值调参'!X44&lt;0,'03_全链计算'!AE56+1,0),IF('01_数值调参'!X45&lt;0,'03_全链计算'!AF56+1,0),IF('01_数值调参'!X46&lt;0,'03_全链计算'!AG56+1,0),IF('01_数值调参'!X47&lt;0,'03_全链计算'!AH56+1,0),IF('01_数值调参'!X48&lt;0,'03_全链计算'!AI56+1,0),IF('01_数值调参'!X49&lt;0,'03_全链计算'!AJ56+1,0),IF('01_数值调参'!X50&lt;0,'03_全链计算'!AK56+1,0),IF('01_数值调参'!X51&lt;0,'03_全链计算'!AL56+1,0),IF('01_数值调参'!X52&lt;0,'03_全链计算'!AM56+1,0))</x:f>
        <x:v>2</x:v>
      </x:c>
      <x:c r="Y57" s="9" t="n">
        <x:f>MAX(IF('01_数值调参'!Y18&lt;0,'03_全链计算'!E56+1,0),IF('01_数值调参'!Y19&lt;0,'03_全链计算'!F56+1,0),IF('01_数值调参'!Y20&lt;0,'03_全链计算'!G56+1,0),IF('01_数值调参'!Y21&lt;0,'03_全链计算'!H56+1,0),IF('01_数值调参'!Y22&lt;0,'03_全链计算'!I56+1,0),IF('01_数值调参'!Y23&lt;0,'03_全链计算'!J56+1,0),IF('01_数值调参'!Y24&lt;0,'03_全链计算'!K56+1,0),IF('01_数值调参'!Y25&lt;0,'03_全链计算'!L56+1,0),IF('01_数值调参'!Y26&lt;0,'03_全链计算'!M56+1,0),IF('01_数值调参'!Y27&lt;0,'03_全链计算'!N56+1,0),IF('01_数值调参'!Y28&lt;0,'03_全链计算'!O56+1,0),IF('01_数值调参'!Y29&lt;0,'03_全链计算'!P56+1,0),IF('01_数值调参'!Y30&lt;0,'03_全链计算'!Q56+1,0),IF('01_数值调参'!Y31&lt;0,'03_全链计算'!R56+1,0),IF('01_数值调参'!Y32&lt;0,'03_全链计算'!S56+1,0),IF('01_数值调参'!Y33&lt;0,'03_全链计算'!T56+1,0),IF('01_数值调参'!Y34&lt;0,'03_全链计算'!U56+1,0),IF('01_数值调参'!Y35&lt;0,'03_全链计算'!V56+1,0),IF('01_数值调参'!Y36&lt;0,'03_全链计算'!W56+1,0),IF('01_数值调参'!Y37&lt;0,'03_全链计算'!X56+1,0),IF('01_数值调参'!Y38&lt;0,'03_全链计算'!Y56+1,0),IF('01_数值调参'!Y39&lt;0,'03_全链计算'!Z56+1,0),IF('01_数值调参'!Y40&lt;0,'03_全链计算'!AA56+1,0),IF('01_数值调参'!Y41&lt;0,'03_全链计算'!AB56+1,0),IF('01_数值调参'!Y42&lt;0,'03_全链计算'!AC56+1,0),IF('01_数值调参'!Y43&lt;0,'03_全链计算'!AD56+1,0),IF('01_数值调参'!Y44&lt;0,'03_全链计算'!AE56+1,0),IF('01_数值调参'!Y45&lt;0,'03_全链计算'!AF56+1,0),IF('01_数值调参'!Y46&lt;0,'03_全链计算'!AG56+1,0),IF('01_数值调参'!Y47&lt;0,'03_全链计算'!AH56+1,0),IF('01_数值调参'!Y48&lt;0,'03_全链计算'!AI56+1,0),IF('01_数值调参'!Y49&lt;0,'03_全链计算'!AJ56+1,0),IF('01_数值调参'!Y50&lt;0,'03_全链计算'!AK56+1,0),IF('01_数值调参'!Y51&lt;0,'03_全链计算'!AL56+1,0),IF('01_数值调参'!Y52&lt;0,'03_全链计算'!AM56+1,0))</x:f>
        <x:v>2</x:v>
      </x:c>
      <x:c r="Z57" s="9" t="n">
        <x:f>MAX(IF('01_数值调参'!Z18&lt;0,'03_全链计算'!E56+1,0),IF('01_数值调参'!Z19&lt;0,'03_全链计算'!F56+1,0),IF('01_数值调参'!Z20&lt;0,'03_全链计算'!G56+1,0),IF('01_数值调参'!Z21&lt;0,'03_全链计算'!H56+1,0),IF('01_数值调参'!Z22&lt;0,'03_全链计算'!I56+1,0),IF('01_数值调参'!Z23&lt;0,'03_全链计算'!J56+1,0),IF('01_数值调参'!Z24&lt;0,'03_全链计算'!K56+1,0),IF('01_数值调参'!Z25&lt;0,'03_全链计算'!L56+1,0),IF('01_数值调参'!Z26&lt;0,'03_全链计算'!M56+1,0),IF('01_数值调参'!Z27&lt;0,'03_全链计算'!N56+1,0),IF('01_数值调参'!Z28&lt;0,'03_全链计算'!O56+1,0),IF('01_数值调参'!Z29&lt;0,'03_全链计算'!P56+1,0),IF('01_数值调参'!Z30&lt;0,'03_全链计算'!Q56+1,0),IF('01_数值调参'!Z31&lt;0,'03_全链计算'!R56+1,0),IF('01_数值调参'!Z32&lt;0,'03_全链计算'!S56+1,0),IF('01_数值调参'!Z33&lt;0,'03_全链计算'!T56+1,0),IF('01_数值调参'!Z34&lt;0,'03_全链计算'!U56+1,0),IF('01_数值调参'!Z35&lt;0,'03_全链计算'!V56+1,0),IF('01_数值调参'!Z36&lt;0,'03_全链计算'!W56+1,0),IF('01_数值调参'!Z37&lt;0,'03_全链计算'!X56+1,0),IF('01_数值调参'!Z38&lt;0,'03_全链计算'!Y56+1,0),IF('01_数值调参'!Z39&lt;0,'03_全链计算'!Z56+1,0),IF('01_数值调参'!Z40&lt;0,'03_全链计算'!AA56+1,0),IF('01_数值调参'!Z41&lt;0,'03_全链计算'!AB56+1,0),IF('01_数值调参'!Z42&lt;0,'03_全链计算'!AC56+1,0),IF('01_数值调参'!Z43&lt;0,'03_全链计算'!AD56+1,0),IF('01_数值调参'!Z44&lt;0,'03_全链计算'!AE56+1,0),IF('01_数值调参'!Z45&lt;0,'03_全链计算'!AF56+1,0),IF('01_数值调参'!Z46&lt;0,'03_全链计算'!AG56+1,0),IF('01_数值调参'!Z47&lt;0,'03_全链计算'!AH56+1,0),IF('01_数值调参'!Z48&lt;0,'03_全链计算'!AI56+1,0),IF('01_数值调参'!Z49&lt;0,'03_全链计算'!AJ56+1,0),IF('01_数值调参'!Z50&lt;0,'03_全链计算'!AK56+1,0),IF('01_数值调参'!Z51&lt;0,'03_全链计算'!AL56+1,0),IF('01_数值调参'!Z52&lt;0,'03_全链计算'!AM56+1,0))</x:f>
        <x:v>2</x:v>
      </x:c>
      <x:c r="AA57" s="9" t="n">
        <x:f>MAX(IF('01_数值调参'!AA18&lt;0,'03_全链计算'!E56+1,0),IF('01_数值调参'!AA19&lt;0,'03_全链计算'!F56+1,0),IF('01_数值调参'!AA20&lt;0,'03_全链计算'!G56+1,0),IF('01_数值调参'!AA21&lt;0,'03_全链计算'!H56+1,0),IF('01_数值调参'!AA22&lt;0,'03_全链计算'!I56+1,0),IF('01_数值调参'!AA23&lt;0,'03_全链计算'!J56+1,0),IF('01_数值调参'!AA24&lt;0,'03_全链计算'!K56+1,0),IF('01_数值调参'!AA25&lt;0,'03_全链计算'!L56+1,0),IF('01_数值调参'!AA26&lt;0,'03_全链计算'!M56+1,0),IF('01_数值调参'!AA27&lt;0,'03_全链计算'!N56+1,0),IF('01_数值调参'!AA28&lt;0,'03_全链计算'!O56+1,0),IF('01_数值调参'!AA29&lt;0,'03_全链计算'!P56+1,0),IF('01_数值调参'!AA30&lt;0,'03_全链计算'!Q56+1,0),IF('01_数值调参'!AA31&lt;0,'03_全链计算'!R56+1,0),IF('01_数值调参'!AA32&lt;0,'03_全链计算'!S56+1,0),IF('01_数值调参'!AA33&lt;0,'03_全链计算'!T56+1,0),IF('01_数值调参'!AA34&lt;0,'03_全链计算'!U56+1,0),IF('01_数值调参'!AA35&lt;0,'03_全链计算'!V56+1,0),IF('01_数值调参'!AA36&lt;0,'03_全链计算'!W56+1,0),IF('01_数值调参'!AA37&lt;0,'03_全链计算'!X56+1,0),IF('01_数值调参'!AA38&lt;0,'03_全链计算'!Y56+1,0),IF('01_数值调参'!AA39&lt;0,'03_全链计算'!Z56+1,0),IF('01_数值调参'!AA40&lt;0,'03_全链计算'!AA56+1,0),IF('01_数值调参'!AA41&lt;0,'03_全链计算'!AB56+1,0),IF('01_数值调参'!AA42&lt;0,'03_全链计算'!AC56+1,0),IF('01_数值调参'!AA43&lt;0,'03_全链计算'!AD56+1,0),IF('01_数值调参'!AA44&lt;0,'03_全链计算'!AE56+1,0),IF('01_数值调参'!AA45&lt;0,'03_全链计算'!AF56+1,0),IF('01_数值调参'!AA46&lt;0,'03_全链计算'!AG56+1,0),IF('01_数值调参'!AA47&lt;0,'03_全链计算'!AH56+1,0),IF('01_数值调参'!AA48&lt;0,'03_全链计算'!AI56+1,0),IF('01_数值调参'!AA49&lt;0,'03_全链计算'!AJ56+1,0),IF('01_数值调参'!AA50&lt;0,'03_全链计算'!AK56+1,0),IF('01_数值调参'!AA51&lt;0,'03_全链计算'!AL56+1,0),IF('01_数值调参'!AA52&lt;0,'03_全链计算'!AM56+1,0))</x:f>
        <x:v>2</x:v>
      </x:c>
      <x:c r="AB57" s="9" t="n">
        <x:f>MAX(IF('01_数值调参'!AB18&lt;0,'03_全链计算'!E56+1,0),IF('01_数值调参'!AB19&lt;0,'03_全链计算'!F56+1,0),IF('01_数值调参'!AB20&lt;0,'03_全链计算'!G56+1,0),IF('01_数值调参'!AB21&lt;0,'03_全链计算'!H56+1,0),IF('01_数值调参'!AB22&lt;0,'03_全链计算'!I56+1,0),IF('01_数值调参'!AB23&lt;0,'03_全链计算'!J56+1,0),IF('01_数值调参'!AB24&lt;0,'03_全链计算'!K56+1,0),IF('01_数值调参'!AB25&lt;0,'03_全链计算'!L56+1,0),IF('01_数值调参'!AB26&lt;0,'03_全链计算'!M56+1,0),IF('01_数值调参'!AB27&lt;0,'03_全链计算'!N56+1,0),IF('01_数值调参'!AB28&lt;0,'03_全链计算'!O56+1,0),IF('01_数值调参'!AB29&lt;0,'03_全链计算'!P56+1,0),IF('01_数值调参'!AB30&lt;0,'03_全链计算'!Q56+1,0),IF('01_数值调参'!AB31&lt;0,'03_全链计算'!R56+1,0),IF('01_数值调参'!AB32&lt;0,'03_全链计算'!S56+1,0),IF('01_数值调参'!AB33&lt;0,'03_全链计算'!T56+1,0),IF('01_数值调参'!AB34&lt;0,'03_全链计算'!U56+1,0),IF('01_数值调参'!AB35&lt;0,'03_全链计算'!V56+1,0),IF('01_数值调参'!AB36&lt;0,'03_全链计算'!W56+1,0),IF('01_数值调参'!AB37&lt;0,'03_全链计算'!X56+1,0),IF('01_数值调参'!AB38&lt;0,'03_全链计算'!Y56+1,0),IF('01_数值调参'!AB39&lt;0,'03_全链计算'!Z56+1,0),IF('01_数值调参'!AB40&lt;0,'03_全链计算'!AA56+1,0),IF('01_数值调参'!AB41&lt;0,'03_全链计算'!AB56+1,0),IF('01_数值调参'!AB42&lt;0,'03_全链计算'!AC56+1,0),IF('01_数值调参'!AB43&lt;0,'03_全链计算'!AD56+1,0),IF('01_数值调参'!AB44&lt;0,'03_全链计算'!AE56+1,0),IF('01_数值调参'!AB45&lt;0,'03_全链计算'!AF56+1,0),IF('01_数值调参'!AB46&lt;0,'03_全链计算'!AG56+1,0),IF('01_数值调参'!AB47&lt;0,'03_全链计算'!AH56+1,0),IF('01_数值调参'!AB48&lt;0,'03_全链计算'!AI56+1,0),IF('01_数值调参'!AB49&lt;0,'03_全链计算'!AJ56+1,0),IF('01_数值调参'!AB50&lt;0,'03_全链计算'!AK56+1,0),IF('01_数值调参'!AB51&lt;0,'03_全链计算'!AL56+1,0),IF('01_数值调参'!AB52&lt;0,'03_全链计算'!AM56+1,0))</x:f>
        <x:v>2</x:v>
      </x:c>
      <x:c r="AC57" s="9" t="n">
        <x:f>MAX(IF('01_数值调参'!AC18&lt;0,'03_全链计算'!E56+1,0),IF('01_数值调参'!AC19&lt;0,'03_全链计算'!F56+1,0),IF('01_数值调参'!AC20&lt;0,'03_全链计算'!G56+1,0),IF('01_数值调参'!AC21&lt;0,'03_全链计算'!H56+1,0),IF('01_数值调参'!AC22&lt;0,'03_全链计算'!I56+1,0),IF('01_数值调参'!AC23&lt;0,'03_全链计算'!J56+1,0),IF('01_数值调参'!AC24&lt;0,'03_全链计算'!K56+1,0),IF('01_数值调参'!AC25&lt;0,'03_全链计算'!L56+1,0),IF('01_数值调参'!AC26&lt;0,'03_全链计算'!M56+1,0),IF('01_数值调参'!AC27&lt;0,'03_全链计算'!N56+1,0),IF('01_数值调参'!AC28&lt;0,'03_全链计算'!O56+1,0),IF('01_数值调参'!AC29&lt;0,'03_全链计算'!P56+1,0),IF('01_数值调参'!AC30&lt;0,'03_全链计算'!Q56+1,0),IF('01_数值调参'!AC31&lt;0,'03_全链计算'!R56+1,0),IF('01_数值调参'!AC32&lt;0,'03_全链计算'!S56+1,0),IF('01_数值调参'!AC33&lt;0,'03_全链计算'!T56+1,0),IF('01_数值调参'!AC34&lt;0,'03_全链计算'!U56+1,0),IF('01_数值调参'!AC35&lt;0,'03_全链计算'!V56+1,0),IF('01_数值调参'!AC36&lt;0,'03_全链计算'!W56+1,0),IF('01_数值调参'!AC37&lt;0,'03_全链计算'!X56+1,0),IF('01_数值调参'!AC38&lt;0,'03_全链计算'!Y56+1,0),IF('01_数值调参'!AC39&lt;0,'03_全链计算'!Z56+1,0),IF('01_数值调参'!AC40&lt;0,'03_全链计算'!AA56+1,0),IF('01_数值调参'!AC41&lt;0,'03_全链计算'!AB56+1,0),IF('01_数值调参'!AC42&lt;0,'03_全链计算'!AC56+1,0),IF('01_数值调参'!AC43&lt;0,'03_全链计算'!AD56+1,0),IF('01_数值调参'!AC44&lt;0,'03_全链计算'!AE56+1,0),IF('01_数值调参'!AC45&lt;0,'03_全链计算'!AF56+1,0),IF('01_数值调参'!AC46&lt;0,'03_全链计算'!AG56+1,0),IF('01_数值调参'!AC47&lt;0,'03_全链计算'!AH56+1,0),IF('01_数值调参'!AC48&lt;0,'03_全链计算'!AI56+1,0),IF('01_数值调参'!AC49&lt;0,'03_全链计算'!AJ56+1,0),IF('01_数值调参'!AC50&lt;0,'03_全链计算'!AK56+1,0),IF('01_数值调参'!AC51&lt;0,'03_全链计算'!AL56+1,0),IF('01_数值调参'!AC52&lt;0,'03_全链计算'!AM56+1,0))</x:f>
        <x:v>2</x:v>
      </x:c>
      <x:c r="AD57" s="9" t="n">
        <x:f>MAX(IF('01_数值调参'!AD18&lt;0,'03_全链计算'!E56+1,0),IF('01_数值调参'!AD19&lt;0,'03_全链计算'!F56+1,0),IF('01_数值调参'!AD20&lt;0,'03_全链计算'!G56+1,0),IF('01_数值调参'!AD21&lt;0,'03_全链计算'!H56+1,0),IF('01_数值调参'!AD22&lt;0,'03_全链计算'!I56+1,0),IF('01_数值调参'!AD23&lt;0,'03_全链计算'!J56+1,0),IF('01_数值调参'!AD24&lt;0,'03_全链计算'!K56+1,0),IF('01_数值调参'!AD25&lt;0,'03_全链计算'!L56+1,0),IF('01_数值调参'!AD26&lt;0,'03_全链计算'!M56+1,0),IF('01_数值调参'!AD27&lt;0,'03_全链计算'!N56+1,0),IF('01_数值调参'!AD28&lt;0,'03_全链计算'!O56+1,0),IF('01_数值调参'!AD29&lt;0,'03_全链计算'!P56+1,0),IF('01_数值调参'!AD30&lt;0,'03_全链计算'!Q56+1,0),IF('01_数值调参'!AD31&lt;0,'03_全链计算'!R56+1,0),IF('01_数值调参'!AD32&lt;0,'03_全链计算'!S56+1,0),IF('01_数值调参'!AD33&lt;0,'03_全链计算'!T56+1,0),IF('01_数值调参'!AD34&lt;0,'03_全链计算'!U56+1,0),IF('01_数值调参'!AD35&lt;0,'03_全链计算'!V56+1,0),IF('01_数值调参'!AD36&lt;0,'03_全链计算'!W56+1,0),IF('01_数值调参'!AD37&lt;0,'03_全链计算'!X56+1,0),IF('01_数值调参'!AD38&lt;0,'03_全链计算'!Y56+1,0),IF('01_数值调参'!AD39&lt;0,'03_全链计算'!Z56+1,0),IF('01_数值调参'!AD40&lt;0,'03_全链计算'!AA56+1,0),IF('01_数值调参'!AD41&lt;0,'03_全链计算'!AB56+1,0),IF('01_数值调参'!AD42&lt;0,'03_全链计算'!AC56+1,0),IF('01_数值调参'!AD43&lt;0,'03_全链计算'!AD56+1,0),IF('01_数值调参'!AD44&lt;0,'03_全链计算'!AE56+1,0),IF('01_数值调参'!AD45&lt;0,'03_全链计算'!AF56+1,0),IF('01_数值调参'!AD46&lt;0,'03_全链计算'!AG56+1,0),IF('01_数值调参'!AD47&lt;0,'03_全链计算'!AH56+1,0),IF('01_数值调参'!AD48&lt;0,'03_全链计算'!AI56+1,0),IF('01_数值调参'!AD49&lt;0,'03_全链计算'!AJ56+1,0),IF('01_数值调参'!AD50&lt;0,'03_全链计算'!AK56+1,0),IF('01_数值调参'!AD51&lt;0,'03_全链计算'!AL56+1,0),IF('01_数值调参'!AD52&lt;0,'03_全链计算'!AM56+1,0))</x:f>
        <x:v>1</x:v>
      </x:c>
      <x:c r="AE57" s="9" t="n">
        <x:f>MAX(IF('01_数值调参'!AE18&lt;0,'03_全链计算'!E56+1,0),IF('01_数值调参'!AE19&lt;0,'03_全链计算'!F56+1,0),IF('01_数值调参'!AE20&lt;0,'03_全链计算'!G56+1,0),IF('01_数值调参'!AE21&lt;0,'03_全链计算'!H56+1,0),IF('01_数值调参'!AE22&lt;0,'03_全链计算'!I56+1,0),IF('01_数值调参'!AE23&lt;0,'03_全链计算'!J56+1,0),IF('01_数值调参'!AE24&lt;0,'03_全链计算'!K56+1,0),IF('01_数值调参'!AE25&lt;0,'03_全链计算'!L56+1,0),IF('01_数值调参'!AE26&lt;0,'03_全链计算'!M56+1,0),IF('01_数值调参'!AE27&lt;0,'03_全链计算'!N56+1,0),IF('01_数值调参'!AE28&lt;0,'03_全链计算'!O56+1,0),IF('01_数值调参'!AE29&lt;0,'03_全链计算'!P56+1,0),IF('01_数值调参'!AE30&lt;0,'03_全链计算'!Q56+1,0),IF('01_数值调参'!AE31&lt;0,'03_全链计算'!R56+1,0),IF('01_数值调参'!AE32&lt;0,'03_全链计算'!S56+1,0),IF('01_数值调参'!AE33&lt;0,'03_全链计算'!T56+1,0),IF('01_数值调参'!AE34&lt;0,'03_全链计算'!U56+1,0),IF('01_数值调参'!AE35&lt;0,'03_全链计算'!V56+1,0),IF('01_数值调参'!AE36&lt;0,'03_全链计算'!W56+1,0),IF('01_数值调参'!AE37&lt;0,'03_全链计算'!X56+1,0),IF('01_数值调参'!AE38&lt;0,'03_全链计算'!Y56+1,0),IF('01_数值调参'!AE39&lt;0,'03_全链计算'!Z56+1,0),IF('01_数值调参'!AE40&lt;0,'03_全链计算'!AA56+1,0),IF('01_数值调参'!AE41&lt;0,'03_全链计算'!AB56+1,0),IF('01_数值调参'!AE42&lt;0,'03_全链计算'!AC56+1,0),IF('01_数值调参'!AE43&lt;0,'03_全链计算'!AD56+1,0),IF('01_数值调参'!AE44&lt;0,'03_全链计算'!AE56+1,0),IF('01_数值调参'!AE45&lt;0,'03_全链计算'!AF56+1,0),IF('01_数值调参'!AE46&lt;0,'03_全链计算'!AG56+1,0),IF('01_数值调参'!AE47&lt;0,'03_全链计算'!AH56+1,0),IF('01_数值调参'!AE48&lt;0,'03_全链计算'!AI56+1,0),IF('01_数值调参'!AE49&lt;0,'03_全链计算'!AJ56+1,0),IF('01_数值调参'!AE50&lt;0,'03_全链计算'!AK56+1,0),IF('01_数值调参'!AE51&lt;0,'03_全链计算'!AL56+1,0),IF('01_数值调参'!AE52&lt;0,'03_全链计算'!AM56+1,0))</x:f>
        <x:v>1</x:v>
      </x:c>
      <x:c r="AF57" s="9" t="n">
        <x:f>MAX(IF('01_数值调参'!AF18&lt;0,'03_全链计算'!E56+1,0),IF('01_数值调参'!AF19&lt;0,'03_全链计算'!F56+1,0),IF('01_数值调参'!AF20&lt;0,'03_全链计算'!G56+1,0),IF('01_数值调参'!AF21&lt;0,'03_全链计算'!H56+1,0),IF('01_数值调参'!AF22&lt;0,'03_全链计算'!I56+1,0),IF('01_数值调参'!AF23&lt;0,'03_全链计算'!J56+1,0),IF('01_数值调参'!AF24&lt;0,'03_全链计算'!K56+1,0),IF('01_数值调参'!AF25&lt;0,'03_全链计算'!L56+1,0),IF('01_数值调参'!AF26&lt;0,'03_全链计算'!M56+1,0),IF('01_数值调参'!AF27&lt;0,'03_全链计算'!N56+1,0),IF('01_数值调参'!AF28&lt;0,'03_全链计算'!O56+1,0),IF('01_数值调参'!AF29&lt;0,'03_全链计算'!P56+1,0),IF('01_数值调参'!AF30&lt;0,'03_全链计算'!Q56+1,0),IF('01_数值调参'!AF31&lt;0,'03_全链计算'!R56+1,0),IF('01_数值调参'!AF32&lt;0,'03_全链计算'!S56+1,0),IF('01_数值调参'!AF33&lt;0,'03_全链计算'!T56+1,0),IF('01_数值调参'!AF34&lt;0,'03_全链计算'!U56+1,0),IF('01_数值调参'!AF35&lt;0,'03_全链计算'!V56+1,0),IF('01_数值调参'!AF36&lt;0,'03_全链计算'!W56+1,0),IF('01_数值调参'!AF37&lt;0,'03_全链计算'!X56+1,0),IF('01_数值调参'!AF38&lt;0,'03_全链计算'!Y56+1,0),IF('01_数值调参'!AF39&lt;0,'03_全链计算'!Z56+1,0),IF('01_数值调参'!AF40&lt;0,'03_全链计算'!AA56+1,0),IF('01_数值调参'!AF41&lt;0,'03_全链计算'!AB56+1,0),IF('01_数值调参'!AF42&lt;0,'03_全链计算'!AC56+1,0),IF('01_数值调参'!AF43&lt;0,'03_全链计算'!AD56+1,0),IF('01_数值调参'!AF44&lt;0,'03_全链计算'!AE56+1,0),IF('01_数值调参'!AF45&lt;0,'03_全链计算'!AF56+1,0),IF('01_数值调参'!AF46&lt;0,'03_全链计算'!AG56+1,0),IF('01_数值调参'!AF47&lt;0,'03_全链计算'!AH56+1,0),IF('01_数值调参'!AF48&lt;0,'03_全链计算'!AI56+1,0),IF('01_数值调参'!AF49&lt;0,'03_全链计算'!AJ56+1,0),IF('01_数值调参'!AF50&lt;0,'03_全链计算'!AK56+1,0),IF('01_数值调参'!AF51&lt;0,'03_全链计算'!AL56+1,0),IF('01_数值调参'!AF52&lt;0,'03_全链计算'!AM56+1,0))</x:f>
        <x:v>1</x:v>
      </x:c>
      <x:c r="AG57" s="9" t="n">
        <x:f>MAX(IF('01_数值调参'!AG18&lt;0,'03_全链计算'!E56+1,0),IF('01_数值调参'!AG19&lt;0,'03_全链计算'!F56+1,0),IF('01_数值调参'!AG20&lt;0,'03_全链计算'!G56+1,0),IF('01_数值调参'!AG21&lt;0,'03_全链计算'!H56+1,0),IF('01_数值调参'!AG22&lt;0,'03_全链计算'!I56+1,0),IF('01_数值调参'!AG23&lt;0,'03_全链计算'!J56+1,0),IF('01_数值调参'!AG24&lt;0,'03_全链计算'!K56+1,0),IF('01_数值调参'!AG25&lt;0,'03_全链计算'!L56+1,0),IF('01_数值调参'!AG26&lt;0,'03_全链计算'!M56+1,0),IF('01_数值调参'!AG27&lt;0,'03_全链计算'!N56+1,0),IF('01_数值调参'!AG28&lt;0,'03_全链计算'!O56+1,0),IF('01_数值调参'!AG29&lt;0,'03_全链计算'!P56+1,0),IF('01_数值调参'!AG30&lt;0,'03_全链计算'!Q56+1,0),IF('01_数值调参'!AG31&lt;0,'03_全链计算'!R56+1,0),IF('01_数值调参'!AG32&lt;0,'03_全链计算'!S56+1,0),IF('01_数值调参'!AG33&lt;0,'03_全链计算'!T56+1,0),IF('01_数值调参'!AG34&lt;0,'03_全链计算'!U56+1,0),IF('01_数值调参'!AG35&lt;0,'03_全链计算'!V56+1,0),IF('01_数值调参'!AG36&lt;0,'03_全链计算'!W56+1,0),IF('01_数值调参'!AG37&lt;0,'03_全链计算'!X56+1,0),IF('01_数值调参'!AG38&lt;0,'03_全链计算'!Y56+1,0),IF('01_数值调参'!AG39&lt;0,'03_全链计算'!Z56+1,0),IF('01_数值调参'!AG40&lt;0,'03_全链计算'!AA56+1,0),IF('01_数值调参'!AG41&lt;0,'03_全链计算'!AB56+1,0),IF('01_数值调参'!AG42&lt;0,'03_全链计算'!AC56+1,0),IF('01_数值调参'!AG43&lt;0,'03_全链计算'!AD56+1,0),IF('01_数值调参'!AG44&lt;0,'03_全链计算'!AE56+1,0),IF('01_数值调参'!AG45&lt;0,'03_全链计算'!AF56+1,0),IF('01_数值调参'!AG46&lt;0,'03_全链计算'!AG56+1,0),IF('01_数值调参'!AG47&lt;0,'03_全链计算'!AH56+1,0),IF('01_数值调参'!AG48&lt;0,'03_全链计算'!AI56+1,0),IF('01_数值调参'!AG49&lt;0,'03_全链计算'!AJ56+1,0),IF('01_数值调参'!AG50&lt;0,'03_全链计算'!AK56+1,0),IF('01_数值调参'!AG51&lt;0,'03_全链计算'!AL56+1,0),IF('01_数值调参'!AG52&lt;0,'03_全链计算'!AM56+1,0))</x:f>
        <x:v>1</x:v>
      </x:c>
      <x:c r="AH57" s="9" t="n">
        <x:f>MAX(IF('01_数值调参'!AH18&lt;0,'03_全链计算'!E56+1,0),IF('01_数值调参'!AH19&lt;0,'03_全链计算'!F56+1,0),IF('01_数值调参'!AH20&lt;0,'03_全链计算'!G56+1,0),IF('01_数值调参'!AH21&lt;0,'03_全链计算'!H56+1,0),IF('01_数值调参'!AH22&lt;0,'03_全链计算'!I56+1,0),IF('01_数值调参'!AH23&lt;0,'03_全链计算'!J56+1,0),IF('01_数值调参'!AH24&lt;0,'03_全链计算'!K56+1,0),IF('01_数值调参'!AH25&lt;0,'03_全链计算'!L56+1,0),IF('01_数值调参'!AH26&lt;0,'03_全链计算'!M56+1,0),IF('01_数值调参'!AH27&lt;0,'03_全链计算'!N56+1,0),IF('01_数值调参'!AH28&lt;0,'03_全链计算'!O56+1,0),IF('01_数值调参'!AH29&lt;0,'03_全链计算'!P56+1,0),IF('01_数值调参'!AH30&lt;0,'03_全链计算'!Q56+1,0),IF('01_数值调参'!AH31&lt;0,'03_全链计算'!R56+1,0),IF('01_数值调参'!AH32&lt;0,'03_全链计算'!S56+1,0),IF('01_数值调参'!AH33&lt;0,'03_全链计算'!T56+1,0),IF('01_数值调参'!AH34&lt;0,'03_全链计算'!U56+1,0),IF('01_数值调参'!AH35&lt;0,'03_全链计算'!V56+1,0),IF('01_数值调参'!AH36&lt;0,'03_全链计算'!W56+1,0),IF('01_数值调参'!AH37&lt;0,'03_全链计算'!X56+1,0),IF('01_数值调参'!AH38&lt;0,'03_全链计算'!Y56+1,0),IF('01_数值调参'!AH39&lt;0,'03_全链计算'!Z56+1,0),IF('01_数值调参'!AH40&lt;0,'03_全链计算'!AA56+1,0),IF('01_数值调参'!AH41&lt;0,'03_全链计算'!AB56+1,0),IF('01_数值调参'!AH42&lt;0,'03_全链计算'!AC56+1,0),IF('01_数值调参'!AH43&lt;0,'03_全链计算'!AD56+1,0),IF('01_数值调参'!AH44&lt;0,'03_全链计算'!AE56+1,0),IF('01_数值调参'!AH45&lt;0,'03_全链计算'!AF56+1,0),IF('01_数值调参'!AH46&lt;0,'03_全链计算'!AG56+1,0),IF('01_数值调参'!AH47&lt;0,'03_全链计算'!AH56+1,0),IF('01_数值调参'!AH48&lt;0,'03_全链计算'!AI56+1,0),IF('01_数值调参'!AH49&lt;0,'03_全链计算'!AJ56+1,0),IF('01_数值调参'!AH50&lt;0,'03_全链计算'!AK56+1,0),IF('01_数值调参'!AH51&lt;0,'03_全链计算'!AL56+1,0),IF('01_数值调参'!AH52&lt;0,'03_全链计算'!AM56+1,0))</x:f>
        <x:v>2</x:v>
      </x:c>
      <x:c r="AI57" s="9" t="n">
        <x:f>MAX(IF('01_数值调参'!AI18&lt;0,'03_全链计算'!E56+1,0),IF('01_数值调参'!AI19&lt;0,'03_全链计算'!F56+1,0),IF('01_数值调参'!AI20&lt;0,'03_全链计算'!G56+1,0),IF('01_数值调参'!AI21&lt;0,'03_全链计算'!H56+1,0),IF('01_数值调参'!AI22&lt;0,'03_全链计算'!I56+1,0),IF('01_数值调参'!AI23&lt;0,'03_全链计算'!J56+1,0),IF('01_数值调参'!AI24&lt;0,'03_全链计算'!K56+1,0),IF('01_数值调参'!AI25&lt;0,'03_全链计算'!L56+1,0),IF('01_数值调参'!AI26&lt;0,'03_全链计算'!M56+1,0),IF('01_数值调参'!AI27&lt;0,'03_全链计算'!N56+1,0),IF('01_数值调参'!AI28&lt;0,'03_全链计算'!O56+1,0),IF('01_数值调参'!AI29&lt;0,'03_全链计算'!P56+1,0),IF('01_数值调参'!AI30&lt;0,'03_全链计算'!Q56+1,0),IF('01_数值调参'!AI31&lt;0,'03_全链计算'!R56+1,0),IF('01_数值调参'!AI32&lt;0,'03_全链计算'!S56+1,0),IF('01_数值调参'!AI33&lt;0,'03_全链计算'!T56+1,0),IF('01_数值调参'!AI34&lt;0,'03_全链计算'!U56+1,0),IF('01_数值调参'!AI35&lt;0,'03_全链计算'!V56+1,0),IF('01_数值调参'!AI36&lt;0,'03_全链计算'!W56+1,0),IF('01_数值调参'!AI37&lt;0,'03_全链计算'!X56+1,0),IF('01_数值调参'!AI38&lt;0,'03_全链计算'!Y56+1,0),IF('01_数值调参'!AI39&lt;0,'03_全链计算'!Z56+1,0),IF('01_数值调参'!AI40&lt;0,'03_全链计算'!AA56+1,0),IF('01_数值调参'!AI41&lt;0,'03_全链计算'!AB56+1,0),IF('01_数值调参'!AI42&lt;0,'03_全链计算'!AC56+1,0),IF('01_数值调参'!AI43&lt;0,'03_全链计算'!AD56+1,0),IF('01_数值调参'!AI44&lt;0,'03_全链计算'!AE56+1,0),IF('01_数值调参'!AI45&lt;0,'03_全链计算'!AF56+1,0),IF('01_数值调参'!AI46&lt;0,'03_全链计算'!AG56+1,0),IF('01_数值调参'!AI47&lt;0,'03_全链计算'!AH56+1,0),IF('01_数值调参'!AI48&lt;0,'03_全链计算'!AI56+1,0),IF('01_数值调参'!AI49&lt;0,'03_全链计算'!AJ56+1,0),IF('01_数值调参'!AI50&lt;0,'03_全链计算'!AK56+1,0),IF('01_数值调参'!AI51&lt;0,'03_全链计算'!AL56+1,0),IF('01_数值调参'!AI52&lt;0,'03_全链计算'!AM56+1,0))</x:f>
        <x:v>2</x:v>
      </x:c>
      <x:c r="AJ57" s="9" t="n">
        <x:f>MAX(IF('01_数值调参'!AJ18&lt;0,'03_全链计算'!E56+1,0),IF('01_数值调参'!AJ19&lt;0,'03_全链计算'!F56+1,0),IF('01_数值调参'!AJ20&lt;0,'03_全链计算'!G56+1,0),IF('01_数值调参'!AJ21&lt;0,'03_全链计算'!H56+1,0),IF('01_数值调参'!AJ22&lt;0,'03_全链计算'!I56+1,0),IF('01_数值调参'!AJ23&lt;0,'03_全链计算'!J56+1,0),IF('01_数值调参'!AJ24&lt;0,'03_全链计算'!K56+1,0),IF('01_数值调参'!AJ25&lt;0,'03_全链计算'!L56+1,0),IF('01_数值调参'!AJ26&lt;0,'03_全链计算'!M56+1,0),IF('01_数值调参'!AJ27&lt;0,'03_全链计算'!N56+1,0),IF('01_数值调参'!AJ28&lt;0,'03_全链计算'!O56+1,0),IF('01_数值调参'!AJ29&lt;0,'03_全链计算'!P56+1,0),IF('01_数值调参'!AJ30&lt;0,'03_全链计算'!Q56+1,0),IF('01_数值调参'!AJ31&lt;0,'03_全链计算'!R56+1,0),IF('01_数值调参'!AJ32&lt;0,'03_全链计算'!S56+1,0),IF('01_数值调参'!AJ33&lt;0,'03_全链计算'!T56+1,0),IF('01_数值调参'!AJ34&lt;0,'03_全链计算'!U56+1,0),IF('01_数值调参'!AJ35&lt;0,'03_全链计算'!V56+1,0),IF('01_数值调参'!AJ36&lt;0,'03_全链计算'!W56+1,0),IF('01_数值调参'!AJ37&lt;0,'03_全链计算'!X56+1,0),IF('01_数值调参'!AJ38&lt;0,'03_全链计算'!Y56+1,0),IF('01_数值调参'!AJ39&lt;0,'03_全链计算'!Z56+1,0),IF('01_数值调参'!AJ40&lt;0,'03_全链计算'!AA56+1,0),IF('01_数值调参'!AJ41&lt;0,'03_全链计算'!AB56+1,0),IF('01_数值调参'!AJ42&lt;0,'03_全链计算'!AC56+1,0),IF('01_数值调参'!AJ43&lt;0,'03_全链计算'!AD56+1,0),IF('01_数值调参'!AJ44&lt;0,'03_全链计算'!AE56+1,0),IF('01_数值调参'!AJ45&lt;0,'03_全链计算'!AF56+1,0),IF('01_数值调参'!AJ46&lt;0,'03_全链计算'!AG56+1,0),IF('01_数值调参'!AJ47&lt;0,'03_全链计算'!AH56+1,0),IF('01_数值调参'!AJ48&lt;0,'03_全链计算'!AI56+1,0),IF('01_数值调参'!AJ49&lt;0,'03_全链计算'!AJ56+1,0),IF('01_数值调参'!AJ50&lt;0,'03_全链计算'!AK56+1,0),IF('01_数值调参'!AJ51&lt;0,'03_全链计算'!AL56+1,0),IF('01_数值调参'!AJ52&lt;0,'03_全链计算'!AM56+1,0))</x:f>
        <x:v>2</x:v>
      </x:c>
      <x:c r="AK57" s="9" t="n">
        <x:f>MAX(IF('01_数值调参'!AK18&lt;0,'03_全链计算'!E56+1,0),IF('01_数值调参'!AK19&lt;0,'03_全链计算'!F56+1,0),IF('01_数值调参'!AK20&lt;0,'03_全链计算'!G56+1,0),IF('01_数值调参'!AK21&lt;0,'03_全链计算'!H56+1,0),IF('01_数值调参'!AK22&lt;0,'03_全链计算'!I56+1,0),IF('01_数值调参'!AK23&lt;0,'03_全链计算'!J56+1,0),IF('01_数值调参'!AK24&lt;0,'03_全链计算'!K56+1,0),IF('01_数值调参'!AK25&lt;0,'03_全链计算'!L56+1,0),IF('01_数值调参'!AK26&lt;0,'03_全链计算'!M56+1,0),IF('01_数值调参'!AK27&lt;0,'03_全链计算'!N56+1,0),IF('01_数值调参'!AK28&lt;0,'03_全链计算'!O56+1,0),IF('01_数值调参'!AK29&lt;0,'03_全链计算'!P56+1,0),IF('01_数值调参'!AK30&lt;0,'03_全链计算'!Q56+1,0),IF('01_数值调参'!AK31&lt;0,'03_全链计算'!R56+1,0),IF('01_数值调参'!AK32&lt;0,'03_全链计算'!S56+1,0),IF('01_数值调参'!AK33&lt;0,'03_全链计算'!T56+1,0),IF('01_数值调参'!AK34&lt;0,'03_全链计算'!U56+1,0),IF('01_数值调参'!AK35&lt;0,'03_全链计算'!V56+1,0),IF('01_数值调参'!AK36&lt;0,'03_全链计算'!W56+1,0),IF('01_数值调参'!AK37&lt;0,'03_全链计算'!X56+1,0),IF('01_数值调参'!AK38&lt;0,'03_全链计算'!Y56+1,0),IF('01_数值调参'!AK39&lt;0,'03_全链计算'!Z56+1,0),IF('01_数值调参'!AK40&lt;0,'03_全链计算'!AA56+1,0),IF('01_数值调参'!AK41&lt;0,'03_全链计算'!AB56+1,0),IF('01_数值调参'!AK42&lt;0,'03_全链计算'!AC56+1,0),IF('01_数值调参'!AK43&lt;0,'03_全链计算'!AD56+1,0),IF('01_数值调参'!AK44&lt;0,'03_全链计算'!AE56+1,0),IF('01_数值调参'!AK45&lt;0,'03_全链计算'!AF56+1,0),IF('01_数值调参'!AK46&lt;0,'03_全链计算'!AG56+1,0),IF('01_数值调参'!AK47&lt;0,'03_全链计算'!AH56+1,0),IF('01_数值调参'!AK48&lt;0,'03_全链计算'!AI56+1,0),IF('01_数值调参'!AK49&lt;0,'03_全链计算'!AJ56+1,0),IF('01_数值调参'!AK50&lt;0,'03_全链计算'!AK56+1,0),IF('01_数值调参'!AK51&lt;0,'03_全链计算'!AL56+1,0),IF('01_数值调参'!AK52&lt;0,'03_全链计算'!AM56+1,0))</x:f>
        <x:v>2</x:v>
      </x:c>
      <x:c r="AL57" s="9" t="n">
        <x:f>MAX(IF('01_数值调参'!AL18&lt;0,'03_全链计算'!E56+1,0),IF('01_数值调参'!AL19&lt;0,'03_全链计算'!F56+1,0),IF('01_数值调参'!AL20&lt;0,'03_全链计算'!G56+1,0),IF('01_数值调参'!AL21&lt;0,'03_全链计算'!H56+1,0),IF('01_数值调参'!AL22&lt;0,'03_全链计算'!I56+1,0),IF('01_数值调参'!AL23&lt;0,'03_全链计算'!J56+1,0),IF('01_数值调参'!AL24&lt;0,'03_全链计算'!K56+1,0),IF('01_数值调参'!AL25&lt;0,'03_全链计算'!L56+1,0),IF('01_数值调参'!AL26&lt;0,'03_全链计算'!M56+1,0),IF('01_数值调参'!AL27&lt;0,'03_全链计算'!N56+1,0),IF('01_数值调参'!AL28&lt;0,'03_全链计算'!O56+1,0),IF('01_数值调参'!AL29&lt;0,'03_全链计算'!P56+1,0),IF('01_数值调参'!AL30&lt;0,'03_全链计算'!Q56+1,0),IF('01_数值调参'!AL31&lt;0,'03_全链计算'!R56+1,0),IF('01_数值调参'!AL32&lt;0,'03_全链计算'!S56+1,0),IF('01_数值调参'!AL33&lt;0,'03_全链计算'!T56+1,0),IF('01_数值调参'!AL34&lt;0,'03_全链计算'!U56+1,0),IF('01_数值调参'!AL35&lt;0,'03_全链计算'!V56+1,0),IF('01_数值调参'!AL36&lt;0,'03_全链计算'!W56+1,0),IF('01_数值调参'!AL37&lt;0,'03_全链计算'!X56+1,0),IF('01_数值调参'!AL38&lt;0,'03_全链计算'!Y56+1,0),IF('01_数值调参'!AL39&lt;0,'03_全链计算'!Z56+1,0),IF('01_数值调参'!AL40&lt;0,'03_全链计算'!AA56+1,0),IF('01_数值调参'!AL41&lt;0,'03_全链计算'!AB56+1,0),IF('01_数值调参'!AL42&lt;0,'03_全链计算'!AC56+1,0),IF('01_数值调参'!AL43&lt;0,'03_全链计算'!AD56+1,0),IF('01_数值调参'!AL44&lt;0,'03_全链计算'!AE56+1,0),IF('01_数值调参'!AL45&lt;0,'03_全链计算'!AF56+1,0),IF('01_数值调参'!AL46&lt;0,'03_全链计算'!AG56+1,0),IF('01_数值调参'!AL47&lt;0,'03_全链计算'!AH56+1,0),IF('01_数值调参'!AL48&lt;0,'03_全链计算'!AI56+1,0),IF('01_数值调参'!AL49&lt;0,'03_全链计算'!AJ56+1,0),IF('01_数值调参'!AL50&lt;0,'03_全链计算'!AK56+1,0),IF('01_数值调参'!AL51&lt;0,'03_全链计算'!AL56+1,0),IF('01_数值调参'!AL52&lt;0,'03_全链计算'!AM56+1,0))</x:f>
        <x:v>3</x:v>
      </x:c>
      <x:c r="AM57" s="9" t="n">
        <x:f>MAX(IF('01_数值调参'!AM18&lt;0,'03_全链计算'!E56+1,0),IF('01_数值调参'!AM19&lt;0,'03_全链计算'!F56+1,0),IF('01_数值调参'!AM20&lt;0,'03_全链计算'!G56+1,0),IF('01_数值调参'!AM21&lt;0,'03_全链计算'!H56+1,0),IF('01_数值调参'!AM22&lt;0,'03_全链计算'!I56+1,0),IF('01_数值调参'!AM23&lt;0,'03_全链计算'!J56+1,0),IF('01_数值调参'!AM24&lt;0,'03_全链计算'!K56+1,0),IF('01_数值调参'!AM25&lt;0,'03_全链计算'!L56+1,0),IF('01_数值调参'!AM26&lt;0,'03_全链计算'!M56+1,0),IF('01_数值调参'!AM27&lt;0,'03_全链计算'!N56+1,0),IF('01_数值调参'!AM28&lt;0,'03_全链计算'!O56+1,0),IF('01_数值调参'!AM29&lt;0,'03_全链计算'!P56+1,0),IF('01_数值调参'!AM30&lt;0,'03_全链计算'!Q56+1,0),IF('01_数值调参'!AM31&lt;0,'03_全链计算'!R56+1,0),IF('01_数值调参'!AM32&lt;0,'03_全链计算'!S56+1,0),IF('01_数值调参'!AM33&lt;0,'03_全链计算'!T56+1,0),IF('01_数值调参'!AM34&lt;0,'03_全链计算'!U56+1,0),IF('01_数值调参'!AM35&lt;0,'03_全链计算'!V56+1,0),IF('01_数值调参'!AM36&lt;0,'03_全链计算'!W56+1,0),IF('01_数值调参'!AM37&lt;0,'03_全链计算'!X56+1,0),IF('01_数值调参'!AM38&lt;0,'03_全链计算'!Y56+1,0),IF('01_数值调参'!AM39&lt;0,'03_全链计算'!Z56+1,0),IF('01_数值调参'!AM40&lt;0,'03_全链计算'!AA56+1,0),IF('01_数值调参'!AM41&lt;0,'03_全链计算'!AB56+1,0),IF('01_数值调参'!AM42&lt;0,'03_全链计算'!AC56+1,0),IF('01_数值调参'!AM43&lt;0,'03_全链计算'!AD56+1,0),IF('01_数值调参'!AM44&lt;0,'03_全链计算'!AE56+1,0),IF('01_数值调参'!AM45&lt;0,'03_全链计算'!AF56+1,0),IF('01_数值调参'!AM46&lt;0,'03_全链计算'!AG56+1,0),IF('01_数值调参'!AM47&lt;0,'03_全链计算'!AH56+1,0),IF('01_数值调参'!AM48&lt;0,'03_全链计算'!AI56+1,0),IF('01_数值调参'!AM49&lt;0,'03_全链计算'!AJ56+1,0),IF('01_数值调参'!AM50&lt;0,'03_全链计算'!AK56+1,0),IF('01_数值调参'!AM51&lt;0,'03_全链计算'!AL56+1,0),IF('01_数值调参'!AM52&lt;0,'03_全链计算'!AM56+1,0))</x:f>
        <x:v>3</x:v>
      </x:c>
    </x:row>
    <x:row r="58" ht="22" customHeight="1">
      <x:c r="A58" s="9" t="n">
        <x:v>13</x:v>
      </x:c>
      <x:c r="B58" s="9"/>
      <x:c r="C58" s="9"/>
      <x:c r="D58" s="9"/>
      <x:c r="E58" s="9" t="n">
        <x:f>MAX(IF('01_数值调参'!E18&lt;0,'03_全链计算'!E57+1,0),IF('01_数值调参'!E19&lt;0,'03_全链计算'!F57+1,0),IF('01_数值调参'!E20&lt;0,'03_全链计算'!G57+1,0),IF('01_数值调参'!E21&lt;0,'03_全链计算'!H57+1,0),IF('01_数值调参'!E22&lt;0,'03_全链计算'!I57+1,0),IF('01_数值调参'!E23&lt;0,'03_全链计算'!J57+1,0),IF('01_数值调参'!E24&lt;0,'03_全链计算'!K57+1,0),IF('01_数值调参'!E25&lt;0,'03_全链计算'!L57+1,0),IF('01_数值调参'!E26&lt;0,'03_全链计算'!M57+1,0),IF('01_数值调参'!E27&lt;0,'03_全链计算'!N57+1,0),IF('01_数值调参'!E28&lt;0,'03_全链计算'!O57+1,0),IF('01_数值调参'!E29&lt;0,'03_全链计算'!P57+1,0),IF('01_数值调参'!E30&lt;0,'03_全链计算'!Q57+1,0),IF('01_数值调参'!E31&lt;0,'03_全链计算'!R57+1,0),IF('01_数值调参'!E32&lt;0,'03_全链计算'!S57+1,0),IF('01_数值调参'!E33&lt;0,'03_全链计算'!T57+1,0),IF('01_数值调参'!E34&lt;0,'03_全链计算'!U57+1,0),IF('01_数值调参'!E35&lt;0,'03_全链计算'!V57+1,0),IF('01_数值调参'!E36&lt;0,'03_全链计算'!W57+1,0),IF('01_数值调参'!E37&lt;0,'03_全链计算'!X57+1,0),IF('01_数值调参'!E38&lt;0,'03_全链计算'!Y57+1,0),IF('01_数值调参'!E39&lt;0,'03_全链计算'!Z57+1,0),IF('01_数值调参'!E40&lt;0,'03_全链计算'!AA57+1,0),IF('01_数值调参'!E41&lt;0,'03_全链计算'!AB57+1,0),IF('01_数值调参'!E42&lt;0,'03_全链计算'!AC57+1,0),IF('01_数值调参'!E43&lt;0,'03_全链计算'!AD57+1,0),IF('01_数值调参'!E44&lt;0,'03_全链计算'!AE57+1,0),IF('01_数值调参'!E45&lt;0,'03_全链计算'!AF57+1,0),IF('01_数值调参'!E46&lt;0,'03_全链计算'!AG57+1,0),IF('01_数值调参'!E47&lt;0,'03_全链计算'!AH57+1,0),IF('01_数值调参'!E48&lt;0,'03_全链计算'!AI57+1,0),IF('01_数值调参'!E49&lt;0,'03_全链计算'!AJ57+1,0),IF('01_数值调参'!E50&lt;0,'03_全链计算'!AK57+1,0),IF('01_数值调参'!E51&lt;0,'03_全链计算'!AL57+1,0),IF('01_数值调参'!E52&lt;0,'03_全链计算'!AM57+1,0))</x:f>
        <x:v>0</x:v>
      </x:c>
      <x:c r="F58" s="9" t="n">
        <x:f>MAX(IF('01_数值调参'!F18&lt;0,'03_全链计算'!E57+1,0),IF('01_数值调参'!F19&lt;0,'03_全链计算'!F57+1,0),IF('01_数值调参'!F20&lt;0,'03_全链计算'!G57+1,0),IF('01_数值调参'!F21&lt;0,'03_全链计算'!H57+1,0),IF('01_数值调参'!F22&lt;0,'03_全链计算'!I57+1,0),IF('01_数值调参'!F23&lt;0,'03_全链计算'!J57+1,0),IF('01_数值调参'!F24&lt;0,'03_全链计算'!K57+1,0),IF('01_数值调参'!F25&lt;0,'03_全链计算'!L57+1,0),IF('01_数值调参'!F26&lt;0,'03_全链计算'!M57+1,0),IF('01_数值调参'!F27&lt;0,'03_全链计算'!N57+1,0),IF('01_数值调参'!F28&lt;0,'03_全链计算'!O57+1,0),IF('01_数值调参'!F29&lt;0,'03_全链计算'!P57+1,0),IF('01_数值调参'!F30&lt;0,'03_全链计算'!Q57+1,0),IF('01_数值调参'!F31&lt;0,'03_全链计算'!R57+1,0),IF('01_数值调参'!F32&lt;0,'03_全链计算'!S57+1,0),IF('01_数值调参'!F33&lt;0,'03_全链计算'!T57+1,0),IF('01_数值调参'!F34&lt;0,'03_全链计算'!U57+1,0),IF('01_数值调参'!F35&lt;0,'03_全链计算'!V57+1,0),IF('01_数值调参'!F36&lt;0,'03_全链计算'!W57+1,0),IF('01_数值调参'!F37&lt;0,'03_全链计算'!X57+1,0),IF('01_数值调参'!F38&lt;0,'03_全链计算'!Y57+1,0),IF('01_数值调参'!F39&lt;0,'03_全链计算'!Z57+1,0),IF('01_数值调参'!F40&lt;0,'03_全链计算'!AA57+1,0),IF('01_数值调参'!F41&lt;0,'03_全链计算'!AB57+1,0),IF('01_数值调参'!F42&lt;0,'03_全链计算'!AC57+1,0),IF('01_数值调参'!F43&lt;0,'03_全链计算'!AD57+1,0),IF('01_数值调参'!F44&lt;0,'03_全链计算'!AE57+1,0),IF('01_数值调参'!F45&lt;0,'03_全链计算'!AF57+1,0),IF('01_数值调参'!F46&lt;0,'03_全链计算'!AG57+1,0),IF('01_数值调参'!F47&lt;0,'03_全链计算'!AH57+1,0),IF('01_数值调参'!F48&lt;0,'03_全链计算'!AI57+1,0),IF('01_数值调参'!F49&lt;0,'03_全链计算'!AJ57+1,0),IF('01_数值调参'!F50&lt;0,'03_全链计算'!AK57+1,0),IF('01_数值调参'!F51&lt;0,'03_全链计算'!AL57+1,0),IF('01_数值调参'!F52&lt;0,'03_全链计算'!AM57+1,0))</x:f>
        <x:v>0</x:v>
      </x:c>
      <x:c r="G58" s="9" t="n">
        <x:f>MAX(IF('01_数值调参'!G18&lt;0,'03_全链计算'!E57+1,0),IF('01_数值调参'!G19&lt;0,'03_全链计算'!F57+1,0),IF('01_数值调参'!G20&lt;0,'03_全链计算'!G57+1,0),IF('01_数值调参'!G21&lt;0,'03_全链计算'!H57+1,0),IF('01_数值调参'!G22&lt;0,'03_全链计算'!I57+1,0),IF('01_数值调参'!G23&lt;0,'03_全链计算'!J57+1,0),IF('01_数值调参'!G24&lt;0,'03_全链计算'!K57+1,0),IF('01_数值调参'!G25&lt;0,'03_全链计算'!L57+1,0),IF('01_数值调参'!G26&lt;0,'03_全链计算'!M57+1,0),IF('01_数值调参'!G27&lt;0,'03_全链计算'!N57+1,0),IF('01_数值调参'!G28&lt;0,'03_全链计算'!O57+1,0),IF('01_数值调参'!G29&lt;0,'03_全链计算'!P57+1,0),IF('01_数值调参'!G30&lt;0,'03_全链计算'!Q57+1,0),IF('01_数值调参'!G31&lt;0,'03_全链计算'!R57+1,0),IF('01_数值调参'!G32&lt;0,'03_全链计算'!S57+1,0),IF('01_数值调参'!G33&lt;0,'03_全链计算'!T57+1,0),IF('01_数值调参'!G34&lt;0,'03_全链计算'!U57+1,0),IF('01_数值调参'!G35&lt;0,'03_全链计算'!V57+1,0),IF('01_数值调参'!G36&lt;0,'03_全链计算'!W57+1,0),IF('01_数值调参'!G37&lt;0,'03_全链计算'!X57+1,0),IF('01_数值调参'!G38&lt;0,'03_全链计算'!Y57+1,0),IF('01_数值调参'!G39&lt;0,'03_全链计算'!Z57+1,0),IF('01_数值调参'!G40&lt;0,'03_全链计算'!AA57+1,0),IF('01_数值调参'!G41&lt;0,'03_全链计算'!AB57+1,0),IF('01_数值调参'!G42&lt;0,'03_全链计算'!AC57+1,0),IF('01_数值调参'!G43&lt;0,'03_全链计算'!AD57+1,0),IF('01_数值调参'!G44&lt;0,'03_全链计算'!AE57+1,0),IF('01_数值调参'!G45&lt;0,'03_全链计算'!AF57+1,0),IF('01_数值调参'!G46&lt;0,'03_全链计算'!AG57+1,0),IF('01_数值调参'!G47&lt;0,'03_全链计算'!AH57+1,0),IF('01_数值调参'!G48&lt;0,'03_全链计算'!AI57+1,0),IF('01_数值调参'!G49&lt;0,'03_全链计算'!AJ57+1,0),IF('01_数值调参'!G50&lt;0,'03_全链计算'!AK57+1,0),IF('01_数值调参'!G51&lt;0,'03_全链计算'!AL57+1,0),IF('01_数值调参'!G52&lt;0,'03_全链计算'!AM57+1,0))</x:f>
        <x:v>0</x:v>
      </x:c>
      <x:c r="H58" s="9" t="n">
        <x:f>MAX(IF('01_数值调参'!H18&lt;0,'03_全链计算'!E57+1,0),IF('01_数值调参'!H19&lt;0,'03_全链计算'!F57+1,0),IF('01_数值调参'!H20&lt;0,'03_全链计算'!G57+1,0),IF('01_数值调参'!H21&lt;0,'03_全链计算'!H57+1,0),IF('01_数值调参'!H22&lt;0,'03_全链计算'!I57+1,0),IF('01_数值调参'!H23&lt;0,'03_全链计算'!J57+1,0),IF('01_数值调参'!H24&lt;0,'03_全链计算'!K57+1,0),IF('01_数值调参'!H25&lt;0,'03_全链计算'!L57+1,0),IF('01_数值调参'!H26&lt;0,'03_全链计算'!M57+1,0),IF('01_数值调参'!H27&lt;0,'03_全链计算'!N57+1,0),IF('01_数值调参'!H28&lt;0,'03_全链计算'!O57+1,0),IF('01_数值调参'!H29&lt;0,'03_全链计算'!P57+1,0),IF('01_数值调参'!H30&lt;0,'03_全链计算'!Q57+1,0),IF('01_数值调参'!H31&lt;0,'03_全链计算'!R57+1,0),IF('01_数值调参'!H32&lt;0,'03_全链计算'!S57+1,0),IF('01_数值调参'!H33&lt;0,'03_全链计算'!T57+1,0),IF('01_数值调参'!H34&lt;0,'03_全链计算'!U57+1,0),IF('01_数值调参'!H35&lt;0,'03_全链计算'!V57+1,0),IF('01_数值调参'!H36&lt;0,'03_全链计算'!W57+1,0),IF('01_数值调参'!H37&lt;0,'03_全链计算'!X57+1,0),IF('01_数值调参'!H38&lt;0,'03_全链计算'!Y57+1,0),IF('01_数值调参'!H39&lt;0,'03_全链计算'!Z57+1,0),IF('01_数值调参'!H40&lt;0,'03_全链计算'!AA57+1,0),IF('01_数值调参'!H41&lt;0,'03_全链计算'!AB57+1,0),IF('01_数值调参'!H42&lt;0,'03_全链计算'!AC57+1,0),IF('01_数值调参'!H43&lt;0,'03_全链计算'!AD57+1,0),IF('01_数值调参'!H44&lt;0,'03_全链计算'!AE57+1,0),IF('01_数值调参'!H45&lt;0,'03_全链计算'!AF57+1,0),IF('01_数值调参'!H46&lt;0,'03_全链计算'!AG57+1,0),IF('01_数值调参'!H47&lt;0,'03_全链计算'!AH57+1,0),IF('01_数值调参'!H48&lt;0,'03_全链计算'!AI57+1,0),IF('01_数值调参'!H49&lt;0,'03_全链计算'!AJ57+1,0),IF('01_数值调参'!H50&lt;0,'03_全链计算'!AK57+1,0),IF('01_数值调参'!H51&lt;0,'03_全链计算'!AL57+1,0),IF('01_数值调参'!H52&lt;0,'03_全链计算'!AM57+1,0))</x:f>
        <x:v>0</x:v>
      </x:c>
      <x:c r="I58" s="9" t="n">
        <x:f>MAX(IF('01_数值调参'!I18&lt;0,'03_全链计算'!E57+1,0),IF('01_数值调参'!I19&lt;0,'03_全链计算'!F57+1,0),IF('01_数值调参'!I20&lt;0,'03_全链计算'!G57+1,0),IF('01_数值调参'!I21&lt;0,'03_全链计算'!H57+1,0),IF('01_数值调参'!I22&lt;0,'03_全链计算'!I57+1,0),IF('01_数值调参'!I23&lt;0,'03_全链计算'!J57+1,0),IF('01_数值调参'!I24&lt;0,'03_全链计算'!K57+1,0),IF('01_数值调参'!I25&lt;0,'03_全链计算'!L57+1,0),IF('01_数值调参'!I26&lt;0,'03_全链计算'!M57+1,0),IF('01_数值调参'!I27&lt;0,'03_全链计算'!N57+1,0),IF('01_数值调参'!I28&lt;0,'03_全链计算'!O57+1,0),IF('01_数值调参'!I29&lt;0,'03_全链计算'!P57+1,0),IF('01_数值调参'!I30&lt;0,'03_全链计算'!Q57+1,0),IF('01_数值调参'!I31&lt;0,'03_全链计算'!R57+1,0),IF('01_数值调参'!I32&lt;0,'03_全链计算'!S57+1,0),IF('01_数值调参'!I33&lt;0,'03_全链计算'!T57+1,0),IF('01_数值调参'!I34&lt;0,'03_全链计算'!U57+1,0),IF('01_数值调参'!I35&lt;0,'03_全链计算'!V57+1,0),IF('01_数值调参'!I36&lt;0,'03_全链计算'!W57+1,0),IF('01_数值调参'!I37&lt;0,'03_全链计算'!X57+1,0),IF('01_数值调参'!I38&lt;0,'03_全链计算'!Y57+1,0),IF('01_数值调参'!I39&lt;0,'03_全链计算'!Z57+1,0),IF('01_数值调参'!I40&lt;0,'03_全链计算'!AA57+1,0),IF('01_数值调参'!I41&lt;0,'03_全链计算'!AB57+1,0),IF('01_数值调参'!I42&lt;0,'03_全链计算'!AC57+1,0),IF('01_数值调参'!I43&lt;0,'03_全链计算'!AD57+1,0),IF('01_数值调参'!I44&lt;0,'03_全链计算'!AE57+1,0),IF('01_数值调参'!I45&lt;0,'03_全链计算'!AF57+1,0),IF('01_数值调参'!I46&lt;0,'03_全链计算'!AG57+1,0),IF('01_数值调参'!I47&lt;0,'03_全链计算'!AH57+1,0),IF('01_数值调参'!I48&lt;0,'03_全链计算'!AI57+1,0),IF('01_数值调参'!I49&lt;0,'03_全链计算'!AJ57+1,0),IF('01_数值调参'!I50&lt;0,'03_全链计算'!AK57+1,0),IF('01_数值调参'!I51&lt;0,'03_全链计算'!AL57+1,0),IF('01_数值调参'!I52&lt;0,'03_全链计算'!AM57+1,0))</x:f>
        <x:v>0</x:v>
      </x:c>
      <x:c r="J58" s="9" t="n">
        <x:f>MAX(IF('01_数值调参'!J18&lt;0,'03_全链计算'!E57+1,0),IF('01_数值调参'!J19&lt;0,'03_全链计算'!F57+1,0),IF('01_数值调参'!J20&lt;0,'03_全链计算'!G57+1,0),IF('01_数值调参'!J21&lt;0,'03_全链计算'!H57+1,0),IF('01_数值调参'!J22&lt;0,'03_全链计算'!I57+1,0),IF('01_数值调参'!J23&lt;0,'03_全链计算'!J57+1,0),IF('01_数值调参'!J24&lt;0,'03_全链计算'!K57+1,0),IF('01_数值调参'!J25&lt;0,'03_全链计算'!L57+1,0),IF('01_数值调参'!J26&lt;0,'03_全链计算'!M57+1,0),IF('01_数值调参'!J27&lt;0,'03_全链计算'!N57+1,0),IF('01_数值调参'!J28&lt;0,'03_全链计算'!O57+1,0),IF('01_数值调参'!J29&lt;0,'03_全链计算'!P57+1,0),IF('01_数值调参'!J30&lt;0,'03_全链计算'!Q57+1,0),IF('01_数值调参'!J31&lt;0,'03_全链计算'!R57+1,0),IF('01_数值调参'!J32&lt;0,'03_全链计算'!S57+1,0),IF('01_数值调参'!J33&lt;0,'03_全链计算'!T57+1,0),IF('01_数值调参'!J34&lt;0,'03_全链计算'!U57+1,0),IF('01_数值调参'!J35&lt;0,'03_全链计算'!V57+1,0),IF('01_数值调参'!J36&lt;0,'03_全链计算'!W57+1,0),IF('01_数值调参'!J37&lt;0,'03_全链计算'!X57+1,0),IF('01_数值调参'!J38&lt;0,'03_全链计算'!Y57+1,0),IF('01_数值调参'!J39&lt;0,'03_全链计算'!Z57+1,0),IF('01_数值调参'!J40&lt;0,'03_全链计算'!AA57+1,0),IF('01_数值调参'!J41&lt;0,'03_全链计算'!AB57+1,0),IF('01_数值调参'!J42&lt;0,'03_全链计算'!AC57+1,0),IF('01_数值调参'!J43&lt;0,'03_全链计算'!AD57+1,0),IF('01_数值调参'!J44&lt;0,'03_全链计算'!AE57+1,0),IF('01_数值调参'!J45&lt;0,'03_全链计算'!AF57+1,0),IF('01_数值调参'!J46&lt;0,'03_全链计算'!AG57+1,0),IF('01_数值调参'!J47&lt;0,'03_全链计算'!AH57+1,0),IF('01_数值调参'!J48&lt;0,'03_全链计算'!AI57+1,0),IF('01_数值调参'!J49&lt;0,'03_全链计算'!AJ57+1,0),IF('01_数值调参'!J50&lt;0,'03_全链计算'!AK57+1,0),IF('01_数值调参'!J51&lt;0,'03_全链计算'!AL57+1,0),IF('01_数值调参'!J52&lt;0,'03_全链计算'!AM57+1,0))</x:f>
        <x:v>0</x:v>
      </x:c>
      <x:c r="K58" s="9" t="n">
        <x:f>MAX(IF('01_数值调参'!K18&lt;0,'03_全链计算'!E57+1,0),IF('01_数值调参'!K19&lt;0,'03_全链计算'!F57+1,0),IF('01_数值调参'!K20&lt;0,'03_全链计算'!G57+1,0),IF('01_数值调参'!K21&lt;0,'03_全链计算'!H57+1,0),IF('01_数值调参'!K22&lt;0,'03_全链计算'!I57+1,0),IF('01_数值调参'!K23&lt;0,'03_全链计算'!J57+1,0),IF('01_数值调参'!K24&lt;0,'03_全链计算'!K57+1,0),IF('01_数值调参'!K25&lt;0,'03_全链计算'!L57+1,0),IF('01_数值调参'!K26&lt;0,'03_全链计算'!M57+1,0),IF('01_数值调参'!K27&lt;0,'03_全链计算'!N57+1,0),IF('01_数值调参'!K28&lt;0,'03_全链计算'!O57+1,0),IF('01_数值调参'!K29&lt;0,'03_全链计算'!P57+1,0),IF('01_数值调参'!K30&lt;0,'03_全链计算'!Q57+1,0),IF('01_数值调参'!K31&lt;0,'03_全链计算'!R57+1,0),IF('01_数值调参'!K32&lt;0,'03_全链计算'!S57+1,0),IF('01_数值调参'!K33&lt;0,'03_全链计算'!T57+1,0),IF('01_数值调参'!K34&lt;0,'03_全链计算'!U57+1,0),IF('01_数值调参'!K35&lt;0,'03_全链计算'!V57+1,0),IF('01_数值调参'!K36&lt;0,'03_全链计算'!W57+1,0),IF('01_数值调参'!K37&lt;0,'03_全链计算'!X57+1,0),IF('01_数值调参'!K38&lt;0,'03_全链计算'!Y57+1,0),IF('01_数值调参'!K39&lt;0,'03_全链计算'!Z57+1,0),IF('01_数值调参'!K40&lt;0,'03_全链计算'!AA57+1,0),IF('01_数值调参'!K41&lt;0,'03_全链计算'!AB57+1,0),IF('01_数值调参'!K42&lt;0,'03_全链计算'!AC57+1,0),IF('01_数值调参'!K43&lt;0,'03_全链计算'!AD57+1,0),IF('01_数值调参'!K44&lt;0,'03_全链计算'!AE57+1,0),IF('01_数值调参'!K45&lt;0,'03_全链计算'!AF57+1,0),IF('01_数值调参'!K46&lt;0,'03_全链计算'!AG57+1,0),IF('01_数值调参'!K47&lt;0,'03_全链计算'!AH57+1,0),IF('01_数值调参'!K48&lt;0,'03_全链计算'!AI57+1,0),IF('01_数值调参'!K49&lt;0,'03_全链计算'!AJ57+1,0),IF('01_数值调参'!K50&lt;0,'03_全链计算'!AK57+1,0),IF('01_数值调参'!K51&lt;0,'03_全链计算'!AL57+1,0),IF('01_数值调参'!K52&lt;0,'03_全链计算'!AM57+1,0))</x:f>
        <x:v>0</x:v>
      </x:c>
      <x:c r="L58" s="9" t="n">
        <x:f>MAX(IF('01_数值调参'!L18&lt;0,'03_全链计算'!E57+1,0),IF('01_数值调参'!L19&lt;0,'03_全链计算'!F57+1,0),IF('01_数值调参'!L20&lt;0,'03_全链计算'!G57+1,0),IF('01_数值调参'!L21&lt;0,'03_全链计算'!H57+1,0),IF('01_数值调参'!L22&lt;0,'03_全链计算'!I57+1,0),IF('01_数值调参'!L23&lt;0,'03_全链计算'!J57+1,0),IF('01_数值调参'!L24&lt;0,'03_全链计算'!K57+1,0),IF('01_数值调参'!L25&lt;0,'03_全链计算'!L57+1,0),IF('01_数值调参'!L26&lt;0,'03_全链计算'!M57+1,0),IF('01_数值调参'!L27&lt;0,'03_全链计算'!N57+1,0),IF('01_数值调参'!L28&lt;0,'03_全链计算'!O57+1,0),IF('01_数值调参'!L29&lt;0,'03_全链计算'!P57+1,0),IF('01_数值调参'!L30&lt;0,'03_全链计算'!Q57+1,0),IF('01_数值调参'!L31&lt;0,'03_全链计算'!R57+1,0),IF('01_数值调参'!L32&lt;0,'03_全链计算'!S57+1,0),IF('01_数值调参'!L33&lt;0,'03_全链计算'!T57+1,0),IF('01_数值调参'!L34&lt;0,'03_全链计算'!U57+1,0),IF('01_数值调参'!L35&lt;0,'03_全链计算'!V57+1,0),IF('01_数值调参'!L36&lt;0,'03_全链计算'!W57+1,0),IF('01_数值调参'!L37&lt;0,'03_全链计算'!X57+1,0),IF('01_数值调参'!L38&lt;0,'03_全链计算'!Y57+1,0),IF('01_数值调参'!L39&lt;0,'03_全链计算'!Z57+1,0),IF('01_数值调参'!L40&lt;0,'03_全链计算'!AA57+1,0),IF('01_数值调参'!L41&lt;0,'03_全链计算'!AB57+1,0),IF('01_数值调参'!L42&lt;0,'03_全链计算'!AC57+1,0),IF('01_数值调参'!L43&lt;0,'03_全链计算'!AD57+1,0),IF('01_数值调参'!L44&lt;0,'03_全链计算'!AE57+1,0),IF('01_数值调参'!L45&lt;0,'03_全链计算'!AF57+1,0),IF('01_数值调参'!L46&lt;0,'03_全链计算'!AG57+1,0),IF('01_数值调参'!L47&lt;0,'03_全链计算'!AH57+1,0),IF('01_数值调参'!L48&lt;0,'03_全链计算'!AI57+1,0),IF('01_数值调参'!L49&lt;0,'03_全链计算'!AJ57+1,0),IF('01_数值调参'!L50&lt;0,'03_全链计算'!AK57+1,0),IF('01_数值调参'!L51&lt;0,'03_全链计算'!AL57+1,0),IF('01_数值调参'!L52&lt;0,'03_全链计算'!AM57+1,0))</x:f>
        <x:v>0</x:v>
      </x:c>
      <x:c r="M58" s="9" t="n">
        <x:f>MAX(IF('01_数值调参'!M18&lt;0,'03_全链计算'!E57+1,0),IF('01_数值调参'!M19&lt;0,'03_全链计算'!F57+1,0),IF('01_数值调参'!M20&lt;0,'03_全链计算'!G57+1,0),IF('01_数值调参'!M21&lt;0,'03_全链计算'!H57+1,0),IF('01_数值调参'!M22&lt;0,'03_全链计算'!I57+1,0),IF('01_数值调参'!M23&lt;0,'03_全链计算'!J57+1,0),IF('01_数值调参'!M24&lt;0,'03_全链计算'!K57+1,0),IF('01_数值调参'!M25&lt;0,'03_全链计算'!L57+1,0),IF('01_数值调参'!M26&lt;0,'03_全链计算'!M57+1,0),IF('01_数值调参'!M27&lt;0,'03_全链计算'!N57+1,0),IF('01_数值调参'!M28&lt;0,'03_全链计算'!O57+1,0),IF('01_数值调参'!M29&lt;0,'03_全链计算'!P57+1,0),IF('01_数值调参'!M30&lt;0,'03_全链计算'!Q57+1,0),IF('01_数值调参'!M31&lt;0,'03_全链计算'!R57+1,0),IF('01_数值调参'!M32&lt;0,'03_全链计算'!S57+1,0),IF('01_数值调参'!M33&lt;0,'03_全链计算'!T57+1,0),IF('01_数值调参'!M34&lt;0,'03_全链计算'!U57+1,0),IF('01_数值调参'!M35&lt;0,'03_全链计算'!V57+1,0),IF('01_数值调参'!M36&lt;0,'03_全链计算'!W57+1,0),IF('01_数值调参'!M37&lt;0,'03_全链计算'!X57+1,0),IF('01_数值调参'!M38&lt;0,'03_全链计算'!Y57+1,0),IF('01_数值调参'!M39&lt;0,'03_全链计算'!Z57+1,0),IF('01_数值调参'!M40&lt;0,'03_全链计算'!AA57+1,0),IF('01_数值调参'!M41&lt;0,'03_全链计算'!AB57+1,0),IF('01_数值调参'!M42&lt;0,'03_全链计算'!AC57+1,0),IF('01_数值调参'!M43&lt;0,'03_全链计算'!AD57+1,0),IF('01_数值调参'!M44&lt;0,'03_全链计算'!AE57+1,0),IF('01_数值调参'!M45&lt;0,'03_全链计算'!AF57+1,0),IF('01_数值调参'!M46&lt;0,'03_全链计算'!AG57+1,0),IF('01_数值调参'!M47&lt;0,'03_全链计算'!AH57+1,0),IF('01_数值调参'!M48&lt;0,'03_全链计算'!AI57+1,0),IF('01_数值调参'!M49&lt;0,'03_全链计算'!AJ57+1,0),IF('01_数值调参'!M50&lt;0,'03_全链计算'!AK57+1,0),IF('01_数值调参'!M51&lt;0,'03_全链计算'!AL57+1,0),IF('01_数值调参'!M52&lt;0,'03_全链计算'!AM57+1,0))</x:f>
        <x:v>0</x:v>
      </x:c>
      <x:c r="N58" s="9" t="n">
        <x:f>MAX(IF('01_数值调参'!N18&lt;0,'03_全链计算'!E57+1,0),IF('01_数值调参'!N19&lt;0,'03_全链计算'!F57+1,0),IF('01_数值调参'!N20&lt;0,'03_全链计算'!G57+1,0),IF('01_数值调参'!N21&lt;0,'03_全链计算'!H57+1,0),IF('01_数值调参'!N22&lt;0,'03_全链计算'!I57+1,0),IF('01_数值调参'!N23&lt;0,'03_全链计算'!J57+1,0),IF('01_数值调参'!N24&lt;0,'03_全链计算'!K57+1,0),IF('01_数值调参'!N25&lt;0,'03_全链计算'!L57+1,0),IF('01_数值调参'!N26&lt;0,'03_全链计算'!M57+1,0),IF('01_数值调参'!N27&lt;0,'03_全链计算'!N57+1,0),IF('01_数值调参'!N28&lt;0,'03_全链计算'!O57+1,0),IF('01_数值调参'!N29&lt;0,'03_全链计算'!P57+1,0),IF('01_数值调参'!N30&lt;0,'03_全链计算'!Q57+1,0),IF('01_数值调参'!N31&lt;0,'03_全链计算'!R57+1,0),IF('01_数值调参'!N32&lt;0,'03_全链计算'!S57+1,0),IF('01_数值调参'!N33&lt;0,'03_全链计算'!T57+1,0),IF('01_数值调参'!N34&lt;0,'03_全链计算'!U57+1,0),IF('01_数值调参'!N35&lt;0,'03_全链计算'!V57+1,0),IF('01_数值调参'!N36&lt;0,'03_全链计算'!W57+1,0),IF('01_数值调参'!N37&lt;0,'03_全链计算'!X57+1,0),IF('01_数值调参'!N38&lt;0,'03_全链计算'!Y57+1,0),IF('01_数值调参'!N39&lt;0,'03_全链计算'!Z57+1,0),IF('01_数值调参'!N40&lt;0,'03_全链计算'!AA57+1,0),IF('01_数值调参'!N41&lt;0,'03_全链计算'!AB57+1,0),IF('01_数值调参'!N42&lt;0,'03_全链计算'!AC57+1,0),IF('01_数值调参'!N43&lt;0,'03_全链计算'!AD57+1,0),IF('01_数值调参'!N44&lt;0,'03_全链计算'!AE57+1,0),IF('01_数值调参'!N45&lt;0,'03_全链计算'!AF57+1,0),IF('01_数值调参'!N46&lt;0,'03_全链计算'!AG57+1,0),IF('01_数值调参'!N47&lt;0,'03_全链计算'!AH57+1,0),IF('01_数值调参'!N48&lt;0,'03_全链计算'!AI57+1,0),IF('01_数值调参'!N49&lt;0,'03_全链计算'!AJ57+1,0),IF('01_数值调参'!N50&lt;0,'03_全链计算'!AK57+1,0),IF('01_数值调参'!N51&lt;0,'03_全链计算'!AL57+1,0),IF('01_数值调参'!N52&lt;0,'03_全链计算'!AM57+1,0))</x:f>
        <x:v>1</x:v>
      </x:c>
      <x:c r="O58" s="9" t="n">
        <x:f>MAX(IF('01_数值调参'!O18&lt;0,'03_全链计算'!E57+1,0),IF('01_数值调参'!O19&lt;0,'03_全链计算'!F57+1,0),IF('01_数值调参'!O20&lt;0,'03_全链计算'!G57+1,0),IF('01_数值调参'!O21&lt;0,'03_全链计算'!H57+1,0),IF('01_数值调参'!O22&lt;0,'03_全链计算'!I57+1,0),IF('01_数值调参'!O23&lt;0,'03_全链计算'!J57+1,0),IF('01_数值调参'!O24&lt;0,'03_全链计算'!K57+1,0),IF('01_数值调参'!O25&lt;0,'03_全链计算'!L57+1,0),IF('01_数值调参'!O26&lt;0,'03_全链计算'!M57+1,0),IF('01_数值调参'!O27&lt;0,'03_全链计算'!N57+1,0),IF('01_数值调参'!O28&lt;0,'03_全链计算'!O57+1,0),IF('01_数值调参'!O29&lt;0,'03_全链计算'!P57+1,0),IF('01_数值调参'!O30&lt;0,'03_全链计算'!Q57+1,0),IF('01_数值调参'!O31&lt;0,'03_全链计算'!R57+1,0),IF('01_数值调参'!O32&lt;0,'03_全链计算'!S57+1,0),IF('01_数值调参'!O33&lt;0,'03_全链计算'!T57+1,0),IF('01_数值调参'!O34&lt;0,'03_全链计算'!U57+1,0),IF('01_数值调参'!O35&lt;0,'03_全链计算'!V57+1,0),IF('01_数值调参'!O36&lt;0,'03_全链计算'!W57+1,0),IF('01_数值调参'!O37&lt;0,'03_全链计算'!X57+1,0),IF('01_数值调参'!O38&lt;0,'03_全链计算'!Y57+1,0),IF('01_数值调参'!O39&lt;0,'03_全链计算'!Z57+1,0),IF('01_数值调参'!O40&lt;0,'03_全链计算'!AA57+1,0),IF('01_数值调参'!O41&lt;0,'03_全链计算'!AB57+1,0),IF('01_数值调参'!O42&lt;0,'03_全链计算'!AC57+1,0),IF('01_数值调参'!O43&lt;0,'03_全链计算'!AD57+1,0),IF('01_数值调参'!O44&lt;0,'03_全链计算'!AE57+1,0),IF('01_数值调参'!O45&lt;0,'03_全链计算'!AF57+1,0),IF('01_数值调参'!O46&lt;0,'03_全链计算'!AG57+1,0),IF('01_数值调参'!O47&lt;0,'03_全链计算'!AH57+1,0),IF('01_数值调参'!O48&lt;0,'03_全链计算'!AI57+1,0),IF('01_数值调参'!O49&lt;0,'03_全链计算'!AJ57+1,0),IF('01_数值调参'!O50&lt;0,'03_全链计算'!AK57+1,0),IF('01_数值调参'!O51&lt;0,'03_全链计算'!AL57+1,0),IF('01_数值调参'!O52&lt;0,'03_全链计算'!AM57+1,0))</x:f>
        <x:v>1</x:v>
      </x:c>
      <x:c r="P58" s="9" t="n">
        <x:f>MAX(IF('01_数值调参'!P18&lt;0,'03_全链计算'!E57+1,0),IF('01_数值调参'!P19&lt;0,'03_全链计算'!F57+1,0),IF('01_数值调参'!P20&lt;0,'03_全链计算'!G57+1,0),IF('01_数值调参'!P21&lt;0,'03_全链计算'!H57+1,0),IF('01_数值调参'!P22&lt;0,'03_全链计算'!I57+1,0),IF('01_数值调参'!P23&lt;0,'03_全链计算'!J57+1,0),IF('01_数值调参'!P24&lt;0,'03_全链计算'!K57+1,0),IF('01_数值调参'!P25&lt;0,'03_全链计算'!L57+1,0),IF('01_数值调参'!P26&lt;0,'03_全链计算'!M57+1,0),IF('01_数值调参'!P27&lt;0,'03_全链计算'!N57+1,0),IF('01_数值调参'!P28&lt;0,'03_全链计算'!O57+1,0),IF('01_数值调参'!P29&lt;0,'03_全链计算'!P57+1,0),IF('01_数值调参'!P30&lt;0,'03_全链计算'!Q57+1,0),IF('01_数值调参'!P31&lt;0,'03_全链计算'!R57+1,0),IF('01_数值调参'!P32&lt;0,'03_全链计算'!S57+1,0),IF('01_数值调参'!P33&lt;0,'03_全链计算'!T57+1,0),IF('01_数值调参'!P34&lt;0,'03_全链计算'!U57+1,0),IF('01_数值调参'!P35&lt;0,'03_全链计算'!V57+1,0),IF('01_数值调参'!P36&lt;0,'03_全链计算'!W57+1,0),IF('01_数值调参'!P37&lt;0,'03_全链计算'!X57+1,0),IF('01_数值调参'!P38&lt;0,'03_全链计算'!Y57+1,0),IF('01_数值调参'!P39&lt;0,'03_全链计算'!Z57+1,0),IF('01_数值调参'!P40&lt;0,'03_全链计算'!AA57+1,0),IF('01_数值调参'!P41&lt;0,'03_全链计算'!AB57+1,0),IF('01_数值调参'!P42&lt;0,'03_全链计算'!AC57+1,0),IF('01_数值调参'!P43&lt;0,'03_全链计算'!AD57+1,0),IF('01_数值调参'!P44&lt;0,'03_全链计算'!AE57+1,0),IF('01_数值调参'!P45&lt;0,'03_全链计算'!AF57+1,0),IF('01_数值调参'!P46&lt;0,'03_全链计算'!AG57+1,0),IF('01_数值调参'!P47&lt;0,'03_全链计算'!AH57+1,0),IF('01_数值调参'!P48&lt;0,'03_全链计算'!AI57+1,0),IF('01_数值调参'!P49&lt;0,'03_全链计算'!AJ57+1,0),IF('01_数值调参'!P50&lt;0,'03_全链计算'!AK57+1,0),IF('01_数值调参'!P51&lt;0,'03_全链计算'!AL57+1,0),IF('01_数值调参'!P52&lt;0,'03_全链计算'!AM57+1,0))</x:f>
        <x:v>1</x:v>
      </x:c>
      <x:c r="Q58" s="9" t="n">
        <x:f>MAX(IF('01_数值调参'!Q18&lt;0,'03_全链计算'!E57+1,0),IF('01_数值调参'!Q19&lt;0,'03_全链计算'!F57+1,0),IF('01_数值调参'!Q20&lt;0,'03_全链计算'!G57+1,0),IF('01_数值调参'!Q21&lt;0,'03_全链计算'!H57+1,0),IF('01_数值调参'!Q22&lt;0,'03_全链计算'!I57+1,0),IF('01_数值调参'!Q23&lt;0,'03_全链计算'!J57+1,0),IF('01_数值调参'!Q24&lt;0,'03_全链计算'!K57+1,0),IF('01_数值调参'!Q25&lt;0,'03_全链计算'!L57+1,0),IF('01_数值调参'!Q26&lt;0,'03_全链计算'!M57+1,0),IF('01_数值调参'!Q27&lt;0,'03_全链计算'!N57+1,0),IF('01_数值调参'!Q28&lt;0,'03_全链计算'!O57+1,0),IF('01_数值调参'!Q29&lt;0,'03_全链计算'!P57+1,0),IF('01_数值调参'!Q30&lt;0,'03_全链计算'!Q57+1,0),IF('01_数值调参'!Q31&lt;0,'03_全链计算'!R57+1,0),IF('01_数值调参'!Q32&lt;0,'03_全链计算'!S57+1,0),IF('01_数值调参'!Q33&lt;0,'03_全链计算'!T57+1,0),IF('01_数值调参'!Q34&lt;0,'03_全链计算'!U57+1,0),IF('01_数值调参'!Q35&lt;0,'03_全链计算'!V57+1,0),IF('01_数值调参'!Q36&lt;0,'03_全链计算'!W57+1,0),IF('01_数值调参'!Q37&lt;0,'03_全链计算'!X57+1,0),IF('01_数值调参'!Q38&lt;0,'03_全链计算'!Y57+1,0),IF('01_数值调参'!Q39&lt;0,'03_全链计算'!Z57+1,0),IF('01_数值调参'!Q40&lt;0,'03_全链计算'!AA57+1,0),IF('01_数值调参'!Q41&lt;0,'03_全链计算'!AB57+1,0),IF('01_数值调参'!Q42&lt;0,'03_全链计算'!AC57+1,0),IF('01_数值调参'!Q43&lt;0,'03_全链计算'!AD57+1,0),IF('01_数值调参'!Q44&lt;0,'03_全链计算'!AE57+1,0),IF('01_数值调参'!Q45&lt;0,'03_全链计算'!AF57+1,0),IF('01_数值调参'!Q46&lt;0,'03_全链计算'!AG57+1,0),IF('01_数值调参'!Q47&lt;0,'03_全链计算'!AH57+1,0),IF('01_数值调参'!Q48&lt;0,'03_全链计算'!AI57+1,0),IF('01_数值调参'!Q49&lt;0,'03_全链计算'!AJ57+1,0),IF('01_数值调参'!Q50&lt;0,'03_全链计算'!AK57+1,0),IF('01_数值调参'!Q51&lt;0,'03_全链计算'!AL57+1,0),IF('01_数值调参'!Q52&lt;0,'03_全链计算'!AM57+1,0))</x:f>
        <x:v>1</x:v>
      </x:c>
      <x:c r="R58" s="9" t="n">
        <x:f>MAX(IF('01_数值调参'!R18&lt;0,'03_全链计算'!E57+1,0),IF('01_数值调参'!R19&lt;0,'03_全链计算'!F57+1,0),IF('01_数值调参'!R20&lt;0,'03_全链计算'!G57+1,0),IF('01_数值调参'!R21&lt;0,'03_全链计算'!H57+1,0),IF('01_数值调参'!R22&lt;0,'03_全链计算'!I57+1,0),IF('01_数值调参'!R23&lt;0,'03_全链计算'!J57+1,0),IF('01_数值调参'!R24&lt;0,'03_全链计算'!K57+1,0),IF('01_数值调参'!R25&lt;0,'03_全链计算'!L57+1,0),IF('01_数值调参'!R26&lt;0,'03_全链计算'!M57+1,0),IF('01_数值调参'!R27&lt;0,'03_全链计算'!N57+1,0),IF('01_数值调参'!R28&lt;0,'03_全链计算'!O57+1,0),IF('01_数值调参'!R29&lt;0,'03_全链计算'!P57+1,0),IF('01_数值调参'!R30&lt;0,'03_全链计算'!Q57+1,0),IF('01_数值调参'!R31&lt;0,'03_全链计算'!R57+1,0),IF('01_数值调参'!R32&lt;0,'03_全链计算'!S57+1,0),IF('01_数值调参'!R33&lt;0,'03_全链计算'!T57+1,0),IF('01_数值调参'!R34&lt;0,'03_全链计算'!U57+1,0),IF('01_数值调参'!R35&lt;0,'03_全链计算'!V57+1,0),IF('01_数值调参'!R36&lt;0,'03_全链计算'!W57+1,0),IF('01_数值调参'!R37&lt;0,'03_全链计算'!X57+1,0),IF('01_数值调参'!R38&lt;0,'03_全链计算'!Y57+1,0),IF('01_数值调参'!R39&lt;0,'03_全链计算'!Z57+1,0),IF('01_数值调参'!R40&lt;0,'03_全链计算'!AA57+1,0),IF('01_数值调参'!R41&lt;0,'03_全链计算'!AB57+1,0),IF('01_数值调参'!R42&lt;0,'03_全链计算'!AC57+1,0),IF('01_数值调参'!R43&lt;0,'03_全链计算'!AD57+1,0),IF('01_数值调参'!R44&lt;0,'03_全链计算'!AE57+1,0),IF('01_数值调参'!R45&lt;0,'03_全链计算'!AF57+1,0),IF('01_数值调参'!R46&lt;0,'03_全链计算'!AG57+1,0),IF('01_数值调参'!R47&lt;0,'03_全链计算'!AH57+1,0),IF('01_数值调参'!R48&lt;0,'03_全链计算'!AI57+1,0),IF('01_数值调参'!R49&lt;0,'03_全链计算'!AJ57+1,0),IF('01_数值调参'!R50&lt;0,'03_全链计算'!AK57+1,0),IF('01_数值调参'!R51&lt;0,'03_全链计算'!AL57+1,0),IF('01_数值调参'!R52&lt;0,'03_全链计算'!AM57+1,0))</x:f>
        <x:v>1</x:v>
      </x:c>
      <x:c r="S58" s="9" t="n">
        <x:f>MAX(IF('01_数值调参'!S18&lt;0,'03_全链计算'!E57+1,0),IF('01_数值调参'!S19&lt;0,'03_全链计算'!F57+1,0),IF('01_数值调参'!S20&lt;0,'03_全链计算'!G57+1,0),IF('01_数值调参'!S21&lt;0,'03_全链计算'!H57+1,0),IF('01_数值调参'!S22&lt;0,'03_全链计算'!I57+1,0),IF('01_数值调参'!S23&lt;0,'03_全链计算'!J57+1,0),IF('01_数值调参'!S24&lt;0,'03_全链计算'!K57+1,0),IF('01_数值调参'!S25&lt;0,'03_全链计算'!L57+1,0),IF('01_数值调参'!S26&lt;0,'03_全链计算'!M57+1,0),IF('01_数值调参'!S27&lt;0,'03_全链计算'!N57+1,0),IF('01_数值调参'!S28&lt;0,'03_全链计算'!O57+1,0),IF('01_数值调参'!S29&lt;0,'03_全链计算'!P57+1,0),IF('01_数值调参'!S30&lt;0,'03_全链计算'!Q57+1,0),IF('01_数值调参'!S31&lt;0,'03_全链计算'!R57+1,0),IF('01_数值调参'!S32&lt;0,'03_全链计算'!S57+1,0),IF('01_数值调参'!S33&lt;0,'03_全链计算'!T57+1,0),IF('01_数值调参'!S34&lt;0,'03_全链计算'!U57+1,0),IF('01_数值调参'!S35&lt;0,'03_全链计算'!V57+1,0),IF('01_数值调参'!S36&lt;0,'03_全链计算'!W57+1,0),IF('01_数值调参'!S37&lt;0,'03_全链计算'!X57+1,0),IF('01_数值调参'!S38&lt;0,'03_全链计算'!Y57+1,0),IF('01_数值调参'!S39&lt;0,'03_全链计算'!Z57+1,0),IF('01_数值调参'!S40&lt;0,'03_全链计算'!AA57+1,0),IF('01_数值调参'!S41&lt;0,'03_全链计算'!AB57+1,0),IF('01_数值调参'!S42&lt;0,'03_全链计算'!AC57+1,0),IF('01_数值调参'!S43&lt;0,'03_全链计算'!AD57+1,0),IF('01_数值调参'!S44&lt;0,'03_全链计算'!AE57+1,0),IF('01_数值调参'!S45&lt;0,'03_全链计算'!AF57+1,0),IF('01_数值调参'!S46&lt;0,'03_全链计算'!AG57+1,0),IF('01_数值调参'!S47&lt;0,'03_全链计算'!AH57+1,0),IF('01_数值调参'!S48&lt;0,'03_全链计算'!AI57+1,0),IF('01_数值调参'!S49&lt;0,'03_全链计算'!AJ57+1,0),IF('01_数值调参'!S50&lt;0,'03_全链计算'!AK57+1,0),IF('01_数值调参'!S51&lt;0,'03_全链计算'!AL57+1,0),IF('01_数值调参'!S52&lt;0,'03_全链计算'!AM57+1,0))</x:f>
        <x:v>1</x:v>
      </x:c>
      <x:c r="T58" s="9" t="n">
        <x:f>MAX(IF('01_数值调参'!T18&lt;0,'03_全链计算'!E57+1,0),IF('01_数值调参'!T19&lt;0,'03_全链计算'!F57+1,0),IF('01_数值调参'!T20&lt;0,'03_全链计算'!G57+1,0),IF('01_数值调参'!T21&lt;0,'03_全链计算'!H57+1,0),IF('01_数值调参'!T22&lt;0,'03_全链计算'!I57+1,0),IF('01_数值调参'!T23&lt;0,'03_全链计算'!J57+1,0),IF('01_数值调参'!T24&lt;0,'03_全链计算'!K57+1,0),IF('01_数值调参'!T25&lt;0,'03_全链计算'!L57+1,0),IF('01_数值调参'!T26&lt;0,'03_全链计算'!M57+1,0),IF('01_数值调参'!T27&lt;0,'03_全链计算'!N57+1,0),IF('01_数值调参'!T28&lt;0,'03_全链计算'!O57+1,0),IF('01_数值调参'!T29&lt;0,'03_全链计算'!P57+1,0),IF('01_数值调参'!T30&lt;0,'03_全链计算'!Q57+1,0),IF('01_数值调参'!T31&lt;0,'03_全链计算'!R57+1,0),IF('01_数值调参'!T32&lt;0,'03_全链计算'!S57+1,0),IF('01_数值调参'!T33&lt;0,'03_全链计算'!T57+1,0),IF('01_数值调参'!T34&lt;0,'03_全链计算'!U57+1,0),IF('01_数值调参'!T35&lt;0,'03_全链计算'!V57+1,0),IF('01_数值调参'!T36&lt;0,'03_全链计算'!W57+1,0),IF('01_数值调参'!T37&lt;0,'03_全链计算'!X57+1,0),IF('01_数值调参'!T38&lt;0,'03_全链计算'!Y57+1,0),IF('01_数值调参'!T39&lt;0,'03_全链计算'!Z57+1,0),IF('01_数值调参'!T40&lt;0,'03_全链计算'!AA57+1,0),IF('01_数值调参'!T41&lt;0,'03_全链计算'!AB57+1,0),IF('01_数值调参'!T42&lt;0,'03_全链计算'!AC57+1,0),IF('01_数值调参'!T43&lt;0,'03_全链计算'!AD57+1,0),IF('01_数值调参'!T44&lt;0,'03_全链计算'!AE57+1,0),IF('01_数值调参'!T45&lt;0,'03_全链计算'!AF57+1,0),IF('01_数值调参'!T46&lt;0,'03_全链计算'!AG57+1,0),IF('01_数值调参'!T47&lt;0,'03_全链计算'!AH57+1,0),IF('01_数值调参'!T48&lt;0,'03_全链计算'!AI57+1,0),IF('01_数值调参'!T49&lt;0,'03_全链计算'!AJ57+1,0),IF('01_数值调参'!T50&lt;0,'03_全链计算'!AK57+1,0),IF('01_数值调参'!T51&lt;0,'03_全链计算'!AL57+1,0),IF('01_数值调参'!T52&lt;0,'03_全链计算'!AM57+1,0))</x:f>
        <x:v>1</x:v>
      </x:c>
      <x:c r="U58" s="9" t="n">
        <x:f>MAX(IF('01_数值调参'!U18&lt;0,'03_全链计算'!E57+1,0),IF('01_数值调参'!U19&lt;0,'03_全链计算'!F57+1,0),IF('01_数值调参'!U20&lt;0,'03_全链计算'!G57+1,0),IF('01_数值调参'!U21&lt;0,'03_全链计算'!H57+1,0),IF('01_数值调参'!U22&lt;0,'03_全链计算'!I57+1,0),IF('01_数值调参'!U23&lt;0,'03_全链计算'!J57+1,0),IF('01_数值调参'!U24&lt;0,'03_全链计算'!K57+1,0),IF('01_数值调参'!U25&lt;0,'03_全链计算'!L57+1,0),IF('01_数值调参'!U26&lt;0,'03_全链计算'!M57+1,0),IF('01_数值调参'!U27&lt;0,'03_全链计算'!N57+1,0),IF('01_数值调参'!U28&lt;0,'03_全链计算'!O57+1,0),IF('01_数值调参'!U29&lt;0,'03_全链计算'!P57+1,0),IF('01_数值调参'!U30&lt;0,'03_全链计算'!Q57+1,0),IF('01_数值调参'!U31&lt;0,'03_全链计算'!R57+1,0),IF('01_数值调参'!U32&lt;0,'03_全链计算'!S57+1,0),IF('01_数值调参'!U33&lt;0,'03_全链计算'!T57+1,0),IF('01_数值调参'!U34&lt;0,'03_全链计算'!U57+1,0),IF('01_数值调参'!U35&lt;0,'03_全链计算'!V57+1,0),IF('01_数值调参'!U36&lt;0,'03_全链计算'!W57+1,0),IF('01_数值调参'!U37&lt;0,'03_全链计算'!X57+1,0),IF('01_数值调参'!U38&lt;0,'03_全链计算'!Y57+1,0),IF('01_数值调参'!U39&lt;0,'03_全链计算'!Z57+1,0),IF('01_数值调参'!U40&lt;0,'03_全链计算'!AA57+1,0),IF('01_数值调参'!U41&lt;0,'03_全链计算'!AB57+1,0),IF('01_数值调参'!U42&lt;0,'03_全链计算'!AC57+1,0),IF('01_数值调参'!U43&lt;0,'03_全链计算'!AD57+1,0),IF('01_数值调参'!U44&lt;0,'03_全链计算'!AE57+1,0),IF('01_数值调参'!U45&lt;0,'03_全链计算'!AF57+1,0),IF('01_数值调参'!U46&lt;0,'03_全链计算'!AG57+1,0),IF('01_数值调参'!U47&lt;0,'03_全链计算'!AH57+1,0),IF('01_数值调参'!U48&lt;0,'03_全链计算'!AI57+1,0),IF('01_数值调参'!U49&lt;0,'03_全链计算'!AJ57+1,0),IF('01_数值调参'!U50&lt;0,'03_全链计算'!AK57+1,0),IF('01_数值调参'!U51&lt;0,'03_全链计算'!AL57+1,0),IF('01_数值调参'!U52&lt;0,'03_全链计算'!AM57+1,0))</x:f>
        <x:v>1</x:v>
      </x:c>
      <x:c r="V58" s="9" t="n">
        <x:f>MAX(IF('01_数值调参'!V18&lt;0,'03_全链计算'!E57+1,0),IF('01_数值调参'!V19&lt;0,'03_全链计算'!F57+1,0),IF('01_数值调参'!V20&lt;0,'03_全链计算'!G57+1,0),IF('01_数值调参'!V21&lt;0,'03_全链计算'!H57+1,0),IF('01_数值调参'!V22&lt;0,'03_全链计算'!I57+1,0),IF('01_数值调参'!V23&lt;0,'03_全链计算'!J57+1,0),IF('01_数值调参'!V24&lt;0,'03_全链计算'!K57+1,0),IF('01_数值调参'!V25&lt;0,'03_全链计算'!L57+1,0),IF('01_数值调参'!V26&lt;0,'03_全链计算'!M57+1,0),IF('01_数值调参'!V27&lt;0,'03_全链计算'!N57+1,0),IF('01_数值调参'!V28&lt;0,'03_全链计算'!O57+1,0),IF('01_数值调参'!V29&lt;0,'03_全链计算'!P57+1,0),IF('01_数值调参'!V30&lt;0,'03_全链计算'!Q57+1,0),IF('01_数值调参'!V31&lt;0,'03_全链计算'!R57+1,0),IF('01_数值调参'!V32&lt;0,'03_全链计算'!S57+1,0),IF('01_数值调参'!V33&lt;0,'03_全链计算'!T57+1,0),IF('01_数值调参'!V34&lt;0,'03_全链计算'!U57+1,0),IF('01_数值调参'!V35&lt;0,'03_全链计算'!V57+1,0),IF('01_数值调参'!V36&lt;0,'03_全链计算'!W57+1,0),IF('01_数值调参'!V37&lt;0,'03_全链计算'!X57+1,0),IF('01_数值调参'!V38&lt;0,'03_全链计算'!Y57+1,0),IF('01_数值调参'!V39&lt;0,'03_全链计算'!Z57+1,0),IF('01_数值调参'!V40&lt;0,'03_全链计算'!AA57+1,0),IF('01_数值调参'!V41&lt;0,'03_全链计算'!AB57+1,0),IF('01_数值调参'!V42&lt;0,'03_全链计算'!AC57+1,0),IF('01_数值调参'!V43&lt;0,'03_全链计算'!AD57+1,0),IF('01_数值调参'!V44&lt;0,'03_全链计算'!AE57+1,0),IF('01_数值调参'!V45&lt;0,'03_全链计算'!AF57+1,0),IF('01_数值调参'!V46&lt;0,'03_全链计算'!AG57+1,0),IF('01_数值调参'!V47&lt;0,'03_全链计算'!AH57+1,0),IF('01_数值调参'!V48&lt;0,'03_全链计算'!AI57+1,0),IF('01_数值调参'!V49&lt;0,'03_全链计算'!AJ57+1,0),IF('01_数值调参'!V50&lt;0,'03_全链计算'!AK57+1,0),IF('01_数值调参'!V51&lt;0,'03_全链计算'!AL57+1,0),IF('01_数值调参'!V52&lt;0,'03_全链计算'!AM57+1,0))</x:f>
        <x:v>1</x:v>
      </x:c>
      <x:c r="W58" s="9" t="n">
        <x:f>MAX(IF('01_数值调参'!W18&lt;0,'03_全链计算'!E57+1,0),IF('01_数值调参'!W19&lt;0,'03_全链计算'!F57+1,0),IF('01_数值调参'!W20&lt;0,'03_全链计算'!G57+1,0),IF('01_数值调参'!W21&lt;0,'03_全链计算'!H57+1,0),IF('01_数值调参'!W22&lt;0,'03_全链计算'!I57+1,0),IF('01_数值调参'!W23&lt;0,'03_全链计算'!J57+1,0),IF('01_数值调参'!W24&lt;0,'03_全链计算'!K57+1,0),IF('01_数值调参'!W25&lt;0,'03_全链计算'!L57+1,0),IF('01_数值调参'!W26&lt;0,'03_全链计算'!M57+1,0),IF('01_数值调参'!W27&lt;0,'03_全链计算'!N57+1,0),IF('01_数值调参'!W28&lt;0,'03_全链计算'!O57+1,0),IF('01_数值调参'!W29&lt;0,'03_全链计算'!P57+1,0),IF('01_数值调参'!W30&lt;0,'03_全链计算'!Q57+1,0),IF('01_数值调参'!W31&lt;0,'03_全链计算'!R57+1,0),IF('01_数值调参'!W32&lt;0,'03_全链计算'!S57+1,0),IF('01_数值调参'!W33&lt;0,'03_全链计算'!T57+1,0),IF('01_数值调参'!W34&lt;0,'03_全链计算'!U57+1,0),IF('01_数值调参'!W35&lt;0,'03_全链计算'!V57+1,0),IF('01_数值调参'!W36&lt;0,'03_全链计算'!W57+1,0),IF('01_数值调参'!W37&lt;0,'03_全链计算'!X57+1,0),IF('01_数值调参'!W38&lt;0,'03_全链计算'!Y57+1,0),IF('01_数值调参'!W39&lt;0,'03_全链计算'!Z57+1,0),IF('01_数值调参'!W40&lt;0,'03_全链计算'!AA57+1,0),IF('01_数值调参'!W41&lt;0,'03_全链计算'!AB57+1,0),IF('01_数值调参'!W42&lt;0,'03_全链计算'!AC57+1,0),IF('01_数值调参'!W43&lt;0,'03_全链计算'!AD57+1,0),IF('01_数值调参'!W44&lt;0,'03_全链计算'!AE57+1,0),IF('01_数值调参'!W45&lt;0,'03_全链计算'!AF57+1,0),IF('01_数值调参'!W46&lt;0,'03_全链计算'!AG57+1,0),IF('01_数值调参'!W47&lt;0,'03_全链计算'!AH57+1,0),IF('01_数值调参'!W48&lt;0,'03_全链计算'!AI57+1,0),IF('01_数值调参'!W49&lt;0,'03_全链计算'!AJ57+1,0),IF('01_数值调参'!W50&lt;0,'03_全链计算'!AK57+1,0),IF('01_数值调参'!W51&lt;0,'03_全链计算'!AL57+1,0),IF('01_数值调参'!W52&lt;0,'03_全链计算'!AM57+1,0))</x:f>
        <x:v>1</x:v>
      </x:c>
      <x:c r="X58" s="9" t="n">
        <x:f>MAX(IF('01_数值调参'!X18&lt;0,'03_全链计算'!E57+1,0),IF('01_数值调参'!X19&lt;0,'03_全链计算'!F57+1,0),IF('01_数值调参'!X20&lt;0,'03_全链计算'!G57+1,0),IF('01_数值调参'!X21&lt;0,'03_全链计算'!H57+1,0),IF('01_数值调参'!X22&lt;0,'03_全链计算'!I57+1,0),IF('01_数值调参'!X23&lt;0,'03_全链计算'!J57+1,0),IF('01_数值调参'!X24&lt;0,'03_全链计算'!K57+1,0),IF('01_数值调参'!X25&lt;0,'03_全链计算'!L57+1,0),IF('01_数值调参'!X26&lt;0,'03_全链计算'!M57+1,0),IF('01_数值调参'!X27&lt;0,'03_全链计算'!N57+1,0),IF('01_数值调参'!X28&lt;0,'03_全链计算'!O57+1,0),IF('01_数值调参'!X29&lt;0,'03_全链计算'!P57+1,0),IF('01_数值调参'!X30&lt;0,'03_全链计算'!Q57+1,0),IF('01_数值调参'!X31&lt;0,'03_全链计算'!R57+1,0),IF('01_数值调参'!X32&lt;0,'03_全链计算'!S57+1,0),IF('01_数值调参'!X33&lt;0,'03_全链计算'!T57+1,0),IF('01_数值调参'!X34&lt;0,'03_全链计算'!U57+1,0),IF('01_数值调参'!X35&lt;0,'03_全链计算'!V57+1,0),IF('01_数值调参'!X36&lt;0,'03_全链计算'!W57+1,0),IF('01_数值调参'!X37&lt;0,'03_全链计算'!X57+1,0),IF('01_数值调参'!X38&lt;0,'03_全链计算'!Y57+1,0),IF('01_数值调参'!X39&lt;0,'03_全链计算'!Z57+1,0),IF('01_数值调参'!X40&lt;0,'03_全链计算'!AA57+1,0),IF('01_数值调参'!X41&lt;0,'03_全链计算'!AB57+1,0),IF('01_数值调参'!X42&lt;0,'03_全链计算'!AC57+1,0),IF('01_数值调参'!X43&lt;0,'03_全链计算'!AD57+1,0),IF('01_数值调参'!X44&lt;0,'03_全链计算'!AE57+1,0),IF('01_数值调参'!X45&lt;0,'03_全链计算'!AF57+1,0),IF('01_数值调参'!X46&lt;0,'03_全链计算'!AG57+1,0),IF('01_数值调参'!X47&lt;0,'03_全链计算'!AH57+1,0),IF('01_数值调参'!X48&lt;0,'03_全链计算'!AI57+1,0),IF('01_数值调参'!X49&lt;0,'03_全链计算'!AJ57+1,0),IF('01_数值调参'!X50&lt;0,'03_全链计算'!AK57+1,0),IF('01_数值调参'!X51&lt;0,'03_全链计算'!AL57+1,0),IF('01_数值调参'!X52&lt;0,'03_全链计算'!AM57+1,0))</x:f>
        <x:v>2</x:v>
      </x:c>
      <x:c r="Y58" s="9" t="n">
        <x:f>MAX(IF('01_数值调参'!Y18&lt;0,'03_全链计算'!E57+1,0),IF('01_数值调参'!Y19&lt;0,'03_全链计算'!F57+1,0),IF('01_数值调参'!Y20&lt;0,'03_全链计算'!G57+1,0),IF('01_数值调参'!Y21&lt;0,'03_全链计算'!H57+1,0),IF('01_数值调参'!Y22&lt;0,'03_全链计算'!I57+1,0),IF('01_数值调参'!Y23&lt;0,'03_全链计算'!J57+1,0),IF('01_数值调参'!Y24&lt;0,'03_全链计算'!K57+1,0),IF('01_数值调参'!Y25&lt;0,'03_全链计算'!L57+1,0),IF('01_数值调参'!Y26&lt;0,'03_全链计算'!M57+1,0),IF('01_数值调参'!Y27&lt;0,'03_全链计算'!N57+1,0),IF('01_数值调参'!Y28&lt;0,'03_全链计算'!O57+1,0),IF('01_数值调参'!Y29&lt;0,'03_全链计算'!P57+1,0),IF('01_数值调参'!Y30&lt;0,'03_全链计算'!Q57+1,0),IF('01_数值调参'!Y31&lt;0,'03_全链计算'!R57+1,0),IF('01_数值调参'!Y32&lt;0,'03_全链计算'!S57+1,0),IF('01_数值调参'!Y33&lt;0,'03_全链计算'!T57+1,0),IF('01_数值调参'!Y34&lt;0,'03_全链计算'!U57+1,0),IF('01_数值调参'!Y35&lt;0,'03_全链计算'!V57+1,0),IF('01_数值调参'!Y36&lt;0,'03_全链计算'!W57+1,0),IF('01_数值调参'!Y37&lt;0,'03_全链计算'!X57+1,0),IF('01_数值调参'!Y38&lt;0,'03_全链计算'!Y57+1,0),IF('01_数值调参'!Y39&lt;0,'03_全链计算'!Z57+1,0),IF('01_数值调参'!Y40&lt;0,'03_全链计算'!AA57+1,0),IF('01_数值调参'!Y41&lt;0,'03_全链计算'!AB57+1,0),IF('01_数值调参'!Y42&lt;0,'03_全链计算'!AC57+1,0),IF('01_数值调参'!Y43&lt;0,'03_全链计算'!AD57+1,0),IF('01_数值调参'!Y44&lt;0,'03_全链计算'!AE57+1,0),IF('01_数值调参'!Y45&lt;0,'03_全链计算'!AF57+1,0),IF('01_数值调参'!Y46&lt;0,'03_全链计算'!AG57+1,0),IF('01_数值调参'!Y47&lt;0,'03_全链计算'!AH57+1,0),IF('01_数值调参'!Y48&lt;0,'03_全链计算'!AI57+1,0),IF('01_数值调参'!Y49&lt;0,'03_全链计算'!AJ57+1,0),IF('01_数值调参'!Y50&lt;0,'03_全链计算'!AK57+1,0),IF('01_数值调参'!Y51&lt;0,'03_全链计算'!AL57+1,0),IF('01_数值调参'!Y52&lt;0,'03_全链计算'!AM57+1,0))</x:f>
        <x:v>2</x:v>
      </x:c>
      <x:c r="Z58" s="9" t="n">
        <x:f>MAX(IF('01_数值调参'!Z18&lt;0,'03_全链计算'!E57+1,0),IF('01_数值调参'!Z19&lt;0,'03_全链计算'!F57+1,0),IF('01_数值调参'!Z20&lt;0,'03_全链计算'!G57+1,0),IF('01_数值调参'!Z21&lt;0,'03_全链计算'!H57+1,0),IF('01_数值调参'!Z22&lt;0,'03_全链计算'!I57+1,0),IF('01_数值调参'!Z23&lt;0,'03_全链计算'!J57+1,0),IF('01_数值调参'!Z24&lt;0,'03_全链计算'!K57+1,0),IF('01_数值调参'!Z25&lt;0,'03_全链计算'!L57+1,0),IF('01_数值调参'!Z26&lt;0,'03_全链计算'!M57+1,0),IF('01_数值调参'!Z27&lt;0,'03_全链计算'!N57+1,0),IF('01_数值调参'!Z28&lt;0,'03_全链计算'!O57+1,0),IF('01_数值调参'!Z29&lt;0,'03_全链计算'!P57+1,0),IF('01_数值调参'!Z30&lt;0,'03_全链计算'!Q57+1,0),IF('01_数值调参'!Z31&lt;0,'03_全链计算'!R57+1,0),IF('01_数值调参'!Z32&lt;0,'03_全链计算'!S57+1,0),IF('01_数值调参'!Z33&lt;0,'03_全链计算'!T57+1,0),IF('01_数值调参'!Z34&lt;0,'03_全链计算'!U57+1,0),IF('01_数值调参'!Z35&lt;0,'03_全链计算'!V57+1,0),IF('01_数值调参'!Z36&lt;0,'03_全链计算'!W57+1,0),IF('01_数值调参'!Z37&lt;0,'03_全链计算'!X57+1,0),IF('01_数值调参'!Z38&lt;0,'03_全链计算'!Y57+1,0),IF('01_数值调参'!Z39&lt;0,'03_全链计算'!Z57+1,0),IF('01_数值调参'!Z40&lt;0,'03_全链计算'!AA57+1,0),IF('01_数值调参'!Z41&lt;0,'03_全链计算'!AB57+1,0),IF('01_数值调参'!Z42&lt;0,'03_全链计算'!AC57+1,0),IF('01_数值调参'!Z43&lt;0,'03_全链计算'!AD57+1,0),IF('01_数值调参'!Z44&lt;0,'03_全链计算'!AE57+1,0),IF('01_数值调参'!Z45&lt;0,'03_全链计算'!AF57+1,0),IF('01_数值调参'!Z46&lt;0,'03_全链计算'!AG57+1,0),IF('01_数值调参'!Z47&lt;0,'03_全链计算'!AH57+1,0),IF('01_数值调参'!Z48&lt;0,'03_全链计算'!AI57+1,0),IF('01_数值调参'!Z49&lt;0,'03_全链计算'!AJ57+1,0),IF('01_数值调参'!Z50&lt;0,'03_全链计算'!AK57+1,0),IF('01_数值调参'!Z51&lt;0,'03_全链计算'!AL57+1,0),IF('01_数值调参'!Z52&lt;0,'03_全链计算'!AM57+1,0))</x:f>
        <x:v>2</x:v>
      </x:c>
      <x:c r="AA58" s="9" t="n">
        <x:f>MAX(IF('01_数值调参'!AA18&lt;0,'03_全链计算'!E57+1,0),IF('01_数值调参'!AA19&lt;0,'03_全链计算'!F57+1,0),IF('01_数值调参'!AA20&lt;0,'03_全链计算'!G57+1,0),IF('01_数值调参'!AA21&lt;0,'03_全链计算'!H57+1,0),IF('01_数值调参'!AA22&lt;0,'03_全链计算'!I57+1,0),IF('01_数值调参'!AA23&lt;0,'03_全链计算'!J57+1,0),IF('01_数值调参'!AA24&lt;0,'03_全链计算'!K57+1,0),IF('01_数值调参'!AA25&lt;0,'03_全链计算'!L57+1,0),IF('01_数值调参'!AA26&lt;0,'03_全链计算'!M57+1,0),IF('01_数值调参'!AA27&lt;0,'03_全链计算'!N57+1,0),IF('01_数值调参'!AA28&lt;0,'03_全链计算'!O57+1,0),IF('01_数值调参'!AA29&lt;0,'03_全链计算'!P57+1,0),IF('01_数值调参'!AA30&lt;0,'03_全链计算'!Q57+1,0),IF('01_数值调参'!AA31&lt;0,'03_全链计算'!R57+1,0),IF('01_数值调参'!AA32&lt;0,'03_全链计算'!S57+1,0),IF('01_数值调参'!AA33&lt;0,'03_全链计算'!T57+1,0),IF('01_数值调参'!AA34&lt;0,'03_全链计算'!U57+1,0),IF('01_数值调参'!AA35&lt;0,'03_全链计算'!V57+1,0),IF('01_数值调参'!AA36&lt;0,'03_全链计算'!W57+1,0),IF('01_数值调参'!AA37&lt;0,'03_全链计算'!X57+1,0),IF('01_数值调参'!AA38&lt;0,'03_全链计算'!Y57+1,0),IF('01_数值调参'!AA39&lt;0,'03_全链计算'!Z57+1,0),IF('01_数值调参'!AA40&lt;0,'03_全链计算'!AA57+1,0),IF('01_数值调参'!AA41&lt;0,'03_全链计算'!AB57+1,0),IF('01_数值调参'!AA42&lt;0,'03_全链计算'!AC57+1,0),IF('01_数值调参'!AA43&lt;0,'03_全链计算'!AD57+1,0),IF('01_数值调参'!AA44&lt;0,'03_全链计算'!AE57+1,0),IF('01_数值调参'!AA45&lt;0,'03_全链计算'!AF57+1,0),IF('01_数值调参'!AA46&lt;0,'03_全链计算'!AG57+1,0),IF('01_数值调参'!AA47&lt;0,'03_全链计算'!AH57+1,0),IF('01_数值调参'!AA48&lt;0,'03_全链计算'!AI57+1,0),IF('01_数值调参'!AA49&lt;0,'03_全链计算'!AJ57+1,0),IF('01_数值调参'!AA50&lt;0,'03_全链计算'!AK57+1,0),IF('01_数值调参'!AA51&lt;0,'03_全链计算'!AL57+1,0),IF('01_数值调参'!AA52&lt;0,'03_全链计算'!AM57+1,0))</x:f>
        <x:v>2</x:v>
      </x:c>
      <x:c r="AB58" s="9" t="n">
        <x:f>MAX(IF('01_数值调参'!AB18&lt;0,'03_全链计算'!E57+1,0),IF('01_数值调参'!AB19&lt;0,'03_全链计算'!F57+1,0),IF('01_数值调参'!AB20&lt;0,'03_全链计算'!G57+1,0),IF('01_数值调参'!AB21&lt;0,'03_全链计算'!H57+1,0),IF('01_数值调参'!AB22&lt;0,'03_全链计算'!I57+1,0),IF('01_数值调参'!AB23&lt;0,'03_全链计算'!J57+1,0),IF('01_数值调参'!AB24&lt;0,'03_全链计算'!K57+1,0),IF('01_数值调参'!AB25&lt;0,'03_全链计算'!L57+1,0),IF('01_数值调参'!AB26&lt;0,'03_全链计算'!M57+1,0),IF('01_数值调参'!AB27&lt;0,'03_全链计算'!N57+1,0),IF('01_数值调参'!AB28&lt;0,'03_全链计算'!O57+1,0),IF('01_数值调参'!AB29&lt;0,'03_全链计算'!P57+1,0),IF('01_数值调参'!AB30&lt;0,'03_全链计算'!Q57+1,0),IF('01_数值调参'!AB31&lt;0,'03_全链计算'!R57+1,0),IF('01_数值调参'!AB32&lt;0,'03_全链计算'!S57+1,0),IF('01_数值调参'!AB33&lt;0,'03_全链计算'!T57+1,0),IF('01_数值调参'!AB34&lt;0,'03_全链计算'!U57+1,0),IF('01_数值调参'!AB35&lt;0,'03_全链计算'!V57+1,0),IF('01_数值调参'!AB36&lt;0,'03_全链计算'!W57+1,0),IF('01_数值调参'!AB37&lt;0,'03_全链计算'!X57+1,0),IF('01_数值调参'!AB38&lt;0,'03_全链计算'!Y57+1,0),IF('01_数值调参'!AB39&lt;0,'03_全链计算'!Z57+1,0),IF('01_数值调参'!AB40&lt;0,'03_全链计算'!AA57+1,0),IF('01_数值调参'!AB41&lt;0,'03_全链计算'!AB57+1,0),IF('01_数值调参'!AB42&lt;0,'03_全链计算'!AC57+1,0),IF('01_数值调参'!AB43&lt;0,'03_全链计算'!AD57+1,0),IF('01_数值调参'!AB44&lt;0,'03_全链计算'!AE57+1,0),IF('01_数值调参'!AB45&lt;0,'03_全链计算'!AF57+1,0),IF('01_数值调参'!AB46&lt;0,'03_全链计算'!AG57+1,0),IF('01_数值调参'!AB47&lt;0,'03_全链计算'!AH57+1,0),IF('01_数值调参'!AB48&lt;0,'03_全链计算'!AI57+1,0),IF('01_数值调参'!AB49&lt;0,'03_全链计算'!AJ57+1,0),IF('01_数值调参'!AB50&lt;0,'03_全链计算'!AK57+1,0),IF('01_数值调参'!AB51&lt;0,'03_全链计算'!AL57+1,0),IF('01_数值调参'!AB52&lt;0,'03_全链计算'!AM57+1,0))</x:f>
        <x:v>2</x:v>
      </x:c>
      <x:c r="AC58" s="9" t="n">
        <x:f>MAX(IF('01_数值调参'!AC18&lt;0,'03_全链计算'!E57+1,0),IF('01_数值调参'!AC19&lt;0,'03_全链计算'!F57+1,0),IF('01_数值调参'!AC20&lt;0,'03_全链计算'!G57+1,0),IF('01_数值调参'!AC21&lt;0,'03_全链计算'!H57+1,0),IF('01_数值调参'!AC22&lt;0,'03_全链计算'!I57+1,0),IF('01_数值调参'!AC23&lt;0,'03_全链计算'!J57+1,0),IF('01_数值调参'!AC24&lt;0,'03_全链计算'!K57+1,0),IF('01_数值调参'!AC25&lt;0,'03_全链计算'!L57+1,0),IF('01_数值调参'!AC26&lt;0,'03_全链计算'!M57+1,0),IF('01_数值调参'!AC27&lt;0,'03_全链计算'!N57+1,0),IF('01_数值调参'!AC28&lt;0,'03_全链计算'!O57+1,0),IF('01_数值调参'!AC29&lt;0,'03_全链计算'!P57+1,0),IF('01_数值调参'!AC30&lt;0,'03_全链计算'!Q57+1,0),IF('01_数值调参'!AC31&lt;0,'03_全链计算'!R57+1,0),IF('01_数值调参'!AC32&lt;0,'03_全链计算'!S57+1,0),IF('01_数值调参'!AC33&lt;0,'03_全链计算'!T57+1,0),IF('01_数值调参'!AC34&lt;0,'03_全链计算'!U57+1,0),IF('01_数值调参'!AC35&lt;0,'03_全链计算'!V57+1,0),IF('01_数值调参'!AC36&lt;0,'03_全链计算'!W57+1,0),IF('01_数值调参'!AC37&lt;0,'03_全链计算'!X57+1,0),IF('01_数值调参'!AC38&lt;0,'03_全链计算'!Y57+1,0),IF('01_数值调参'!AC39&lt;0,'03_全链计算'!Z57+1,0),IF('01_数值调参'!AC40&lt;0,'03_全链计算'!AA57+1,0),IF('01_数值调参'!AC41&lt;0,'03_全链计算'!AB57+1,0),IF('01_数值调参'!AC42&lt;0,'03_全链计算'!AC57+1,0),IF('01_数值调参'!AC43&lt;0,'03_全链计算'!AD57+1,0),IF('01_数值调参'!AC44&lt;0,'03_全链计算'!AE57+1,0),IF('01_数值调参'!AC45&lt;0,'03_全链计算'!AF57+1,0),IF('01_数值调参'!AC46&lt;0,'03_全链计算'!AG57+1,0),IF('01_数值调参'!AC47&lt;0,'03_全链计算'!AH57+1,0),IF('01_数值调参'!AC48&lt;0,'03_全链计算'!AI57+1,0),IF('01_数值调参'!AC49&lt;0,'03_全链计算'!AJ57+1,0),IF('01_数值调参'!AC50&lt;0,'03_全链计算'!AK57+1,0),IF('01_数值调参'!AC51&lt;0,'03_全链计算'!AL57+1,0),IF('01_数值调参'!AC52&lt;0,'03_全链计算'!AM57+1,0))</x:f>
        <x:v>2</x:v>
      </x:c>
      <x:c r="AD58" s="9" t="n">
        <x:f>MAX(IF('01_数值调参'!AD18&lt;0,'03_全链计算'!E57+1,0),IF('01_数值调参'!AD19&lt;0,'03_全链计算'!F57+1,0),IF('01_数值调参'!AD20&lt;0,'03_全链计算'!G57+1,0),IF('01_数值调参'!AD21&lt;0,'03_全链计算'!H57+1,0),IF('01_数值调参'!AD22&lt;0,'03_全链计算'!I57+1,0),IF('01_数值调参'!AD23&lt;0,'03_全链计算'!J57+1,0),IF('01_数值调参'!AD24&lt;0,'03_全链计算'!K57+1,0),IF('01_数值调参'!AD25&lt;0,'03_全链计算'!L57+1,0),IF('01_数值调参'!AD26&lt;0,'03_全链计算'!M57+1,0),IF('01_数值调参'!AD27&lt;0,'03_全链计算'!N57+1,0),IF('01_数值调参'!AD28&lt;0,'03_全链计算'!O57+1,0),IF('01_数值调参'!AD29&lt;0,'03_全链计算'!P57+1,0),IF('01_数值调参'!AD30&lt;0,'03_全链计算'!Q57+1,0),IF('01_数值调参'!AD31&lt;0,'03_全链计算'!R57+1,0),IF('01_数值调参'!AD32&lt;0,'03_全链计算'!S57+1,0),IF('01_数值调参'!AD33&lt;0,'03_全链计算'!T57+1,0),IF('01_数值调参'!AD34&lt;0,'03_全链计算'!U57+1,0),IF('01_数值调参'!AD35&lt;0,'03_全链计算'!V57+1,0),IF('01_数值调参'!AD36&lt;0,'03_全链计算'!W57+1,0),IF('01_数值调参'!AD37&lt;0,'03_全链计算'!X57+1,0),IF('01_数值调参'!AD38&lt;0,'03_全链计算'!Y57+1,0),IF('01_数值调参'!AD39&lt;0,'03_全链计算'!Z57+1,0),IF('01_数值调参'!AD40&lt;0,'03_全链计算'!AA57+1,0),IF('01_数值调参'!AD41&lt;0,'03_全链计算'!AB57+1,0),IF('01_数值调参'!AD42&lt;0,'03_全链计算'!AC57+1,0),IF('01_数值调参'!AD43&lt;0,'03_全链计算'!AD57+1,0),IF('01_数值调参'!AD44&lt;0,'03_全链计算'!AE57+1,0),IF('01_数值调参'!AD45&lt;0,'03_全链计算'!AF57+1,0),IF('01_数值调参'!AD46&lt;0,'03_全链计算'!AG57+1,0),IF('01_数值调参'!AD47&lt;0,'03_全链计算'!AH57+1,0),IF('01_数值调参'!AD48&lt;0,'03_全链计算'!AI57+1,0),IF('01_数值调参'!AD49&lt;0,'03_全链计算'!AJ57+1,0),IF('01_数值调参'!AD50&lt;0,'03_全链计算'!AK57+1,0),IF('01_数值调参'!AD51&lt;0,'03_全链计算'!AL57+1,0),IF('01_数值调参'!AD52&lt;0,'03_全链计算'!AM57+1,0))</x:f>
        <x:v>1</x:v>
      </x:c>
      <x:c r="AE58" s="9" t="n">
        <x:f>MAX(IF('01_数值调参'!AE18&lt;0,'03_全链计算'!E57+1,0),IF('01_数值调参'!AE19&lt;0,'03_全链计算'!F57+1,0),IF('01_数值调参'!AE20&lt;0,'03_全链计算'!G57+1,0),IF('01_数值调参'!AE21&lt;0,'03_全链计算'!H57+1,0),IF('01_数值调参'!AE22&lt;0,'03_全链计算'!I57+1,0),IF('01_数值调参'!AE23&lt;0,'03_全链计算'!J57+1,0),IF('01_数值调参'!AE24&lt;0,'03_全链计算'!K57+1,0),IF('01_数值调参'!AE25&lt;0,'03_全链计算'!L57+1,0),IF('01_数值调参'!AE26&lt;0,'03_全链计算'!M57+1,0),IF('01_数值调参'!AE27&lt;0,'03_全链计算'!N57+1,0),IF('01_数值调参'!AE28&lt;0,'03_全链计算'!O57+1,0),IF('01_数值调参'!AE29&lt;0,'03_全链计算'!P57+1,0),IF('01_数值调参'!AE30&lt;0,'03_全链计算'!Q57+1,0),IF('01_数值调参'!AE31&lt;0,'03_全链计算'!R57+1,0),IF('01_数值调参'!AE32&lt;0,'03_全链计算'!S57+1,0),IF('01_数值调参'!AE33&lt;0,'03_全链计算'!T57+1,0),IF('01_数值调参'!AE34&lt;0,'03_全链计算'!U57+1,0),IF('01_数值调参'!AE35&lt;0,'03_全链计算'!V57+1,0),IF('01_数值调参'!AE36&lt;0,'03_全链计算'!W57+1,0),IF('01_数值调参'!AE37&lt;0,'03_全链计算'!X57+1,0),IF('01_数值调参'!AE38&lt;0,'03_全链计算'!Y57+1,0),IF('01_数值调参'!AE39&lt;0,'03_全链计算'!Z57+1,0),IF('01_数值调参'!AE40&lt;0,'03_全链计算'!AA57+1,0),IF('01_数值调参'!AE41&lt;0,'03_全链计算'!AB57+1,0),IF('01_数值调参'!AE42&lt;0,'03_全链计算'!AC57+1,0),IF('01_数值调参'!AE43&lt;0,'03_全链计算'!AD57+1,0),IF('01_数值调参'!AE44&lt;0,'03_全链计算'!AE57+1,0),IF('01_数值调参'!AE45&lt;0,'03_全链计算'!AF57+1,0),IF('01_数值调参'!AE46&lt;0,'03_全链计算'!AG57+1,0),IF('01_数值调参'!AE47&lt;0,'03_全链计算'!AH57+1,0),IF('01_数值调参'!AE48&lt;0,'03_全链计算'!AI57+1,0),IF('01_数值调参'!AE49&lt;0,'03_全链计算'!AJ57+1,0),IF('01_数值调参'!AE50&lt;0,'03_全链计算'!AK57+1,0),IF('01_数值调参'!AE51&lt;0,'03_全链计算'!AL57+1,0),IF('01_数值调参'!AE52&lt;0,'03_全链计算'!AM57+1,0))</x:f>
        <x:v>1</x:v>
      </x:c>
      <x:c r="AF58" s="9" t="n">
        <x:f>MAX(IF('01_数值调参'!AF18&lt;0,'03_全链计算'!E57+1,0),IF('01_数值调参'!AF19&lt;0,'03_全链计算'!F57+1,0),IF('01_数值调参'!AF20&lt;0,'03_全链计算'!G57+1,0),IF('01_数值调参'!AF21&lt;0,'03_全链计算'!H57+1,0),IF('01_数值调参'!AF22&lt;0,'03_全链计算'!I57+1,0),IF('01_数值调参'!AF23&lt;0,'03_全链计算'!J57+1,0),IF('01_数值调参'!AF24&lt;0,'03_全链计算'!K57+1,0),IF('01_数值调参'!AF25&lt;0,'03_全链计算'!L57+1,0),IF('01_数值调参'!AF26&lt;0,'03_全链计算'!M57+1,0),IF('01_数值调参'!AF27&lt;0,'03_全链计算'!N57+1,0),IF('01_数值调参'!AF28&lt;0,'03_全链计算'!O57+1,0),IF('01_数值调参'!AF29&lt;0,'03_全链计算'!P57+1,0),IF('01_数值调参'!AF30&lt;0,'03_全链计算'!Q57+1,0),IF('01_数值调参'!AF31&lt;0,'03_全链计算'!R57+1,0),IF('01_数值调参'!AF32&lt;0,'03_全链计算'!S57+1,0),IF('01_数值调参'!AF33&lt;0,'03_全链计算'!T57+1,0),IF('01_数值调参'!AF34&lt;0,'03_全链计算'!U57+1,0),IF('01_数值调参'!AF35&lt;0,'03_全链计算'!V57+1,0),IF('01_数值调参'!AF36&lt;0,'03_全链计算'!W57+1,0),IF('01_数值调参'!AF37&lt;0,'03_全链计算'!X57+1,0),IF('01_数值调参'!AF38&lt;0,'03_全链计算'!Y57+1,0),IF('01_数值调参'!AF39&lt;0,'03_全链计算'!Z57+1,0),IF('01_数值调参'!AF40&lt;0,'03_全链计算'!AA57+1,0),IF('01_数值调参'!AF41&lt;0,'03_全链计算'!AB57+1,0),IF('01_数值调参'!AF42&lt;0,'03_全链计算'!AC57+1,0),IF('01_数值调参'!AF43&lt;0,'03_全链计算'!AD57+1,0),IF('01_数值调参'!AF44&lt;0,'03_全链计算'!AE57+1,0),IF('01_数值调参'!AF45&lt;0,'03_全链计算'!AF57+1,0),IF('01_数值调参'!AF46&lt;0,'03_全链计算'!AG57+1,0),IF('01_数值调参'!AF47&lt;0,'03_全链计算'!AH57+1,0),IF('01_数值调参'!AF48&lt;0,'03_全链计算'!AI57+1,0),IF('01_数值调参'!AF49&lt;0,'03_全链计算'!AJ57+1,0),IF('01_数值调参'!AF50&lt;0,'03_全链计算'!AK57+1,0),IF('01_数值调参'!AF51&lt;0,'03_全链计算'!AL57+1,0),IF('01_数值调参'!AF52&lt;0,'03_全链计算'!AM57+1,0))</x:f>
        <x:v>1</x:v>
      </x:c>
      <x:c r="AG58" s="9" t="n">
        <x:f>MAX(IF('01_数值调参'!AG18&lt;0,'03_全链计算'!E57+1,0),IF('01_数值调参'!AG19&lt;0,'03_全链计算'!F57+1,0),IF('01_数值调参'!AG20&lt;0,'03_全链计算'!G57+1,0),IF('01_数值调参'!AG21&lt;0,'03_全链计算'!H57+1,0),IF('01_数值调参'!AG22&lt;0,'03_全链计算'!I57+1,0),IF('01_数值调参'!AG23&lt;0,'03_全链计算'!J57+1,0),IF('01_数值调参'!AG24&lt;0,'03_全链计算'!K57+1,0),IF('01_数值调参'!AG25&lt;0,'03_全链计算'!L57+1,0),IF('01_数值调参'!AG26&lt;0,'03_全链计算'!M57+1,0),IF('01_数值调参'!AG27&lt;0,'03_全链计算'!N57+1,0),IF('01_数值调参'!AG28&lt;0,'03_全链计算'!O57+1,0),IF('01_数值调参'!AG29&lt;0,'03_全链计算'!P57+1,0),IF('01_数值调参'!AG30&lt;0,'03_全链计算'!Q57+1,0),IF('01_数值调参'!AG31&lt;0,'03_全链计算'!R57+1,0),IF('01_数值调参'!AG32&lt;0,'03_全链计算'!S57+1,0),IF('01_数值调参'!AG33&lt;0,'03_全链计算'!T57+1,0),IF('01_数值调参'!AG34&lt;0,'03_全链计算'!U57+1,0),IF('01_数值调参'!AG35&lt;0,'03_全链计算'!V57+1,0),IF('01_数值调参'!AG36&lt;0,'03_全链计算'!W57+1,0),IF('01_数值调参'!AG37&lt;0,'03_全链计算'!X57+1,0),IF('01_数值调参'!AG38&lt;0,'03_全链计算'!Y57+1,0),IF('01_数值调参'!AG39&lt;0,'03_全链计算'!Z57+1,0),IF('01_数值调参'!AG40&lt;0,'03_全链计算'!AA57+1,0),IF('01_数值调参'!AG41&lt;0,'03_全链计算'!AB57+1,0),IF('01_数值调参'!AG42&lt;0,'03_全链计算'!AC57+1,0),IF('01_数值调参'!AG43&lt;0,'03_全链计算'!AD57+1,0),IF('01_数值调参'!AG44&lt;0,'03_全链计算'!AE57+1,0),IF('01_数值调参'!AG45&lt;0,'03_全链计算'!AF57+1,0),IF('01_数值调参'!AG46&lt;0,'03_全链计算'!AG57+1,0),IF('01_数值调参'!AG47&lt;0,'03_全链计算'!AH57+1,0),IF('01_数值调参'!AG48&lt;0,'03_全链计算'!AI57+1,0),IF('01_数值调参'!AG49&lt;0,'03_全链计算'!AJ57+1,0),IF('01_数值调参'!AG50&lt;0,'03_全链计算'!AK57+1,0),IF('01_数值调参'!AG51&lt;0,'03_全链计算'!AL57+1,0),IF('01_数值调参'!AG52&lt;0,'03_全链计算'!AM57+1,0))</x:f>
        <x:v>1</x:v>
      </x:c>
      <x:c r="AH58" s="9" t="n">
        <x:f>MAX(IF('01_数值调参'!AH18&lt;0,'03_全链计算'!E57+1,0),IF('01_数值调参'!AH19&lt;0,'03_全链计算'!F57+1,0),IF('01_数值调参'!AH20&lt;0,'03_全链计算'!G57+1,0),IF('01_数值调参'!AH21&lt;0,'03_全链计算'!H57+1,0),IF('01_数值调参'!AH22&lt;0,'03_全链计算'!I57+1,0),IF('01_数值调参'!AH23&lt;0,'03_全链计算'!J57+1,0),IF('01_数值调参'!AH24&lt;0,'03_全链计算'!K57+1,0),IF('01_数值调参'!AH25&lt;0,'03_全链计算'!L57+1,0),IF('01_数值调参'!AH26&lt;0,'03_全链计算'!M57+1,0),IF('01_数值调参'!AH27&lt;0,'03_全链计算'!N57+1,0),IF('01_数值调参'!AH28&lt;0,'03_全链计算'!O57+1,0),IF('01_数值调参'!AH29&lt;0,'03_全链计算'!P57+1,0),IF('01_数值调参'!AH30&lt;0,'03_全链计算'!Q57+1,0),IF('01_数值调参'!AH31&lt;0,'03_全链计算'!R57+1,0),IF('01_数值调参'!AH32&lt;0,'03_全链计算'!S57+1,0),IF('01_数值调参'!AH33&lt;0,'03_全链计算'!T57+1,0),IF('01_数值调参'!AH34&lt;0,'03_全链计算'!U57+1,0),IF('01_数值调参'!AH35&lt;0,'03_全链计算'!V57+1,0),IF('01_数值调参'!AH36&lt;0,'03_全链计算'!W57+1,0),IF('01_数值调参'!AH37&lt;0,'03_全链计算'!X57+1,0),IF('01_数值调参'!AH38&lt;0,'03_全链计算'!Y57+1,0),IF('01_数值调参'!AH39&lt;0,'03_全链计算'!Z57+1,0),IF('01_数值调参'!AH40&lt;0,'03_全链计算'!AA57+1,0),IF('01_数值调参'!AH41&lt;0,'03_全链计算'!AB57+1,0),IF('01_数值调参'!AH42&lt;0,'03_全链计算'!AC57+1,0),IF('01_数值调参'!AH43&lt;0,'03_全链计算'!AD57+1,0),IF('01_数值调参'!AH44&lt;0,'03_全链计算'!AE57+1,0),IF('01_数值调参'!AH45&lt;0,'03_全链计算'!AF57+1,0),IF('01_数值调参'!AH46&lt;0,'03_全链计算'!AG57+1,0),IF('01_数值调参'!AH47&lt;0,'03_全链计算'!AH57+1,0),IF('01_数值调参'!AH48&lt;0,'03_全链计算'!AI57+1,0),IF('01_数值调参'!AH49&lt;0,'03_全链计算'!AJ57+1,0),IF('01_数值调参'!AH50&lt;0,'03_全链计算'!AK57+1,0),IF('01_数值调参'!AH51&lt;0,'03_全链计算'!AL57+1,0),IF('01_数值调参'!AH52&lt;0,'03_全链计算'!AM57+1,0))</x:f>
        <x:v>2</x:v>
      </x:c>
      <x:c r="AI58" s="9" t="n">
        <x:f>MAX(IF('01_数值调参'!AI18&lt;0,'03_全链计算'!E57+1,0),IF('01_数值调参'!AI19&lt;0,'03_全链计算'!F57+1,0),IF('01_数值调参'!AI20&lt;0,'03_全链计算'!G57+1,0),IF('01_数值调参'!AI21&lt;0,'03_全链计算'!H57+1,0),IF('01_数值调参'!AI22&lt;0,'03_全链计算'!I57+1,0),IF('01_数值调参'!AI23&lt;0,'03_全链计算'!J57+1,0),IF('01_数值调参'!AI24&lt;0,'03_全链计算'!K57+1,0),IF('01_数值调参'!AI25&lt;0,'03_全链计算'!L57+1,0),IF('01_数值调参'!AI26&lt;0,'03_全链计算'!M57+1,0),IF('01_数值调参'!AI27&lt;0,'03_全链计算'!N57+1,0),IF('01_数值调参'!AI28&lt;0,'03_全链计算'!O57+1,0),IF('01_数值调参'!AI29&lt;0,'03_全链计算'!P57+1,0),IF('01_数值调参'!AI30&lt;0,'03_全链计算'!Q57+1,0),IF('01_数值调参'!AI31&lt;0,'03_全链计算'!R57+1,0),IF('01_数值调参'!AI32&lt;0,'03_全链计算'!S57+1,0),IF('01_数值调参'!AI33&lt;0,'03_全链计算'!T57+1,0),IF('01_数值调参'!AI34&lt;0,'03_全链计算'!U57+1,0),IF('01_数值调参'!AI35&lt;0,'03_全链计算'!V57+1,0),IF('01_数值调参'!AI36&lt;0,'03_全链计算'!W57+1,0),IF('01_数值调参'!AI37&lt;0,'03_全链计算'!X57+1,0),IF('01_数值调参'!AI38&lt;0,'03_全链计算'!Y57+1,0),IF('01_数值调参'!AI39&lt;0,'03_全链计算'!Z57+1,0),IF('01_数值调参'!AI40&lt;0,'03_全链计算'!AA57+1,0),IF('01_数值调参'!AI41&lt;0,'03_全链计算'!AB57+1,0),IF('01_数值调参'!AI42&lt;0,'03_全链计算'!AC57+1,0),IF('01_数值调参'!AI43&lt;0,'03_全链计算'!AD57+1,0),IF('01_数值调参'!AI44&lt;0,'03_全链计算'!AE57+1,0),IF('01_数值调参'!AI45&lt;0,'03_全链计算'!AF57+1,0),IF('01_数值调参'!AI46&lt;0,'03_全链计算'!AG57+1,0),IF('01_数值调参'!AI47&lt;0,'03_全链计算'!AH57+1,0),IF('01_数值调参'!AI48&lt;0,'03_全链计算'!AI57+1,0),IF('01_数值调参'!AI49&lt;0,'03_全链计算'!AJ57+1,0),IF('01_数值调参'!AI50&lt;0,'03_全链计算'!AK57+1,0),IF('01_数值调参'!AI51&lt;0,'03_全链计算'!AL57+1,0),IF('01_数值调参'!AI52&lt;0,'03_全链计算'!AM57+1,0))</x:f>
        <x:v>2</x:v>
      </x:c>
      <x:c r="AJ58" s="9" t="n">
        <x:f>MAX(IF('01_数值调参'!AJ18&lt;0,'03_全链计算'!E57+1,0),IF('01_数值调参'!AJ19&lt;0,'03_全链计算'!F57+1,0),IF('01_数值调参'!AJ20&lt;0,'03_全链计算'!G57+1,0),IF('01_数值调参'!AJ21&lt;0,'03_全链计算'!H57+1,0),IF('01_数值调参'!AJ22&lt;0,'03_全链计算'!I57+1,0),IF('01_数值调参'!AJ23&lt;0,'03_全链计算'!J57+1,0),IF('01_数值调参'!AJ24&lt;0,'03_全链计算'!K57+1,0),IF('01_数值调参'!AJ25&lt;0,'03_全链计算'!L57+1,0),IF('01_数值调参'!AJ26&lt;0,'03_全链计算'!M57+1,0),IF('01_数值调参'!AJ27&lt;0,'03_全链计算'!N57+1,0),IF('01_数值调参'!AJ28&lt;0,'03_全链计算'!O57+1,0),IF('01_数值调参'!AJ29&lt;0,'03_全链计算'!P57+1,0),IF('01_数值调参'!AJ30&lt;0,'03_全链计算'!Q57+1,0),IF('01_数值调参'!AJ31&lt;0,'03_全链计算'!R57+1,0),IF('01_数值调参'!AJ32&lt;0,'03_全链计算'!S57+1,0),IF('01_数值调参'!AJ33&lt;0,'03_全链计算'!T57+1,0),IF('01_数值调参'!AJ34&lt;0,'03_全链计算'!U57+1,0),IF('01_数值调参'!AJ35&lt;0,'03_全链计算'!V57+1,0),IF('01_数值调参'!AJ36&lt;0,'03_全链计算'!W57+1,0),IF('01_数值调参'!AJ37&lt;0,'03_全链计算'!X57+1,0),IF('01_数值调参'!AJ38&lt;0,'03_全链计算'!Y57+1,0),IF('01_数值调参'!AJ39&lt;0,'03_全链计算'!Z57+1,0),IF('01_数值调参'!AJ40&lt;0,'03_全链计算'!AA57+1,0),IF('01_数值调参'!AJ41&lt;0,'03_全链计算'!AB57+1,0),IF('01_数值调参'!AJ42&lt;0,'03_全链计算'!AC57+1,0),IF('01_数值调参'!AJ43&lt;0,'03_全链计算'!AD57+1,0),IF('01_数值调参'!AJ44&lt;0,'03_全链计算'!AE57+1,0),IF('01_数值调参'!AJ45&lt;0,'03_全链计算'!AF57+1,0),IF('01_数值调参'!AJ46&lt;0,'03_全链计算'!AG57+1,0),IF('01_数值调参'!AJ47&lt;0,'03_全链计算'!AH57+1,0),IF('01_数值调参'!AJ48&lt;0,'03_全链计算'!AI57+1,0),IF('01_数值调参'!AJ49&lt;0,'03_全链计算'!AJ57+1,0),IF('01_数值调参'!AJ50&lt;0,'03_全链计算'!AK57+1,0),IF('01_数值调参'!AJ51&lt;0,'03_全链计算'!AL57+1,0),IF('01_数值调参'!AJ52&lt;0,'03_全链计算'!AM57+1,0))</x:f>
        <x:v>2</x:v>
      </x:c>
      <x:c r="AK58" s="9" t="n">
        <x:f>MAX(IF('01_数值调参'!AK18&lt;0,'03_全链计算'!E57+1,0),IF('01_数值调参'!AK19&lt;0,'03_全链计算'!F57+1,0),IF('01_数值调参'!AK20&lt;0,'03_全链计算'!G57+1,0),IF('01_数值调参'!AK21&lt;0,'03_全链计算'!H57+1,0),IF('01_数值调参'!AK22&lt;0,'03_全链计算'!I57+1,0),IF('01_数值调参'!AK23&lt;0,'03_全链计算'!J57+1,0),IF('01_数值调参'!AK24&lt;0,'03_全链计算'!K57+1,0),IF('01_数值调参'!AK25&lt;0,'03_全链计算'!L57+1,0),IF('01_数值调参'!AK26&lt;0,'03_全链计算'!M57+1,0),IF('01_数值调参'!AK27&lt;0,'03_全链计算'!N57+1,0),IF('01_数值调参'!AK28&lt;0,'03_全链计算'!O57+1,0),IF('01_数值调参'!AK29&lt;0,'03_全链计算'!P57+1,0),IF('01_数值调参'!AK30&lt;0,'03_全链计算'!Q57+1,0),IF('01_数值调参'!AK31&lt;0,'03_全链计算'!R57+1,0),IF('01_数值调参'!AK32&lt;0,'03_全链计算'!S57+1,0),IF('01_数值调参'!AK33&lt;0,'03_全链计算'!T57+1,0),IF('01_数值调参'!AK34&lt;0,'03_全链计算'!U57+1,0),IF('01_数值调参'!AK35&lt;0,'03_全链计算'!V57+1,0),IF('01_数值调参'!AK36&lt;0,'03_全链计算'!W57+1,0),IF('01_数值调参'!AK37&lt;0,'03_全链计算'!X57+1,0),IF('01_数值调参'!AK38&lt;0,'03_全链计算'!Y57+1,0),IF('01_数值调参'!AK39&lt;0,'03_全链计算'!Z57+1,0),IF('01_数值调参'!AK40&lt;0,'03_全链计算'!AA57+1,0),IF('01_数值调参'!AK41&lt;0,'03_全链计算'!AB57+1,0),IF('01_数值调参'!AK42&lt;0,'03_全链计算'!AC57+1,0),IF('01_数值调参'!AK43&lt;0,'03_全链计算'!AD57+1,0),IF('01_数值调参'!AK44&lt;0,'03_全链计算'!AE57+1,0),IF('01_数值调参'!AK45&lt;0,'03_全链计算'!AF57+1,0),IF('01_数值调参'!AK46&lt;0,'03_全链计算'!AG57+1,0),IF('01_数值调参'!AK47&lt;0,'03_全链计算'!AH57+1,0),IF('01_数值调参'!AK48&lt;0,'03_全链计算'!AI57+1,0),IF('01_数值调参'!AK49&lt;0,'03_全链计算'!AJ57+1,0),IF('01_数值调参'!AK50&lt;0,'03_全链计算'!AK57+1,0),IF('01_数值调参'!AK51&lt;0,'03_全链计算'!AL57+1,0),IF('01_数值调参'!AK52&lt;0,'03_全链计算'!AM57+1,0))</x:f>
        <x:v>2</x:v>
      </x:c>
      <x:c r="AL58" s="9" t="n">
        <x:f>MAX(IF('01_数值调参'!AL18&lt;0,'03_全链计算'!E57+1,0),IF('01_数值调参'!AL19&lt;0,'03_全链计算'!F57+1,0),IF('01_数值调参'!AL20&lt;0,'03_全链计算'!G57+1,0),IF('01_数值调参'!AL21&lt;0,'03_全链计算'!H57+1,0),IF('01_数值调参'!AL22&lt;0,'03_全链计算'!I57+1,0),IF('01_数值调参'!AL23&lt;0,'03_全链计算'!J57+1,0),IF('01_数值调参'!AL24&lt;0,'03_全链计算'!K57+1,0),IF('01_数值调参'!AL25&lt;0,'03_全链计算'!L57+1,0),IF('01_数值调参'!AL26&lt;0,'03_全链计算'!M57+1,0),IF('01_数值调参'!AL27&lt;0,'03_全链计算'!N57+1,0),IF('01_数值调参'!AL28&lt;0,'03_全链计算'!O57+1,0),IF('01_数值调参'!AL29&lt;0,'03_全链计算'!P57+1,0),IF('01_数值调参'!AL30&lt;0,'03_全链计算'!Q57+1,0),IF('01_数值调参'!AL31&lt;0,'03_全链计算'!R57+1,0),IF('01_数值调参'!AL32&lt;0,'03_全链计算'!S57+1,0),IF('01_数值调参'!AL33&lt;0,'03_全链计算'!T57+1,0),IF('01_数值调参'!AL34&lt;0,'03_全链计算'!U57+1,0),IF('01_数值调参'!AL35&lt;0,'03_全链计算'!V57+1,0),IF('01_数值调参'!AL36&lt;0,'03_全链计算'!W57+1,0),IF('01_数值调参'!AL37&lt;0,'03_全链计算'!X57+1,0),IF('01_数值调参'!AL38&lt;0,'03_全链计算'!Y57+1,0),IF('01_数值调参'!AL39&lt;0,'03_全链计算'!Z57+1,0),IF('01_数值调参'!AL40&lt;0,'03_全链计算'!AA57+1,0),IF('01_数值调参'!AL41&lt;0,'03_全链计算'!AB57+1,0),IF('01_数值调参'!AL42&lt;0,'03_全链计算'!AC57+1,0),IF('01_数值调参'!AL43&lt;0,'03_全链计算'!AD57+1,0),IF('01_数值调参'!AL44&lt;0,'03_全链计算'!AE57+1,0),IF('01_数值调参'!AL45&lt;0,'03_全链计算'!AF57+1,0),IF('01_数值调参'!AL46&lt;0,'03_全链计算'!AG57+1,0),IF('01_数值调参'!AL47&lt;0,'03_全链计算'!AH57+1,0),IF('01_数值调参'!AL48&lt;0,'03_全链计算'!AI57+1,0),IF('01_数值调参'!AL49&lt;0,'03_全链计算'!AJ57+1,0),IF('01_数值调参'!AL50&lt;0,'03_全链计算'!AK57+1,0),IF('01_数值调参'!AL51&lt;0,'03_全链计算'!AL57+1,0),IF('01_数值调参'!AL52&lt;0,'03_全链计算'!AM57+1,0))</x:f>
        <x:v>3</x:v>
      </x:c>
      <x:c r="AM58" s="9" t="n">
        <x:f>MAX(IF('01_数值调参'!AM18&lt;0,'03_全链计算'!E57+1,0),IF('01_数值调参'!AM19&lt;0,'03_全链计算'!F57+1,0),IF('01_数值调参'!AM20&lt;0,'03_全链计算'!G57+1,0),IF('01_数值调参'!AM21&lt;0,'03_全链计算'!H57+1,0),IF('01_数值调参'!AM22&lt;0,'03_全链计算'!I57+1,0),IF('01_数值调参'!AM23&lt;0,'03_全链计算'!J57+1,0),IF('01_数值调参'!AM24&lt;0,'03_全链计算'!K57+1,0),IF('01_数值调参'!AM25&lt;0,'03_全链计算'!L57+1,0),IF('01_数值调参'!AM26&lt;0,'03_全链计算'!M57+1,0),IF('01_数值调参'!AM27&lt;0,'03_全链计算'!N57+1,0),IF('01_数值调参'!AM28&lt;0,'03_全链计算'!O57+1,0),IF('01_数值调参'!AM29&lt;0,'03_全链计算'!P57+1,0),IF('01_数值调参'!AM30&lt;0,'03_全链计算'!Q57+1,0),IF('01_数值调参'!AM31&lt;0,'03_全链计算'!R57+1,0),IF('01_数值调参'!AM32&lt;0,'03_全链计算'!S57+1,0),IF('01_数值调参'!AM33&lt;0,'03_全链计算'!T57+1,0),IF('01_数值调参'!AM34&lt;0,'03_全链计算'!U57+1,0),IF('01_数值调参'!AM35&lt;0,'03_全链计算'!V57+1,0),IF('01_数值调参'!AM36&lt;0,'03_全链计算'!W57+1,0),IF('01_数值调参'!AM37&lt;0,'03_全链计算'!X57+1,0),IF('01_数值调参'!AM38&lt;0,'03_全链计算'!Y57+1,0),IF('01_数值调参'!AM39&lt;0,'03_全链计算'!Z57+1,0),IF('01_数值调参'!AM40&lt;0,'03_全链计算'!AA57+1,0),IF('01_数值调参'!AM41&lt;0,'03_全链计算'!AB57+1,0),IF('01_数值调参'!AM42&lt;0,'03_全链计算'!AC57+1,0),IF('01_数值调参'!AM43&lt;0,'03_全链计算'!AD57+1,0),IF('01_数值调参'!AM44&lt;0,'03_全链计算'!AE57+1,0),IF('01_数值调参'!AM45&lt;0,'03_全链计算'!AF57+1,0),IF('01_数值调参'!AM46&lt;0,'03_全链计算'!AG57+1,0),IF('01_数值调参'!AM47&lt;0,'03_全链计算'!AH57+1,0),IF('01_数值调参'!AM48&lt;0,'03_全链计算'!AI57+1,0),IF('01_数值调参'!AM49&lt;0,'03_全链计算'!AJ57+1,0),IF('01_数值调参'!AM50&lt;0,'03_全链计算'!AK57+1,0),IF('01_数值调参'!AM51&lt;0,'03_全链计算'!AL57+1,0),IF('01_数值调参'!AM52&lt;0,'03_全链计算'!AM57+1,0))</x:f>
        <x:v>3</x:v>
      </x:c>
    </x:row>
    <x:row r="59" ht="22" customHeight="1">
      <x:c r="A59" s="9" t="n">
        <x:v>14</x:v>
      </x:c>
      <x:c r="B59" s="9"/>
      <x:c r="C59" s="9"/>
      <x:c r="D59" s="9"/>
      <x:c r="E59" s="9" t="n">
        <x:f>MAX(IF('01_数值调参'!E18&lt;0,'03_全链计算'!E58+1,0),IF('01_数值调参'!E19&lt;0,'03_全链计算'!F58+1,0),IF('01_数值调参'!E20&lt;0,'03_全链计算'!G58+1,0),IF('01_数值调参'!E21&lt;0,'03_全链计算'!H58+1,0),IF('01_数值调参'!E22&lt;0,'03_全链计算'!I58+1,0),IF('01_数值调参'!E23&lt;0,'03_全链计算'!J58+1,0),IF('01_数值调参'!E24&lt;0,'03_全链计算'!K58+1,0),IF('01_数值调参'!E25&lt;0,'03_全链计算'!L58+1,0),IF('01_数值调参'!E26&lt;0,'03_全链计算'!M58+1,0),IF('01_数值调参'!E27&lt;0,'03_全链计算'!N58+1,0),IF('01_数值调参'!E28&lt;0,'03_全链计算'!O58+1,0),IF('01_数值调参'!E29&lt;0,'03_全链计算'!P58+1,0),IF('01_数值调参'!E30&lt;0,'03_全链计算'!Q58+1,0),IF('01_数值调参'!E31&lt;0,'03_全链计算'!R58+1,0),IF('01_数值调参'!E32&lt;0,'03_全链计算'!S58+1,0),IF('01_数值调参'!E33&lt;0,'03_全链计算'!T58+1,0),IF('01_数值调参'!E34&lt;0,'03_全链计算'!U58+1,0),IF('01_数值调参'!E35&lt;0,'03_全链计算'!V58+1,0),IF('01_数值调参'!E36&lt;0,'03_全链计算'!W58+1,0),IF('01_数值调参'!E37&lt;0,'03_全链计算'!X58+1,0),IF('01_数值调参'!E38&lt;0,'03_全链计算'!Y58+1,0),IF('01_数值调参'!E39&lt;0,'03_全链计算'!Z58+1,0),IF('01_数值调参'!E40&lt;0,'03_全链计算'!AA58+1,0),IF('01_数值调参'!E41&lt;0,'03_全链计算'!AB58+1,0),IF('01_数值调参'!E42&lt;0,'03_全链计算'!AC58+1,0),IF('01_数值调参'!E43&lt;0,'03_全链计算'!AD58+1,0),IF('01_数值调参'!E44&lt;0,'03_全链计算'!AE58+1,0),IF('01_数值调参'!E45&lt;0,'03_全链计算'!AF58+1,0),IF('01_数值调参'!E46&lt;0,'03_全链计算'!AG58+1,0),IF('01_数值调参'!E47&lt;0,'03_全链计算'!AH58+1,0),IF('01_数值调参'!E48&lt;0,'03_全链计算'!AI58+1,0),IF('01_数值调参'!E49&lt;0,'03_全链计算'!AJ58+1,0),IF('01_数值调参'!E50&lt;0,'03_全链计算'!AK58+1,0),IF('01_数值调参'!E51&lt;0,'03_全链计算'!AL58+1,0),IF('01_数值调参'!E52&lt;0,'03_全链计算'!AM58+1,0))</x:f>
        <x:v>0</x:v>
      </x:c>
      <x:c r="F59" s="9" t="n">
        <x:f>MAX(IF('01_数值调参'!F18&lt;0,'03_全链计算'!E58+1,0),IF('01_数值调参'!F19&lt;0,'03_全链计算'!F58+1,0),IF('01_数值调参'!F20&lt;0,'03_全链计算'!G58+1,0),IF('01_数值调参'!F21&lt;0,'03_全链计算'!H58+1,0),IF('01_数值调参'!F22&lt;0,'03_全链计算'!I58+1,0),IF('01_数值调参'!F23&lt;0,'03_全链计算'!J58+1,0),IF('01_数值调参'!F24&lt;0,'03_全链计算'!K58+1,0),IF('01_数值调参'!F25&lt;0,'03_全链计算'!L58+1,0),IF('01_数值调参'!F26&lt;0,'03_全链计算'!M58+1,0),IF('01_数值调参'!F27&lt;0,'03_全链计算'!N58+1,0),IF('01_数值调参'!F28&lt;0,'03_全链计算'!O58+1,0),IF('01_数值调参'!F29&lt;0,'03_全链计算'!P58+1,0),IF('01_数值调参'!F30&lt;0,'03_全链计算'!Q58+1,0),IF('01_数值调参'!F31&lt;0,'03_全链计算'!R58+1,0),IF('01_数值调参'!F32&lt;0,'03_全链计算'!S58+1,0),IF('01_数值调参'!F33&lt;0,'03_全链计算'!T58+1,0),IF('01_数值调参'!F34&lt;0,'03_全链计算'!U58+1,0),IF('01_数值调参'!F35&lt;0,'03_全链计算'!V58+1,0),IF('01_数值调参'!F36&lt;0,'03_全链计算'!W58+1,0),IF('01_数值调参'!F37&lt;0,'03_全链计算'!X58+1,0),IF('01_数值调参'!F38&lt;0,'03_全链计算'!Y58+1,0),IF('01_数值调参'!F39&lt;0,'03_全链计算'!Z58+1,0),IF('01_数值调参'!F40&lt;0,'03_全链计算'!AA58+1,0),IF('01_数值调参'!F41&lt;0,'03_全链计算'!AB58+1,0),IF('01_数值调参'!F42&lt;0,'03_全链计算'!AC58+1,0),IF('01_数值调参'!F43&lt;0,'03_全链计算'!AD58+1,0),IF('01_数值调参'!F44&lt;0,'03_全链计算'!AE58+1,0),IF('01_数值调参'!F45&lt;0,'03_全链计算'!AF58+1,0),IF('01_数值调参'!F46&lt;0,'03_全链计算'!AG58+1,0),IF('01_数值调参'!F47&lt;0,'03_全链计算'!AH58+1,0),IF('01_数值调参'!F48&lt;0,'03_全链计算'!AI58+1,0),IF('01_数值调参'!F49&lt;0,'03_全链计算'!AJ58+1,0),IF('01_数值调参'!F50&lt;0,'03_全链计算'!AK58+1,0),IF('01_数值调参'!F51&lt;0,'03_全链计算'!AL58+1,0),IF('01_数值调参'!F52&lt;0,'03_全链计算'!AM58+1,0))</x:f>
        <x:v>0</x:v>
      </x:c>
      <x:c r="G59" s="9" t="n">
        <x:f>MAX(IF('01_数值调参'!G18&lt;0,'03_全链计算'!E58+1,0),IF('01_数值调参'!G19&lt;0,'03_全链计算'!F58+1,0),IF('01_数值调参'!G20&lt;0,'03_全链计算'!G58+1,0),IF('01_数值调参'!G21&lt;0,'03_全链计算'!H58+1,0),IF('01_数值调参'!G22&lt;0,'03_全链计算'!I58+1,0),IF('01_数值调参'!G23&lt;0,'03_全链计算'!J58+1,0),IF('01_数值调参'!G24&lt;0,'03_全链计算'!K58+1,0),IF('01_数值调参'!G25&lt;0,'03_全链计算'!L58+1,0),IF('01_数值调参'!G26&lt;0,'03_全链计算'!M58+1,0),IF('01_数值调参'!G27&lt;0,'03_全链计算'!N58+1,0),IF('01_数值调参'!G28&lt;0,'03_全链计算'!O58+1,0),IF('01_数值调参'!G29&lt;0,'03_全链计算'!P58+1,0),IF('01_数值调参'!G30&lt;0,'03_全链计算'!Q58+1,0),IF('01_数值调参'!G31&lt;0,'03_全链计算'!R58+1,0),IF('01_数值调参'!G32&lt;0,'03_全链计算'!S58+1,0),IF('01_数值调参'!G33&lt;0,'03_全链计算'!T58+1,0),IF('01_数值调参'!G34&lt;0,'03_全链计算'!U58+1,0),IF('01_数值调参'!G35&lt;0,'03_全链计算'!V58+1,0),IF('01_数值调参'!G36&lt;0,'03_全链计算'!W58+1,0),IF('01_数值调参'!G37&lt;0,'03_全链计算'!X58+1,0),IF('01_数值调参'!G38&lt;0,'03_全链计算'!Y58+1,0),IF('01_数值调参'!G39&lt;0,'03_全链计算'!Z58+1,0),IF('01_数值调参'!G40&lt;0,'03_全链计算'!AA58+1,0),IF('01_数值调参'!G41&lt;0,'03_全链计算'!AB58+1,0),IF('01_数值调参'!G42&lt;0,'03_全链计算'!AC58+1,0),IF('01_数值调参'!G43&lt;0,'03_全链计算'!AD58+1,0),IF('01_数值调参'!G44&lt;0,'03_全链计算'!AE58+1,0),IF('01_数值调参'!G45&lt;0,'03_全链计算'!AF58+1,0),IF('01_数值调参'!G46&lt;0,'03_全链计算'!AG58+1,0),IF('01_数值调参'!G47&lt;0,'03_全链计算'!AH58+1,0),IF('01_数值调参'!G48&lt;0,'03_全链计算'!AI58+1,0),IF('01_数值调参'!G49&lt;0,'03_全链计算'!AJ58+1,0),IF('01_数值调参'!G50&lt;0,'03_全链计算'!AK58+1,0),IF('01_数值调参'!G51&lt;0,'03_全链计算'!AL58+1,0),IF('01_数值调参'!G52&lt;0,'03_全链计算'!AM58+1,0))</x:f>
        <x:v>0</x:v>
      </x:c>
      <x:c r="H59" s="9" t="n">
        <x:f>MAX(IF('01_数值调参'!H18&lt;0,'03_全链计算'!E58+1,0),IF('01_数值调参'!H19&lt;0,'03_全链计算'!F58+1,0),IF('01_数值调参'!H20&lt;0,'03_全链计算'!G58+1,0),IF('01_数值调参'!H21&lt;0,'03_全链计算'!H58+1,0),IF('01_数值调参'!H22&lt;0,'03_全链计算'!I58+1,0),IF('01_数值调参'!H23&lt;0,'03_全链计算'!J58+1,0),IF('01_数值调参'!H24&lt;0,'03_全链计算'!K58+1,0),IF('01_数值调参'!H25&lt;0,'03_全链计算'!L58+1,0),IF('01_数值调参'!H26&lt;0,'03_全链计算'!M58+1,0),IF('01_数值调参'!H27&lt;0,'03_全链计算'!N58+1,0),IF('01_数值调参'!H28&lt;0,'03_全链计算'!O58+1,0),IF('01_数值调参'!H29&lt;0,'03_全链计算'!P58+1,0),IF('01_数值调参'!H30&lt;0,'03_全链计算'!Q58+1,0),IF('01_数值调参'!H31&lt;0,'03_全链计算'!R58+1,0),IF('01_数值调参'!H32&lt;0,'03_全链计算'!S58+1,0),IF('01_数值调参'!H33&lt;0,'03_全链计算'!T58+1,0),IF('01_数值调参'!H34&lt;0,'03_全链计算'!U58+1,0),IF('01_数值调参'!H35&lt;0,'03_全链计算'!V58+1,0),IF('01_数值调参'!H36&lt;0,'03_全链计算'!W58+1,0),IF('01_数值调参'!H37&lt;0,'03_全链计算'!X58+1,0),IF('01_数值调参'!H38&lt;0,'03_全链计算'!Y58+1,0),IF('01_数值调参'!H39&lt;0,'03_全链计算'!Z58+1,0),IF('01_数值调参'!H40&lt;0,'03_全链计算'!AA58+1,0),IF('01_数值调参'!H41&lt;0,'03_全链计算'!AB58+1,0),IF('01_数值调参'!H42&lt;0,'03_全链计算'!AC58+1,0),IF('01_数值调参'!H43&lt;0,'03_全链计算'!AD58+1,0),IF('01_数值调参'!H44&lt;0,'03_全链计算'!AE58+1,0),IF('01_数值调参'!H45&lt;0,'03_全链计算'!AF58+1,0),IF('01_数值调参'!H46&lt;0,'03_全链计算'!AG58+1,0),IF('01_数值调参'!H47&lt;0,'03_全链计算'!AH58+1,0),IF('01_数值调参'!H48&lt;0,'03_全链计算'!AI58+1,0),IF('01_数值调参'!H49&lt;0,'03_全链计算'!AJ58+1,0),IF('01_数值调参'!H50&lt;0,'03_全链计算'!AK58+1,0),IF('01_数值调参'!H51&lt;0,'03_全链计算'!AL58+1,0),IF('01_数值调参'!H52&lt;0,'03_全链计算'!AM58+1,0))</x:f>
        <x:v>0</x:v>
      </x:c>
      <x:c r="I59" s="9" t="n">
        <x:f>MAX(IF('01_数值调参'!I18&lt;0,'03_全链计算'!E58+1,0),IF('01_数值调参'!I19&lt;0,'03_全链计算'!F58+1,0),IF('01_数值调参'!I20&lt;0,'03_全链计算'!G58+1,0),IF('01_数值调参'!I21&lt;0,'03_全链计算'!H58+1,0),IF('01_数值调参'!I22&lt;0,'03_全链计算'!I58+1,0),IF('01_数值调参'!I23&lt;0,'03_全链计算'!J58+1,0),IF('01_数值调参'!I24&lt;0,'03_全链计算'!K58+1,0),IF('01_数值调参'!I25&lt;0,'03_全链计算'!L58+1,0),IF('01_数值调参'!I26&lt;0,'03_全链计算'!M58+1,0),IF('01_数值调参'!I27&lt;0,'03_全链计算'!N58+1,0),IF('01_数值调参'!I28&lt;0,'03_全链计算'!O58+1,0),IF('01_数值调参'!I29&lt;0,'03_全链计算'!P58+1,0),IF('01_数值调参'!I30&lt;0,'03_全链计算'!Q58+1,0),IF('01_数值调参'!I31&lt;0,'03_全链计算'!R58+1,0),IF('01_数值调参'!I32&lt;0,'03_全链计算'!S58+1,0),IF('01_数值调参'!I33&lt;0,'03_全链计算'!T58+1,0),IF('01_数值调参'!I34&lt;0,'03_全链计算'!U58+1,0),IF('01_数值调参'!I35&lt;0,'03_全链计算'!V58+1,0),IF('01_数值调参'!I36&lt;0,'03_全链计算'!W58+1,0),IF('01_数值调参'!I37&lt;0,'03_全链计算'!X58+1,0),IF('01_数值调参'!I38&lt;0,'03_全链计算'!Y58+1,0),IF('01_数值调参'!I39&lt;0,'03_全链计算'!Z58+1,0),IF('01_数值调参'!I40&lt;0,'03_全链计算'!AA58+1,0),IF('01_数值调参'!I41&lt;0,'03_全链计算'!AB58+1,0),IF('01_数值调参'!I42&lt;0,'03_全链计算'!AC58+1,0),IF('01_数值调参'!I43&lt;0,'03_全链计算'!AD58+1,0),IF('01_数值调参'!I44&lt;0,'03_全链计算'!AE58+1,0),IF('01_数值调参'!I45&lt;0,'03_全链计算'!AF58+1,0),IF('01_数值调参'!I46&lt;0,'03_全链计算'!AG58+1,0),IF('01_数值调参'!I47&lt;0,'03_全链计算'!AH58+1,0),IF('01_数值调参'!I48&lt;0,'03_全链计算'!AI58+1,0),IF('01_数值调参'!I49&lt;0,'03_全链计算'!AJ58+1,0),IF('01_数值调参'!I50&lt;0,'03_全链计算'!AK58+1,0),IF('01_数值调参'!I51&lt;0,'03_全链计算'!AL58+1,0),IF('01_数值调参'!I52&lt;0,'03_全链计算'!AM58+1,0))</x:f>
        <x:v>0</x:v>
      </x:c>
      <x:c r="J59" s="9" t="n">
        <x:f>MAX(IF('01_数值调参'!J18&lt;0,'03_全链计算'!E58+1,0),IF('01_数值调参'!J19&lt;0,'03_全链计算'!F58+1,0),IF('01_数值调参'!J20&lt;0,'03_全链计算'!G58+1,0),IF('01_数值调参'!J21&lt;0,'03_全链计算'!H58+1,0),IF('01_数值调参'!J22&lt;0,'03_全链计算'!I58+1,0),IF('01_数值调参'!J23&lt;0,'03_全链计算'!J58+1,0),IF('01_数值调参'!J24&lt;0,'03_全链计算'!K58+1,0),IF('01_数值调参'!J25&lt;0,'03_全链计算'!L58+1,0),IF('01_数值调参'!J26&lt;0,'03_全链计算'!M58+1,0),IF('01_数值调参'!J27&lt;0,'03_全链计算'!N58+1,0),IF('01_数值调参'!J28&lt;0,'03_全链计算'!O58+1,0),IF('01_数值调参'!J29&lt;0,'03_全链计算'!P58+1,0),IF('01_数值调参'!J30&lt;0,'03_全链计算'!Q58+1,0),IF('01_数值调参'!J31&lt;0,'03_全链计算'!R58+1,0),IF('01_数值调参'!J32&lt;0,'03_全链计算'!S58+1,0),IF('01_数值调参'!J33&lt;0,'03_全链计算'!T58+1,0),IF('01_数值调参'!J34&lt;0,'03_全链计算'!U58+1,0),IF('01_数值调参'!J35&lt;0,'03_全链计算'!V58+1,0),IF('01_数值调参'!J36&lt;0,'03_全链计算'!W58+1,0),IF('01_数值调参'!J37&lt;0,'03_全链计算'!X58+1,0),IF('01_数值调参'!J38&lt;0,'03_全链计算'!Y58+1,0),IF('01_数值调参'!J39&lt;0,'03_全链计算'!Z58+1,0),IF('01_数值调参'!J40&lt;0,'03_全链计算'!AA58+1,0),IF('01_数值调参'!J41&lt;0,'03_全链计算'!AB58+1,0),IF('01_数值调参'!J42&lt;0,'03_全链计算'!AC58+1,0),IF('01_数值调参'!J43&lt;0,'03_全链计算'!AD58+1,0),IF('01_数值调参'!J44&lt;0,'03_全链计算'!AE58+1,0),IF('01_数值调参'!J45&lt;0,'03_全链计算'!AF58+1,0),IF('01_数值调参'!J46&lt;0,'03_全链计算'!AG58+1,0),IF('01_数值调参'!J47&lt;0,'03_全链计算'!AH58+1,0),IF('01_数值调参'!J48&lt;0,'03_全链计算'!AI58+1,0),IF('01_数值调参'!J49&lt;0,'03_全链计算'!AJ58+1,0),IF('01_数值调参'!J50&lt;0,'03_全链计算'!AK58+1,0),IF('01_数值调参'!J51&lt;0,'03_全链计算'!AL58+1,0),IF('01_数值调参'!J52&lt;0,'03_全链计算'!AM58+1,0))</x:f>
        <x:v>0</x:v>
      </x:c>
      <x:c r="K59" s="9" t="n">
        <x:f>MAX(IF('01_数值调参'!K18&lt;0,'03_全链计算'!E58+1,0),IF('01_数值调参'!K19&lt;0,'03_全链计算'!F58+1,0),IF('01_数值调参'!K20&lt;0,'03_全链计算'!G58+1,0),IF('01_数值调参'!K21&lt;0,'03_全链计算'!H58+1,0),IF('01_数值调参'!K22&lt;0,'03_全链计算'!I58+1,0),IF('01_数值调参'!K23&lt;0,'03_全链计算'!J58+1,0),IF('01_数值调参'!K24&lt;0,'03_全链计算'!K58+1,0),IF('01_数值调参'!K25&lt;0,'03_全链计算'!L58+1,0),IF('01_数值调参'!K26&lt;0,'03_全链计算'!M58+1,0),IF('01_数值调参'!K27&lt;0,'03_全链计算'!N58+1,0),IF('01_数值调参'!K28&lt;0,'03_全链计算'!O58+1,0),IF('01_数值调参'!K29&lt;0,'03_全链计算'!P58+1,0),IF('01_数值调参'!K30&lt;0,'03_全链计算'!Q58+1,0),IF('01_数值调参'!K31&lt;0,'03_全链计算'!R58+1,0),IF('01_数值调参'!K32&lt;0,'03_全链计算'!S58+1,0),IF('01_数值调参'!K33&lt;0,'03_全链计算'!T58+1,0),IF('01_数值调参'!K34&lt;0,'03_全链计算'!U58+1,0),IF('01_数值调参'!K35&lt;0,'03_全链计算'!V58+1,0),IF('01_数值调参'!K36&lt;0,'03_全链计算'!W58+1,0),IF('01_数值调参'!K37&lt;0,'03_全链计算'!X58+1,0),IF('01_数值调参'!K38&lt;0,'03_全链计算'!Y58+1,0),IF('01_数值调参'!K39&lt;0,'03_全链计算'!Z58+1,0),IF('01_数值调参'!K40&lt;0,'03_全链计算'!AA58+1,0),IF('01_数值调参'!K41&lt;0,'03_全链计算'!AB58+1,0),IF('01_数值调参'!K42&lt;0,'03_全链计算'!AC58+1,0),IF('01_数值调参'!K43&lt;0,'03_全链计算'!AD58+1,0),IF('01_数值调参'!K44&lt;0,'03_全链计算'!AE58+1,0),IF('01_数值调参'!K45&lt;0,'03_全链计算'!AF58+1,0),IF('01_数值调参'!K46&lt;0,'03_全链计算'!AG58+1,0),IF('01_数值调参'!K47&lt;0,'03_全链计算'!AH58+1,0),IF('01_数值调参'!K48&lt;0,'03_全链计算'!AI58+1,0),IF('01_数值调参'!K49&lt;0,'03_全链计算'!AJ58+1,0),IF('01_数值调参'!K50&lt;0,'03_全链计算'!AK58+1,0),IF('01_数值调参'!K51&lt;0,'03_全链计算'!AL58+1,0),IF('01_数值调参'!K52&lt;0,'03_全链计算'!AM58+1,0))</x:f>
        <x:v>0</x:v>
      </x:c>
      <x:c r="L59" s="9" t="n">
        <x:f>MAX(IF('01_数值调参'!L18&lt;0,'03_全链计算'!E58+1,0),IF('01_数值调参'!L19&lt;0,'03_全链计算'!F58+1,0),IF('01_数值调参'!L20&lt;0,'03_全链计算'!G58+1,0),IF('01_数值调参'!L21&lt;0,'03_全链计算'!H58+1,0),IF('01_数值调参'!L22&lt;0,'03_全链计算'!I58+1,0),IF('01_数值调参'!L23&lt;0,'03_全链计算'!J58+1,0),IF('01_数值调参'!L24&lt;0,'03_全链计算'!K58+1,0),IF('01_数值调参'!L25&lt;0,'03_全链计算'!L58+1,0),IF('01_数值调参'!L26&lt;0,'03_全链计算'!M58+1,0),IF('01_数值调参'!L27&lt;0,'03_全链计算'!N58+1,0),IF('01_数值调参'!L28&lt;0,'03_全链计算'!O58+1,0),IF('01_数值调参'!L29&lt;0,'03_全链计算'!P58+1,0),IF('01_数值调参'!L30&lt;0,'03_全链计算'!Q58+1,0),IF('01_数值调参'!L31&lt;0,'03_全链计算'!R58+1,0),IF('01_数值调参'!L32&lt;0,'03_全链计算'!S58+1,0),IF('01_数值调参'!L33&lt;0,'03_全链计算'!T58+1,0),IF('01_数值调参'!L34&lt;0,'03_全链计算'!U58+1,0),IF('01_数值调参'!L35&lt;0,'03_全链计算'!V58+1,0),IF('01_数值调参'!L36&lt;0,'03_全链计算'!W58+1,0),IF('01_数值调参'!L37&lt;0,'03_全链计算'!X58+1,0),IF('01_数值调参'!L38&lt;0,'03_全链计算'!Y58+1,0),IF('01_数值调参'!L39&lt;0,'03_全链计算'!Z58+1,0),IF('01_数值调参'!L40&lt;0,'03_全链计算'!AA58+1,0),IF('01_数值调参'!L41&lt;0,'03_全链计算'!AB58+1,0),IF('01_数值调参'!L42&lt;0,'03_全链计算'!AC58+1,0),IF('01_数值调参'!L43&lt;0,'03_全链计算'!AD58+1,0),IF('01_数值调参'!L44&lt;0,'03_全链计算'!AE58+1,0),IF('01_数值调参'!L45&lt;0,'03_全链计算'!AF58+1,0),IF('01_数值调参'!L46&lt;0,'03_全链计算'!AG58+1,0),IF('01_数值调参'!L47&lt;0,'03_全链计算'!AH58+1,0),IF('01_数值调参'!L48&lt;0,'03_全链计算'!AI58+1,0),IF('01_数值调参'!L49&lt;0,'03_全链计算'!AJ58+1,0),IF('01_数值调参'!L50&lt;0,'03_全链计算'!AK58+1,0),IF('01_数值调参'!L51&lt;0,'03_全链计算'!AL58+1,0),IF('01_数值调参'!L52&lt;0,'03_全链计算'!AM58+1,0))</x:f>
        <x:v>0</x:v>
      </x:c>
      <x:c r="M59" s="9" t="n">
        <x:f>MAX(IF('01_数值调参'!M18&lt;0,'03_全链计算'!E58+1,0),IF('01_数值调参'!M19&lt;0,'03_全链计算'!F58+1,0),IF('01_数值调参'!M20&lt;0,'03_全链计算'!G58+1,0),IF('01_数值调参'!M21&lt;0,'03_全链计算'!H58+1,0),IF('01_数值调参'!M22&lt;0,'03_全链计算'!I58+1,0),IF('01_数值调参'!M23&lt;0,'03_全链计算'!J58+1,0),IF('01_数值调参'!M24&lt;0,'03_全链计算'!K58+1,0),IF('01_数值调参'!M25&lt;0,'03_全链计算'!L58+1,0),IF('01_数值调参'!M26&lt;0,'03_全链计算'!M58+1,0),IF('01_数值调参'!M27&lt;0,'03_全链计算'!N58+1,0),IF('01_数值调参'!M28&lt;0,'03_全链计算'!O58+1,0),IF('01_数值调参'!M29&lt;0,'03_全链计算'!P58+1,0),IF('01_数值调参'!M30&lt;0,'03_全链计算'!Q58+1,0),IF('01_数值调参'!M31&lt;0,'03_全链计算'!R58+1,0),IF('01_数值调参'!M32&lt;0,'03_全链计算'!S58+1,0),IF('01_数值调参'!M33&lt;0,'03_全链计算'!T58+1,0),IF('01_数值调参'!M34&lt;0,'03_全链计算'!U58+1,0),IF('01_数值调参'!M35&lt;0,'03_全链计算'!V58+1,0),IF('01_数值调参'!M36&lt;0,'03_全链计算'!W58+1,0),IF('01_数值调参'!M37&lt;0,'03_全链计算'!X58+1,0),IF('01_数值调参'!M38&lt;0,'03_全链计算'!Y58+1,0),IF('01_数值调参'!M39&lt;0,'03_全链计算'!Z58+1,0),IF('01_数值调参'!M40&lt;0,'03_全链计算'!AA58+1,0),IF('01_数值调参'!M41&lt;0,'03_全链计算'!AB58+1,0),IF('01_数值调参'!M42&lt;0,'03_全链计算'!AC58+1,0),IF('01_数值调参'!M43&lt;0,'03_全链计算'!AD58+1,0),IF('01_数值调参'!M44&lt;0,'03_全链计算'!AE58+1,0),IF('01_数值调参'!M45&lt;0,'03_全链计算'!AF58+1,0),IF('01_数值调参'!M46&lt;0,'03_全链计算'!AG58+1,0),IF('01_数值调参'!M47&lt;0,'03_全链计算'!AH58+1,0),IF('01_数值调参'!M48&lt;0,'03_全链计算'!AI58+1,0),IF('01_数值调参'!M49&lt;0,'03_全链计算'!AJ58+1,0),IF('01_数值调参'!M50&lt;0,'03_全链计算'!AK58+1,0),IF('01_数值调参'!M51&lt;0,'03_全链计算'!AL58+1,0),IF('01_数值调参'!M52&lt;0,'03_全链计算'!AM58+1,0))</x:f>
        <x:v>0</x:v>
      </x:c>
      <x:c r="N59" s="9" t="n">
        <x:f>MAX(IF('01_数值调参'!N18&lt;0,'03_全链计算'!E58+1,0),IF('01_数值调参'!N19&lt;0,'03_全链计算'!F58+1,0),IF('01_数值调参'!N20&lt;0,'03_全链计算'!G58+1,0),IF('01_数值调参'!N21&lt;0,'03_全链计算'!H58+1,0),IF('01_数值调参'!N22&lt;0,'03_全链计算'!I58+1,0),IF('01_数值调参'!N23&lt;0,'03_全链计算'!J58+1,0),IF('01_数值调参'!N24&lt;0,'03_全链计算'!K58+1,0),IF('01_数值调参'!N25&lt;0,'03_全链计算'!L58+1,0),IF('01_数值调参'!N26&lt;0,'03_全链计算'!M58+1,0),IF('01_数值调参'!N27&lt;0,'03_全链计算'!N58+1,0),IF('01_数值调参'!N28&lt;0,'03_全链计算'!O58+1,0),IF('01_数值调参'!N29&lt;0,'03_全链计算'!P58+1,0),IF('01_数值调参'!N30&lt;0,'03_全链计算'!Q58+1,0),IF('01_数值调参'!N31&lt;0,'03_全链计算'!R58+1,0),IF('01_数值调参'!N32&lt;0,'03_全链计算'!S58+1,0),IF('01_数值调参'!N33&lt;0,'03_全链计算'!T58+1,0),IF('01_数值调参'!N34&lt;0,'03_全链计算'!U58+1,0),IF('01_数值调参'!N35&lt;0,'03_全链计算'!V58+1,0),IF('01_数值调参'!N36&lt;0,'03_全链计算'!W58+1,0),IF('01_数值调参'!N37&lt;0,'03_全链计算'!X58+1,0),IF('01_数值调参'!N38&lt;0,'03_全链计算'!Y58+1,0),IF('01_数值调参'!N39&lt;0,'03_全链计算'!Z58+1,0),IF('01_数值调参'!N40&lt;0,'03_全链计算'!AA58+1,0),IF('01_数值调参'!N41&lt;0,'03_全链计算'!AB58+1,0),IF('01_数值调参'!N42&lt;0,'03_全链计算'!AC58+1,0),IF('01_数值调参'!N43&lt;0,'03_全链计算'!AD58+1,0),IF('01_数值调参'!N44&lt;0,'03_全链计算'!AE58+1,0),IF('01_数值调参'!N45&lt;0,'03_全链计算'!AF58+1,0),IF('01_数值调参'!N46&lt;0,'03_全链计算'!AG58+1,0),IF('01_数值调参'!N47&lt;0,'03_全链计算'!AH58+1,0),IF('01_数值调参'!N48&lt;0,'03_全链计算'!AI58+1,0),IF('01_数值调参'!N49&lt;0,'03_全链计算'!AJ58+1,0),IF('01_数值调参'!N50&lt;0,'03_全链计算'!AK58+1,0),IF('01_数值调参'!N51&lt;0,'03_全链计算'!AL58+1,0),IF('01_数值调参'!N52&lt;0,'03_全链计算'!AM58+1,0))</x:f>
        <x:v>1</x:v>
      </x:c>
      <x:c r="O59" s="9" t="n">
        <x:f>MAX(IF('01_数值调参'!O18&lt;0,'03_全链计算'!E58+1,0),IF('01_数值调参'!O19&lt;0,'03_全链计算'!F58+1,0),IF('01_数值调参'!O20&lt;0,'03_全链计算'!G58+1,0),IF('01_数值调参'!O21&lt;0,'03_全链计算'!H58+1,0),IF('01_数值调参'!O22&lt;0,'03_全链计算'!I58+1,0),IF('01_数值调参'!O23&lt;0,'03_全链计算'!J58+1,0),IF('01_数值调参'!O24&lt;0,'03_全链计算'!K58+1,0),IF('01_数值调参'!O25&lt;0,'03_全链计算'!L58+1,0),IF('01_数值调参'!O26&lt;0,'03_全链计算'!M58+1,0),IF('01_数值调参'!O27&lt;0,'03_全链计算'!N58+1,0),IF('01_数值调参'!O28&lt;0,'03_全链计算'!O58+1,0),IF('01_数值调参'!O29&lt;0,'03_全链计算'!P58+1,0),IF('01_数值调参'!O30&lt;0,'03_全链计算'!Q58+1,0),IF('01_数值调参'!O31&lt;0,'03_全链计算'!R58+1,0),IF('01_数值调参'!O32&lt;0,'03_全链计算'!S58+1,0),IF('01_数值调参'!O33&lt;0,'03_全链计算'!T58+1,0),IF('01_数值调参'!O34&lt;0,'03_全链计算'!U58+1,0),IF('01_数值调参'!O35&lt;0,'03_全链计算'!V58+1,0),IF('01_数值调参'!O36&lt;0,'03_全链计算'!W58+1,0),IF('01_数值调参'!O37&lt;0,'03_全链计算'!X58+1,0),IF('01_数值调参'!O38&lt;0,'03_全链计算'!Y58+1,0),IF('01_数值调参'!O39&lt;0,'03_全链计算'!Z58+1,0),IF('01_数值调参'!O40&lt;0,'03_全链计算'!AA58+1,0),IF('01_数值调参'!O41&lt;0,'03_全链计算'!AB58+1,0),IF('01_数值调参'!O42&lt;0,'03_全链计算'!AC58+1,0),IF('01_数值调参'!O43&lt;0,'03_全链计算'!AD58+1,0),IF('01_数值调参'!O44&lt;0,'03_全链计算'!AE58+1,0),IF('01_数值调参'!O45&lt;0,'03_全链计算'!AF58+1,0),IF('01_数值调参'!O46&lt;0,'03_全链计算'!AG58+1,0),IF('01_数值调参'!O47&lt;0,'03_全链计算'!AH58+1,0),IF('01_数值调参'!O48&lt;0,'03_全链计算'!AI58+1,0),IF('01_数值调参'!O49&lt;0,'03_全链计算'!AJ58+1,0),IF('01_数值调参'!O50&lt;0,'03_全链计算'!AK58+1,0),IF('01_数值调参'!O51&lt;0,'03_全链计算'!AL58+1,0),IF('01_数值调参'!O52&lt;0,'03_全链计算'!AM58+1,0))</x:f>
        <x:v>1</x:v>
      </x:c>
      <x:c r="P59" s="9" t="n">
        <x:f>MAX(IF('01_数值调参'!P18&lt;0,'03_全链计算'!E58+1,0),IF('01_数值调参'!P19&lt;0,'03_全链计算'!F58+1,0),IF('01_数值调参'!P20&lt;0,'03_全链计算'!G58+1,0),IF('01_数值调参'!P21&lt;0,'03_全链计算'!H58+1,0),IF('01_数值调参'!P22&lt;0,'03_全链计算'!I58+1,0),IF('01_数值调参'!P23&lt;0,'03_全链计算'!J58+1,0),IF('01_数值调参'!P24&lt;0,'03_全链计算'!K58+1,0),IF('01_数值调参'!P25&lt;0,'03_全链计算'!L58+1,0),IF('01_数值调参'!P26&lt;0,'03_全链计算'!M58+1,0),IF('01_数值调参'!P27&lt;0,'03_全链计算'!N58+1,0),IF('01_数值调参'!P28&lt;0,'03_全链计算'!O58+1,0),IF('01_数值调参'!P29&lt;0,'03_全链计算'!P58+1,0),IF('01_数值调参'!P30&lt;0,'03_全链计算'!Q58+1,0),IF('01_数值调参'!P31&lt;0,'03_全链计算'!R58+1,0),IF('01_数值调参'!P32&lt;0,'03_全链计算'!S58+1,0),IF('01_数值调参'!P33&lt;0,'03_全链计算'!T58+1,0),IF('01_数值调参'!P34&lt;0,'03_全链计算'!U58+1,0),IF('01_数值调参'!P35&lt;0,'03_全链计算'!V58+1,0),IF('01_数值调参'!P36&lt;0,'03_全链计算'!W58+1,0),IF('01_数值调参'!P37&lt;0,'03_全链计算'!X58+1,0),IF('01_数值调参'!P38&lt;0,'03_全链计算'!Y58+1,0),IF('01_数值调参'!P39&lt;0,'03_全链计算'!Z58+1,0),IF('01_数值调参'!P40&lt;0,'03_全链计算'!AA58+1,0),IF('01_数值调参'!P41&lt;0,'03_全链计算'!AB58+1,0),IF('01_数值调参'!P42&lt;0,'03_全链计算'!AC58+1,0),IF('01_数值调参'!P43&lt;0,'03_全链计算'!AD58+1,0),IF('01_数值调参'!P44&lt;0,'03_全链计算'!AE58+1,0),IF('01_数值调参'!P45&lt;0,'03_全链计算'!AF58+1,0),IF('01_数值调参'!P46&lt;0,'03_全链计算'!AG58+1,0),IF('01_数值调参'!P47&lt;0,'03_全链计算'!AH58+1,0),IF('01_数值调参'!P48&lt;0,'03_全链计算'!AI58+1,0),IF('01_数值调参'!P49&lt;0,'03_全链计算'!AJ58+1,0),IF('01_数值调参'!P50&lt;0,'03_全链计算'!AK58+1,0),IF('01_数值调参'!P51&lt;0,'03_全链计算'!AL58+1,0),IF('01_数值调参'!P52&lt;0,'03_全链计算'!AM58+1,0))</x:f>
        <x:v>1</x:v>
      </x:c>
      <x:c r="Q59" s="9" t="n">
        <x:f>MAX(IF('01_数值调参'!Q18&lt;0,'03_全链计算'!E58+1,0),IF('01_数值调参'!Q19&lt;0,'03_全链计算'!F58+1,0),IF('01_数值调参'!Q20&lt;0,'03_全链计算'!G58+1,0),IF('01_数值调参'!Q21&lt;0,'03_全链计算'!H58+1,0),IF('01_数值调参'!Q22&lt;0,'03_全链计算'!I58+1,0),IF('01_数值调参'!Q23&lt;0,'03_全链计算'!J58+1,0),IF('01_数值调参'!Q24&lt;0,'03_全链计算'!K58+1,0),IF('01_数值调参'!Q25&lt;0,'03_全链计算'!L58+1,0),IF('01_数值调参'!Q26&lt;0,'03_全链计算'!M58+1,0),IF('01_数值调参'!Q27&lt;0,'03_全链计算'!N58+1,0),IF('01_数值调参'!Q28&lt;0,'03_全链计算'!O58+1,0),IF('01_数值调参'!Q29&lt;0,'03_全链计算'!P58+1,0),IF('01_数值调参'!Q30&lt;0,'03_全链计算'!Q58+1,0),IF('01_数值调参'!Q31&lt;0,'03_全链计算'!R58+1,0),IF('01_数值调参'!Q32&lt;0,'03_全链计算'!S58+1,0),IF('01_数值调参'!Q33&lt;0,'03_全链计算'!T58+1,0),IF('01_数值调参'!Q34&lt;0,'03_全链计算'!U58+1,0),IF('01_数值调参'!Q35&lt;0,'03_全链计算'!V58+1,0),IF('01_数值调参'!Q36&lt;0,'03_全链计算'!W58+1,0),IF('01_数值调参'!Q37&lt;0,'03_全链计算'!X58+1,0),IF('01_数值调参'!Q38&lt;0,'03_全链计算'!Y58+1,0),IF('01_数值调参'!Q39&lt;0,'03_全链计算'!Z58+1,0),IF('01_数值调参'!Q40&lt;0,'03_全链计算'!AA58+1,0),IF('01_数值调参'!Q41&lt;0,'03_全链计算'!AB58+1,0),IF('01_数值调参'!Q42&lt;0,'03_全链计算'!AC58+1,0),IF('01_数值调参'!Q43&lt;0,'03_全链计算'!AD58+1,0),IF('01_数值调参'!Q44&lt;0,'03_全链计算'!AE58+1,0),IF('01_数值调参'!Q45&lt;0,'03_全链计算'!AF58+1,0),IF('01_数值调参'!Q46&lt;0,'03_全链计算'!AG58+1,0),IF('01_数值调参'!Q47&lt;0,'03_全链计算'!AH58+1,0),IF('01_数值调参'!Q48&lt;0,'03_全链计算'!AI58+1,0),IF('01_数值调参'!Q49&lt;0,'03_全链计算'!AJ58+1,0),IF('01_数值调参'!Q50&lt;0,'03_全链计算'!AK58+1,0),IF('01_数值调参'!Q51&lt;0,'03_全链计算'!AL58+1,0),IF('01_数值调参'!Q52&lt;0,'03_全链计算'!AM58+1,0))</x:f>
        <x:v>1</x:v>
      </x:c>
      <x:c r="R59" s="9" t="n">
        <x:f>MAX(IF('01_数值调参'!R18&lt;0,'03_全链计算'!E58+1,0),IF('01_数值调参'!R19&lt;0,'03_全链计算'!F58+1,0),IF('01_数值调参'!R20&lt;0,'03_全链计算'!G58+1,0),IF('01_数值调参'!R21&lt;0,'03_全链计算'!H58+1,0),IF('01_数值调参'!R22&lt;0,'03_全链计算'!I58+1,0),IF('01_数值调参'!R23&lt;0,'03_全链计算'!J58+1,0),IF('01_数值调参'!R24&lt;0,'03_全链计算'!K58+1,0),IF('01_数值调参'!R25&lt;0,'03_全链计算'!L58+1,0),IF('01_数值调参'!R26&lt;0,'03_全链计算'!M58+1,0),IF('01_数值调参'!R27&lt;0,'03_全链计算'!N58+1,0),IF('01_数值调参'!R28&lt;0,'03_全链计算'!O58+1,0),IF('01_数值调参'!R29&lt;0,'03_全链计算'!P58+1,0),IF('01_数值调参'!R30&lt;0,'03_全链计算'!Q58+1,0),IF('01_数值调参'!R31&lt;0,'03_全链计算'!R58+1,0),IF('01_数值调参'!R32&lt;0,'03_全链计算'!S58+1,0),IF('01_数值调参'!R33&lt;0,'03_全链计算'!T58+1,0),IF('01_数值调参'!R34&lt;0,'03_全链计算'!U58+1,0),IF('01_数值调参'!R35&lt;0,'03_全链计算'!V58+1,0),IF('01_数值调参'!R36&lt;0,'03_全链计算'!W58+1,0),IF('01_数值调参'!R37&lt;0,'03_全链计算'!X58+1,0),IF('01_数值调参'!R38&lt;0,'03_全链计算'!Y58+1,0),IF('01_数值调参'!R39&lt;0,'03_全链计算'!Z58+1,0),IF('01_数值调参'!R40&lt;0,'03_全链计算'!AA58+1,0),IF('01_数值调参'!R41&lt;0,'03_全链计算'!AB58+1,0),IF('01_数值调参'!R42&lt;0,'03_全链计算'!AC58+1,0),IF('01_数值调参'!R43&lt;0,'03_全链计算'!AD58+1,0),IF('01_数值调参'!R44&lt;0,'03_全链计算'!AE58+1,0),IF('01_数值调参'!R45&lt;0,'03_全链计算'!AF58+1,0),IF('01_数值调参'!R46&lt;0,'03_全链计算'!AG58+1,0),IF('01_数值调参'!R47&lt;0,'03_全链计算'!AH58+1,0),IF('01_数值调参'!R48&lt;0,'03_全链计算'!AI58+1,0),IF('01_数值调参'!R49&lt;0,'03_全链计算'!AJ58+1,0),IF('01_数值调参'!R50&lt;0,'03_全链计算'!AK58+1,0),IF('01_数值调参'!R51&lt;0,'03_全链计算'!AL58+1,0),IF('01_数值调参'!R52&lt;0,'03_全链计算'!AM58+1,0))</x:f>
        <x:v>1</x:v>
      </x:c>
      <x:c r="S59" s="9" t="n">
        <x:f>MAX(IF('01_数值调参'!S18&lt;0,'03_全链计算'!E58+1,0),IF('01_数值调参'!S19&lt;0,'03_全链计算'!F58+1,0),IF('01_数值调参'!S20&lt;0,'03_全链计算'!G58+1,0),IF('01_数值调参'!S21&lt;0,'03_全链计算'!H58+1,0),IF('01_数值调参'!S22&lt;0,'03_全链计算'!I58+1,0),IF('01_数值调参'!S23&lt;0,'03_全链计算'!J58+1,0),IF('01_数值调参'!S24&lt;0,'03_全链计算'!K58+1,0),IF('01_数值调参'!S25&lt;0,'03_全链计算'!L58+1,0),IF('01_数值调参'!S26&lt;0,'03_全链计算'!M58+1,0),IF('01_数值调参'!S27&lt;0,'03_全链计算'!N58+1,0),IF('01_数值调参'!S28&lt;0,'03_全链计算'!O58+1,0),IF('01_数值调参'!S29&lt;0,'03_全链计算'!P58+1,0),IF('01_数值调参'!S30&lt;0,'03_全链计算'!Q58+1,0),IF('01_数值调参'!S31&lt;0,'03_全链计算'!R58+1,0),IF('01_数值调参'!S32&lt;0,'03_全链计算'!S58+1,0),IF('01_数值调参'!S33&lt;0,'03_全链计算'!T58+1,0),IF('01_数值调参'!S34&lt;0,'03_全链计算'!U58+1,0),IF('01_数值调参'!S35&lt;0,'03_全链计算'!V58+1,0),IF('01_数值调参'!S36&lt;0,'03_全链计算'!W58+1,0),IF('01_数值调参'!S37&lt;0,'03_全链计算'!X58+1,0),IF('01_数值调参'!S38&lt;0,'03_全链计算'!Y58+1,0),IF('01_数值调参'!S39&lt;0,'03_全链计算'!Z58+1,0),IF('01_数值调参'!S40&lt;0,'03_全链计算'!AA58+1,0),IF('01_数值调参'!S41&lt;0,'03_全链计算'!AB58+1,0),IF('01_数值调参'!S42&lt;0,'03_全链计算'!AC58+1,0),IF('01_数值调参'!S43&lt;0,'03_全链计算'!AD58+1,0),IF('01_数值调参'!S44&lt;0,'03_全链计算'!AE58+1,0),IF('01_数值调参'!S45&lt;0,'03_全链计算'!AF58+1,0),IF('01_数值调参'!S46&lt;0,'03_全链计算'!AG58+1,0),IF('01_数值调参'!S47&lt;0,'03_全链计算'!AH58+1,0),IF('01_数值调参'!S48&lt;0,'03_全链计算'!AI58+1,0),IF('01_数值调参'!S49&lt;0,'03_全链计算'!AJ58+1,0),IF('01_数值调参'!S50&lt;0,'03_全链计算'!AK58+1,0),IF('01_数值调参'!S51&lt;0,'03_全链计算'!AL58+1,0),IF('01_数值调参'!S52&lt;0,'03_全链计算'!AM58+1,0))</x:f>
        <x:v>1</x:v>
      </x:c>
      <x:c r="T59" s="9" t="n">
        <x:f>MAX(IF('01_数值调参'!T18&lt;0,'03_全链计算'!E58+1,0),IF('01_数值调参'!T19&lt;0,'03_全链计算'!F58+1,0),IF('01_数值调参'!T20&lt;0,'03_全链计算'!G58+1,0),IF('01_数值调参'!T21&lt;0,'03_全链计算'!H58+1,0),IF('01_数值调参'!T22&lt;0,'03_全链计算'!I58+1,0),IF('01_数值调参'!T23&lt;0,'03_全链计算'!J58+1,0),IF('01_数值调参'!T24&lt;0,'03_全链计算'!K58+1,0),IF('01_数值调参'!T25&lt;0,'03_全链计算'!L58+1,0),IF('01_数值调参'!T26&lt;0,'03_全链计算'!M58+1,0),IF('01_数值调参'!T27&lt;0,'03_全链计算'!N58+1,0),IF('01_数值调参'!T28&lt;0,'03_全链计算'!O58+1,0),IF('01_数值调参'!T29&lt;0,'03_全链计算'!P58+1,0),IF('01_数值调参'!T30&lt;0,'03_全链计算'!Q58+1,0),IF('01_数值调参'!T31&lt;0,'03_全链计算'!R58+1,0),IF('01_数值调参'!T32&lt;0,'03_全链计算'!S58+1,0),IF('01_数值调参'!T33&lt;0,'03_全链计算'!T58+1,0),IF('01_数值调参'!T34&lt;0,'03_全链计算'!U58+1,0),IF('01_数值调参'!T35&lt;0,'03_全链计算'!V58+1,0),IF('01_数值调参'!T36&lt;0,'03_全链计算'!W58+1,0),IF('01_数值调参'!T37&lt;0,'03_全链计算'!X58+1,0),IF('01_数值调参'!T38&lt;0,'03_全链计算'!Y58+1,0),IF('01_数值调参'!T39&lt;0,'03_全链计算'!Z58+1,0),IF('01_数值调参'!T40&lt;0,'03_全链计算'!AA58+1,0),IF('01_数值调参'!T41&lt;0,'03_全链计算'!AB58+1,0),IF('01_数值调参'!T42&lt;0,'03_全链计算'!AC58+1,0),IF('01_数值调参'!T43&lt;0,'03_全链计算'!AD58+1,0),IF('01_数值调参'!T44&lt;0,'03_全链计算'!AE58+1,0),IF('01_数值调参'!T45&lt;0,'03_全链计算'!AF58+1,0),IF('01_数值调参'!T46&lt;0,'03_全链计算'!AG58+1,0),IF('01_数值调参'!T47&lt;0,'03_全链计算'!AH58+1,0),IF('01_数值调参'!T48&lt;0,'03_全链计算'!AI58+1,0),IF('01_数值调参'!T49&lt;0,'03_全链计算'!AJ58+1,0),IF('01_数值调参'!T50&lt;0,'03_全链计算'!AK58+1,0),IF('01_数值调参'!T51&lt;0,'03_全链计算'!AL58+1,0),IF('01_数值调参'!T52&lt;0,'03_全链计算'!AM58+1,0))</x:f>
        <x:v>1</x:v>
      </x:c>
      <x:c r="U59" s="9" t="n">
        <x:f>MAX(IF('01_数值调参'!U18&lt;0,'03_全链计算'!E58+1,0),IF('01_数值调参'!U19&lt;0,'03_全链计算'!F58+1,0),IF('01_数值调参'!U20&lt;0,'03_全链计算'!G58+1,0),IF('01_数值调参'!U21&lt;0,'03_全链计算'!H58+1,0),IF('01_数值调参'!U22&lt;0,'03_全链计算'!I58+1,0),IF('01_数值调参'!U23&lt;0,'03_全链计算'!J58+1,0),IF('01_数值调参'!U24&lt;0,'03_全链计算'!K58+1,0),IF('01_数值调参'!U25&lt;0,'03_全链计算'!L58+1,0),IF('01_数值调参'!U26&lt;0,'03_全链计算'!M58+1,0),IF('01_数值调参'!U27&lt;0,'03_全链计算'!N58+1,0),IF('01_数值调参'!U28&lt;0,'03_全链计算'!O58+1,0),IF('01_数值调参'!U29&lt;0,'03_全链计算'!P58+1,0),IF('01_数值调参'!U30&lt;0,'03_全链计算'!Q58+1,0),IF('01_数值调参'!U31&lt;0,'03_全链计算'!R58+1,0),IF('01_数值调参'!U32&lt;0,'03_全链计算'!S58+1,0),IF('01_数值调参'!U33&lt;0,'03_全链计算'!T58+1,0),IF('01_数值调参'!U34&lt;0,'03_全链计算'!U58+1,0),IF('01_数值调参'!U35&lt;0,'03_全链计算'!V58+1,0),IF('01_数值调参'!U36&lt;0,'03_全链计算'!W58+1,0),IF('01_数值调参'!U37&lt;0,'03_全链计算'!X58+1,0),IF('01_数值调参'!U38&lt;0,'03_全链计算'!Y58+1,0),IF('01_数值调参'!U39&lt;0,'03_全链计算'!Z58+1,0),IF('01_数值调参'!U40&lt;0,'03_全链计算'!AA58+1,0),IF('01_数值调参'!U41&lt;0,'03_全链计算'!AB58+1,0),IF('01_数值调参'!U42&lt;0,'03_全链计算'!AC58+1,0),IF('01_数值调参'!U43&lt;0,'03_全链计算'!AD58+1,0),IF('01_数值调参'!U44&lt;0,'03_全链计算'!AE58+1,0),IF('01_数值调参'!U45&lt;0,'03_全链计算'!AF58+1,0),IF('01_数值调参'!U46&lt;0,'03_全链计算'!AG58+1,0),IF('01_数值调参'!U47&lt;0,'03_全链计算'!AH58+1,0),IF('01_数值调参'!U48&lt;0,'03_全链计算'!AI58+1,0),IF('01_数值调参'!U49&lt;0,'03_全链计算'!AJ58+1,0),IF('01_数值调参'!U50&lt;0,'03_全链计算'!AK58+1,0),IF('01_数值调参'!U51&lt;0,'03_全链计算'!AL58+1,0),IF('01_数值调参'!U52&lt;0,'03_全链计算'!AM58+1,0))</x:f>
        <x:v>1</x:v>
      </x:c>
      <x:c r="V59" s="9" t="n">
        <x:f>MAX(IF('01_数值调参'!V18&lt;0,'03_全链计算'!E58+1,0),IF('01_数值调参'!V19&lt;0,'03_全链计算'!F58+1,0),IF('01_数值调参'!V20&lt;0,'03_全链计算'!G58+1,0),IF('01_数值调参'!V21&lt;0,'03_全链计算'!H58+1,0),IF('01_数值调参'!V22&lt;0,'03_全链计算'!I58+1,0),IF('01_数值调参'!V23&lt;0,'03_全链计算'!J58+1,0),IF('01_数值调参'!V24&lt;0,'03_全链计算'!K58+1,0),IF('01_数值调参'!V25&lt;0,'03_全链计算'!L58+1,0),IF('01_数值调参'!V26&lt;0,'03_全链计算'!M58+1,0),IF('01_数值调参'!V27&lt;0,'03_全链计算'!N58+1,0),IF('01_数值调参'!V28&lt;0,'03_全链计算'!O58+1,0),IF('01_数值调参'!V29&lt;0,'03_全链计算'!P58+1,0),IF('01_数值调参'!V30&lt;0,'03_全链计算'!Q58+1,0),IF('01_数值调参'!V31&lt;0,'03_全链计算'!R58+1,0),IF('01_数值调参'!V32&lt;0,'03_全链计算'!S58+1,0),IF('01_数值调参'!V33&lt;0,'03_全链计算'!T58+1,0),IF('01_数值调参'!V34&lt;0,'03_全链计算'!U58+1,0),IF('01_数值调参'!V35&lt;0,'03_全链计算'!V58+1,0),IF('01_数值调参'!V36&lt;0,'03_全链计算'!W58+1,0),IF('01_数值调参'!V37&lt;0,'03_全链计算'!X58+1,0),IF('01_数值调参'!V38&lt;0,'03_全链计算'!Y58+1,0),IF('01_数值调参'!V39&lt;0,'03_全链计算'!Z58+1,0),IF('01_数值调参'!V40&lt;0,'03_全链计算'!AA58+1,0),IF('01_数值调参'!V41&lt;0,'03_全链计算'!AB58+1,0),IF('01_数值调参'!V42&lt;0,'03_全链计算'!AC58+1,0),IF('01_数值调参'!V43&lt;0,'03_全链计算'!AD58+1,0),IF('01_数值调参'!V44&lt;0,'03_全链计算'!AE58+1,0),IF('01_数值调参'!V45&lt;0,'03_全链计算'!AF58+1,0),IF('01_数值调参'!V46&lt;0,'03_全链计算'!AG58+1,0),IF('01_数值调参'!V47&lt;0,'03_全链计算'!AH58+1,0),IF('01_数值调参'!V48&lt;0,'03_全链计算'!AI58+1,0),IF('01_数值调参'!V49&lt;0,'03_全链计算'!AJ58+1,0),IF('01_数值调参'!V50&lt;0,'03_全链计算'!AK58+1,0),IF('01_数值调参'!V51&lt;0,'03_全链计算'!AL58+1,0),IF('01_数值调参'!V52&lt;0,'03_全链计算'!AM58+1,0))</x:f>
        <x:v>1</x:v>
      </x:c>
      <x:c r="W59" s="9" t="n">
        <x:f>MAX(IF('01_数值调参'!W18&lt;0,'03_全链计算'!E58+1,0),IF('01_数值调参'!W19&lt;0,'03_全链计算'!F58+1,0),IF('01_数值调参'!W20&lt;0,'03_全链计算'!G58+1,0),IF('01_数值调参'!W21&lt;0,'03_全链计算'!H58+1,0),IF('01_数值调参'!W22&lt;0,'03_全链计算'!I58+1,0),IF('01_数值调参'!W23&lt;0,'03_全链计算'!J58+1,0),IF('01_数值调参'!W24&lt;0,'03_全链计算'!K58+1,0),IF('01_数值调参'!W25&lt;0,'03_全链计算'!L58+1,0),IF('01_数值调参'!W26&lt;0,'03_全链计算'!M58+1,0),IF('01_数值调参'!W27&lt;0,'03_全链计算'!N58+1,0),IF('01_数值调参'!W28&lt;0,'03_全链计算'!O58+1,0),IF('01_数值调参'!W29&lt;0,'03_全链计算'!P58+1,0),IF('01_数值调参'!W30&lt;0,'03_全链计算'!Q58+1,0),IF('01_数值调参'!W31&lt;0,'03_全链计算'!R58+1,0),IF('01_数值调参'!W32&lt;0,'03_全链计算'!S58+1,0),IF('01_数值调参'!W33&lt;0,'03_全链计算'!T58+1,0),IF('01_数值调参'!W34&lt;0,'03_全链计算'!U58+1,0),IF('01_数值调参'!W35&lt;0,'03_全链计算'!V58+1,0),IF('01_数值调参'!W36&lt;0,'03_全链计算'!W58+1,0),IF('01_数值调参'!W37&lt;0,'03_全链计算'!X58+1,0),IF('01_数值调参'!W38&lt;0,'03_全链计算'!Y58+1,0),IF('01_数值调参'!W39&lt;0,'03_全链计算'!Z58+1,0),IF('01_数值调参'!W40&lt;0,'03_全链计算'!AA58+1,0),IF('01_数值调参'!W41&lt;0,'03_全链计算'!AB58+1,0),IF('01_数值调参'!W42&lt;0,'03_全链计算'!AC58+1,0),IF('01_数值调参'!W43&lt;0,'03_全链计算'!AD58+1,0),IF('01_数值调参'!W44&lt;0,'03_全链计算'!AE58+1,0),IF('01_数值调参'!W45&lt;0,'03_全链计算'!AF58+1,0),IF('01_数值调参'!W46&lt;0,'03_全链计算'!AG58+1,0),IF('01_数值调参'!W47&lt;0,'03_全链计算'!AH58+1,0),IF('01_数值调参'!W48&lt;0,'03_全链计算'!AI58+1,0),IF('01_数值调参'!W49&lt;0,'03_全链计算'!AJ58+1,0),IF('01_数值调参'!W50&lt;0,'03_全链计算'!AK58+1,0),IF('01_数值调参'!W51&lt;0,'03_全链计算'!AL58+1,0),IF('01_数值调参'!W52&lt;0,'03_全链计算'!AM58+1,0))</x:f>
        <x:v>1</x:v>
      </x:c>
      <x:c r="X59" s="9" t="n">
        <x:f>MAX(IF('01_数值调参'!X18&lt;0,'03_全链计算'!E58+1,0),IF('01_数值调参'!X19&lt;0,'03_全链计算'!F58+1,0),IF('01_数值调参'!X20&lt;0,'03_全链计算'!G58+1,0),IF('01_数值调参'!X21&lt;0,'03_全链计算'!H58+1,0),IF('01_数值调参'!X22&lt;0,'03_全链计算'!I58+1,0),IF('01_数值调参'!X23&lt;0,'03_全链计算'!J58+1,0),IF('01_数值调参'!X24&lt;0,'03_全链计算'!K58+1,0),IF('01_数值调参'!X25&lt;0,'03_全链计算'!L58+1,0),IF('01_数值调参'!X26&lt;0,'03_全链计算'!M58+1,0),IF('01_数值调参'!X27&lt;0,'03_全链计算'!N58+1,0),IF('01_数值调参'!X28&lt;0,'03_全链计算'!O58+1,0),IF('01_数值调参'!X29&lt;0,'03_全链计算'!P58+1,0),IF('01_数值调参'!X30&lt;0,'03_全链计算'!Q58+1,0),IF('01_数值调参'!X31&lt;0,'03_全链计算'!R58+1,0),IF('01_数值调参'!X32&lt;0,'03_全链计算'!S58+1,0),IF('01_数值调参'!X33&lt;0,'03_全链计算'!T58+1,0),IF('01_数值调参'!X34&lt;0,'03_全链计算'!U58+1,0),IF('01_数值调参'!X35&lt;0,'03_全链计算'!V58+1,0),IF('01_数值调参'!X36&lt;0,'03_全链计算'!W58+1,0),IF('01_数值调参'!X37&lt;0,'03_全链计算'!X58+1,0),IF('01_数值调参'!X38&lt;0,'03_全链计算'!Y58+1,0),IF('01_数值调参'!X39&lt;0,'03_全链计算'!Z58+1,0),IF('01_数值调参'!X40&lt;0,'03_全链计算'!AA58+1,0),IF('01_数值调参'!X41&lt;0,'03_全链计算'!AB58+1,0),IF('01_数值调参'!X42&lt;0,'03_全链计算'!AC58+1,0),IF('01_数值调参'!X43&lt;0,'03_全链计算'!AD58+1,0),IF('01_数值调参'!X44&lt;0,'03_全链计算'!AE58+1,0),IF('01_数值调参'!X45&lt;0,'03_全链计算'!AF58+1,0),IF('01_数值调参'!X46&lt;0,'03_全链计算'!AG58+1,0),IF('01_数值调参'!X47&lt;0,'03_全链计算'!AH58+1,0),IF('01_数值调参'!X48&lt;0,'03_全链计算'!AI58+1,0),IF('01_数值调参'!X49&lt;0,'03_全链计算'!AJ58+1,0),IF('01_数值调参'!X50&lt;0,'03_全链计算'!AK58+1,0),IF('01_数值调参'!X51&lt;0,'03_全链计算'!AL58+1,0),IF('01_数值调参'!X52&lt;0,'03_全链计算'!AM58+1,0))</x:f>
        <x:v>2</x:v>
      </x:c>
      <x:c r="Y59" s="9" t="n">
        <x:f>MAX(IF('01_数值调参'!Y18&lt;0,'03_全链计算'!E58+1,0),IF('01_数值调参'!Y19&lt;0,'03_全链计算'!F58+1,0),IF('01_数值调参'!Y20&lt;0,'03_全链计算'!G58+1,0),IF('01_数值调参'!Y21&lt;0,'03_全链计算'!H58+1,0),IF('01_数值调参'!Y22&lt;0,'03_全链计算'!I58+1,0),IF('01_数值调参'!Y23&lt;0,'03_全链计算'!J58+1,0),IF('01_数值调参'!Y24&lt;0,'03_全链计算'!K58+1,0),IF('01_数值调参'!Y25&lt;0,'03_全链计算'!L58+1,0),IF('01_数值调参'!Y26&lt;0,'03_全链计算'!M58+1,0),IF('01_数值调参'!Y27&lt;0,'03_全链计算'!N58+1,0),IF('01_数值调参'!Y28&lt;0,'03_全链计算'!O58+1,0),IF('01_数值调参'!Y29&lt;0,'03_全链计算'!P58+1,0),IF('01_数值调参'!Y30&lt;0,'03_全链计算'!Q58+1,0),IF('01_数值调参'!Y31&lt;0,'03_全链计算'!R58+1,0),IF('01_数值调参'!Y32&lt;0,'03_全链计算'!S58+1,0),IF('01_数值调参'!Y33&lt;0,'03_全链计算'!T58+1,0),IF('01_数值调参'!Y34&lt;0,'03_全链计算'!U58+1,0),IF('01_数值调参'!Y35&lt;0,'03_全链计算'!V58+1,0),IF('01_数值调参'!Y36&lt;0,'03_全链计算'!W58+1,0),IF('01_数值调参'!Y37&lt;0,'03_全链计算'!X58+1,0),IF('01_数值调参'!Y38&lt;0,'03_全链计算'!Y58+1,0),IF('01_数值调参'!Y39&lt;0,'03_全链计算'!Z58+1,0),IF('01_数值调参'!Y40&lt;0,'03_全链计算'!AA58+1,0),IF('01_数值调参'!Y41&lt;0,'03_全链计算'!AB58+1,0),IF('01_数值调参'!Y42&lt;0,'03_全链计算'!AC58+1,0),IF('01_数值调参'!Y43&lt;0,'03_全链计算'!AD58+1,0),IF('01_数值调参'!Y44&lt;0,'03_全链计算'!AE58+1,0),IF('01_数值调参'!Y45&lt;0,'03_全链计算'!AF58+1,0),IF('01_数值调参'!Y46&lt;0,'03_全链计算'!AG58+1,0),IF('01_数值调参'!Y47&lt;0,'03_全链计算'!AH58+1,0),IF('01_数值调参'!Y48&lt;0,'03_全链计算'!AI58+1,0),IF('01_数值调参'!Y49&lt;0,'03_全链计算'!AJ58+1,0),IF('01_数值调参'!Y50&lt;0,'03_全链计算'!AK58+1,0),IF('01_数值调参'!Y51&lt;0,'03_全链计算'!AL58+1,0),IF('01_数值调参'!Y52&lt;0,'03_全链计算'!AM58+1,0))</x:f>
        <x:v>2</x:v>
      </x:c>
      <x:c r="Z59" s="9" t="n">
        <x:f>MAX(IF('01_数值调参'!Z18&lt;0,'03_全链计算'!E58+1,0),IF('01_数值调参'!Z19&lt;0,'03_全链计算'!F58+1,0),IF('01_数值调参'!Z20&lt;0,'03_全链计算'!G58+1,0),IF('01_数值调参'!Z21&lt;0,'03_全链计算'!H58+1,0),IF('01_数值调参'!Z22&lt;0,'03_全链计算'!I58+1,0),IF('01_数值调参'!Z23&lt;0,'03_全链计算'!J58+1,0),IF('01_数值调参'!Z24&lt;0,'03_全链计算'!K58+1,0),IF('01_数值调参'!Z25&lt;0,'03_全链计算'!L58+1,0),IF('01_数值调参'!Z26&lt;0,'03_全链计算'!M58+1,0),IF('01_数值调参'!Z27&lt;0,'03_全链计算'!N58+1,0),IF('01_数值调参'!Z28&lt;0,'03_全链计算'!O58+1,0),IF('01_数值调参'!Z29&lt;0,'03_全链计算'!P58+1,0),IF('01_数值调参'!Z30&lt;0,'03_全链计算'!Q58+1,0),IF('01_数值调参'!Z31&lt;0,'03_全链计算'!R58+1,0),IF('01_数值调参'!Z32&lt;0,'03_全链计算'!S58+1,0),IF('01_数值调参'!Z33&lt;0,'03_全链计算'!T58+1,0),IF('01_数值调参'!Z34&lt;0,'03_全链计算'!U58+1,0),IF('01_数值调参'!Z35&lt;0,'03_全链计算'!V58+1,0),IF('01_数值调参'!Z36&lt;0,'03_全链计算'!W58+1,0),IF('01_数值调参'!Z37&lt;0,'03_全链计算'!X58+1,0),IF('01_数值调参'!Z38&lt;0,'03_全链计算'!Y58+1,0),IF('01_数值调参'!Z39&lt;0,'03_全链计算'!Z58+1,0),IF('01_数值调参'!Z40&lt;0,'03_全链计算'!AA58+1,0),IF('01_数值调参'!Z41&lt;0,'03_全链计算'!AB58+1,0),IF('01_数值调参'!Z42&lt;0,'03_全链计算'!AC58+1,0),IF('01_数值调参'!Z43&lt;0,'03_全链计算'!AD58+1,0),IF('01_数值调参'!Z44&lt;0,'03_全链计算'!AE58+1,0),IF('01_数值调参'!Z45&lt;0,'03_全链计算'!AF58+1,0),IF('01_数值调参'!Z46&lt;0,'03_全链计算'!AG58+1,0),IF('01_数值调参'!Z47&lt;0,'03_全链计算'!AH58+1,0),IF('01_数值调参'!Z48&lt;0,'03_全链计算'!AI58+1,0),IF('01_数值调参'!Z49&lt;0,'03_全链计算'!AJ58+1,0),IF('01_数值调参'!Z50&lt;0,'03_全链计算'!AK58+1,0),IF('01_数值调参'!Z51&lt;0,'03_全链计算'!AL58+1,0),IF('01_数值调参'!Z52&lt;0,'03_全链计算'!AM58+1,0))</x:f>
        <x:v>2</x:v>
      </x:c>
      <x:c r="AA59" s="9" t="n">
        <x:f>MAX(IF('01_数值调参'!AA18&lt;0,'03_全链计算'!E58+1,0),IF('01_数值调参'!AA19&lt;0,'03_全链计算'!F58+1,0),IF('01_数值调参'!AA20&lt;0,'03_全链计算'!G58+1,0),IF('01_数值调参'!AA21&lt;0,'03_全链计算'!H58+1,0),IF('01_数值调参'!AA22&lt;0,'03_全链计算'!I58+1,0),IF('01_数值调参'!AA23&lt;0,'03_全链计算'!J58+1,0),IF('01_数值调参'!AA24&lt;0,'03_全链计算'!K58+1,0),IF('01_数值调参'!AA25&lt;0,'03_全链计算'!L58+1,0),IF('01_数值调参'!AA26&lt;0,'03_全链计算'!M58+1,0),IF('01_数值调参'!AA27&lt;0,'03_全链计算'!N58+1,0),IF('01_数值调参'!AA28&lt;0,'03_全链计算'!O58+1,0),IF('01_数值调参'!AA29&lt;0,'03_全链计算'!P58+1,0),IF('01_数值调参'!AA30&lt;0,'03_全链计算'!Q58+1,0),IF('01_数值调参'!AA31&lt;0,'03_全链计算'!R58+1,0),IF('01_数值调参'!AA32&lt;0,'03_全链计算'!S58+1,0),IF('01_数值调参'!AA33&lt;0,'03_全链计算'!T58+1,0),IF('01_数值调参'!AA34&lt;0,'03_全链计算'!U58+1,0),IF('01_数值调参'!AA35&lt;0,'03_全链计算'!V58+1,0),IF('01_数值调参'!AA36&lt;0,'03_全链计算'!W58+1,0),IF('01_数值调参'!AA37&lt;0,'03_全链计算'!X58+1,0),IF('01_数值调参'!AA38&lt;0,'03_全链计算'!Y58+1,0),IF('01_数值调参'!AA39&lt;0,'03_全链计算'!Z58+1,0),IF('01_数值调参'!AA40&lt;0,'03_全链计算'!AA58+1,0),IF('01_数值调参'!AA41&lt;0,'03_全链计算'!AB58+1,0),IF('01_数值调参'!AA42&lt;0,'03_全链计算'!AC58+1,0),IF('01_数值调参'!AA43&lt;0,'03_全链计算'!AD58+1,0),IF('01_数值调参'!AA44&lt;0,'03_全链计算'!AE58+1,0),IF('01_数值调参'!AA45&lt;0,'03_全链计算'!AF58+1,0),IF('01_数值调参'!AA46&lt;0,'03_全链计算'!AG58+1,0),IF('01_数值调参'!AA47&lt;0,'03_全链计算'!AH58+1,0),IF('01_数值调参'!AA48&lt;0,'03_全链计算'!AI58+1,0),IF('01_数值调参'!AA49&lt;0,'03_全链计算'!AJ58+1,0),IF('01_数值调参'!AA50&lt;0,'03_全链计算'!AK58+1,0),IF('01_数值调参'!AA51&lt;0,'03_全链计算'!AL58+1,0),IF('01_数值调参'!AA52&lt;0,'03_全链计算'!AM58+1,0))</x:f>
        <x:v>2</x:v>
      </x:c>
      <x:c r="AB59" s="9" t="n">
        <x:f>MAX(IF('01_数值调参'!AB18&lt;0,'03_全链计算'!E58+1,0),IF('01_数值调参'!AB19&lt;0,'03_全链计算'!F58+1,0),IF('01_数值调参'!AB20&lt;0,'03_全链计算'!G58+1,0),IF('01_数值调参'!AB21&lt;0,'03_全链计算'!H58+1,0),IF('01_数值调参'!AB22&lt;0,'03_全链计算'!I58+1,0),IF('01_数值调参'!AB23&lt;0,'03_全链计算'!J58+1,0),IF('01_数值调参'!AB24&lt;0,'03_全链计算'!K58+1,0),IF('01_数值调参'!AB25&lt;0,'03_全链计算'!L58+1,0),IF('01_数值调参'!AB26&lt;0,'03_全链计算'!M58+1,0),IF('01_数值调参'!AB27&lt;0,'03_全链计算'!N58+1,0),IF('01_数值调参'!AB28&lt;0,'03_全链计算'!O58+1,0),IF('01_数值调参'!AB29&lt;0,'03_全链计算'!P58+1,0),IF('01_数值调参'!AB30&lt;0,'03_全链计算'!Q58+1,0),IF('01_数值调参'!AB31&lt;0,'03_全链计算'!R58+1,0),IF('01_数值调参'!AB32&lt;0,'03_全链计算'!S58+1,0),IF('01_数值调参'!AB33&lt;0,'03_全链计算'!T58+1,0),IF('01_数值调参'!AB34&lt;0,'03_全链计算'!U58+1,0),IF('01_数值调参'!AB35&lt;0,'03_全链计算'!V58+1,0),IF('01_数值调参'!AB36&lt;0,'03_全链计算'!W58+1,0),IF('01_数值调参'!AB37&lt;0,'03_全链计算'!X58+1,0),IF('01_数值调参'!AB38&lt;0,'03_全链计算'!Y58+1,0),IF('01_数值调参'!AB39&lt;0,'03_全链计算'!Z58+1,0),IF('01_数值调参'!AB40&lt;0,'03_全链计算'!AA58+1,0),IF('01_数值调参'!AB41&lt;0,'03_全链计算'!AB58+1,0),IF('01_数值调参'!AB42&lt;0,'03_全链计算'!AC58+1,0),IF('01_数值调参'!AB43&lt;0,'03_全链计算'!AD58+1,0),IF('01_数值调参'!AB44&lt;0,'03_全链计算'!AE58+1,0),IF('01_数值调参'!AB45&lt;0,'03_全链计算'!AF58+1,0),IF('01_数值调参'!AB46&lt;0,'03_全链计算'!AG58+1,0),IF('01_数值调参'!AB47&lt;0,'03_全链计算'!AH58+1,0),IF('01_数值调参'!AB48&lt;0,'03_全链计算'!AI58+1,0),IF('01_数值调参'!AB49&lt;0,'03_全链计算'!AJ58+1,0),IF('01_数值调参'!AB50&lt;0,'03_全链计算'!AK58+1,0),IF('01_数值调参'!AB51&lt;0,'03_全链计算'!AL58+1,0),IF('01_数值调参'!AB52&lt;0,'03_全链计算'!AM58+1,0))</x:f>
        <x:v>2</x:v>
      </x:c>
      <x:c r="AC59" s="9" t="n">
        <x:f>MAX(IF('01_数值调参'!AC18&lt;0,'03_全链计算'!E58+1,0),IF('01_数值调参'!AC19&lt;0,'03_全链计算'!F58+1,0),IF('01_数值调参'!AC20&lt;0,'03_全链计算'!G58+1,0),IF('01_数值调参'!AC21&lt;0,'03_全链计算'!H58+1,0),IF('01_数值调参'!AC22&lt;0,'03_全链计算'!I58+1,0),IF('01_数值调参'!AC23&lt;0,'03_全链计算'!J58+1,0),IF('01_数值调参'!AC24&lt;0,'03_全链计算'!K58+1,0),IF('01_数值调参'!AC25&lt;0,'03_全链计算'!L58+1,0),IF('01_数值调参'!AC26&lt;0,'03_全链计算'!M58+1,0),IF('01_数值调参'!AC27&lt;0,'03_全链计算'!N58+1,0),IF('01_数值调参'!AC28&lt;0,'03_全链计算'!O58+1,0),IF('01_数值调参'!AC29&lt;0,'03_全链计算'!P58+1,0),IF('01_数值调参'!AC30&lt;0,'03_全链计算'!Q58+1,0),IF('01_数值调参'!AC31&lt;0,'03_全链计算'!R58+1,0),IF('01_数值调参'!AC32&lt;0,'03_全链计算'!S58+1,0),IF('01_数值调参'!AC33&lt;0,'03_全链计算'!T58+1,0),IF('01_数值调参'!AC34&lt;0,'03_全链计算'!U58+1,0),IF('01_数值调参'!AC35&lt;0,'03_全链计算'!V58+1,0),IF('01_数值调参'!AC36&lt;0,'03_全链计算'!W58+1,0),IF('01_数值调参'!AC37&lt;0,'03_全链计算'!X58+1,0),IF('01_数值调参'!AC38&lt;0,'03_全链计算'!Y58+1,0),IF('01_数值调参'!AC39&lt;0,'03_全链计算'!Z58+1,0),IF('01_数值调参'!AC40&lt;0,'03_全链计算'!AA58+1,0),IF('01_数值调参'!AC41&lt;0,'03_全链计算'!AB58+1,0),IF('01_数值调参'!AC42&lt;0,'03_全链计算'!AC58+1,0),IF('01_数值调参'!AC43&lt;0,'03_全链计算'!AD58+1,0),IF('01_数值调参'!AC44&lt;0,'03_全链计算'!AE58+1,0),IF('01_数值调参'!AC45&lt;0,'03_全链计算'!AF58+1,0),IF('01_数值调参'!AC46&lt;0,'03_全链计算'!AG58+1,0),IF('01_数值调参'!AC47&lt;0,'03_全链计算'!AH58+1,0),IF('01_数值调参'!AC48&lt;0,'03_全链计算'!AI58+1,0),IF('01_数值调参'!AC49&lt;0,'03_全链计算'!AJ58+1,0),IF('01_数值调参'!AC50&lt;0,'03_全链计算'!AK58+1,0),IF('01_数值调参'!AC51&lt;0,'03_全链计算'!AL58+1,0),IF('01_数值调参'!AC52&lt;0,'03_全链计算'!AM58+1,0))</x:f>
        <x:v>2</x:v>
      </x:c>
      <x:c r="AD59" s="9" t="n">
        <x:f>MAX(IF('01_数值调参'!AD18&lt;0,'03_全链计算'!E58+1,0),IF('01_数值调参'!AD19&lt;0,'03_全链计算'!F58+1,0),IF('01_数值调参'!AD20&lt;0,'03_全链计算'!G58+1,0),IF('01_数值调参'!AD21&lt;0,'03_全链计算'!H58+1,0),IF('01_数值调参'!AD22&lt;0,'03_全链计算'!I58+1,0),IF('01_数值调参'!AD23&lt;0,'03_全链计算'!J58+1,0),IF('01_数值调参'!AD24&lt;0,'03_全链计算'!K58+1,0),IF('01_数值调参'!AD25&lt;0,'03_全链计算'!L58+1,0),IF('01_数值调参'!AD26&lt;0,'03_全链计算'!M58+1,0),IF('01_数值调参'!AD27&lt;0,'03_全链计算'!N58+1,0),IF('01_数值调参'!AD28&lt;0,'03_全链计算'!O58+1,0),IF('01_数值调参'!AD29&lt;0,'03_全链计算'!P58+1,0),IF('01_数值调参'!AD30&lt;0,'03_全链计算'!Q58+1,0),IF('01_数值调参'!AD31&lt;0,'03_全链计算'!R58+1,0),IF('01_数值调参'!AD32&lt;0,'03_全链计算'!S58+1,0),IF('01_数值调参'!AD33&lt;0,'03_全链计算'!T58+1,0),IF('01_数值调参'!AD34&lt;0,'03_全链计算'!U58+1,0),IF('01_数值调参'!AD35&lt;0,'03_全链计算'!V58+1,0),IF('01_数值调参'!AD36&lt;0,'03_全链计算'!W58+1,0),IF('01_数值调参'!AD37&lt;0,'03_全链计算'!X58+1,0),IF('01_数值调参'!AD38&lt;0,'03_全链计算'!Y58+1,0),IF('01_数值调参'!AD39&lt;0,'03_全链计算'!Z58+1,0),IF('01_数值调参'!AD40&lt;0,'03_全链计算'!AA58+1,0),IF('01_数值调参'!AD41&lt;0,'03_全链计算'!AB58+1,0),IF('01_数值调参'!AD42&lt;0,'03_全链计算'!AC58+1,0),IF('01_数值调参'!AD43&lt;0,'03_全链计算'!AD58+1,0),IF('01_数值调参'!AD44&lt;0,'03_全链计算'!AE58+1,0),IF('01_数值调参'!AD45&lt;0,'03_全链计算'!AF58+1,0),IF('01_数值调参'!AD46&lt;0,'03_全链计算'!AG58+1,0),IF('01_数值调参'!AD47&lt;0,'03_全链计算'!AH58+1,0),IF('01_数值调参'!AD48&lt;0,'03_全链计算'!AI58+1,0),IF('01_数值调参'!AD49&lt;0,'03_全链计算'!AJ58+1,0),IF('01_数值调参'!AD50&lt;0,'03_全链计算'!AK58+1,0),IF('01_数值调参'!AD51&lt;0,'03_全链计算'!AL58+1,0),IF('01_数值调参'!AD52&lt;0,'03_全链计算'!AM58+1,0))</x:f>
        <x:v>1</x:v>
      </x:c>
      <x:c r="AE59" s="9" t="n">
        <x:f>MAX(IF('01_数值调参'!AE18&lt;0,'03_全链计算'!E58+1,0),IF('01_数值调参'!AE19&lt;0,'03_全链计算'!F58+1,0),IF('01_数值调参'!AE20&lt;0,'03_全链计算'!G58+1,0),IF('01_数值调参'!AE21&lt;0,'03_全链计算'!H58+1,0),IF('01_数值调参'!AE22&lt;0,'03_全链计算'!I58+1,0),IF('01_数值调参'!AE23&lt;0,'03_全链计算'!J58+1,0),IF('01_数值调参'!AE24&lt;0,'03_全链计算'!K58+1,0),IF('01_数值调参'!AE25&lt;0,'03_全链计算'!L58+1,0),IF('01_数值调参'!AE26&lt;0,'03_全链计算'!M58+1,0),IF('01_数值调参'!AE27&lt;0,'03_全链计算'!N58+1,0),IF('01_数值调参'!AE28&lt;0,'03_全链计算'!O58+1,0),IF('01_数值调参'!AE29&lt;0,'03_全链计算'!P58+1,0),IF('01_数值调参'!AE30&lt;0,'03_全链计算'!Q58+1,0),IF('01_数值调参'!AE31&lt;0,'03_全链计算'!R58+1,0),IF('01_数值调参'!AE32&lt;0,'03_全链计算'!S58+1,0),IF('01_数值调参'!AE33&lt;0,'03_全链计算'!T58+1,0),IF('01_数值调参'!AE34&lt;0,'03_全链计算'!U58+1,0),IF('01_数值调参'!AE35&lt;0,'03_全链计算'!V58+1,0),IF('01_数值调参'!AE36&lt;0,'03_全链计算'!W58+1,0),IF('01_数值调参'!AE37&lt;0,'03_全链计算'!X58+1,0),IF('01_数值调参'!AE38&lt;0,'03_全链计算'!Y58+1,0),IF('01_数值调参'!AE39&lt;0,'03_全链计算'!Z58+1,0),IF('01_数值调参'!AE40&lt;0,'03_全链计算'!AA58+1,0),IF('01_数值调参'!AE41&lt;0,'03_全链计算'!AB58+1,0),IF('01_数值调参'!AE42&lt;0,'03_全链计算'!AC58+1,0),IF('01_数值调参'!AE43&lt;0,'03_全链计算'!AD58+1,0),IF('01_数值调参'!AE44&lt;0,'03_全链计算'!AE58+1,0),IF('01_数值调参'!AE45&lt;0,'03_全链计算'!AF58+1,0),IF('01_数值调参'!AE46&lt;0,'03_全链计算'!AG58+1,0),IF('01_数值调参'!AE47&lt;0,'03_全链计算'!AH58+1,0),IF('01_数值调参'!AE48&lt;0,'03_全链计算'!AI58+1,0),IF('01_数值调参'!AE49&lt;0,'03_全链计算'!AJ58+1,0),IF('01_数值调参'!AE50&lt;0,'03_全链计算'!AK58+1,0),IF('01_数值调参'!AE51&lt;0,'03_全链计算'!AL58+1,0),IF('01_数值调参'!AE52&lt;0,'03_全链计算'!AM58+1,0))</x:f>
        <x:v>1</x:v>
      </x:c>
      <x:c r="AF59" s="9" t="n">
        <x:f>MAX(IF('01_数值调参'!AF18&lt;0,'03_全链计算'!E58+1,0),IF('01_数值调参'!AF19&lt;0,'03_全链计算'!F58+1,0),IF('01_数值调参'!AF20&lt;0,'03_全链计算'!G58+1,0),IF('01_数值调参'!AF21&lt;0,'03_全链计算'!H58+1,0),IF('01_数值调参'!AF22&lt;0,'03_全链计算'!I58+1,0),IF('01_数值调参'!AF23&lt;0,'03_全链计算'!J58+1,0),IF('01_数值调参'!AF24&lt;0,'03_全链计算'!K58+1,0),IF('01_数值调参'!AF25&lt;0,'03_全链计算'!L58+1,0),IF('01_数值调参'!AF26&lt;0,'03_全链计算'!M58+1,0),IF('01_数值调参'!AF27&lt;0,'03_全链计算'!N58+1,0),IF('01_数值调参'!AF28&lt;0,'03_全链计算'!O58+1,0),IF('01_数值调参'!AF29&lt;0,'03_全链计算'!P58+1,0),IF('01_数值调参'!AF30&lt;0,'03_全链计算'!Q58+1,0),IF('01_数值调参'!AF31&lt;0,'03_全链计算'!R58+1,0),IF('01_数值调参'!AF32&lt;0,'03_全链计算'!S58+1,0),IF('01_数值调参'!AF33&lt;0,'03_全链计算'!T58+1,0),IF('01_数值调参'!AF34&lt;0,'03_全链计算'!U58+1,0),IF('01_数值调参'!AF35&lt;0,'03_全链计算'!V58+1,0),IF('01_数值调参'!AF36&lt;0,'03_全链计算'!W58+1,0),IF('01_数值调参'!AF37&lt;0,'03_全链计算'!X58+1,0),IF('01_数值调参'!AF38&lt;0,'03_全链计算'!Y58+1,0),IF('01_数值调参'!AF39&lt;0,'03_全链计算'!Z58+1,0),IF('01_数值调参'!AF40&lt;0,'03_全链计算'!AA58+1,0),IF('01_数值调参'!AF41&lt;0,'03_全链计算'!AB58+1,0),IF('01_数值调参'!AF42&lt;0,'03_全链计算'!AC58+1,0),IF('01_数值调参'!AF43&lt;0,'03_全链计算'!AD58+1,0),IF('01_数值调参'!AF44&lt;0,'03_全链计算'!AE58+1,0),IF('01_数值调参'!AF45&lt;0,'03_全链计算'!AF58+1,0),IF('01_数值调参'!AF46&lt;0,'03_全链计算'!AG58+1,0),IF('01_数值调参'!AF47&lt;0,'03_全链计算'!AH58+1,0),IF('01_数值调参'!AF48&lt;0,'03_全链计算'!AI58+1,0),IF('01_数值调参'!AF49&lt;0,'03_全链计算'!AJ58+1,0),IF('01_数值调参'!AF50&lt;0,'03_全链计算'!AK58+1,0),IF('01_数值调参'!AF51&lt;0,'03_全链计算'!AL58+1,0),IF('01_数值调参'!AF52&lt;0,'03_全链计算'!AM58+1,0))</x:f>
        <x:v>1</x:v>
      </x:c>
      <x:c r="AG59" s="9" t="n">
        <x:f>MAX(IF('01_数值调参'!AG18&lt;0,'03_全链计算'!E58+1,0),IF('01_数值调参'!AG19&lt;0,'03_全链计算'!F58+1,0),IF('01_数值调参'!AG20&lt;0,'03_全链计算'!G58+1,0),IF('01_数值调参'!AG21&lt;0,'03_全链计算'!H58+1,0),IF('01_数值调参'!AG22&lt;0,'03_全链计算'!I58+1,0),IF('01_数值调参'!AG23&lt;0,'03_全链计算'!J58+1,0),IF('01_数值调参'!AG24&lt;0,'03_全链计算'!K58+1,0),IF('01_数值调参'!AG25&lt;0,'03_全链计算'!L58+1,0),IF('01_数值调参'!AG26&lt;0,'03_全链计算'!M58+1,0),IF('01_数值调参'!AG27&lt;0,'03_全链计算'!N58+1,0),IF('01_数值调参'!AG28&lt;0,'03_全链计算'!O58+1,0),IF('01_数值调参'!AG29&lt;0,'03_全链计算'!P58+1,0),IF('01_数值调参'!AG30&lt;0,'03_全链计算'!Q58+1,0),IF('01_数值调参'!AG31&lt;0,'03_全链计算'!R58+1,0),IF('01_数值调参'!AG32&lt;0,'03_全链计算'!S58+1,0),IF('01_数值调参'!AG33&lt;0,'03_全链计算'!T58+1,0),IF('01_数值调参'!AG34&lt;0,'03_全链计算'!U58+1,0),IF('01_数值调参'!AG35&lt;0,'03_全链计算'!V58+1,0),IF('01_数值调参'!AG36&lt;0,'03_全链计算'!W58+1,0),IF('01_数值调参'!AG37&lt;0,'03_全链计算'!X58+1,0),IF('01_数值调参'!AG38&lt;0,'03_全链计算'!Y58+1,0),IF('01_数值调参'!AG39&lt;0,'03_全链计算'!Z58+1,0),IF('01_数值调参'!AG40&lt;0,'03_全链计算'!AA58+1,0),IF('01_数值调参'!AG41&lt;0,'03_全链计算'!AB58+1,0),IF('01_数值调参'!AG42&lt;0,'03_全链计算'!AC58+1,0),IF('01_数值调参'!AG43&lt;0,'03_全链计算'!AD58+1,0),IF('01_数值调参'!AG44&lt;0,'03_全链计算'!AE58+1,0),IF('01_数值调参'!AG45&lt;0,'03_全链计算'!AF58+1,0),IF('01_数值调参'!AG46&lt;0,'03_全链计算'!AG58+1,0),IF('01_数值调参'!AG47&lt;0,'03_全链计算'!AH58+1,0),IF('01_数值调参'!AG48&lt;0,'03_全链计算'!AI58+1,0),IF('01_数值调参'!AG49&lt;0,'03_全链计算'!AJ58+1,0),IF('01_数值调参'!AG50&lt;0,'03_全链计算'!AK58+1,0),IF('01_数值调参'!AG51&lt;0,'03_全链计算'!AL58+1,0),IF('01_数值调参'!AG52&lt;0,'03_全链计算'!AM58+1,0))</x:f>
        <x:v>1</x:v>
      </x:c>
      <x:c r="AH59" s="9" t="n">
        <x:f>MAX(IF('01_数值调参'!AH18&lt;0,'03_全链计算'!E58+1,0),IF('01_数值调参'!AH19&lt;0,'03_全链计算'!F58+1,0),IF('01_数值调参'!AH20&lt;0,'03_全链计算'!G58+1,0),IF('01_数值调参'!AH21&lt;0,'03_全链计算'!H58+1,0),IF('01_数值调参'!AH22&lt;0,'03_全链计算'!I58+1,0),IF('01_数值调参'!AH23&lt;0,'03_全链计算'!J58+1,0),IF('01_数值调参'!AH24&lt;0,'03_全链计算'!K58+1,0),IF('01_数值调参'!AH25&lt;0,'03_全链计算'!L58+1,0),IF('01_数值调参'!AH26&lt;0,'03_全链计算'!M58+1,0),IF('01_数值调参'!AH27&lt;0,'03_全链计算'!N58+1,0),IF('01_数值调参'!AH28&lt;0,'03_全链计算'!O58+1,0),IF('01_数值调参'!AH29&lt;0,'03_全链计算'!P58+1,0),IF('01_数值调参'!AH30&lt;0,'03_全链计算'!Q58+1,0),IF('01_数值调参'!AH31&lt;0,'03_全链计算'!R58+1,0),IF('01_数值调参'!AH32&lt;0,'03_全链计算'!S58+1,0),IF('01_数值调参'!AH33&lt;0,'03_全链计算'!T58+1,0),IF('01_数值调参'!AH34&lt;0,'03_全链计算'!U58+1,0),IF('01_数值调参'!AH35&lt;0,'03_全链计算'!V58+1,0),IF('01_数值调参'!AH36&lt;0,'03_全链计算'!W58+1,0),IF('01_数值调参'!AH37&lt;0,'03_全链计算'!X58+1,0),IF('01_数值调参'!AH38&lt;0,'03_全链计算'!Y58+1,0),IF('01_数值调参'!AH39&lt;0,'03_全链计算'!Z58+1,0),IF('01_数值调参'!AH40&lt;0,'03_全链计算'!AA58+1,0),IF('01_数值调参'!AH41&lt;0,'03_全链计算'!AB58+1,0),IF('01_数值调参'!AH42&lt;0,'03_全链计算'!AC58+1,0),IF('01_数值调参'!AH43&lt;0,'03_全链计算'!AD58+1,0),IF('01_数值调参'!AH44&lt;0,'03_全链计算'!AE58+1,0),IF('01_数值调参'!AH45&lt;0,'03_全链计算'!AF58+1,0),IF('01_数值调参'!AH46&lt;0,'03_全链计算'!AG58+1,0),IF('01_数值调参'!AH47&lt;0,'03_全链计算'!AH58+1,0),IF('01_数值调参'!AH48&lt;0,'03_全链计算'!AI58+1,0),IF('01_数值调参'!AH49&lt;0,'03_全链计算'!AJ58+1,0),IF('01_数值调参'!AH50&lt;0,'03_全链计算'!AK58+1,0),IF('01_数值调参'!AH51&lt;0,'03_全链计算'!AL58+1,0),IF('01_数值调参'!AH52&lt;0,'03_全链计算'!AM58+1,0))</x:f>
        <x:v>2</x:v>
      </x:c>
      <x:c r="AI59" s="9" t="n">
        <x:f>MAX(IF('01_数值调参'!AI18&lt;0,'03_全链计算'!E58+1,0),IF('01_数值调参'!AI19&lt;0,'03_全链计算'!F58+1,0),IF('01_数值调参'!AI20&lt;0,'03_全链计算'!G58+1,0),IF('01_数值调参'!AI21&lt;0,'03_全链计算'!H58+1,0),IF('01_数值调参'!AI22&lt;0,'03_全链计算'!I58+1,0),IF('01_数值调参'!AI23&lt;0,'03_全链计算'!J58+1,0),IF('01_数值调参'!AI24&lt;0,'03_全链计算'!K58+1,0),IF('01_数值调参'!AI25&lt;0,'03_全链计算'!L58+1,0),IF('01_数值调参'!AI26&lt;0,'03_全链计算'!M58+1,0),IF('01_数值调参'!AI27&lt;0,'03_全链计算'!N58+1,0),IF('01_数值调参'!AI28&lt;0,'03_全链计算'!O58+1,0),IF('01_数值调参'!AI29&lt;0,'03_全链计算'!P58+1,0),IF('01_数值调参'!AI30&lt;0,'03_全链计算'!Q58+1,0),IF('01_数值调参'!AI31&lt;0,'03_全链计算'!R58+1,0),IF('01_数值调参'!AI32&lt;0,'03_全链计算'!S58+1,0),IF('01_数值调参'!AI33&lt;0,'03_全链计算'!T58+1,0),IF('01_数值调参'!AI34&lt;0,'03_全链计算'!U58+1,0),IF('01_数值调参'!AI35&lt;0,'03_全链计算'!V58+1,0),IF('01_数值调参'!AI36&lt;0,'03_全链计算'!W58+1,0),IF('01_数值调参'!AI37&lt;0,'03_全链计算'!X58+1,0),IF('01_数值调参'!AI38&lt;0,'03_全链计算'!Y58+1,0),IF('01_数值调参'!AI39&lt;0,'03_全链计算'!Z58+1,0),IF('01_数值调参'!AI40&lt;0,'03_全链计算'!AA58+1,0),IF('01_数值调参'!AI41&lt;0,'03_全链计算'!AB58+1,0),IF('01_数值调参'!AI42&lt;0,'03_全链计算'!AC58+1,0),IF('01_数值调参'!AI43&lt;0,'03_全链计算'!AD58+1,0),IF('01_数值调参'!AI44&lt;0,'03_全链计算'!AE58+1,0),IF('01_数值调参'!AI45&lt;0,'03_全链计算'!AF58+1,0),IF('01_数值调参'!AI46&lt;0,'03_全链计算'!AG58+1,0),IF('01_数值调参'!AI47&lt;0,'03_全链计算'!AH58+1,0),IF('01_数值调参'!AI48&lt;0,'03_全链计算'!AI58+1,0),IF('01_数值调参'!AI49&lt;0,'03_全链计算'!AJ58+1,0),IF('01_数值调参'!AI50&lt;0,'03_全链计算'!AK58+1,0),IF('01_数值调参'!AI51&lt;0,'03_全链计算'!AL58+1,0),IF('01_数值调参'!AI52&lt;0,'03_全链计算'!AM58+1,0))</x:f>
        <x:v>2</x:v>
      </x:c>
      <x:c r="AJ59" s="9" t="n">
        <x:f>MAX(IF('01_数值调参'!AJ18&lt;0,'03_全链计算'!E58+1,0),IF('01_数值调参'!AJ19&lt;0,'03_全链计算'!F58+1,0),IF('01_数值调参'!AJ20&lt;0,'03_全链计算'!G58+1,0),IF('01_数值调参'!AJ21&lt;0,'03_全链计算'!H58+1,0),IF('01_数值调参'!AJ22&lt;0,'03_全链计算'!I58+1,0),IF('01_数值调参'!AJ23&lt;0,'03_全链计算'!J58+1,0),IF('01_数值调参'!AJ24&lt;0,'03_全链计算'!K58+1,0),IF('01_数值调参'!AJ25&lt;0,'03_全链计算'!L58+1,0),IF('01_数值调参'!AJ26&lt;0,'03_全链计算'!M58+1,0),IF('01_数值调参'!AJ27&lt;0,'03_全链计算'!N58+1,0),IF('01_数值调参'!AJ28&lt;0,'03_全链计算'!O58+1,0),IF('01_数值调参'!AJ29&lt;0,'03_全链计算'!P58+1,0),IF('01_数值调参'!AJ30&lt;0,'03_全链计算'!Q58+1,0),IF('01_数值调参'!AJ31&lt;0,'03_全链计算'!R58+1,0),IF('01_数值调参'!AJ32&lt;0,'03_全链计算'!S58+1,0),IF('01_数值调参'!AJ33&lt;0,'03_全链计算'!T58+1,0),IF('01_数值调参'!AJ34&lt;0,'03_全链计算'!U58+1,0),IF('01_数值调参'!AJ35&lt;0,'03_全链计算'!V58+1,0),IF('01_数值调参'!AJ36&lt;0,'03_全链计算'!W58+1,0),IF('01_数值调参'!AJ37&lt;0,'03_全链计算'!X58+1,0),IF('01_数值调参'!AJ38&lt;0,'03_全链计算'!Y58+1,0),IF('01_数值调参'!AJ39&lt;0,'03_全链计算'!Z58+1,0),IF('01_数值调参'!AJ40&lt;0,'03_全链计算'!AA58+1,0),IF('01_数值调参'!AJ41&lt;0,'03_全链计算'!AB58+1,0),IF('01_数值调参'!AJ42&lt;0,'03_全链计算'!AC58+1,0),IF('01_数值调参'!AJ43&lt;0,'03_全链计算'!AD58+1,0),IF('01_数值调参'!AJ44&lt;0,'03_全链计算'!AE58+1,0),IF('01_数值调参'!AJ45&lt;0,'03_全链计算'!AF58+1,0),IF('01_数值调参'!AJ46&lt;0,'03_全链计算'!AG58+1,0),IF('01_数值调参'!AJ47&lt;0,'03_全链计算'!AH58+1,0),IF('01_数值调参'!AJ48&lt;0,'03_全链计算'!AI58+1,0),IF('01_数值调参'!AJ49&lt;0,'03_全链计算'!AJ58+1,0),IF('01_数值调参'!AJ50&lt;0,'03_全链计算'!AK58+1,0),IF('01_数值调参'!AJ51&lt;0,'03_全链计算'!AL58+1,0),IF('01_数值调参'!AJ52&lt;0,'03_全链计算'!AM58+1,0))</x:f>
        <x:v>2</x:v>
      </x:c>
      <x:c r="AK59" s="9" t="n">
        <x:f>MAX(IF('01_数值调参'!AK18&lt;0,'03_全链计算'!E58+1,0),IF('01_数值调参'!AK19&lt;0,'03_全链计算'!F58+1,0),IF('01_数值调参'!AK20&lt;0,'03_全链计算'!G58+1,0),IF('01_数值调参'!AK21&lt;0,'03_全链计算'!H58+1,0),IF('01_数值调参'!AK22&lt;0,'03_全链计算'!I58+1,0),IF('01_数值调参'!AK23&lt;0,'03_全链计算'!J58+1,0),IF('01_数值调参'!AK24&lt;0,'03_全链计算'!K58+1,0),IF('01_数值调参'!AK25&lt;0,'03_全链计算'!L58+1,0),IF('01_数值调参'!AK26&lt;0,'03_全链计算'!M58+1,0),IF('01_数值调参'!AK27&lt;0,'03_全链计算'!N58+1,0),IF('01_数值调参'!AK28&lt;0,'03_全链计算'!O58+1,0),IF('01_数值调参'!AK29&lt;0,'03_全链计算'!P58+1,0),IF('01_数值调参'!AK30&lt;0,'03_全链计算'!Q58+1,0),IF('01_数值调参'!AK31&lt;0,'03_全链计算'!R58+1,0),IF('01_数值调参'!AK32&lt;0,'03_全链计算'!S58+1,0),IF('01_数值调参'!AK33&lt;0,'03_全链计算'!T58+1,0),IF('01_数值调参'!AK34&lt;0,'03_全链计算'!U58+1,0),IF('01_数值调参'!AK35&lt;0,'03_全链计算'!V58+1,0),IF('01_数值调参'!AK36&lt;0,'03_全链计算'!W58+1,0),IF('01_数值调参'!AK37&lt;0,'03_全链计算'!X58+1,0),IF('01_数值调参'!AK38&lt;0,'03_全链计算'!Y58+1,0),IF('01_数值调参'!AK39&lt;0,'03_全链计算'!Z58+1,0),IF('01_数值调参'!AK40&lt;0,'03_全链计算'!AA58+1,0),IF('01_数值调参'!AK41&lt;0,'03_全链计算'!AB58+1,0),IF('01_数值调参'!AK42&lt;0,'03_全链计算'!AC58+1,0),IF('01_数值调参'!AK43&lt;0,'03_全链计算'!AD58+1,0),IF('01_数值调参'!AK44&lt;0,'03_全链计算'!AE58+1,0),IF('01_数值调参'!AK45&lt;0,'03_全链计算'!AF58+1,0),IF('01_数值调参'!AK46&lt;0,'03_全链计算'!AG58+1,0),IF('01_数值调参'!AK47&lt;0,'03_全链计算'!AH58+1,0),IF('01_数值调参'!AK48&lt;0,'03_全链计算'!AI58+1,0),IF('01_数值调参'!AK49&lt;0,'03_全链计算'!AJ58+1,0),IF('01_数值调参'!AK50&lt;0,'03_全链计算'!AK58+1,0),IF('01_数值调参'!AK51&lt;0,'03_全链计算'!AL58+1,0),IF('01_数值调参'!AK52&lt;0,'03_全链计算'!AM58+1,0))</x:f>
        <x:v>2</x:v>
      </x:c>
      <x:c r="AL59" s="9" t="n">
        <x:f>MAX(IF('01_数值调参'!AL18&lt;0,'03_全链计算'!E58+1,0),IF('01_数值调参'!AL19&lt;0,'03_全链计算'!F58+1,0),IF('01_数值调参'!AL20&lt;0,'03_全链计算'!G58+1,0),IF('01_数值调参'!AL21&lt;0,'03_全链计算'!H58+1,0),IF('01_数值调参'!AL22&lt;0,'03_全链计算'!I58+1,0),IF('01_数值调参'!AL23&lt;0,'03_全链计算'!J58+1,0),IF('01_数值调参'!AL24&lt;0,'03_全链计算'!K58+1,0),IF('01_数值调参'!AL25&lt;0,'03_全链计算'!L58+1,0),IF('01_数值调参'!AL26&lt;0,'03_全链计算'!M58+1,0),IF('01_数值调参'!AL27&lt;0,'03_全链计算'!N58+1,0),IF('01_数值调参'!AL28&lt;0,'03_全链计算'!O58+1,0),IF('01_数值调参'!AL29&lt;0,'03_全链计算'!P58+1,0),IF('01_数值调参'!AL30&lt;0,'03_全链计算'!Q58+1,0),IF('01_数值调参'!AL31&lt;0,'03_全链计算'!R58+1,0),IF('01_数值调参'!AL32&lt;0,'03_全链计算'!S58+1,0),IF('01_数值调参'!AL33&lt;0,'03_全链计算'!T58+1,0),IF('01_数值调参'!AL34&lt;0,'03_全链计算'!U58+1,0),IF('01_数值调参'!AL35&lt;0,'03_全链计算'!V58+1,0),IF('01_数值调参'!AL36&lt;0,'03_全链计算'!W58+1,0),IF('01_数值调参'!AL37&lt;0,'03_全链计算'!X58+1,0),IF('01_数值调参'!AL38&lt;0,'03_全链计算'!Y58+1,0),IF('01_数值调参'!AL39&lt;0,'03_全链计算'!Z58+1,0),IF('01_数值调参'!AL40&lt;0,'03_全链计算'!AA58+1,0),IF('01_数值调参'!AL41&lt;0,'03_全链计算'!AB58+1,0),IF('01_数值调参'!AL42&lt;0,'03_全链计算'!AC58+1,0),IF('01_数值调参'!AL43&lt;0,'03_全链计算'!AD58+1,0),IF('01_数值调参'!AL44&lt;0,'03_全链计算'!AE58+1,0),IF('01_数值调参'!AL45&lt;0,'03_全链计算'!AF58+1,0),IF('01_数值调参'!AL46&lt;0,'03_全链计算'!AG58+1,0),IF('01_数值调参'!AL47&lt;0,'03_全链计算'!AH58+1,0),IF('01_数值调参'!AL48&lt;0,'03_全链计算'!AI58+1,0),IF('01_数值调参'!AL49&lt;0,'03_全链计算'!AJ58+1,0),IF('01_数值调参'!AL50&lt;0,'03_全链计算'!AK58+1,0),IF('01_数值调参'!AL51&lt;0,'03_全链计算'!AL58+1,0),IF('01_数值调参'!AL52&lt;0,'03_全链计算'!AM58+1,0))</x:f>
        <x:v>3</x:v>
      </x:c>
      <x:c r="AM59" s="9" t="n">
        <x:f>MAX(IF('01_数值调参'!AM18&lt;0,'03_全链计算'!E58+1,0),IF('01_数值调参'!AM19&lt;0,'03_全链计算'!F58+1,0),IF('01_数值调参'!AM20&lt;0,'03_全链计算'!G58+1,0),IF('01_数值调参'!AM21&lt;0,'03_全链计算'!H58+1,0),IF('01_数值调参'!AM22&lt;0,'03_全链计算'!I58+1,0),IF('01_数值调参'!AM23&lt;0,'03_全链计算'!J58+1,0),IF('01_数值调参'!AM24&lt;0,'03_全链计算'!K58+1,0),IF('01_数值调参'!AM25&lt;0,'03_全链计算'!L58+1,0),IF('01_数值调参'!AM26&lt;0,'03_全链计算'!M58+1,0),IF('01_数值调参'!AM27&lt;0,'03_全链计算'!N58+1,0),IF('01_数值调参'!AM28&lt;0,'03_全链计算'!O58+1,0),IF('01_数值调参'!AM29&lt;0,'03_全链计算'!P58+1,0),IF('01_数值调参'!AM30&lt;0,'03_全链计算'!Q58+1,0),IF('01_数值调参'!AM31&lt;0,'03_全链计算'!R58+1,0),IF('01_数值调参'!AM32&lt;0,'03_全链计算'!S58+1,0),IF('01_数值调参'!AM33&lt;0,'03_全链计算'!T58+1,0),IF('01_数值调参'!AM34&lt;0,'03_全链计算'!U58+1,0),IF('01_数值调参'!AM35&lt;0,'03_全链计算'!V58+1,0),IF('01_数值调参'!AM36&lt;0,'03_全链计算'!W58+1,0),IF('01_数值调参'!AM37&lt;0,'03_全链计算'!X58+1,0),IF('01_数值调参'!AM38&lt;0,'03_全链计算'!Y58+1,0),IF('01_数值调参'!AM39&lt;0,'03_全链计算'!Z58+1,0),IF('01_数值调参'!AM40&lt;0,'03_全链计算'!AA58+1,0),IF('01_数值调参'!AM41&lt;0,'03_全链计算'!AB58+1,0),IF('01_数值调参'!AM42&lt;0,'03_全链计算'!AC58+1,0),IF('01_数值调参'!AM43&lt;0,'03_全链计算'!AD58+1,0),IF('01_数值调参'!AM44&lt;0,'03_全链计算'!AE58+1,0),IF('01_数值调参'!AM45&lt;0,'03_全链计算'!AF58+1,0),IF('01_数值调参'!AM46&lt;0,'03_全链计算'!AG58+1,0),IF('01_数值调参'!AM47&lt;0,'03_全链计算'!AH58+1,0),IF('01_数值调参'!AM48&lt;0,'03_全链计算'!AI58+1,0),IF('01_数值调参'!AM49&lt;0,'03_全链计算'!AJ58+1,0),IF('01_数值调参'!AM50&lt;0,'03_全链计算'!AK58+1,0),IF('01_数值调参'!AM51&lt;0,'03_全链计算'!AL58+1,0),IF('01_数值调参'!AM52&lt;0,'03_全链计算'!AM58+1,0))</x:f>
        <x:v>3</x:v>
      </x:c>
    </x:row>
    <x:row r="60" ht="22" customHeight="1">
      <x:c r="A60" s="9" t="n">
        <x:v>15</x:v>
      </x:c>
      <x:c r="B60" s="9"/>
      <x:c r="C60" s="9"/>
      <x:c r="D60" s="9"/>
      <x:c r="E60" s="9" t="n">
        <x:f>MAX(IF('01_数值调参'!E18&lt;0,'03_全链计算'!E59+1,0),IF('01_数值调参'!E19&lt;0,'03_全链计算'!F59+1,0),IF('01_数值调参'!E20&lt;0,'03_全链计算'!G59+1,0),IF('01_数值调参'!E21&lt;0,'03_全链计算'!H59+1,0),IF('01_数值调参'!E22&lt;0,'03_全链计算'!I59+1,0),IF('01_数值调参'!E23&lt;0,'03_全链计算'!J59+1,0),IF('01_数值调参'!E24&lt;0,'03_全链计算'!K59+1,0),IF('01_数值调参'!E25&lt;0,'03_全链计算'!L59+1,0),IF('01_数值调参'!E26&lt;0,'03_全链计算'!M59+1,0),IF('01_数值调参'!E27&lt;0,'03_全链计算'!N59+1,0),IF('01_数值调参'!E28&lt;0,'03_全链计算'!O59+1,0),IF('01_数值调参'!E29&lt;0,'03_全链计算'!P59+1,0),IF('01_数值调参'!E30&lt;0,'03_全链计算'!Q59+1,0),IF('01_数值调参'!E31&lt;0,'03_全链计算'!R59+1,0),IF('01_数值调参'!E32&lt;0,'03_全链计算'!S59+1,0),IF('01_数值调参'!E33&lt;0,'03_全链计算'!T59+1,0),IF('01_数值调参'!E34&lt;0,'03_全链计算'!U59+1,0),IF('01_数值调参'!E35&lt;0,'03_全链计算'!V59+1,0),IF('01_数值调参'!E36&lt;0,'03_全链计算'!W59+1,0),IF('01_数值调参'!E37&lt;0,'03_全链计算'!X59+1,0),IF('01_数值调参'!E38&lt;0,'03_全链计算'!Y59+1,0),IF('01_数值调参'!E39&lt;0,'03_全链计算'!Z59+1,0),IF('01_数值调参'!E40&lt;0,'03_全链计算'!AA59+1,0),IF('01_数值调参'!E41&lt;0,'03_全链计算'!AB59+1,0),IF('01_数值调参'!E42&lt;0,'03_全链计算'!AC59+1,0),IF('01_数值调参'!E43&lt;0,'03_全链计算'!AD59+1,0),IF('01_数值调参'!E44&lt;0,'03_全链计算'!AE59+1,0),IF('01_数值调参'!E45&lt;0,'03_全链计算'!AF59+1,0),IF('01_数值调参'!E46&lt;0,'03_全链计算'!AG59+1,0),IF('01_数值调参'!E47&lt;0,'03_全链计算'!AH59+1,0),IF('01_数值调参'!E48&lt;0,'03_全链计算'!AI59+1,0),IF('01_数值调参'!E49&lt;0,'03_全链计算'!AJ59+1,0),IF('01_数值调参'!E50&lt;0,'03_全链计算'!AK59+1,0),IF('01_数值调参'!E51&lt;0,'03_全链计算'!AL59+1,0),IF('01_数值调参'!E52&lt;0,'03_全链计算'!AM59+1,0))</x:f>
        <x:v>0</x:v>
      </x:c>
      <x:c r="F60" s="9" t="n">
        <x:f>MAX(IF('01_数值调参'!F18&lt;0,'03_全链计算'!E59+1,0),IF('01_数值调参'!F19&lt;0,'03_全链计算'!F59+1,0),IF('01_数值调参'!F20&lt;0,'03_全链计算'!G59+1,0),IF('01_数值调参'!F21&lt;0,'03_全链计算'!H59+1,0),IF('01_数值调参'!F22&lt;0,'03_全链计算'!I59+1,0),IF('01_数值调参'!F23&lt;0,'03_全链计算'!J59+1,0),IF('01_数值调参'!F24&lt;0,'03_全链计算'!K59+1,0),IF('01_数值调参'!F25&lt;0,'03_全链计算'!L59+1,0),IF('01_数值调参'!F26&lt;0,'03_全链计算'!M59+1,0),IF('01_数值调参'!F27&lt;0,'03_全链计算'!N59+1,0),IF('01_数值调参'!F28&lt;0,'03_全链计算'!O59+1,0),IF('01_数值调参'!F29&lt;0,'03_全链计算'!P59+1,0),IF('01_数值调参'!F30&lt;0,'03_全链计算'!Q59+1,0),IF('01_数值调参'!F31&lt;0,'03_全链计算'!R59+1,0),IF('01_数值调参'!F32&lt;0,'03_全链计算'!S59+1,0),IF('01_数值调参'!F33&lt;0,'03_全链计算'!T59+1,0),IF('01_数值调参'!F34&lt;0,'03_全链计算'!U59+1,0),IF('01_数值调参'!F35&lt;0,'03_全链计算'!V59+1,0),IF('01_数值调参'!F36&lt;0,'03_全链计算'!W59+1,0),IF('01_数值调参'!F37&lt;0,'03_全链计算'!X59+1,0),IF('01_数值调参'!F38&lt;0,'03_全链计算'!Y59+1,0),IF('01_数值调参'!F39&lt;0,'03_全链计算'!Z59+1,0),IF('01_数值调参'!F40&lt;0,'03_全链计算'!AA59+1,0),IF('01_数值调参'!F41&lt;0,'03_全链计算'!AB59+1,0),IF('01_数值调参'!F42&lt;0,'03_全链计算'!AC59+1,0),IF('01_数值调参'!F43&lt;0,'03_全链计算'!AD59+1,0),IF('01_数值调参'!F44&lt;0,'03_全链计算'!AE59+1,0),IF('01_数值调参'!F45&lt;0,'03_全链计算'!AF59+1,0),IF('01_数值调参'!F46&lt;0,'03_全链计算'!AG59+1,0),IF('01_数值调参'!F47&lt;0,'03_全链计算'!AH59+1,0),IF('01_数值调参'!F48&lt;0,'03_全链计算'!AI59+1,0),IF('01_数值调参'!F49&lt;0,'03_全链计算'!AJ59+1,0),IF('01_数值调参'!F50&lt;0,'03_全链计算'!AK59+1,0),IF('01_数值调参'!F51&lt;0,'03_全链计算'!AL59+1,0),IF('01_数值调参'!F52&lt;0,'03_全链计算'!AM59+1,0))</x:f>
        <x:v>0</x:v>
      </x:c>
      <x:c r="G60" s="9" t="n">
        <x:f>MAX(IF('01_数值调参'!G18&lt;0,'03_全链计算'!E59+1,0),IF('01_数值调参'!G19&lt;0,'03_全链计算'!F59+1,0),IF('01_数值调参'!G20&lt;0,'03_全链计算'!G59+1,0),IF('01_数值调参'!G21&lt;0,'03_全链计算'!H59+1,0),IF('01_数值调参'!G22&lt;0,'03_全链计算'!I59+1,0),IF('01_数值调参'!G23&lt;0,'03_全链计算'!J59+1,0),IF('01_数值调参'!G24&lt;0,'03_全链计算'!K59+1,0),IF('01_数值调参'!G25&lt;0,'03_全链计算'!L59+1,0),IF('01_数值调参'!G26&lt;0,'03_全链计算'!M59+1,0),IF('01_数值调参'!G27&lt;0,'03_全链计算'!N59+1,0),IF('01_数值调参'!G28&lt;0,'03_全链计算'!O59+1,0),IF('01_数值调参'!G29&lt;0,'03_全链计算'!P59+1,0),IF('01_数值调参'!G30&lt;0,'03_全链计算'!Q59+1,0),IF('01_数值调参'!G31&lt;0,'03_全链计算'!R59+1,0),IF('01_数值调参'!G32&lt;0,'03_全链计算'!S59+1,0),IF('01_数值调参'!G33&lt;0,'03_全链计算'!T59+1,0),IF('01_数值调参'!G34&lt;0,'03_全链计算'!U59+1,0),IF('01_数值调参'!G35&lt;0,'03_全链计算'!V59+1,0),IF('01_数值调参'!G36&lt;0,'03_全链计算'!W59+1,0),IF('01_数值调参'!G37&lt;0,'03_全链计算'!X59+1,0),IF('01_数值调参'!G38&lt;0,'03_全链计算'!Y59+1,0),IF('01_数值调参'!G39&lt;0,'03_全链计算'!Z59+1,0),IF('01_数值调参'!G40&lt;0,'03_全链计算'!AA59+1,0),IF('01_数值调参'!G41&lt;0,'03_全链计算'!AB59+1,0),IF('01_数值调参'!G42&lt;0,'03_全链计算'!AC59+1,0),IF('01_数值调参'!G43&lt;0,'03_全链计算'!AD59+1,0),IF('01_数值调参'!G44&lt;0,'03_全链计算'!AE59+1,0),IF('01_数值调参'!G45&lt;0,'03_全链计算'!AF59+1,0),IF('01_数值调参'!G46&lt;0,'03_全链计算'!AG59+1,0),IF('01_数值调参'!G47&lt;0,'03_全链计算'!AH59+1,0),IF('01_数值调参'!G48&lt;0,'03_全链计算'!AI59+1,0),IF('01_数值调参'!G49&lt;0,'03_全链计算'!AJ59+1,0),IF('01_数值调参'!G50&lt;0,'03_全链计算'!AK59+1,0),IF('01_数值调参'!G51&lt;0,'03_全链计算'!AL59+1,0),IF('01_数值调参'!G52&lt;0,'03_全链计算'!AM59+1,0))</x:f>
        <x:v>0</x:v>
      </x:c>
      <x:c r="H60" s="9" t="n">
        <x:f>MAX(IF('01_数值调参'!H18&lt;0,'03_全链计算'!E59+1,0),IF('01_数值调参'!H19&lt;0,'03_全链计算'!F59+1,0),IF('01_数值调参'!H20&lt;0,'03_全链计算'!G59+1,0),IF('01_数值调参'!H21&lt;0,'03_全链计算'!H59+1,0),IF('01_数值调参'!H22&lt;0,'03_全链计算'!I59+1,0),IF('01_数值调参'!H23&lt;0,'03_全链计算'!J59+1,0),IF('01_数值调参'!H24&lt;0,'03_全链计算'!K59+1,0),IF('01_数值调参'!H25&lt;0,'03_全链计算'!L59+1,0),IF('01_数值调参'!H26&lt;0,'03_全链计算'!M59+1,0),IF('01_数值调参'!H27&lt;0,'03_全链计算'!N59+1,0),IF('01_数值调参'!H28&lt;0,'03_全链计算'!O59+1,0),IF('01_数值调参'!H29&lt;0,'03_全链计算'!P59+1,0),IF('01_数值调参'!H30&lt;0,'03_全链计算'!Q59+1,0),IF('01_数值调参'!H31&lt;0,'03_全链计算'!R59+1,0),IF('01_数值调参'!H32&lt;0,'03_全链计算'!S59+1,0),IF('01_数值调参'!H33&lt;0,'03_全链计算'!T59+1,0),IF('01_数值调参'!H34&lt;0,'03_全链计算'!U59+1,0),IF('01_数值调参'!H35&lt;0,'03_全链计算'!V59+1,0),IF('01_数值调参'!H36&lt;0,'03_全链计算'!W59+1,0),IF('01_数值调参'!H37&lt;0,'03_全链计算'!X59+1,0),IF('01_数值调参'!H38&lt;0,'03_全链计算'!Y59+1,0),IF('01_数值调参'!H39&lt;0,'03_全链计算'!Z59+1,0),IF('01_数值调参'!H40&lt;0,'03_全链计算'!AA59+1,0),IF('01_数值调参'!H41&lt;0,'03_全链计算'!AB59+1,0),IF('01_数值调参'!H42&lt;0,'03_全链计算'!AC59+1,0),IF('01_数值调参'!H43&lt;0,'03_全链计算'!AD59+1,0),IF('01_数值调参'!H44&lt;0,'03_全链计算'!AE59+1,0),IF('01_数值调参'!H45&lt;0,'03_全链计算'!AF59+1,0),IF('01_数值调参'!H46&lt;0,'03_全链计算'!AG59+1,0),IF('01_数值调参'!H47&lt;0,'03_全链计算'!AH59+1,0),IF('01_数值调参'!H48&lt;0,'03_全链计算'!AI59+1,0),IF('01_数值调参'!H49&lt;0,'03_全链计算'!AJ59+1,0),IF('01_数值调参'!H50&lt;0,'03_全链计算'!AK59+1,0),IF('01_数值调参'!H51&lt;0,'03_全链计算'!AL59+1,0),IF('01_数值调参'!H52&lt;0,'03_全链计算'!AM59+1,0))</x:f>
        <x:v>0</x:v>
      </x:c>
      <x:c r="I60" s="9" t="n">
        <x:f>MAX(IF('01_数值调参'!I18&lt;0,'03_全链计算'!E59+1,0),IF('01_数值调参'!I19&lt;0,'03_全链计算'!F59+1,0),IF('01_数值调参'!I20&lt;0,'03_全链计算'!G59+1,0),IF('01_数值调参'!I21&lt;0,'03_全链计算'!H59+1,0),IF('01_数值调参'!I22&lt;0,'03_全链计算'!I59+1,0),IF('01_数值调参'!I23&lt;0,'03_全链计算'!J59+1,0),IF('01_数值调参'!I24&lt;0,'03_全链计算'!K59+1,0),IF('01_数值调参'!I25&lt;0,'03_全链计算'!L59+1,0),IF('01_数值调参'!I26&lt;0,'03_全链计算'!M59+1,0),IF('01_数值调参'!I27&lt;0,'03_全链计算'!N59+1,0),IF('01_数值调参'!I28&lt;0,'03_全链计算'!O59+1,0),IF('01_数值调参'!I29&lt;0,'03_全链计算'!P59+1,0),IF('01_数值调参'!I30&lt;0,'03_全链计算'!Q59+1,0),IF('01_数值调参'!I31&lt;0,'03_全链计算'!R59+1,0),IF('01_数值调参'!I32&lt;0,'03_全链计算'!S59+1,0),IF('01_数值调参'!I33&lt;0,'03_全链计算'!T59+1,0),IF('01_数值调参'!I34&lt;0,'03_全链计算'!U59+1,0),IF('01_数值调参'!I35&lt;0,'03_全链计算'!V59+1,0),IF('01_数值调参'!I36&lt;0,'03_全链计算'!W59+1,0),IF('01_数值调参'!I37&lt;0,'03_全链计算'!X59+1,0),IF('01_数值调参'!I38&lt;0,'03_全链计算'!Y59+1,0),IF('01_数值调参'!I39&lt;0,'03_全链计算'!Z59+1,0),IF('01_数值调参'!I40&lt;0,'03_全链计算'!AA59+1,0),IF('01_数值调参'!I41&lt;0,'03_全链计算'!AB59+1,0),IF('01_数值调参'!I42&lt;0,'03_全链计算'!AC59+1,0),IF('01_数值调参'!I43&lt;0,'03_全链计算'!AD59+1,0),IF('01_数值调参'!I44&lt;0,'03_全链计算'!AE59+1,0),IF('01_数值调参'!I45&lt;0,'03_全链计算'!AF59+1,0),IF('01_数值调参'!I46&lt;0,'03_全链计算'!AG59+1,0),IF('01_数值调参'!I47&lt;0,'03_全链计算'!AH59+1,0),IF('01_数值调参'!I48&lt;0,'03_全链计算'!AI59+1,0),IF('01_数值调参'!I49&lt;0,'03_全链计算'!AJ59+1,0),IF('01_数值调参'!I50&lt;0,'03_全链计算'!AK59+1,0),IF('01_数值调参'!I51&lt;0,'03_全链计算'!AL59+1,0),IF('01_数值调参'!I52&lt;0,'03_全链计算'!AM59+1,0))</x:f>
        <x:v>0</x:v>
      </x:c>
      <x:c r="J60" s="9" t="n">
        <x:f>MAX(IF('01_数值调参'!J18&lt;0,'03_全链计算'!E59+1,0),IF('01_数值调参'!J19&lt;0,'03_全链计算'!F59+1,0),IF('01_数值调参'!J20&lt;0,'03_全链计算'!G59+1,0),IF('01_数值调参'!J21&lt;0,'03_全链计算'!H59+1,0),IF('01_数值调参'!J22&lt;0,'03_全链计算'!I59+1,0),IF('01_数值调参'!J23&lt;0,'03_全链计算'!J59+1,0),IF('01_数值调参'!J24&lt;0,'03_全链计算'!K59+1,0),IF('01_数值调参'!J25&lt;0,'03_全链计算'!L59+1,0),IF('01_数值调参'!J26&lt;0,'03_全链计算'!M59+1,0),IF('01_数值调参'!J27&lt;0,'03_全链计算'!N59+1,0),IF('01_数值调参'!J28&lt;0,'03_全链计算'!O59+1,0),IF('01_数值调参'!J29&lt;0,'03_全链计算'!P59+1,0),IF('01_数值调参'!J30&lt;0,'03_全链计算'!Q59+1,0),IF('01_数值调参'!J31&lt;0,'03_全链计算'!R59+1,0),IF('01_数值调参'!J32&lt;0,'03_全链计算'!S59+1,0),IF('01_数值调参'!J33&lt;0,'03_全链计算'!T59+1,0),IF('01_数值调参'!J34&lt;0,'03_全链计算'!U59+1,0),IF('01_数值调参'!J35&lt;0,'03_全链计算'!V59+1,0),IF('01_数值调参'!J36&lt;0,'03_全链计算'!W59+1,0),IF('01_数值调参'!J37&lt;0,'03_全链计算'!X59+1,0),IF('01_数值调参'!J38&lt;0,'03_全链计算'!Y59+1,0),IF('01_数值调参'!J39&lt;0,'03_全链计算'!Z59+1,0),IF('01_数值调参'!J40&lt;0,'03_全链计算'!AA59+1,0),IF('01_数值调参'!J41&lt;0,'03_全链计算'!AB59+1,0),IF('01_数值调参'!J42&lt;0,'03_全链计算'!AC59+1,0),IF('01_数值调参'!J43&lt;0,'03_全链计算'!AD59+1,0),IF('01_数值调参'!J44&lt;0,'03_全链计算'!AE59+1,0),IF('01_数值调参'!J45&lt;0,'03_全链计算'!AF59+1,0),IF('01_数值调参'!J46&lt;0,'03_全链计算'!AG59+1,0),IF('01_数值调参'!J47&lt;0,'03_全链计算'!AH59+1,0),IF('01_数值调参'!J48&lt;0,'03_全链计算'!AI59+1,0),IF('01_数值调参'!J49&lt;0,'03_全链计算'!AJ59+1,0),IF('01_数值调参'!J50&lt;0,'03_全链计算'!AK59+1,0),IF('01_数值调参'!J51&lt;0,'03_全链计算'!AL59+1,0),IF('01_数值调参'!J52&lt;0,'03_全链计算'!AM59+1,0))</x:f>
        <x:v>0</x:v>
      </x:c>
      <x:c r="K60" s="9" t="n">
        <x:f>MAX(IF('01_数值调参'!K18&lt;0,'03_全链计算'!E59+1,0),IF('01_数值调参'!K19&lt;0,'03_全链计算'!F59+1,0),IF('01_数值调参'!K20&lt;0,'03_全链计算'!G59+1,0),IF('01_数值调参'!K21&lt;0,'03_全链计算'!H59+1,0),IF('01_数值调参'!K22&lt;0,'03_全链计算'!I59+1,0),IF('01_数值调参'!K23&lt;0,'03_全链计算'!J59+1,0),IF('01_数值调参'!K24&lt;0,'03_全链计算'!K59+1,0),IF('01_数值调参'!K25&lt;0,'03_全链计算'!L59+1,0),IF('01_数值调参'!K26&lt;0,'03_全链计算'!M59+1,0),IF('01_数值调参'!K27&lt;0,'03_全链计算'!N59+1,0),IF('01_数值调参'!K28&lt;0,'03_全链计算'!O59+1,0),IF('01_数值调参'!K29&lt;0,'03_全链计算'!P59+1,0),IF('01_数值调参'!K30&lt;0,'03_全链计算'!Q59+1,0),IF('01_数值调参'!K31&lt;0,'03_全链计算'!R59+1,0),IF('01_数值调参'!K32&lt;0,'03_全链计算'!S59+1,0),IF('01_数值调参'!K33&lt;0,'03_全链计算'!T59+1,0),IF('01_数值调参'!K34&lt;0,'03_全链计算'!U59+1,0),IF('01_数值调参'!K35&lt;0,'03_全链计算'!V59+1,0),IF('01_数值调参'!K36&lt;0,'03_全链计算'!W59+1,0),IF('01_数值调参'!K37&lt;0,'03_全链计算'!X59+1,0),IF('01_数值调参'!K38&lt;0,'03_全链计算'!Y59+1,0),IF('01_数值调参'!K39&lt;0,'03_全链计算'!Z59+1,0),IF('01_数值调参'!K40&lt;0,'03_全链计算'!AA59+1,0),IF('01_数值调参'!K41&lt;0,'03_全链计算'!AB59+1,0),IF('01_数值调参'!K42&lt;0,'03_全链计算'!AC59+1,0),IF('01_数值调参'!K43&lt;0,'03_全链计算'!AD59+1,0),IF('01_数值调参'!K44&lt;0,'03_全链计算'!AE59+1,0),IF('01_数值调参'!K45&lt;0,'03_全链计算'!AF59+1,0),IF('01_数值调参'!K46&lt;0,'03_全链计算'!AG59+1,0),IF('01_数值调参'!K47&lt;0,'03_全链计算'!AH59+1,0),IF('01_数值调参'!K48&lt;0,'03_全链计算'!AI59+1,0),IF('01_数值调参'!K49&lt;0,'03_全链计算'!AJ59+1,0),IF('01_数值调参'!K50&lt;0,'03_全链计算'!AK59+1,0),IF('01_数值调参'!K51&lt;0,'03_全链计算'!AL59+1,0),IF('01_数值调参'!K52&lt;0,'03_全链计算'!AM59+1,0))</x:f>
        <x:v>0</x:v>
      </x:c>
      <x:c r="L60" s="9" t="n">
        <x:f>MAX(IF('01_数值调参'!L18&lt;0,'03_全链计算'!E59+1,0),IF('01_数值调参'!L19&lt;0,'03_全链计算'!F59+1,0),IF('01_数值调参'!L20&lt;0,'03_全链计算'!G59+1,0),IF('01_数值调参'!L21&lt;0,'03_全链计算'!H59+1,0),IF('01_数值调参'!L22&lt;0,'03_全链计算'!I59+1,0),IF('01_数值调参'!L23&lt;0,'03_全链计算'!J59+1,0),IF('01_数值调参'!L24&lt;0,'03_全链计算'!K59+1,0),IF('01_数值调参'!L25&lt;0,'03_全链计算'!L59+1,0),IF('01_数值调参'!L26&lt;0,'03_全链计算'!M59+1,0),IF('01_数值调参'!L27&lt;0,'03_全链计算'!N59+1,0),IF('01_数值调参'!L28&lt;0,'03_全链计算'!O59+1,0),IF('01_数值调参'!L29&lt;0,'03_全链计算'!P59+1,0),IF('01_数值调参'!L30&lt;0,'03_全链计算'!Q59+1,0),IF('01_数值调参'!L31&lt;0,'03_全链计算'!R59+1,0),IF('01_数值调参'!L32&lt;0,'03_全链计算'!S59+1,0),IF('01_数值调参'!L33&lt;0,'03_全链计算'!T59+1,0),IF('01_数值调参'!L34&lt;0,'03_全链计算'!U59+1,0),IF('01_数值调参'!L35&lt;0,'03_全链计算'!V59+1,0),IF('01_数值调参'!L36&lt;0,'03_全链计算'!W59+1,0),IF('01_数值调参'!L37&lt;0,'03_全链计算'!X59+1,0),IF('01_数值调参'!L38&lt;0,'03_全链计算'!Y59+1,0),IF('01_数值调参'!L39&lt;0,'03_全链计算'!Z59+1,0),IF('01_数值调参'!L40&lt;0,'03_全链计算'!AA59+1,0),IF('01_数值调参'!L41&lt;0,'03_全链计算'!AB59+1,0),IF('01_数值调参'!L42&lt;0,'03_全链计算'!AC59+1,0),IF('01_数值调参'!L43&lt;0,'03_全链计算'!AD59+1,0),IF('01_数值调参'!L44&lt;0,'03_全链计算'!AE59+1,0),IF('01_数值调参'!L45&lt;0,'03_全链计算'!AF59+1,0),IF('01_数值调参'!L46&lt;0,'03_全链计算'!AG59+1,0),IF('01_数值调参'!L47&lt;0,'03_全链计算'!AH59+1,0),IF('01_数值调参'!L48&lt;0,'03_全链计算'!AI59+1,0),IF('01_数值调参'!L49&lt;0,'03_全链计算'!AJ59+1,0),IF('01_数值调参'!L50&lt;0,'03_全链计算'!AK59+1,0),IF('01_数值调参'!L51&lt;0,'03_全链计算'!AL59+1,0),IF('01_数值调参'!L52&lt;0,'03_全链计算'!AM59+1,0))</x:f>
        <x:v>0</x:v>
      </x:c>
      <x:c r="M60" s="9" t="n">
        <x:f>MAX(IF('01_数值调参'!M18&lt;0,'03_全链计算'!E59+1,0),IF('01_数值调参'!M19&lt;0,'03_全链计算'!F59+1,0),IF('01_数值调参'!M20&lt;0,'03_全链计算'!G59+1,0),IF('01_数值调参'!M21&lt;0,'03_全链计算'!H59+1,0),IF('01_数值调参'!M22&lt;0,'03_全链计算'!I59+1,0),IF('01_数值调参'!M23&lt;0,'03_全链计算'!J59+1,0),IF('01_数值调参'!M24&lt;0,'03_全链计算'!K59+1,0),IF('01_数值调参'!M25&lt;0,'03_全链计算'!L59+1,0),IF('01_数值调参'!M26&lt;0,'03_全链计算'!M59+1,0),IF('01_数值调参'!M27&lt;0,'03_全链计算'!N59+1,0),IF('01_数值调参'!M28&lt;0,'03_全链计算'!O59+1,0),IF('01_数值调参'!M29&lt;0,'03_全链计算'!P59+1,0),IF('01_数值调参'!M30&lt;0,'03_全链计算'!Q59+1,0),IF('01_数值调参'!M31&lt;0,'03_全链计算'!R59+1,0),IF('01_数值调参'!M32&lt;0,'03_全链计算'!S59+1,0),IF('01_数值调参'!M33&lt;0,'03_全链计算'!T59+1,0),IF('01_数值调参'!M34&lt;0,'03_全链计算'!U59+1,0),IF('01_数值调参'!M35&lt;0,'03_全链计算'!V59+1,0),IF('01_数值调参'!M36&lt;0,'03_全链计算'!W59+1,0),IF('01_数值调参'!M37&lt;0,'03_全链计算'!X59+1,0),IF('01_数值调参'!M38&lt;0,'03_全链计算'!Y59+1,0),IF('01_数值调参'!M39&lt;0,'03_全链计算'!Z59+1,0),IF('01_数值调参'!M40&lt;0,'03_全链计算'!AA59+1,0),IF('01_数值调参'!M41&lt;0,'03_全链计算'!AB59+1,0),IF('01_数值调参'!M42&lt;0,'03_全链计算'!AC59+1,0),IF('01_数值调参'!M43&lt;0,'03_全链计算'!AD59+1,0),IF('01_数值调参'!M44&lt;0,'03_全链计算'!AE59+1,0),IF('01_数值调参'!M45&lt;0,'03_全链计算'!AF59+1,0),IF('01_数值调参'!M46&lt;0,'03_全链计算'!AG59+1,0),IF('01_数值调参'!M47&lt;0,'03_全链计算'!AH59+1,0),IF('01_数值调参'!M48&lt;0,'03_全链计算'!AI59+1,0),IF('01_数值调参'!M49&lt;0,'03_全链计算'!AJ59+1,0),IF('01_数值调参'!M50&lt;0,'03_全链计算'!AK59+1,0),IF('01_数值调参'!M51&lt;0,'03_全链计算'!AL59+1,0),IF('01_数值调参'!M52&lt;0,'03_全链计算'!AM59+1,0))</x:f>
        <x:v>0</x:v>
      </x:c>
      <x:c r="N60" s="9" t="n">
        <x:f>MAX(IF('01_数值调参'!N18&lt;0,'03_全链计算'!E59+1,0),IF('01_数值调参'!N19&lt;0,'03_全链计算'!F59+1,0),IF('01_数值调参'!N20&lt;0,'03_全链计算'!G59+1,0),IF('01_数值调参'!N21&lt;0,'03_全链计算'!H59+1,0),IF('01_数值调参'!N22&lt;0,'03_全链计算'!I59+1,0),IF('01_数值调参'!N23&lt;0,'03_全链计算'!J59+1,0),IF('01_数值调参'!N24&lt;0,'03_全链计算'!K59+1,0),IF('01_数值调参'!N25&lt;0,'03_全链计算'!L59+1,0),IF('01_数值调参'!N26&lt;0,'03_全链计算'!M59+1,0),IF('01_数值调参'!N27&lt;0,'03_全链计算'!N59+1,0),IF('01_数值调参'!N28&lt;0,'03_全链计算'!O59+1,0),IF('01_数值调参'!N29&lt;0,'03_全链计算'!P59+1,0),IF('01_数值调参'!N30&lt;0,'03_全链计算'!Q59+1,0),IF('01_数值调参'!N31&lt;0,'03_全链计算'!R59+1,0),IF('01_数值调参'!N32&lt;0,'03_全链计算'!S59+1,0),IF('01_数值调参'!N33&lt;0,'03_全链计算'!T59+1,0),IF('01_数值调参'!N34&lt;0,'03_全链计算'!U59+1,0),IF('01_数值调参'!N35&lt;0,'03_全链计算'!V59+1,0),IF('01_数值调参'!N36&lt;0,'03_全链计算'!W59+1,0),IF('01_数值调参'!N37&lt;0,'03_全链计算'!X59+1,0),IF('01_数值调参'!N38&lt;0,'03_全链计算'!Y59+1,0),IF('01_数值调参'!N39&lt;0,'03_全链计算'!Z59+1,0),IF('01_数值调参'!N40&lt;0,'03_全链计算'!AA59+1,0),IF('01_数值调参'!N41&lt;0,'03_全链计算'!AB59+1,0),IF('01_数值调参'!N42&lt;0,'03_全链计算'!AC59+1,0),IF('01_数值调参'!N43&lt;0,'03_全链计算'!AD59+1,0),IF('01_数值调参'!N44&lt;0,'03_全链计算'!AE59+1,0),IF('01_数值调参'!N45&lt;0,'03_全链计算'!AF59+1,0),IF('01_数值调参'!N46&lt;0,'03_全链计算'!AG59+1,0),IF('01_数值调参'!N47&lt;0,'03_全链计算'!AH59+1,0),IF('01_数值调参'!N48&lt;0,'03_全链计算'!AI59+1,0),IF('01_数值调参'!N49&lt;0,'03_全链计算'!AJ59+1,0),IF('01_数值调参'!N50&lt;0,'03_全链计算'!AK59+1,0),IF('01_数值调参'!N51&lt;0,'03_全链计算'!AL59+1,0),IF('01_数值调参'!N52&lt;0,'03_全链计算'!AM59+1,0))</x:f>
        <x:v>1</x:v>
      </x:c>
      <x:c r="O60" s="9" t="n">
        <x:f>MAX(IF('01_数值调参'!O18&lt;0,'03_全链计算'!E59+1,0),IF('01_数值调参'!O19&lt;0,'03_全链计算'!F59+1,0),IF('01_数值调参'!O20&lt;0,'03_全链计算'!G59+1,0),IF('01_数值调参'!O21&lt;0,'03_全链计算'!H59+1,0),IF('01_数值调参'!O22&lt;0,'03_全链计算'!I59+1,0),IF('01_数值调参'!O23&lt;0,'03_全链计算'!J59+1,0),IF('01_数值调参'!O24&lt;0,'03_全链计算'!K59+1,0),IF('01_数值调参'!O25&lt;0,'03_全链计算'!L59+1,0),IF('01_数值调参'!O26&lt;0,'03_全链计算'!M59+1,0),IF('01_数值调参'!O27&lt;0,'03_全链计算'!N59+1,0),IF('01_数值调参'!O28&lt;0,'03_全链计算'!O59+1,0),IF('01_数值调参'!O29&lt;0,'03_全链计算'!P59+1,0),IF('01_数值调参'!O30&lt;0,'03_全链计算'!Q59+1,0),IF('01_数值调参'!O31&lt;0,'03_全链计算'!R59+1,0),IF('01_数值调参'!O32&lt;0,'03_全链计算'!S59+1,0),IF('01_数值调参'!O33&lt;0,'03_全链计算'!T59+1,0),IF('01_数值调参'!O34&lt;0,'03_全链计算'!U59+1,0),IF('01_数值调参'!O35&lt;0,'03_全链计算'!V59+1,0),IF('01_数值调参'!O36&lt;0,'03_全链计算'!W59+1,0),IF('01_数值调参'!O37&lt;0,'03_全链计算'!X59+1,0),IF('01_数值调参'!O38&lt;0,'03_全链计算'!Y59+1,0),IF('01_数值调参'!O39&lt;0,'03_全链计算'!Z59+1,0),IF('01_数值调参'!O40&lt;0,'03_全链计算'!AA59+1,0),IF('01_数值调参'!O41&lt;0,'03_全链计算'!AB59+1,0),IF('01_数值调参'!O42&lt;0,'03_全链计算'!AC59+1,0),IF('01_数值调参'!O43&lt;0,'03_全链计算'!AD59+1,0),IF('01_数值调参'!O44&lt;0,'03_全链计算'!AE59+1,0),IF('01_数值调参'!O45&lt;0,'03_全链计算'!AF59+1,0),IF('01_数值调参'!O46&lt;0,'03_全链计算'!AG59+1,0),IF('01_数值调参'!O47&lt;0,'03_全链计算'!AH59+1,0),IF('01_数值调参'!O48&lt;0,'03_全链计算'!AI59+1,0),IF('01_数值调参'!O49&lt;0,'03_全链计算'!AJ59+1,0),IF('01_数值调参'!O50&lt;0,'03_全链计算'!AK59+1,0),IF('01_数值调参'!O51&lt;0,'03_全链计算'!AL59+1,0),IF('01_数值调参'!O52&lt;0,'03_全链计算'!AM59+1,0))</x:f>
        <x:v>1</x:v>
      </x:c>
      <x:c r="P60" s="9" t="n">
        <x:f>MAX(IF('01_数值调参'!P18&lt;0,'03_全链计算'!E59+1,0),IF('01_数值调参'!P19&lt;0,'03_全链计算'!F59+1,0),IF('01_数值调参'!P20&lt;0,'03_全链计算'!G59+1,0),IF('01_数值调参'!P21&lt;0,'03_全链计算'!H59+1,0),IF('01_数值调参'!P22&lt;0,'03_全链计算'!I59+1,0),IF('01_数值调参'!P23&lt;0,'03_全链计算'!J59+1,0),IF('01_数值调参'!P24&lt;0,'03_全链计算'!K59+1,0),IF('01_数值调参'!P25&lt;0,'03_全链计算'!L59+1,0),IF('01_数值调参'!P26&lt;0,'03_全链计算'!M59+1,0),IF('01_数值调参'!P27&lt;0,'03_全链计算'!N59+1,0),IF('01_数值调参'!P28&lt;0,'03_全链计算'!O59+1,0),IF('01_数值调参'!P29&lt;0,'03_全链计算'!P59+1,0),IF('01_数值调参'!P30&lt;0,'03_全链计算'!Q59+1,0),IF('01_数值调参'!P31&lt;0,'03_全链计算'!R59+1,0),IF('01_数值调参'!P32&lt;0,'03_全链计算'!S59+1,0),IF('01_数值调参'!P33&lt;0,'03_全链计算'!T59+1,0),IF('01_数值调参'!P34&lt;0,'03_全链计算'!U59+1,0),IF('01_数值调参'!P35&lt;0,'03_全链计算'!V59+1,0),IF('01_数值调参'!P36&lt;0,'03_全链计算'!W59+1,0),IF('01_数值调参'!P37&lt;0,'03_全链计算'!X59+1,0),IF('01_数值调参'!P38&lt;0,'03_全链计算'!Y59+1,0),IF('01_数值调参'!P39&lt;0,'03_全链计算'!Z59+1,0),IF('01_数值调参'!P40&lt;0,'03_全链计算'!AA59+1,0),IF('01_数值调参'!P41&lt;0,'03_全链计算'!AB59+1,0),IF('01_数值调参'!P42&lt;0,'03_全链计算'!AC59+1,0),IF('01_数值调参'!P43&lt;0,'03_全链计算'!AD59+1,0),IF('01_数值调参'!P44&lt;0,'03_全链计算'!AE59+1,0),IF('01_数值调参'!P45&lt;0,'03_全链计算'!AF59+1,0),IF('01_数值调参'!P46&lt;0,'03_全链计算'!AG59+1,0),IF('01_数值调参'!P47&lt;0,'03_全链计算'!AH59+1,0),IF('01_数值调参'!P48&lt;0,'03_全链计算'!AI59+1,0),IF('01_数值调参'!P49&lt;0,'03_全链计算'!AJ59+1,0),IF('01_数值调参'!P50&lt;0,'03_全链计算'!AK59+1,0),IF('01_数值调参'!P51&lt;0,'03_全链计算'!AL59+1,0),IF('01_数值调参'!P52&lt;0,'03_全链计算'!AM59+1,0))</x:f>
        <x:v>1</x:v>
      </x:c>
      <x:c r="Q60" s="9" t="n">
        <x:f>MAX(IF('01_数值调参'!Q18&lt;0,'03_全链计算'!E59+1,0),IF('01_数值调参'!Q19&lt;0,'03_全链计算'!F59+1,0),IF('01_数值调参'!Q20&lt;0,'03_全链计算'!G59+1,0),IF('01_数值调参'!Q21&lt;0,'03_全链计算'!H59+1,0),IF('01_数值调参'!Q22&lt;0,'03_全链计算'!I59+1,0),IF('01_数值调参'!Q23&lt;0,'03_全链计算'!J59+1,0),IF('01_数值调参'!Q24&lt;0,'03_全链计算'!K59+1,0),IF('01_数值调参'!Q25&lt;0,'03_全链计算'!L59+1,0),IF('01_数值调参'!Q26&lt;0,'03_全链计算'!M59+1,0),IF('01_数值调参'!Q27&lt;0,'03_全链计算'!N59+1,0),IF('01_数值调参'!Q28&lt;0,'03_全链计算'!O59+1,0),IF('01_数值调参'!Q29&lt;0,'03_全链计算'!P59+1,0),IF('01_数值调参'!Q30&lt;0,'03_全链计算'!Q59+1,0),IF('01_数值调参'!Q31&lt;0,'03_全链计算'!R59+1,0),IF('01_数值调参'!Q32&lt;0,'03_全链计算'!S59+1,0),IF('01_数值调参'!Q33&lt;0,'03_全链计算'!T59+1,0),IF('01_数值调参'!Q34&lt;0,'03_全链计算'!U59+1,0),IF('01_数值调参'!Q35&lt;0,'03_全链计算'!V59+1,0),IF('01_数值调参'!Q36&lt;0,'03_全链计算'!W59+1,0),IF('01_数值调参'!Q37&lt;0,'03_全链计算'!X59+1,0),IF('01_数值调参'!Q38&lt;0,'03_全链计算'!Y59+1,0),IF('01_数值调参'!Q39&lt;0,'03_全链计算'!Z59+1,0),IF('01_数值调参'!Q40&lt;0,'03_全链计算'!AA59+1,0),IF('01_数值调参'!Q41&lt;0,'03_全链计算'!AB59+1,0),IF('01_数值调参'!Q42&lt;0,'03_全链计算'!AC59+1,0),IF('01_数值调参'!Q43&lt;0,'03_全链计算'!AD59+1,0),IF('01_数值调参'!Q44&lt;0,'03_全链计算'!AE59+1,0),IF('01_数值调参'!Q45&lt;0,'03_全链计算'!AF59+1,0),IF('01_数值调参'!Q46&lt;0,'03_全链计算'!AG59+1,0),IF('01_数值调参'!Q47&lt;0,'03_全链计算'!AH59+1,0),IF('01_数值调参'!Q48&lt;0,'03_全链计算'!AI59+1,0),IF('01_数值调参'!Q49&lt;0,'03_全链计算'!AJ59+1,0),IF('01_数值调参'!Q50&lt;0,'03_全链计算'!AK59+1,0),IF('01_数值调参'!Q51&lt;0,'03_全链计算'!AL59+1,0),IF('01_数值调参'!Q52&lt;0,'03_全链计算'!AM59+1,0))</x:f>
        <x:v>1</x:v>
      </x:c>
      <x:c r="R60" s="9" t="n">
        <x:f>MAX(IF('01_数值调参'!R18&lt;0,'03_全链计算'!E59+1,0),IF('01_数值调参'!R19&lt;0,'03_全链计算'!F59+1,0),IF('01_数值调参'!R20&lt;0,'03_全链计算'!G59+1,0),IF('01_数值调参'!R21&lt;0,'03_全链计算'!H59+1,0),IF('01_数值调参'!R22&lt;0,'03_全链计算'!I59+1,0),IF('01_数值调参'!R23&lt;0,'03_全链计算'!J59+1,0),IF('01_数值调参'!R24&lt;0,'03_全链计算'!K59+1,0),IF('01_数值调参'!R25&lt;0,'03_全链计算'!L59+1,0),IF('01_数值调参'!R26&lt;0,'03_全链计算'!M59+1,0),IF('01_数值调参'!R27&lt;0,'03_全链计算'!N59+1,0),IF('01_数值调参'!R28&lt;0,'03_全链计算'!O59+1,0),IF('01_数值调参'!R29&lt;0,'03_全链计算'!P59+1,0),IF('01_数值调参'!R30&lt;0,'03_全链计算'!Q59+1,0),IF('01_数值调参'!R31&lt;0,'03_全链计算'!R59+1,0),IF('01_数值调参'!R32&lt;0,'03_全链计算'!S59+1,0),IF('01_数值调参'!R33&lt;0,'03_全链计算'!T59+1,0),IF('01_数值调参'!R34&lt;0,'03_全链计算'!U59+1,0),IF('01_数值调参'!R35&lt;0,'03_全链计算'!V59+1,0),IF('01_数值调参'!R36&lt;0,'03_全链计算'!W59+1,0),IF('01_数值调参'!R37&lt;0,'03_全链计算'!X59+1,0),IF('01_数值调参'!R38&lt;0,'03_全链计算'!Y59+1,0),IF('01_数值调参'!R39&lt;0,'03_全链计算'!Z59+1,0),IF('01_数值调参'!R40&lt;0,'03_全链计算'!AA59+1,0),IF('01_数值调参'!R41&lt;0,'03_全链计算'!AB59+1,0),IF('01_数值调参'!R42&lt;0,'03_全链计算'!AC59+1,0),IF('01_数值调参'!R43&lt;0,'03_全链计算'!AD59+1,0),IF('01_数值调参'!R44&lt;0,'03_全链计算'!AE59+1,0),IF('01_数值调参'!R45&lt;0,'03_全链计算'!AF59+1,0),IF('01_数值调参'!R46&lt;0,'03_全链计算'!AG59+1,0),IF('01_数值调参'!R47&lt;0,'03_全链计算'!AH59+1,0),IF('01_数值调参'!R48&lt;0,'03_全链计算'!AI59+1,0),IF('01_数值调参'!R49&lt;0,'03_全链计算'!AJ59+1,0),IF('01_数值调参'!R50&lt;0,'03_全链计算'!AK59+1,0),IF('01_数值调参'!R51&lt;0,'03_全链计算'!AL59+1,0),IF('01_数值调参'!R52&lt;0,'03_全链计算'!AM59+1,0))</x:f>
        <x:v>1</x:v>
      </x:c>
      <x:c r="S60" s="9" t="n">
        <x:f>MAX(IF('01_数值调参'!S18&lt;0,'03_全链计算'!E59+1,0),IF('01_数值调参'!S19&lt;0,'03_全链计算'!F59+1,0),IF('01_数值调参'!S20&lt;0,'03_全链计算'!G59+1,0),IF('01_数值调参'!S21&lt;0,'03_全链计算'!H59+1,0),IF('01_数值调参'!S22&lt;0,'03_全链计算'!I59+1,0),IF('01_数值调参'!S23&lt;0,'03_全链计算'!J59+1,0),IF('01_数值调参'!S24&lt;0,'03_全链计算'!K59+1,0),IF('01_数值调参'!S25&lt;0,'03_全链计算'!L59+1,0),IF('01_数值调参'!S26&lt;0,'03_全链计算'!M59+1,0),IF('01_数值调参'!S27&lt;0,'03_全链计算'!N59+1,0),IF('01_数值调参'!S28&lt;0,'03_全链计算'!O59+1,0),IF('01_数值调参'!S29&lt;0,'03_全链计算'!P59+1,0),IF('01_数值调参'!S30&lt;0,'03_全链计算'!Q59+1,0),IF('01_数值调参'!S31&lt;0,'03_全链计算'!R59+1,0),IF('01_数值调参'!S32&lt;0,'03_全链计算'!S59+1,0),IF('01_数值调参'!S33&lt;0,'03_全链计算'!T59+1,0),IF('01_数值调参'!S34&lt;0,'03_全链计算'!U59+1,0),IF('01_数值调参'!S35&lt;0,'03_全链计算'!V59+1,0),IF('01_数值调参'!S36&lt;0,'03_全链计算'!W59+1,0),IF('01_数值调参'!S37&lt;0,'03_全链计算'!X59+1,0),IF('01_数值调参'!S38&lt;0,'03_全链计算'!Y59+1,0),IF('01_数值调参'!S39&lt;0,'03_全链计算'!Z59+1,0),IF('01_数值调参'!S40&lt;0,'03_全链计算'!AA59+1,0),IF('01_数值调参'!S41&lt;0,'03_全链计算'!AB59+1,0),IF('01_数值调参'!S42&lt;0,'03_全链计算'!AC59+1,0),IF('01_数值调参'!S43&lt;0,'03_全链计算'!AD59+1,0),IF('01_数值调参'!S44&lt;0,'03_全链计算'!AE59+1,0),IF('01_数值调参'!S45&lt;0,'03_全链计算'!AF59+1,0),IF('01_数值调参'!S46&lt;0,'03_全链计算'!AG59+1,0),IF('01_数值调参'!S47&lt;0,'03_全链计算'!AH59+1,0),IF('01_数值调参'!S48&lt;0,'03_全链计算'!AI59+1,0),IF('01_数值调参'!S49&lt;0,'03_全链计算'!AJ59+1,0),IF('01_数值调参'!S50&lt;0,'03_全链计算'!AK59+1,0),IF('01_数值调参'!S51&lt;0,'03_全链计算'!AL59+1,0),IF('01_数值调参'!S52&lt;0,'03_全链计算'!AM59+1,0))</x:f>
        <x:v>1</x:v>
      </x:c>
      <x:c r="T60" s="9" t="n">
        <x:f>MAX(IF('01_数值调参'!T18&lt;0,'03_全链计算'!E59+1,0),IF('01_数值调参'!T19&lt;0,'03_全链计算'!F59+1,0),IF('01_数值调参'!T20&lt;0,'03_全链计算'!G59+1,0),IF('01_数值调参'!T21&lt;0,'03_全链计算'!H59+1,0),IF('01_数值调参'!T22&lt;0,'03_全链计算'!I59+1,0),IF('01_数值调参'!T23&lt;0,'03_全链计算'!J59+1,0),IF('01_数值调参'!T24&lt;0,'03_全链计算'!K59+1,0),IF('01_数值调参'!T25&lt;0,'03_全链计算'!L59+1,0),IF('01_数值调参'!T26&lt;0,'03_全链计算'!M59+1,0),IF('01_数值调参'!T27&lt;0,'03_全链计算'!N59+1,0),IF('01_数值调参'!T28&lt;0,'03_全链计算'!O59+1,0),IF('01_数值调参'!T29&lt;0,'03_全链计算'!P59+1,0),IF('01_数值调参'!T30&lt;0,'03_全链计算'!Q59+1,0),IF('01_数值调参'!T31&lt;0,'03_全链计算'!R59+1,0),IF('01_数值调参'!T32&lt;0,'03_全链计算'!S59+1,0),IF('01_数值调参'!T33&lt;0,'03_全链计算'!T59+1,0),IF('01_数值调参'!T34&lt;0,'03_全链计算'!U59+1,0),IF('01_数值调参'!T35&lt;0,'03_全链计算'!V59+1,0),IF('01_数值调参'!T36&lt;0,'03_全链计算'!W59+1,0),IF('01_数值调参'!T37&lt;0,'03_全链计算'!X59+1,0),IF('01_数值调参'!T38&lt;0,'03_全链计算'!Y59+1,0),IF('01_数值调参'!T39&lt;0,'03_全链计算'!Z59+1,0),IF('01_数值调参'!T40&lt;0,'03_全链计算'!AA59+1,0),IF('01_数值调参'!T41&lt;0,'03_全链计算'!AB59+1,0),IF('01_数值调参'!T42&lt;0,'03_全链计算'!AC59+1,0),IF('01_数值调参'!T43&lt;0,'03_全链计算'!AD59+1,0),IF('01_数值调参'!T44&lt;0,'03_全链计算'!AE59+1,0),IF('01_数值调参'!T45&lt;0,'03_全链计算'!AF59+1,0),IF('01_数值调参'!T46&lt;0,'03_全链计算'!AG59+1,0),IF('01_数值调参'!T47&lt;0,'03_全链计算'!AH59+1,0),IF('01_数值调参'!T48&lt;0,'03_全链计算'!AI59+1,0),IF('01_数值调参'!T49&lt;0,'03_全链计算'!AJ59+1,0),IF('01_数值调参'!T50&lt;0,'03_全链计算'!AK59+1,0),IF('01_数值调参'!T51&lt;0,'03_全链计算'!AL59+1,0),IF('01_数值调参'!T52&lt;0,'03_全链计算'!AM59+1,0))</x:f>
        <x:v>1</x:v>
      </x:c>
      <x:c r="U60" s="9" t="n">
        <x:f>MAX(IF('01_数值调参'!U18&lt;0,'03_全链计算'!E59+1,0),IF('01_数值调参'!U19&lt;0,'03_全链计算'!F59+1,0),IF('01_数值调参'!U20&lt;0,'03_全链计算'!G59+1,0),IF('01_数值调参'!U21&lt;0,'03_全链计算'!H59+1,0),IF('01_数值调参'!U22&lt;0,'03_全链计算'!I59+1,0),IF('01_数值调参'!U23&lt;0,'03_全链计算'!J59+1,0),IF('01_数值调参'!U24&lt;0,'03_全链计算'!K59+1,0),IF('01_数值调参'!U25&lt;0,'03_全链计算'!L59+1,0),IF('01_数值调参'!U26&lt;0,'03_全链计算'!M59+1,0),IF('01_数值调参'!U27&lt;0,'03_全链计算'!N59+1,0),IF('01_数值调参'!U28&lt;0,'03_全链计算'!O59+1,0),IF('01_数值调参'!U29&lt;0,'03_全链计算'!P59+1,0),IF('01_数值调参'!U30&lt;0,'03_全链计算'!Q59+1,0),IF('01_数值调参'!U31&lt;0,'03_全链计算'!R59+1,0),IF('01_数值调参'!U32&lt;0,'03_全链计算'!S59+1,0),IF('01_数值调参'!U33&lt;0,'03_全链计算'!T59+1,0),IF('01_数值调参'!U34&lt;0,'03_全链计算'!U59+1,0),IF('01_数值调参'!U35&lt;0,'03_全链计算'!V59+1,0),IF('01_数值调参'!U36&lt;0,'03_全链计算'!W59+1,0),IF('01_数值调参'!U37&lt;0,'03_全链计算'!X59+1,0),IF('01_数值调参'!U38&lt;0,'03_全链计算'!Y59+1,0),IF('01_数值调参'!U39&lt;0,'03_全链计算'!Z59+1,0),IF('01_数值调参'!U40&lt;0,'03_全链计算'!AA59+1,0),IF('01_数值调参'!U41&lt;0,'03_全链计算'!AB59+1,0),IF('01_数值调参'!U42&lt;0,'03_全链计算'!AC59+1,0),IF('01_数值调参'!U43&lt;0,'03_全链计算'!AD59+1,0),IF('01_数值调参'!U44&lt;0,'03_全链计算'!AE59+1,0),IF('01_数值调参'!U45&lt;0,'03_全链计算'!AF59+1,0),IF('01_数值调参'!U46&lt;0,'03_全链计算'!AG59+1,0),IF('01_数值调参'!U47&lt;0,'03_全链计算'!AH59+1,0),IF('01_数值调参'!U48&lt;0,'03_全链计算'!AI59+1,0),IF('01_数值调参'!U49&lt;0,'03_全链计算'!AJ59+1,0),IF('01_数值调参'!U50&lt;0,'03_全链计算'!AK59+1,0),IF('01_数值调参'!U51&lt;0,'03_全链计算'!AL59+1,0),IF('01_数值调参'!U52&lt;0,'03_全链计算'!AM59+1,0))</x:f>
        <x:v>1</x:v>
      </x:c>
      <x:c r="V60" s="9" t="n">
        <x:f>MAX(IF('01_数值调参'!V18&lt;0,'03_全链计算'!E59+1,0),IF('01_数值调参'!V19&lt;0,'03_全链计算'!F59+1,0),IF('01_数值调参'!V20&lt;0,'03_全链计算'!G59+1,0),IF('01_数值调参'!V21&lt;0,'03_全链计算'!H59+1,0),IF('01_数值调参'!V22&lt;0,'03_全链计算'!I59+1,0),IF('01_数值调参'!V23&lt;0,'03_全链计算'!J59+1,0),IF('01_数值调参'!V24&lt;0,'03_全链计算'!K59+1,0),IF('01_数值调参'!V25&lt;0,'03_全链计算'!L59+1,0),IF('01_数值调参'!V26&lt;0,'03_全链计算'!M59+1,0),IF('01_数值调参'!V27&lt;0,'03_全链计算'!N59+1,0),IF('01_数值调参'!V28&lt;0,'03_全链计算'!O59+1,0),IF('01_数值调参'!V29&lt;0,'03_全链计算'!P59+1,0),IF('01_数值调参'!V30&lt;0,'03_全链计算'!Q59+1,0),IF('01_数值调参'!V31&lt;0,'03_全链计算'!R59+1,0),IF('01_数值调参'!V32&lt;0,'03_全链计算'!S59+1,0),IF('01_数值调参'!V33&lt;0,'03_全链计算'!T59+1,0),IF('01_数值调参'!V34&lt;0,'03_全链计算'!U59+1,0),IF('01_数值调参'!V35&lt;0,'03_全链计算'!V59+1,0),IF('01_数值调参'!V36&lt;0,'03_全链计算'!W59+1,0),IF('01_数值调参'!V37&lt;0,'03_全链计算'!X59+1,0),IF('01_数值调参'!V38&lt;0,'03_全链计算'!Y59+1,0),IF('01_数值调参'!V39&lt;0,'03_全链计算'!Z59+1,0),IF('01_数值调参'!V40&lt;0,'03_全链计算'!AA59+1,0),IF('01_数值调参'!V41&lt;0,'03_全链计算'!AB59+1,0),IF('01_数值调参'!V42&lt;0,'03_全链计算'!AC59+1,0),IF('01_数值调参'!V43&lt;0,'03_全链计算'!AD59+1,0),IF('01_数值调参'!V44&lt;0,'03_全链计算'!AE59+1,0),IF('01_数值调参'!V45&lt;0,'03_全链计算'!AF59+1,0),IF('01_数值调参'!V46&lt;0,'03_全链计算'!AG59+1,0),IF('01_数值调参'!V47&lt;0,'03_全链计算'!AH59+1,0),IF('01_数值调参'!V48&lt;0,'03_全链计算'!AI59+1,0),IF('01_数值调参'!V49&lt;0,'03_全链计算'!AJ59+1,0),IF('01_数值调参'!V50&lt;0,'03_全链计算'!AK59+1,0),IF('01_数值调参'!V51&lt;0,'03_全链计算'!AL59+1,0),IF('01_数值调参'!V52&lt;0,'03_全链计算'!AM59+1,0))</x:f>
        <x:v>1</x:v>
      </x:c>
      <x:c r="W60" s="9" t="n">
        <x:f>MAX(IF('01_数值调参'!W18&lt;0,'03_全链计算'!E59+1,0),IF('01_数值调参'!W19&lt;0,'03_全链计算'!F59+1,0),IF('01_数值调参'!W20&lt;0,'03_全链计算'!G59+1,0),IF('01_数值调参'!W21&lt;0,'03_全链计算'!H59+1,0),IF('01_数值调参'!W22&lt;0,'03_全链计算'!I59+1,0),IF('01_数值调参'!W23&lt;0,'03_全链计算'!J59+1,0),IF('01_数值调参'!W24&lt;0,'03_全链计算'!K59+1,0),IF('01_数值调参'!W25&lt;0,'03_全链计算'!L59+1,0),IF('01_数值调参'!W26&lt;0,'03_全链计算'!M59+1,0),IF('01_数值调参'!W27&lt;0,'03_全链计算'!N59+1,0),IF('01_数值调参'!W28&lt;0,'03_全链计算'!O59+1,0),IF('01_数值调参'!W29&lt;0,'03_全链计算'!P59+1,0),IF('01_数值调参'!W30&lt;0,'03_全链计算'!Q59+1,0),IF('01_数值调参'!W31&lt;0,'03_全链计算'!R59+1,0),IF('01_数值调参'!W32&lt;0,'03_全链计算'!S59+1,0),IF('01_数值调参'!W33&lt;0,'03_全链计算'!T59+1,0),IF('01_数值调参'!W34&lt;0,'03_全链计算'!U59+1,0),IF('01_数值调参'!W35&lt;0,'03_全链计算'!V59+1,0),IF('01_数值调参'!W36&lt;0,'03_全链计算'!W59+1,0),IF('01_数值调参'!W37&lt;0,'03_全链计算'!X59+1,0),IF('01_数值调参'!W38&lt;0,'03_全链计算'!Y59+1,0),IF('01_数值调参'!W39&lt;0,'03_全链计算'!Z59+1,0),IF('01_数值调参'!W40&lt;0,'03_全链计算'!AA59+1,0),IF('01_数值调参'!W41&lt;0,'03_全链计算'!AB59+1,0),IF('01_数值调参'!W42&lt;0,'03_全链计算'!AC59+1,0),IF('01_数值调参'!W43&lt;0,'03_全链计算'!AD59+1,0),IF('01_数值调参'!W44&lt;0,'03_全链计算'!AE59+1,0),IF('01_数值调参'!W45&lt;0,'03_全链计算'!AF59+1,0),IF('01_数值调参'!W46&lt;0,'03_全链计算'!AG59+1,0),IF('01_数值调参'!W47&lt;0,'03_全链计算'!AH59+1,0),IF('01_数值调参'!W48&lt;0,'03_全链计算'!AI59+1,0),IF('01_数值调参'!W49&lt;0,'03_全链计算'!AJ59+1,0),IF('01_数值调参'!W50&lt;0,'03_全链计算'!AK59+1,0),IF('01_数值调参'!W51&lt;0,'03_全链计算'!AL59+1,0),IF('01_数值调参'!W52&lt;0,'03_全链计算'!AM59+1,0))</x:f>
        <x:v>1</x:v>
      </x:c>
      <x:c r="X60" s="9" t="n">
        <x:f>MAX(IF('01_数值调参'!X18&lt;0,'03_全链计算'!E59+1,0),IF('01_数值调参'!X19&lt;0,'03_全链计算'!F59+1,0),IF('01_数值调参'!X20&lt;0,'03_全链计算'!G59+1,0),IF('01_数值调参'!X21&lt;0,'03_全链计算'!H59+1,0),IF('01_数值调参'!X22&lt;0,'03_全链计算'!I59+1,0),IF('01_数值调参'!X23&lt;0,'03_全链计算'!J59+1,0),IF('01_数值调参'!X24&lt;0,'03_全链计算'!K59+1,0),IF('01_数值调参'!X25&lt;0,'03_全链计算'!L59+1,0),IF('01_数值调参'!X26&lt;0,'03_全链计算'!M59+1,0),IF('01_数值调参'!X27&lt;0,'03_全链计算'!N59+1,0),IF('01_数值调参'!X28&lt;0,'03_全链计算'!O59+1,0),IF('01_数值调参'!X29&lt;0,'03_全链计算'!P59+1,0),IF('01_数值调参'!X30&lt;0,'03_全链计算'!Q59+1,0),IF('01_数值调参'!X31&lt;0,'03_全链计算'!R59+1,0),IF('01_数值调参'!X32&lt;0,'03_全链计算'!S59+1,0),IF('01_数值调参'!X33&lt;0,'03_全链计算'!T59+1,0),IF('01_数值调参'!X34&lt;0,'03_全链计算'!U59+1,0),IF('01_数值调参'!X35&lt;0,'03_全链计算'!V59+1,0),IF('01_数值调参'!X36&lt;0,'03_全链计算'!W59+1,0),IF('01_数值调参'!X37&lt;0,'03_全链计算'!X59+1,0),IF('01_数值调参'!X38&lt;0,'03_全链计算'!Y59+1,0),IF('01_数值调参'!X39&lt;0,'03_全链计算'!Z59+1,0),IF('01_数值调参'!X40&lt;0,'03_全链计算'!AA59+1,0),IF('01_数值调参'!X41&lt;0,'03_全链计算'!AB59+1,0),IF('01_数值调参'!X42&lt;0,'03_全链计算'!AC59+1,0),IF('01_数值调参'!X43&lt;0,'03_全链计算'!AD59+1,0),IF('01_数值调参'!X44&lt;0,'03_全链计算'!AE59+1,0),IF('01_数值调参'!X45&lt;0,'03_全链计算'!AF59+1,0),IF('01_数值调参'!X46&lt;0,'03_全链计算'!AG59+1,0),IF('01_数值调参'!X47&lt;0,'03_全链计算'!AH59+1,0),IF('01_数值调参'!X48&lt;0,'03_全链计算'!AI59+1,0),IF('01_数值调参'!X49&lt;0,'03_全链计算'!AJ59+1,0),IF('01_数值调参'!X50&lt;0,'03_全链计算'!AK59+1,0),IF('01_数值调参'!X51&lt;0,'03_全链计算'!AL59+1,0),IF('01_数值调参'!X52&lt;0,'03_全链计算'!AM59+1,0))</x:f>
        <x:v>2</x:v>
      </x:c>
      <x:c r="Y60" s="9" t="n">
        <x:f>MAX(IF('01_数值调参'!Y18&lt;0,'03_全链计算'!E59+1,0),IF('01_数值调参'!Y19&lt;0,'03_全链计算'!F59+1,0),IF('01_数值调参'!Y20&lt;0,'03_全链计算'!G59+1,0),IF('01_数值调参'!Y21&lt;0,'03_全链计算'!H59+1,0),IF('01_数值调参'!Y22&lt;0,'03_全链计算'!I59+1,0),IF('01_数值调参'!Y23&lt;0,'03_全链计算'!J59+1,0),IF('01_数值调参'!Y24&lt;0,'03_全链计算'!K59+1,0),IF('01_数值调参'!Y25&lt;0,'03_全链计算'!L59+1,0),IF('01_数值调参'!Y26&lt;0,'03_全链计算'!M59+1,0),IF('01_数值调参'!Y27&lt;0,'03_全链计算'!N59+1,0),IF('01_数值调参'!Y28&lt;0,'03_全链计算'!O59+1,0),IF('01_数值调参'!Y29&lt;0,'03_全链计算'!P59+1,0),IF('01_数值调参'!Y30&lt;0,'03_全链计算'!Q59+1,0),IF('01_数值调参'!Y31&lt;0,'03_全链计算'!R59+1,0),IF('01_数值调参'!Y32&lt;0,'03_全链计算'!S59+1,0),IF('01_数值调参'!Y33&lt;0,'03_全链计算'!T59+1,0),IF('01_数值调参'!Y34&lt;0,'03_全链计算'!U59+1,0),IF('01_数值调参'!Y35&lt;0,'03_全链计算'!V59+1,0),IF('01_数值调参'!Y36&lt;0,'03_全链计算'!W59+1,0),IF('01_数值调参'!Y37&lt;0,'03_全链计算'!X59+1,0),IF('01_数值调参'!Y38&lt;0,'03_全链计算'!Y59+1,0),IF('01_数值调参'!Y39&lt;0,'03_全链计算'!Z59+1,0),IF('01_数值调参'!Y40&lt;0,'03_全链计算'!AA59+1,0),IF('01_数值调参'!Y41&lt;0,'03_全链计算'!AB59+1,0),IF('01_数值调参'!Y42&lt;0,'03_全链计算'!AC59+1,0),IF('01_数值调参'!Y43&lt;0,'03_全链计算'!AD59+1,0),IF('01_数值调参'!Y44&lt;0,'03_全链计算'!AE59+1,0),IF('01_数值调参'!Y45&lt;0,'03_全链计算'!AF59+1,0),IF('01_数值调参'!Y46&lt;0,'03_全链计算'!AG59+1,0),IF('01_数值调参'!Y47&lt;0,'03_全链计算'!AH59+1,0),IF('01_数值调参'!Y48&lt;0,'03_全链计算'!AI59+1,0),IF('01_数值调参'!Y49&lt;0,'03_全链计算'!AJ59+1,0),IF('01_数值调参'!Y50&lt;0,'03_全链计算'!AK59+1,0),IF('01_数值调参'!Y51&lt;0,'03_全链计算'!AL59+1,0),IF('01_数值调参'!Y52&lt;0,'03_全链计算'!AM59+1,0))</x:f>
        <x:v>2</x:v>
      </x:c>
      <x:c r="Z60" s="9" t="n">
        <x:f>MAX(IF('01_数值调参'!Z18&lt;0,'03_全链计算'!E59+1,0),IF('01_数值调参'!Z19&lt;0,'03_全链计算'!F59+1,0),IF('01_数值调参'!Z20&lt;0,'03_全链计算'!G59+1,0),IF('01_数值调参'!Z21&lt;0,'03_全链计算'!H59+1,0),IF('01_数值调参'!Z22&lt;0,'03_全链计算'!I59+1,0),IF('01_数值调参'!Z23&lt;0,'03_全链计算'!J59+1,0),IF('01_数值调参'!Z24&lt;0,'03_全链计算'!K59+1,0),IF('01_数值调参'!Z25&lt;0,'03_全链计算'!L59+1,0),IF('01_数值调参'!Z26&lt;0,'03_全链计算'!M59+1,0),IF('01_数值调参'!Z27&lt;0,'03_全链计算'!N59+1,0),IF('01_数值调参'!Z28&lt;0,'03_全链计算'!O59+1,0),IF('01_数值调参'!Z29&lt;0,'03_全链计算'!P59+1,0),IF('01_数值调参'!Z30&lt;0,'03_全链计算'!Q59+1,0),IF('01_数值调参'!Z31&lt;0,'03_全链计算'!R59+1,0),IF('01_数值调参'!Z32&lt;0,'03_全链计算'!S59+1,0),IF('01_数值调参'!Z33&lt;0,'03_全链计算'!T59+1,0),IF('01_数值调参'!Z34&lt;0,'03_全链计算'!U59+1,0),IF('01_数值调参'!Z35&lt;0,'03_全链计算'!V59+1,0),IF('01_数值调参'!Z36&lt;0,'03_全链计算'!W59+1,0),IF('01_数值调参'!Z37&lt;0,'03_全链计算'!X59+1,0),IF('01_数值调参'!Z38&lt;0,'03_全链计算'!Y59+1,0),IF('01_数值调参'!Z39&lt;0,'03_全链计算'!Z59+1,0),IF('01_数值调参'!Z40&lt;0,'03_全链计算'!AA59+1,0),IF('01_数值调参'!Z41&lt;0,'03_全链计算'!AB59+1,0),IF('01_数值调参'!Z42&lt;0,'03_全链计算'!AC59+1,0),IF('01_数值调参'!Z43&lt;0,'03_全链计算'!AD59+1,0),IF('01_数值调参'!Z44&lt;0,'03_全链计算'!AE59+1,0),IF('01_数值调参'!Z45&lt;0,'03_全链计算'!AF59+1,0),IF('01_数值调参'!Z46&lt;0,'03_全链计算'!AG59+1,0),IF('01_数值调参'!Z47&lt;0,'03_全链计算'!AH59+1,0),IF('01_数值调参'!Z48&lt;0,'03_全链计算'!AI59+1,0),IF('01_数值调参'!Z49&lt;0,'03_全链计算'!AJ59+1,0),IF('01_数值调参'!Z50&lt;0,'03_全链计算'!AK59+1,0),IF('01_数值调参'!Z51&lt;0,'03_全链计算'!AL59+1,0),IF('01_数值调参'!Z52&lt;0,'03_全链计算'!AM59+1,0))</x:f>
        <x:v>2</x:v>
      </x:c>
      <x:c r="AA60" s="9" t="n">
        <x:f>MAX(IF('01_数值调参'!AA18&lt;0,'03_全链计算'!E59+1,0),IF('01_数值调参'!AA19&lt;0,'03_全链计算'!F59+1,0),IF('01_数值调参'!AA20&lt;0,'03_全链计算'!G59+1,0),IF('01_数值调参'!AA21&lt;0,'03_全链计算'!H59+1,0),IF('01_数值调参'!AA22&lt;0,'03_全链计算'!I59+1,0),IF('01_数值调参'!AA23&lt;0,'03_全链计算'!J59+1,0),IF('01_数值调参'!AA24&lt;0,'03_全链计算'!K59+1,0),IF('01_数值调参'!AA25&lt;0,'03_全链计算'!L59+1,0),IF('01_数值调参'!AA26&lt;0,'03_全链计算'!M59+1,0),IF('01_数值调参'!AA27&lt;0,'03_全链计算'!N59+1,0),IF('01_数值调参'!AA28&lt;0,'03_全链计算'!O59+1,0),IF('01_数值调参'!AA29&lt;0,'03_全链计算'!P59+1,0),IF('01_数值调参'!AA30&lt;0,'03_全链计算'!Q59+1,0),IF('01_数值调参'!AA31&lt;0,'03_全链计算'!R59+1,0),IF('01_数值调参'!AA32&lt;0,'03_全链计算'!S59+1,0),IF('01_数值调参'!AA33&lt;0,'03_全链计算'!T59+1,0),IF('01_数值调参'!AA34&lt;0,'03_全链计算'!U59+1,0),IF('01_数值调参'!AA35&lt;0,'03_全链计算'!V59+1,0),IF('01_数值调参'!AA36&lt;0,'03_全链计算'!W59+1,0),IF('01_数值调参'!AA37&lt;0,'03_全链计算'!X59+1,0),IF('01_数值调参'!AA38&lt;0,'03_全链计算'!Y59+1,0),IF('01_数值调参'!AA39&lt;0,'03_全链计算'!Z59+1,0),IF('01_数值调参'!AA40&lt;0,'03_全链计算'!AA59+1,0),IF('01_数值调参'!AA41&lt;0,'03_全链计算'!AB59+1,0),IF('01_数值调参'!AA42&lt;0,'03_全链计算'!AC59+1,0),IF('01_数值调参'!AA43&lt;0,'03_全链计算'!AD59+1,0),IF('01_数值调参'!AA44&lt;0,'03_全链计算'!AE59+1,0),IF('01_数值调参'!AA45&lt;0,'03_全链计算'!AF59+1,0),IF('01_数值调参'!AA46&lt;0,'03_全链计算'!AG59+1,0),IF('01_数值调参'!AA47&lt;0,'03_全链计算'!AH59+1,0),IF('01_数值调参'!AA48&lt;0,'03_全链计算'!AI59+1,0),IF('01_数值调参'!AA49&lt;0,'03_全链计算'!AJ59+1,0),IF('01_数值调参'!AA50&lt;0,'03_全链计算'!AK59+1,0),IF('01_数值调参'!AA51&lt;0,'03_全链计算'!AL59+1,0),IF('01_数值调参'!AA52&lt;0,'03_全链计算'!AM59+1,0))</x:f>
        <x:v>2</x:v>
      </x:c>
      <x:c r="AB60" s="9" t="n">
        <x:f>MAX(IF('01_数值调参'!AB18&lt;0,'03_全链计算'!E59+1,0),IF('01_数值调参'!AB19&lt;0,'03_全链计算'!F59+1,0),IF('01_数值调参'!AB20&lt;0,'03_全链计算'!G59+1,0),IF('01_数值调参'!AB21&lt;0,'03_全链计算'!H59+1,0),IF('01_数值调参'!AB22&lt;0,'03_全链计算'!I59+1,0),IF('01_数值调参'!AB23&lt;0,'03_全链计算'!J59+1,0),IF('01_数值调参'!AB24&lt;0,'03_全链计算'!K59+1,0),IF('01_数值调参'!AB25&lt;0,'03_全链计算'!L59+1,0),IF('01_数值调参'!AB26&lt;0,'03_全链计算'!M59+1,0),IF('01_数值调参'!AB27&lt;0,'03_全链计算'!N59+1,0),IF('01_数值调参'!AB28&lt;0,'03_全链计算'!O59+1,0),IF('01_数值调参'!AB29&lt;0,'03_全链计算'!P59+1,0),IF('01_数值调参'!AB30&lt;0,'03_全链计算'!Q59+1,0),IF('01_数值调参'!AB31&lt;0,'03_全链计算'!R59+1,0),IF('01_数值调参'!AB32&lt;0,'03_全链计算'!S59+1,0),IF('01_数值调参'!AB33&lt;0,'03_全链计算'!T59+1,0),IF('01_数值调参'!AB34&lt;0,'03_全链计算'!U59+1,0),IF('01_数值调参'!AB35&lt;0,'03_全链计算'!V59+1,0),IF('01_数值调参'!AB36&lt;0,'03_全链计算'!W59+1,0),IF('01_数值调参'!AB37&lt;0,'03_全链计算'!X59+1,0),IF('01_数值调参'!AB38&lt;0,'03_全链计算'!Y59+1,0),IF('01_数值调参'!AB39&lt;0,'03_全链计算'!Z59+1,0),IF('01_数值调参'!AB40&lt;0,'03_全链计算'!AA59+1,0),IF('01_数值调参'!AB41&lt;0,'03_全链计算'!AB59+1,0),IF('01_数值调参'!AB42&lt;0,'03_全链计算'!AC59+1,0),IF('01_数值调参'!AB43&lt;0,'03_全链计算'!AD59+1,0),IF('01_数值调参'!AB44&lt;0,'03_全链计算'!AE59+1,0),IF('01_数值调参'!AB45&lt;0,'03_全链计算'!AF59+1,0),IF('01_数值调参'!AB46&lt;0,'03_全链计算'!AG59+1,0),IF('01_数值调参'!AB47&lt;0,'03_全链计算'!AH59+1,0),IF('01_数值调参'!AB48&lt;0,'03_全链计算'!AI59+1,0),IF('01_数值调参'!AB49&lt;0,'03_全链计算'!AJ59+1,0),IF('01_数值调参'!AB50&lt;0,'03_全链计算'!AK59+1,0),IF('01_数值调参'!AB51&lt;0,'03_全链计算'!AL59+1,0),IF('01_数值调参'!AB52&lt;0,'03_全链计算'!AM59+1,0))</x:f>
        <x:v>2</x:v>
      </x:c>
      <x:c r="AC60" s="9" t="n">
        <x:f>MAX(IF('01_数值调参'!AC18&lt;0,'03_全链计算'!E59+1,0),IF('01_数值调参'!AC19&lt;0,'03_全链计算'!F59+1,0),IF('01_数值调参'!AC20&lt;0,'03_全链计算'!G59+1,0),IF('01_数值调参'!AC21&lt;0,'03_全链计算'!H59+1,0),IF('01_数值调参'!AC22&lt;0,'03_全链计算'!I59+1,0),IF('01_数值调参'!AC23&lt;0,'03_全链计算'!J59+1,0),IF('01_数值调参'!AC24&lt;0,'03_全链计算'!K59+1,0),IF('01_数值调参'!AC25&lt;0,'03_全链计算'!L59+1,0),IF('01_数值调参'!AC26&lt;0,'03_全链计算'!M59+1,0),IF('01_数值调参'!AC27&lt;0,'03_全链计算'!N59+1,0),IF('01_数值调参'!AC28&lt;0,'03_全链计算'!O59+1,0),IF('01_数值调参'!AC29&lt;0,'03_全链计算'!P59+1,0),IF('01_数值调参'!AC30&lt;0,'03_全链计算'!Q59+1,0),IF('01_数值调参'!AC31&lt;0,'03_全链计算'!R59+1,0),IF('01_数值调参'!AC32&lt;0,'03_全链计算'!S59+1,0),IF('01_数值调参'!AC33&lt;0,'03_全链计算'!T59+1,0),IF('01_数值调参'!AC34&lt;0,'03_全链计算'!U59+1,0),IF('01_数值调参'!AC35&lt;0,'03_全链计算'!V59+1,0),IF('01_数值调参'!AC36&lt;0,'03_全链计算'!W59+1,0),IF('01_数值调参'!AC37&lt;0,'03_全链计算'!X59+1,0),IF('01_数值调参'!AC38&lt;0,'03_全链计算'!Y59+1,0),IF('01_数值调参'!AC39&lt;0,'03_全链计算'!Z59+1,0),IF('01_数值调参'!AC40&lt;0,'03_全链计算'!AA59+1,0),IF('01_数值调参'!AC41&lt;0,'03_全链计算'!AB59+1,0),IF('01_数值调参'!AC42&lt;0,'03_全链计算'!AC59+1,0),IF('01_数值调参'!AC43&lt;0,'03_全链计算'!AD59+1,0),IF('01_数值调参'!AC44&lt;0,'03_全链计算'!AE59+1,0),IF('01_数值调参'!AC45&lt;0,'03_全链计算'!AF59+1,0),IF('01_数值调参'!AC46&lt;0,'03_全链计算'!AG59+1,0),IF('01_数值调参'!AC47&lt;0,'03_全链计算'!AH59+1,0),IF('01_数值调参'!AC48&lt;0,'03_全链计算'!AI59+1,0),IF('01_数值调参'!AC49&lt;0,'03_全链计算'!AJ59+1,0),IF('01_数值调参'!AC50&lt;0,'03_全链计算'!AK59+1,0),IF('01_数值调参'!AC51&lt;0,'03_全链计算'!AL59+1,0),IF('01_数值调参'!AC52&lt;0,'03_全链计算'!AM59+1,0))</x:f>
        <x:v>2</x:v>
      </x:c>
      <x:c r="AD60" s="9" t="n">
        <x:f>MAX(IF('01_数值调参'!AD18&lt;0,'03_全链计算'!E59+1,0),IF('01_数值调参'!AD19&lt;0,'03_全链计算'!F59+1,0),IF('01_数值调参'!AD20&lt;0,'03_全链计算'!G59+1,0),IF('01_数值调参'!AD21&lt;0,'03_全链计算'!H59+1,0),IF('01_数值调参'!AD22&lt;0,'03_全链计算'!I59+1,0),IF('01_数值调参'!AD23&lt;0,'03_全链计算'!J59+1,0),IF('01_数值调参'!AD24&lt;0,'03_全链计算'!K59+1,0),IF('01_数值调参'!AD25&lt;0,'03_全链计算'!L59+1,0),IF('01_数值调参'!AD26&lt;0,'03_全链计算'!M59+1,0),IF('01_数值调参'!AD27&lt;0,'03_全链计算'!N59+1,0),IF('01_数值调参'!AD28&lt;0,'03_全链计算'!O59+1,0),IF('01_数值调参'!AD29&lt;0,'03_全链计算'!P59+1,0),IF('01_数值调参'!AD30&lt;0,'03_全链计算'!Q59+1,0),IF('01_数值调参'!AD31&lt;0,'03_全链计算'!R59+1,0),IF('01_数值调参'!AD32&lt;0,'03_全链计算'!S59+1,0),IF('01_数值调参'!AD33&lt;0,'03_全链计算'!T59+1,0),IF('01_数值调参'!AD34&lt;0,'03_全链计算'!U59+1,0),IF('01_数值调参'!AD35&lt;0,'03_全链计算'!V59+1,0),IF('01_数值调参'!AD36&lt;0,'03_全链计算'!W59+1,0),IF('01_数值调参'!AD37&lt;0,'03_全链计算'!X59+1,0),IF('01_数值调参'!AD38&lt;0,'03_全链计算'!Y59+1,0),IF('01_数值调参'!AD39&lt;0,'03_全链计算'!Z59+1,0),IF('01_数值调参'!AD40&lt;0,'03_全链计算'!AA59+1,0),IF('01_数值调参'!AD41&lt;0,'03_全链计算'!AB59+1,0),IF('01_数值调参'!AD42&lt;0,'03_全链计算'!AC59+1,0),IF('01_数值调参'!AD43&lt;0,'03_全链计算'!AD59+1,0),IF('01_数值调参'!AD44&lt;0,'03_全链计算'!AE59+1,0),IF('01_数值调参'!AD45&lt;0,'03_全链计算'!AF59+1,0),IF('01_数值调参'!AD46&lt;0,'03_全链计算'!AG59+1,0),IF('01_数值调参'!AD47&lt;0,'03_全链计算'!AH59+1,0),IF('01_数值调参'!AD48&lt;0,'03_全链计算'!AI59+1,0),IF('01_数值调参'!AD49&lt;0,'03_全链计算'!AJ59+1,0),IF('01_数值调参'!AD50&lt;0,'03_全链计算'!AK59+1,0),IF('01_数值调参'!AD51&lt;0,'03_全链计算'!AL59+1,0),IF('01_数值调参'!AD52&lt;0,'03_全链计算'!AM59+1,0))</x:f>
        <x:v>1</x:v>
      </x:c>
      <x:c r="AE60" s="9" t="n">
        <x:f>MAX(IF('01_数值调参'!AE18&lt;0,'03_全链计算'!E59+1,0),IF('01_数值调参'!AE19&lt;0,'03_全链计算'!F59+1,0),IF('01_数值调参'!AE20&lt;0,'03_全链计算'!G59+1,0),IF('01_数值调参'!AE21&lt;0,'03_全链计算'!H59+1,0),IF('01_数值调参'!AE22&lt;0,'03_全链计算'!I59+1,0),IF('01_数值调参'!AE23&lt;0,'03_全链计算'!J59+1,0),IF('01_数值调参'!AE24&lt;0,'03_全链计算'!K59+1,0),IF('01_数值调参'!AE25&lt;0,'03_全链计算'!L59+1,0),IF('01_数值调参'!AE26&lt;0,'03_全链计算'!M59+1,0),IF('01_数值调参'!AE27&lt;0,'03_全链计算'!N59+1,0),IF('01_数值调参'!AE28&lt;0,'03_全链计算'!O59+1,0),IF('01_数值调参'!AE29&lt;0,'03_全链计算'!P59+1,0),IF('01_数值调参'!AE30&lt;0,'03_全链计算'!Q59+1,0),IF('01_数值调参'!AE31&lt;0,'03_全链计算'!R59+1,0),IF('01_数值调参'!AE32&lt;0,'03_全链计算'!S59+1,0),IF('01_数值调参'!AE33&lt;0,'03_全链计算'!T59+1,0),IF('01_数值调参'!AE34&lt;0,'03_全链计算'!U59+1,0),IF('01_数值调参'!AE35&lt;0,'03_全链计算'!V59+1,0),IF('01_数值调参'!AE36&lt;0,'03_全链计算'!W59+1,0),IF('01_数值调参'!AE37&lt;0,'03_全链计算'!X59+1,0),IF('01_数值调参'!AE38&lt;0,'03_全链计算'!Y59+1,0),IF('01_数值调参'!AE39&lt;0,'03_全链计算'!Z59+1,0),IF('01_数值调参'!AE40&lt;0,'03_全链计算'!AA59+1,0),IF('01_数值调参'!AE41&lt;0,'03_全链计算'!AB59+1,0),IF('01_数值调参'!AE42&lt;0,'03_全链计算'!AC59+1,0),IF('01_数值调参'!AE43&lt;0,'03_全链计算'!AD59+1,0),IF('01_数值调参'!AE44&lt;0,'03_全链计算'!AE59+1,0),IF('01_数值调参'!AE45&lt;0,'03_全链计算'!AF59+1,0),IF('01_数值调参'!AE46&lt;0,'03_全链计算'!AG59+1,0),IF('01_数值调参'!AE47&lt;0,'03_全链计算'!AH59+1,0),IF('01_数值调参'!AE48&lt;0,'03_全链计算'!AI59+1,0),IF('01_数值调参'!AE49&lt;0,'03_全链计算'!AJ59+1,0),IF('01_数值调参'!AE50&lt;0,'03_全链计算'!AK59+1,0),IF('01_数值调参'!AE51&lt;0,'03_全链计算'!AL59+1,0),IF('01_数值调参'!AE52&lt;0,'03_全链计算'!AM59+1,0))</x:f>
        <x:v>1</x:v>
      </x:c>
      <x:c r="AF60" s="9" t="n">
        <x:f>MAX(IF('01_数值调参'!AF18&lt;0,'03_全链计算'!E59+1,0),IF('01_数值调参'!AF19&lt;0,'03_全链计算'!F59+1,0),IF('01_数值调参'!AF20&lt;0,'03_全链计算'!G59+1,0),IF('01_数值调参'!AF21&lt;0,'03_全链计算'!H59+1,0),IF('01_数值调参'!AF22&lt;0,'03_全链计算'!I59+1,0),IF('01_数值调参'!AF23&lt;0,'03_全链计算'!J59+1,0),IF('01_数值调参'!AF24&lt;0,'03_全链计算'!K59+1,0),IF('01_数值调参'!AF25&lt;0,'03_全链计算'!L59+1,0),IF('01_数值调参'!AF26&lt;0,'03_全链计算'!M59+1,0),IF('01_数值调参'!AF27&lt;0,'03_全链计算'!N59+1,0),IF('01_数值调参'!AF28&lt;0,'03_全链计算'!O59+1,0),IF('01_数值调参'!AF29&lt;0,'03_全链计算'!P59+1,0),IF('01_数值调参'!AF30&lt;0,'03_全链计算'!Q59+1,0),IF('01_数值调参'!AF31&lt;0,'03_全链计算'!R59+1,0),IF('01_数值调参'!AF32&lt;0,'03_全链计算'!S59+1,0),IF('01_数值调参'!AF33&lt;0,'03_全链计算'!T59+1,0),IF('01_数值调参'!AF34&lt;0,'03_全链计算'!U59+1,0),IF('01_数值调参'!AF35&lt;0,'03_全链计算'!V59+1,0),IF('01_数值调参'!AF36&lt;0,'03_全链计算'!W59+1,0),IF('01_数值调参'!AF37&lt;0,'03_全链计算'!X59+1,0),IF('01_数值调参'!AF38&lt;0,'03_全链计算'!Y59+1,0),IF('01_数值调参'!AF39&lt;0,'03_全链计算'!Z59+1,0),IF('01_数值调参'!AF40&lt;0,'03_全链计算'!AA59+1,0),IF('01_数值调参'!AF41&lt;0,'03_全链计算'!AB59+1,0),IF('01_数值调参'!AF42&lt;0,'03_全链计算'!AC59+1,0),IF('01_数值调参'!AF43&lt;0,'03_全链计算'!AD59+1,0),IF('01_数值调参'!AF44&lt;0,'03_全链计算'!AE59+1,0),IF('01_数值调参'!AF45&lt;0,'03_全链计算'!AF59+1,0),IF('01_数值调参'!AF46&lt;0,'03_全链计算'!AG59+1,0),IF('01_数值调参'!AF47&lt;0,'03_全链计算'!AH59+1,0),IF('01_数值调参'!AF48&lt;0,'03_全链计算'!AI59+1,0),IF('01_数值调参'!AF49&lt;0,'03_全链计算'!AJ59+1,0),IF('01_数值调参'!AF50&lt;0,'03_全链计算'!AK59+1,0),IF('01_数值调参'!AF51&lt;0,'03_全链计算'!AL59+1,0),IF('01_数值调参'!AF52&lt;0,'03_全链计算'!AM59+1,0))</x:f>
        <x:v>1</x:v>
      </x:c>
      <x:c r="AG60" s="9" t="n">
        <x:f>MAX(IF('01_数值调参'!AG18&lt;0,'03_全链计算'!E59+1,0),IF('01_数值调参'!AG19&lt;0,'03_全链计算'!F59+1,0),IF('01_数值调参'!AG20&lt;0,'03_全链计算'!G59+1,0),IF('01_数值调参'!AG21&lt;0,'03_全链计算'!H59+1,0),IF('01_数值调参'!AG22&lt;0,'03_全链计算'!I59+1,0),IF('01_数值调参'!AG23&lt;0,'03_全链计算'!J59+1,0),IF('01_数值调参'!AG24&lt;0,'03_全链计算'!K59+1,0),IF('01_数值调参'!AG25&lt;0,'03_全链计算'!L59+1,0),IF('01_数值调参'!AG26&lt;0,'03_全链计算'!M59+1,0),IF('01_数值调参'!AG27&lt;0,'03_全链计算'!N59+1,0),IF('01_数值调参'!AG28&lt;0,'03_全链计算'!O59+1,0),IF('01_数值调参'!AG29&lt;0,'03_全链计算'!P59+1,0),IF('01_数值调参'!AG30&lt;0,'03_全链计算'!Q59+1,0),IF('01_数值调参'!AG31&lt;0,'03_全链计算'!R59+1,0),IF('01_数值调参'!AG32&lt;0,'03_全链计算'!S59+1,0),IF('01_数值调参'!AG33&lt;0,'03_全链计算'!T59+1,0),IF('01_数值调参'!AG34&lt;0,'03_全链计算'!U59+1,0),IF('01_数值调参'!AG35&lt;0,'03_全链计算'!V59+1,0),IF('01_数值调参'!AG36&lt;0,'03_全链计算'!W59+1,0),IF('01_数值调参'!AG37&lt;0,'03_全链计算'!X59+1,0),IF('01_数值调参'!AG38&lt;0,'03_全链计算'!Y59+1,0),IF('01_数值调参'!AG39&lt;0,'03_全链计算'!Z59+1,0),IF('01_数值调参'!AG40&lt;0,'03_全链计算'!AA59+1,0),IF('01_数值调参'!AG41&lt;0,'03_全链计算'!AB59+1,0),IF('01_数值调参'!AG42&lt;0,'03_全链计算'!AC59+1,0),IF('01_数值调参'!AG43&lt;0,'03_全链计算'!AD59+1,0),IF('01_数值调参'!AG44&lt;0,'03_全链计算'!AE59+1,0),IF('01_数值调参'!AG45&lt;0,'03_全链计算'!AF59+1,0),IF('01_数值调参'!AG46&lt;0,'03_全链计算'!AG59+1,0),IF('01_数值调参'!AG47&lt;0,'03_全链计算'!AH59+1,0),IF('01_数值调参'!AG48&lt;0,'03_全链计算'!AI59+1,0),IF('01_数值调参'!AG49&lt;0,'03_全链计算'!AJ59+1,0),IF('01_数值调参'!AG50&lt;0,'03_全链计算'!AK59+1,0),IF('01_数值调参'!AG51&lt;0,'03_全链计算'!AL59+1,0),IF('01_数值调参'!AG52&lt;0,'03_全链计算'!AM59+1,0))</x:f>
        <x:v>1</x:v>
      </x:c>
      <x:c r="AH60" s="9" t="n">
        <x:f>MAX(IF('01_数值调参'!AH18&lt;0,'03_全链计算'!E59+1,0),IF('01_数值调参'!AH19&lt;0,'03_全链计算'!F59+1,0),IF('01_数值调参'!AH20&lt;0,'03_全链计算'!G59+1,0),IF('01_数值调参'!AH21&lt;0,'03_全链计算'!H59+1,0),IF('01_数值调参'!AH22&lt;0,'03_全链计算'!I59+1,0),IF('01_数值调参'!AH23&lt;0,'03_全链计算'!J59+1,0),IF('01_数值调参'!AH24&lt;0,'03_全链计算'!K59+1,0),IF('01_数值调参'!AH25&lt;0,'03_全链计算'!L59+1,0),IF('01_数值调参'!AH26&lt;0,'03_全链计算'!M59+1,0),IF('01_数值调参'!AH27&lt;0,'03_全链计算'!N59+1,0),IF('01_数值调参'!AH28&lt;0,'03_全链计算'!O59+1,0),IF('01_数值调参'!AH29&lt;0,'03_全链计算'!P59+1,0),IF('01_数值调参'!AH30&lt;0,'03_全链计算'!Q59+1,0),IF('01_数值调参'!AH31&lt;0,'03_全链计算'!R59+1,0),IF('01_数值调参'!AH32&lt;0,'03_全链计算'!S59+1,0),IF('01_数值调参'!AH33&lt;0,'03_全链计算'!T59+1,0),IF('01_数值调参'!AH34&lt;0,'03_全链计算'!U59+1,0),IF('01_数值调参'!AH35&lt;0,'03_全链计算'!V59+1,0),IF('01_数值调参'!AH36&lt;0,'03_全链计算'!W59+1,0),IF('01_数值调参'!AH37&lt;0,'03_全链计算'!X59+1,0),IF('01_数值调参'!AH38&lt;0,'03_全链计算'!Y59+1,0),IF('01_数值调参'!AH39&lt;0,'03_全链计算'!Z59+1,0),IF('01_数值调参'!AH40&lt;0,'03_全链计算'!AA59+1,0),IF('01_数值调参'!AH41&lt;0,'03_全链计算'!AB59+1,0),IF('01_数值调参'!AH42&lt;0,'03_全链计算'!AC59+1,0),IF('01_数值调参'!AH43&lt;0,'03_全链计算'!AD59+1,0),IF('01_数值调参'!AH44&lt;0,'03_全链计算'!AE59+1,0),IF('01_数值调参'!AH45&lt;0,'03_全链计算'!AF59+1,0),IF('01_数值调参'!AH46&lt;0,'03_全链计算'!AG59+1,0),IF('01_数值调参'!AH47&lt;0,'03_全链计算'!AH59+1,0),IF('01_数值调参'!AH48&lt;0,'03_全链计算'!AI59+1,0),IF('01_数值调参'!AH49&lt;0,'03_全链计算'!AJ59+1,0),IF('01_数值调参'!AH50&lt;0,'03_全链计算'!AK59+1,0),IF('01_数值调参'!AH51&lt;0,'03_全链计算'!AL59+1,0),IF('01_数值调参'!AH52&lt;0,'03_全链计算'!AM59+1,0))</x:f>
        <x:v>2</x:v>
      </x:c>
      <x:c r="AI60" s="9" t="n">
        <x:f>MAX(IF('01_数值调参'!AI18&lt;0,'03_全链计算'!E59+1,0),IF('01_数值调参'!AI19&lt;0,'03_全链计算'!F59+1,0),IF('01_数值调参'!AI20&lt;0,'03_全链计算'!G59+1,0),IF('01_数值调参'!AI21&lt;0,'03_全链计算'!H59+1,0),IF('01_数值调参'!AI22&lt;0,'03_全链计算'!I59+1,0),IF('01_数值调参'!AI23&lt;0,'03_全链计算'!J59+1,0),IF('01_数值调参'!AI24&lt;0,'03_全链计算'!K59+1,0),IF('01_数值调参'!AI25&lt;0,'03_全链计算'!L59+1,0),IF('01_数值调参'!AI26&lt;0,'03_全链计算'!M59+1,0),IF('01_数值调参'!AI27&lt;0,'03_全链计算'!N59+1,0),IF('01_数值调参'!AI28&lt;0,'03_全链计算'!O59+1,0),IF('01_数值调参'!AI29&lt;0,'03_全链计算'!P59+1,0),IF('01_数值调参'!AI30&lt;0,'03_全链计算'!Q59+1,0),IF('01_数值调参'!AI31&lt;0,'03_全链计算'!R59+1,0),IF('01_数值调参'!AI32&lt;0,'03_全链计算'!S59+1,0),IF('01_数值调参'!AI33&lt;0,'03_全链计算'!T59+1,0),IF('01_数值调参'!AI34&lt;0,'03_全链计算'!U59+1,0),IF('01_数值调参'!AI35&lt;0,'03_全链计算'!V59+1,0),IF('01_数值调参'!AI36&lt;0,'03_全链计算'!W59+1,0),IF('01_数值调参'!AI37&lt;0,'03_全链计算'!X59+1,0),IF('01_数值调参'!AI38&lt;0,'03_全链计算'!Y59+1,0),IF('01_数值调参'!AI39&lt;0,'03_全链计算'!Z59+1,0),IF('01_数值调参'!AI40&lt;0,'03_全链计算'!AA59+1,0),IF('01_数值调参'!AI41&lt;0,'03_全链计算'!AB59+1,0),IF('01_数值调参'!AI42&lt;0,'03_全链计算'!AC59+1,0),IF('01_数值调参'!AI43&lt;0,'03_全链计算'!AD59+1,0),IF('01_数值调参'!AI44&lt;0,'03_全链计算'!AE59+1,0),IF('01_数值调参'!AI45&lt;0,'03_全链计算'!AF59+1,0),IF('01_数值调参'!AI46&lt;0,'03_全链计算'!AG59+1,0),IF('01_数值调参'!AI47&lt;0,'03_全链计算'!AH59+1,0),IF('01_数值调参'!AI48&lt;0,'03_全链计算'!AI59+1,0),IF('01_数值调参'!AI49&lt;0,'03_全链计算'!AJ59+1,0),IF('01_数值调参'!AI50&lt;0,'03_全链计算'!AK59+1,0),IF('01_数值调参'!AI51&lt;0,'03_全链计算'!AL59+1,0),IF('01_数值调参'!AI52&lt;0,'03_全链计算'!AM59+1,0))</x:f>
        <x:v>2</x:v>
      </x:c>
      <x:c r="AJ60" s="9" t="n">
        <x:f>MAX(IF('01_数值调参'!AJ18&lt;0,'03_全链计算'!E59+1,0),IF('01_数值调参'!AJ19&lt;0,'03_全链计算'!F59+1,0),IF('01_数值调参'!AJ20&lt;0,'03_全链计算'!G59+1,0),IF('01_数值调参'!AJ21&lt;0,'03_全链计算'!H59+1,0),IF('01_数值调参'!AJ22&lt;0,'03_全链计算'!I59+1,0),IF('01_数值调参'!AJ23&lt;0,'03_全链计算'!J59+1,0),IF('01_数值调参'!AJ24&lt;0,'03_全链计算'!K59+1,0),IF('01_数值调参'!AJ25&lt;0,'03_全链计算'!L59+1,0),IF('01_数值调参'!AJ26&lt;0,'03_全链计算'!M59+1,0),IF('01_数值调参'!AJ27&lt;0,'03_全链计算'!N59+1,0),IF('01_数值调参'!AJ28&lt;0,'03_全链计算'!O59+1,0),IF('01_数值调参'!AJ29&lt;0,'03_全链计算'!P59+1,0),IF('01_数值调参'!AJ30&lt;0,'03_全链计算'!Q59+1,0),IF('01_数值调参'!AJ31&lt;0,'03_全链计算'!R59+1,0),IF('01_数值调参'!AJ32&lt;0,'03_全链计算'!S59+1,0),IF('01_数值调参'!AJ33&lt;0,'03_全链计算'!T59+1,0),IF('01_数值调参'!AJ34&lt;0,'03_全链计算'!U59+1,0),IF('01_数值调参'!AJ35&lt;0,'03_全链计算'!V59+1,0),IF('01_数值调参'!AJ36&lt;0,'03_全链计算'!W59+1,0),IF('01_数值调参'!AJ37&lt;0,'03_全链计算'!X59+1,0),IF('01_数值调参'!AJ38&lt;0,'03_全链计算'!Y59+1,0),IF('01_数值调参'!AJ39&lt;0,'03_全链计算'!Z59+1,0),IF('01_数值调参'!AJ40&lt;0,'03_全链计算'!AA59+1,0),IF('01_数值调参'!AJ41&lt;0,'03_全链计算'!AB59+1,0),IF('01_数值调参'!AJ42&lt;0,'03_全链计算'!AC59+1,0),IF('01_数值调参'!AJ43&lt;0,'03_全链计算'!AD59+1,0),IF('01_数值调参'!AJ44&lt;0,'03_全链计算'!AE59+1,0),IF('01_数值调参'!AJ45&lt;0,'03_全链计算'!AF59+1,0),IF('01_数值调参'!AJ46&lt;0,'03_全链计算'!AG59+1,0),IF('01_数值调参'!AJ47&lt;0,'03_全链计算'!AH59+1,0),IF('01_数值调参'!AJ48&lt;0,'03_全链计算'!AI59+1,0),IF('01_数值调参'!AJ49&lt;0,'03_全链计算'!AJ59+1,0),IF('01_数值调参'!AJ50&lt;0,'03_全链计算'!AK59+1,0),IF('01_数值调参'!AJ51&lt;0,'03_全链计算'!AL59+1,0),IF('01_数值调参'!AJ52&lt;0,'03_全链计算'!AM59+1,0))</x:f>
        <x:v>2</x:v>
      </x:c>
      <x:c r="AK60" s="9" t="n">
        <x:f>MAX(IF('01_数值调参'!AK18&lt;0,'03_全链计算'!E59+1,0),IF('01_数值调参'!AK19&lt;0,'03_全链计算'!F59+1,0),IF('01_数值调参'!AK20&lt;0,'03_全链计算'!G59+1,0),IF('01_数值调参'!AK21&lt;0,'03_全链计算'!H59+1,0),IF('01_数值调参'!AK22&lt;0,'03_全链计算'!I59+1,0),IF('01_数值调参'!AK23&lt;0,'03_全链计算'!J59+1,0),IF('01_数值调参'!AK24&lt;0,'03_全链计算'!K59+1,0),IF('01_数值调参'!AK25&lt;0,'03_全链计算'!L59+1,0),IF('01_数值调参'!AK26&lt;0,'03_全链计算'!M59+1,0),IF('01_数值调参'!AK27&lt;0,'03_全链计算'!N59+1,0),IF('01_数值调参'!AK28&lt;0,'03_全链计算'!O59+1,0),IF('01_数值调参'!AK29&lt;0,'03_全链计算'!P59+1,0),IF('01_数值调参'!AK30&lt;0,'03_全链计算'!Q59+1,0),IF('01_数值调参'!AK31&lt;0,'03_全链计算'!R59+1,0),IF('01_数值调参'!AK32&lt;0,'03_全链计算'!S59+1,0),IF('01_数值调参'!AK33&lt;0,'03_全链计算'!T59+1,0),IF('01_数值调参'!AK34&lt;0,'03_全链计算'!U59+1,0),IF('01_数值调参'!AK35&lt;0,'03_全链计算'!V59+1,0),IF('01_数值调参'!AK36&lt;0,'03_全链计算'!W59+1,0),IF('01_数值调参'!AK37&lt;0,'03_全链计算'!X59+1,0),IF('01_数值调参'!AK38&lt;0,'03_全链计算'!Y59+1,0),IF('01_数值调参'!AK39&lt;0,'03_全链计算'!Z59+1,0),IF('01_数值调参'!AK40&lt;0,'03_全链计算'!AA59+1,0),IF('01_数值调参'!AK41&lt;0,'03_全链计算'!AB59+1,0),IF('01_数值调参'!AK42&lt;0,'03_全链计算'!AC59+1,0),IF('01_数值调参'!AK43&lt;0,'03_全链计算'!AD59+1,0),IF('01_数值调参'!AK44&lt;0,'03_全链计算'!AE59+1,0),IF('01_数值调参'!AK45&lt;0,'03_全链计算'!AF59+1,0),IF('01_数值调参'!AK46&lt;0,'03_全链计算'!AG59+1,0),IF('01_数值调参'!AK47&lt;0,'03_全链计算'!AH59+1,0),IF('01_数值调参'!AK48&lt;0,'03_全链计算'!AI59+1,0),IF('01_数值调参'!AK49&lt;0,'03_全链计算'!AJ59+1,0),IF('01_数值调参'!AK50&lt;0,'03_全链计算'!AK59+1,0),IF('01_数值调参'!AK51&lt;0,'03_全链计算'!AL59+1,0),IF('01_数值调参'!AK52&lt;0,'03_全链计算'!AM59+1,0))</x:f>
        <x:v>2</x:v>
      </x:c>
      <x:c r="AL60" s="9" t="n">
        <x:f>MAX(IF('01_数值调参'!AL18&lt;0,'03_全链计算'!E59+1,0),IF('01_数值调参'!AL19&lt;0,'03_全链计算'!F59+1,0),IF('01_数值调参'!AL20&lt;0,'03_全链计算'!G59+1,0),IF('01_数值调参'!AL21&lt;0,'03_全链计算'!H59+1,0),IF('01_数值调参'!AL22&lt;0,'03_全链计算'!I59+1,0),IF('01_数值调参'!AL23&lt;0,'03_全链计算'!J59+1,0),IF('01_数值调参'!AL24&lt;0,'03_全链计算'!K59+1,0),IF('01_数值调参'!AL25&lt;0,'03_全链计算'!L59+1,0),IF('01_数值调参'!AL26&lt;0,'03_全链计算'!M59+1,0),IF('01_数值调参'!AL27&lt;0,'03_全链计算'!N59+1,0),IF('01_数值调参'!AL28&lt;0,'03_全链计算'!O59+1,0),IF('01_数值调参'!AL29&lt;0,'03_全链计算'!P59+1,0),IF('01_数值调参'!AL30&lt;0,'03_全链计算'!Q59+1,0),IF('01_数值调参'!AL31&lt;0,'03_全链计算'!R59+1,0),IF('01_数值调参'!AL32&lt;0,'03_全链计算'!S59+1,0),IF('01_数值调参'!AL33&lt;0,'03_全链计算'!T59+1,0),IF('01_数值调参'!AL34&lt;0,'03_全链计算'!U59+1,0),IF('01_数值调参'!AL35&lt;0,'03_全链计算'!V59+1,0),IF('01_数值调参'!AL36&lt;0,'03_全链计算'!W59+1,0),IF('01_数值调参'!AL37&lt;0,'03_全链计算'!X59+1,0),IF('01_数值调参'!AL38&lt;0,'03_全链计算'!Y59+1,0),IF('01_数值调参'!AL39&lt;0,'03_全链计算'!Z59+1,0),IF('01_数值调参'!AL40&lt;0,'03_全链计算'!AA59+1,0),IF('01_数值调参'!AL41&lt;0,'03_全链计算'!AB59+1,0),IF('01_数值调参'!AL42&lt;0,'03_全链计算'!AC59+1,0),IF('01_数值调参'!AL43&lt;0,'03_全链计算'!AD59+1,0),IF('01_数值调参'!AL44&lt;0,'03_全链计算'!AE59+1,0),IF('01_数值调参'!AL45&lt;0,'03_全链计算'!AF59+1,0),IF('01_数值调参'!AL46&lt;0,'03_全链计算'!AG59+1,0),IF('01_数值调参'!AL47&lt;0,'03_全链计算'!AH59+1,0),IF('01_数值调参'!AL48&lt;0,'03_全链计算'!AI59+1,0),IF('01_数值调参'!AL49&lt;0,'03_全链计算'!AJ59+1,0),IF('01_数值调参'!AL50&lt;0,'03_全链计算'!AK59+1,0),IF('01_数值调参'!AL51&lt;0,'03_全链计算'!AL59+1,0),IF('01_数值调参'!AL52&lt;0,'03_全链计算'!AM59+1,0))</x:f>
        <x:v>3</x:v>
      </x:c>
      <x:c r="AM60" s="9" t="n">
        <x:f>MAX(IF('01_数值调参'!AM18&lt;0,'03_全链计算'!E59+1,0),IF('01_数值调参'!AM19&lt;0,'03_全链计算'!F59+1,0),IF('01_数值调参'!AM20&lt;0,'03_全链计算'!G59+1,0),IF('01_数值调参'!AM21&lt;0,'03_全链计算'!H59+1,0),IF('01_数值调参'!AM22&lt;0,'03_全链计算'!I59+1,0),IF('01_数值调参'!AM23&lt;0,'03_全链计算'!J59+1,0),IF('01_数值调参'!AM24&lt;0,'03_全链计算'!K59+1,0),IF('01_数值调参'!AM25&lt;0,'03_全链计算'!L59+1,0),IF('01_数值调参'!AM26&lt;0,'03_全链计算'!M59+1,0),IF('01_数值调参'!AM27&lt;0,'03_全链计算'!N59+1,0),IF('01_数值调参'!AM28&lt;0,'03_全链计算'!O59+1,0),IF('01_数值调参'!AM29&lt;0,'03_全链计算'!P59+1,0),IF('01_数值调参'!AM30&lt;0,'03_全链计算'!Q59+1,0),IF('01_数值调参'!AM31&lt;0,'03_全链计算'!R59+1,0),IF('01_数值调参'!AM32&lt;0,'03_全链计算'!S59+1,0),IF('01_数值调参'!AM33&lt;0,'03_全链计算'!T59+1,0),IF('01_数值调参'!AM34&lt;0,'03_全链计算'!U59+1,0),IF('01_数值调参'!AM35&lt;0,'03_全链计算'!V59+1,0),IF('01_数值调参'!AM36&lt;0,'03_全链计算'!W59+1,0),IF('01_数值调参'!AM37&lt;0,'03_全链计算'!X59+1,0),IF('01_数值调参'!AM38&lt;0,'03_全链计算'!Y59+1,0),IF('01_数值调参'!AM39&lt;0,'03_全链计算'!Z59+1,0),IF('01_数值调参'!AM40&lt;0,'03_全链计算'!AA59+1,0),IF('01_数值调参'!AM41&lt;0,'03_全链计算'!AB59+1,0),IF('01_数值调参'!AM42&lt;0,'03_全链计算'!AC59+1,0),IF('01_数值调参'!AM43&lt;0,'03_全链计算'!AD59+1,0),IF('01_数值调参'!AM44&lt;0,'03_全链计算'!AE59+1,0),IF('01_数值调参'!AM45&lt;0,'03_全链计算'!AF59+1,0),IF('01_数值调参'!AM46&lt;0,'03_全链计算'!AG59+1,0),IF('01_数值调参'!AM47&lt;0,'03_全链计算'!AH59+1,0),IF('01_数值调参'!AM48&lt;0,'03_全链计算'!AI59+1,0),IF('01_数值调参'!AM49&lt;0,'03_全链计算'!AJ59+1,0),IF('01_数值调参'!AM50&lt;0,'03_全链计算'!AK59+1,0),IF('01_数值调参'!AM51&lt;0,'03_全链计算'!AL59+1,0),IF('01_数值调参'!AM52&lt;0,'03_全链计算'!AM59+1,0))</x:f>
        <x:v>3</x:v>
      </x:c>
    </x:row>
    <x:row r="61" ht="22" customHeight="1">
      <x:c r="A61" s="9" t="n">
        <x:v>16</x:v>
      </x:c>
      <x:c r="B61" s="9"/>
      <x:c r="C61" s="9"/>
      <x:c r="D61" s="9"/>
      <x:c r="E61" s="9" t="n">
        <x:f>MAX(IF('01_数值调参'!E18&lt;0,'03_全链计算'!E60+1,0),IF('01_数值调参'!E19&lt;0,'03_全链计算'!F60+1,0),IF('01_数值调参'!E20&lt;0,'03_全链计算'!G60+1,0),IF('01_数值调参'!E21&lt;0,'03_全链计算'!H60+1,0),IF('01_数值调参'!E22&lt;0,'03_全链计算'!I60+1,0),IF('01_数值调参'!E23&lt;0,'03_全链计算'!J60+1,0),IF('01_数值调参'!E24&lt;0,'03_全链计算'!K60+1,0),IF('01_数值调参'!E25&lt;0,'03_全链计算'!L60+1,0),IF('01_数值调参'!E26&lt;0,'03_全链计算'!M60+1,0),IF('01_数值调参'!E27&lt;0,'03_全链计算'!N60+1,0),IF('01_数值调参'!E28&lt;0,'03_全链计算'!O60+1,0),IF('01_数值调参'!E29&lt;0,'03_全链计算'!P60+1,0),IF('01_数值调参'!E30&lt;0,'03_全链计算'!Q60+1,0),IF('01_数值调参'!E31&lt;0,'03_全链计算'!R60+1,0),IF('01_数值调参'!E32&lt;0,'03_全链计算'!S60+1,0),IF('01_数值调参'!E33&lt;0,'03_全链计算'!T60+1,0),IF('01_数值调参'!E34&lt;0,'03_全链计算'!U60+1,0),IF('01_数值调参'!E35&lt;0,'03_全链计算'!V60+1,0),IF('01_数值调参'!E36&lt;0,'03_全链计算'!W60+1,0),IF('01_数值调参'!E37&lt;0,'03_全链计算'!X60+1,0),IF('01_数值调参'!E38&lt;0,'03_全链计算'!Y60+1,0),IF('01_数值调参'!E39&lt;0,'03_全链计算'!Z60+1,0),IF('01_数值调参'!E40&lt;0,'03_全链计算'!AA60+1,0),IF('01_数值调参'!E41&lt;0,'03_全链计算'!AB60+1,0),IF('01_数值调参'!E42&lt;0,'03_全链计算'!AC60+1,0),IF('01_数值调参'!E43&lt;0,'03_全链计算'!AD60+1,0),IF('01_数值调参'!E44&lt;0,'03_全链计算'!AE60+1,0),IF('01_数值调参'!E45&lt;0,'03_全链计算'!AF60+1,0),IF('01_数值调参'!E46&lt;0,'03_全链计算'!AG60+1,0),IF('01_数值调参'!E47&lt;0,'03_全链计算'!AH60+1,0),IF('01_数值调参'!E48&lt;0,'03_全链计算'!AI60+1,0),IF('01_数值调参'!E49&lt;0,'03_全链计算'!AJ60+1,0),IF('01_数值调参'!E50&lt;0,'03_全链计算'!AK60+1,0),IF('01_数值调参'!E51&lt;0,'03_全链计算'!AL60+1,0),IF('01_数值调参'!E52&lt;0,'03_全链计算'!AM60+1,0))</x:f>
        <x:v>0</x:v>
      </x:c>
      <x:c r="F61" s="9" t="n">
        <x:f>MAX(IF('01_数值调参'!F18&lt;0,'03_全链计算'!E60+1,0),IF('01_数值调参'!F19&lt;0,'03_全链计算'!F60+1,0),IF('01_数值调参'!F20&lt;0,'03_全链计算'!G60+1,0),IF('01_数值调参'!F21&lt;0,'03_全链计算'!H60+1,0),IF('01_数值调参'!F22&lt;0,'03_全链计算'!I60+1,0),IF('01_数值调参'!F23&lt;0,'03_全链计算'!J60+1,0),IF('01_数值调参'!F24&lt;0,'03_全链计算'!K60+1,0),IF('01_数值调参'!F25&lt;0,'03_全链计算'!L60+1,0),IF('01_数值调参'!F26&lt;0,'03_全链计算'!M60+1,0),IF('01_数值调参'!F27&lt;0,'03_全链计算'!N60+1,0),IF('01_数值调参'!F28&lt;0,'03_全链计算'!O60+1,0),IF('01_数值调参'!F29&lt;0,'03_全链计算'!P60+1,0),IF('01_数值调参'!F30&lt;0,'03_全链计算'!Q60+1,0),IF('01_数值调参'!F31&lt;0,'03_全链计算'!R60+1,0),IF('01_数值调参'!F32&lt;0,'03_全链计算'!S60+1,0),IF('01_数值调参'!F33&lt;0,'03_全链计算'!T60+1,0),IF('01_数值调参'!F34&lt;0,'03_全链计算'!U60+1,0),IF('01_数值调参'!F35&lt;0,'03_全链计算'!V60+1,0),IF('01_数值调参'!F36&lt;0,'03_全链计算'!W60+1,0),IF('01_数值调参'!F37&lt;0,'03_全链计算'!X60+1,0),IF('01_数值调参'!F38&lt;0,'03_全链计算'!Y60+1,0),IF('01_数值调参'!F39&lt;0,'03_全链计算'!Z60+1,0),IF('01_数值调参'!F40&lt;0,'03_全链计算'!AA60+1,0),IF('01_数值调参'!F41&lt;0,'03_全链计算'!AB60+1,0),IF('01_数值调参'!F42&lt;0,'03_全链计算'!AC60+1,0),IF('01_数值调参'!F43&lt;0,'03_全链计算'!AD60+1,0),IF('01_数值调参'!F44&lt;0,'03_全链计算'!AE60+1,0),IF('01_数值调参'!F45&lt;0,'03_全链计算'!AF60+1,0),IF('01_数值调参'!F46&lt;0,'03_全链计算'!AG60+1,0),IF('01_数值调参'!F47&lt;0,'03_全链计算'!AH60+1,0),IF('01_数值调参'!F48&lt;0,'03_全链计算'!AI60+1,0),IF('01_数值调参'!F49&lt;0,'03_全链计算'!AJ60+1,0),IF('01_数值调参'!F50&lt;0,'03_全链计算'!AK60+1,0),IF('01_数值调参'!F51&lt;0,'03_全链计算'!AL60+1,0),IF('01_数值调参'!F52&lt;0,'03_全链计算'!AM60+1,0))</x:f>
        <x:v>0</x:v>
      </x:c>
      <x:c r="G61" s="9" t="n">
        <x:f>MAX(IF('01_数值调参'!G18&lt;0,'03_全链计算'!E60+1,0),IF('01_数值调参'!G19&lt;0,'03_全链计算'!F60+1,0),IF('01_数值调参'!G20&lt;0,'03_全链计算'!G60+1,0),IF('01_数值调参'!G21&lt;0,'03_全链计算'!H60+1,0),IF('01_数值调参'!G22&lt;0,'03_全链计算'!I60+1,0),IF('01_数值调参'!G23&lt;0,'03_全链计算'!J60+1,0),IF('01_数值调参'!G24&lt;0,'03_全链计算'!K60+1,0),IF('01_数值调参'!G25&lt;0,'03_全链计算'!L60+1,0),IF('01_数值调参'!G26&lt;0,'03_全链计算'!M60+1,0),IF('01_数值调参'!G27&lt;0,'03_全链计算'!N60+1,0),IF('01_数值调参'!G28&lt;0,'03_全链计算'!O60+1,0),IF('01_数值调参'!G29&lt;0,'03_全链计算'!P60+1,0),IF('01_数值调参'!G30&lt;0,'03_全链计算'!Q60+1,0),IF('01_数值调参'!G31&lt;0,'03_全链计算'!R60+1,0),IF('01_数值调参'!G32&lt;0,'03_全链计算'!S60+1,0),IF('01_数值调参'!G33&lt;0,'03_全链计算'!T60+1,0),IF('01_数值调参'!G34&lt;0,'03_全链计算'!U60+1,0),IF('01_数值调参'!G35&lt;0,'03_全链计算'!V60+1,0),IF('01_数值调参'!G36&lt;0,'03_全链计算'!W60+1,0),IF('01_数值调参'!G37&lt;0,'03_全链计算'!X60+1,0),IF('01_数值调参'!G38&lt;0,'03_全链计算'!Y60+1,0),IF('01_数值调参'!G39&lt;0,'03_全链计算'!Z60+1,0),IF('01_数值调参'!G40&lt;0,'03_全链计算'!AA60+1,0),IF('01_数值调参'!G41&lt;0,'03_全链计算'!AB60+1,0),IF('01_数值调参'!G42&lt;0,'03_全链计算'!AC60+1,0),IF('01_数值调参'!G43&lt;0,'03_全链计算'!AD60+1,0),IF('01_数值调参'!G44&lt;0,'03_全链计算'!AE60+1,0),IF('01_数值调参'!G45&lt;0,'03_全链计算'!AF60+1,0),IF('01_数值调参'!G46&lt;0,'03_全链计算'!AG60+1,0),IF('01_数值调参'!G47&lt;0,'03_全链计算'!AH60+1,0),IF('01_数值调参'!G48&lt;0,'03_全链计算'!AI60+1,0),IF('01_数值调参'!G49&lt;0,'03_全链计算'!AJ60+1,0),IF('01_数值调参'!G50&lt;0,'03_全链计算'!AK60+1,0),IF('01_数值调参'!G51&lt;0,'03_全链计算'!AL60+1,0),IF('01_数值调参'!G52&lt;0,'03_全链计算'!AM60+1,0))</x:f>
        <x:v>0</x:v>
      </x:c>
      <x:c r="H61" s="9" t="n">
        <x:f>MAX(IF('01_数值调参'!H18&lt;0,'03_全链计算'!E60+1,0),IF('01_数值调参'!H19&lt;0,'03_全链计算'!F60+1,0),IF('01_数值调参'!H20&lt;0,'03_全链计算'!G60+1,0),IF('01_数值调参'!H21&lt;0,'03_全链计算'!H60+1,0),IF('01_数值调参'!H22&lt;0,'03_全链计算'!I60+1,0),IF('01_数值调参'!H23&lt;0,'03_全链计算'!J60+1,0),IF('01_数值调参'!H24&lt;0,'03_全链计算'!K60+1,0),IF('01_数值调参'!H25&lt;0,'03_全链计算'!L60+1,0),IF('01_数值调参'!H26&lt;0,'03_全链计算'!M60+1,0),IF('01_数值调参'!H27&lt;0,'03_全链计算'!N60+1,0),IF('01_数值调参'!H28&lt;0,'03_全链计算'!O60+1,0),IF('01_数值调参'!H29&lt;0,'03_全链计算'!P60+1,0),IF('01_数值调参'!H30&lt;0,'03_全链计算'!Q60+1,0),IF('01_数值调参'!H31&lt;0,'03_全链计算'!R60+1,0),IF('01_数值调参'!H32&lt;0,'03_全链计算'!S60+1,0),IF('01_数值调参'!H33&lt;0,'03_全链计算'!T60+1,0),IF('01_数值调参'!H34&lt;0,'03_全链计算'!U60+1,0),IF('01_数值调参'!H35&lt;0,'03_全链计算'!V60+1,0),IF('01_数值调参'!H36&lt;0,'03_全链计算'!W60+1,0),IF('01_数值调参'!H37&lt;0,'03_全链计算'!X60+1,0),IF('01_数值调参'!H38&lt;0,'03_全链计算'!Y60+1,0),IF('01_数值调参'!H39&lt;0,'03_全链计算'!Z60+1,0),IF('01_数值调参'!H40&lt;0,'03_全链计算'!AA60+1,0),IF('01_数值调参'!H41&lt;0,'03_全链计算'!AB60+1,0),IF('01_数值调参'!H42&lt;0,'03_全链计算'!AC60+1,0),IF('01_数值调参'!H43&lt;0,'03_全链计算'!AD60+1,0),IF('01_数值调参'!H44&lt;0,'03_全链计算'!AE60+1,0),IF('01_数值调参'!H45&lt;0,'03_全链计算'!AF60+1,0),IF('01_数值调参'!H46&lt;0,'03_全链计算'!AG60+1,0),IF('01_数值调参'!H47&lt;0,'03_全链计算'!AH60+1,0),IF('01_数值调参'!H48&lt;0,'03_全链计算'!AI60+1,0),IF('01_数值调参'!H49&lt;0,'03_全链计算'!AJ60+1,0),IF('01_数值调参'!H50&lt;0,'03_全链计算'!AK60+1,0),IF('01_数值调参'!H51&lt;0,'03_全链计算'!AL60+1,0),IF('01_数值调参'!H52&lt;0,'03_全链计算'!AM60+1,0))</x:f>
        <x:v>0</x:v>
      </x:c>
      <x:c r="I61" s="9" t="n">
        <x:f>MAX(IF('01_数值调参'!I18&lt;0,'03_全链计算'!E60+1,0),IF('01_数值调参'!I19&lt;0,'03_全链计算'!F60+1,0),IF('01_数值调参'!I20&lt;0,'03_全链计算'!G60+1,0),IF('01_数值调参'!I21&lt;0,'03_全链计算'!H60+1,0),IF('01_数值调参'!I22&lt;0,'03_全链计算'!I60+1,0),IF('01_数值调参'!I23&lt;0,'03_全链计算'!J60+1,0),IF('01_数值调参'!I24&lt;0,'03_全链计算'!K60+1,0),IF('01_数值调参'!I25&lt;0,'03_全链计算'!L60+1,0),IF('01_数值调参'!I26&lt;0,'03_全链计算'!M60+1,0),IF('01_数值调参'!I27&lt;0,'03_全链计算'!N60+1,0),IF('01_数值调参'!I28&lt;0,'03_全链计算'!O60+1,0),IF('01_数值调参'!I29&lt;0,'03_全链计算'!P60+1,0),IF('01_数值调参'!I30&lt;0,'03_全链计算'!Q60+1,0),IF('01_数值调参'!I31&lt;0,'03_全链计算'!R60+1,0),IF('01_数值调参'!I32&lt;0,'03_全链计算'!S60+1,0),IF('01_数值调参'!I33&lt;0,'03_全链计算'!T60+1,0),IF('01_数值调参'!I34&lt;0,'03_全链计算'!U60+1,0),IF('01_数值调参'!I35&lt;0,'03_全链计算'!V60+1,0),IF('01_数值调参'!I36&lt;0,'03_全链计算'!W60+1,0),IF('01_数值调参'!I37&lt;0,'03_全链计算'!X60+1,0),IF('01_数值调参'!I38&lt;0,'03_全链计算'!Y60+1,0),IF('01_数值调参'!I39&lt;0,'03_全链计算'!Z60+1,0),IF('01_数值调参'!I40&lt;0,'03_全链计算'!AA60+1,0),IF('01_数值调参'!I41&lt;0,'03_全链计算'!AB60+1,0),IF('01_数值调参'!I42&lt;0,'03_全链计算'!AC60+1,0),IF('01_数值调参'!I43&lt;0,'03_全链计算'!AD60+1,0),IF('01_数值调参'!I44&lt;0,'03_全链计算'!AE60+1,0),IF('01_数值调参'!I45&lt;0,'03_全链计算'!AF60+1,0),IF('01_数值调参'!I46&lt;0,'03_全链计算'!AG60+1,0),IF('01_数值调参'!I47&lt;0,'03_全链计算'!AH60+1,0),IF('01_数值调参'!I48&lt;0,'03_全链计算'!AI60+1,0),IF('01_数值调参'!I49&lt;0,'03_全链计算'!AJ60+1,0),IF('01_数值调参'!I50&lt;0,'03_全链计算'!AK60+1,0),IF('01_数值调参'!I51&lt;0,'03_全链计算'!AL60+1,0),IF('01_数值调参'!I52&lt;0,'03_全链计算'!AM60+1,0))</x:f>
        <x:v>0</x:v>
      </x:c>
      <x:c r="J61" s="9" t="n">
        <x:f>MAX(IF('01_数值调参'!J18&lt;0,'03_全链计算'!E60+1,0),IF('01_数值调参'!J19&lt;0,'03_全链计算'!F60+1,0),IF('01_数值调参'!J20&lt;0,'03_全链计算'!G60+1,0),IF('01_数值调参'!J21&lt;0,'03_全链计算'!H60+1,0),IF('01_数值调参'!J22&lt;0,'03_全链计算'!I60+1,0),IF('01_数值调参'!J23&lt;0,'03_全链计算'!J60+1,0),IF('01_数值调参'!J24&lt;0,'03_全链计算'!K60+1,0),IF('01_数值调参'!J25&lt;0,'03_全链计算'!L60+1,0),IF('01_数值调参'!J26&lt;0,'03_全链计算'!M60+1,0),IF('01_数值调参'!J27&lt;0,'03_全链计算'!N60+1,0),IF('01_数值调参'!J28&lt;0,'03_全链计算'!O60+1,0),IF('01_数值调参'!J29&lt;0,'03_全链计算'!P60+1,0),IF('01_数值调参'!J30&lt;0,'03_全链计算'!Q60+1,0),IF('01_数值调参'!J31&lt;0,'03_全链计算'!R60+1,0),IF('01_数值调参'!J32&lt;0,'03_全链计算'!S60+1,0),IF('01_数值调参'!J33&lt;0,'03_全链计算'!T60+1,0),IF('01_数值调参'!J34&lt;0,'03_全链计算'!U60+1,0),IF('01_数值调参'!J35&lt;0,'03_全链计算'!V60+1,0),IF('01_数值调参'!J36&lt;0,'03_全链计算'!W60+1,0),IF('01_数值调参'!J37&lt;0,'03_全链计算'!X60+1,0),IF('01_数值调参'!J38&lt;0,'03_全链计算'!Y60+1,0),IF('01_数值调参'!J39&lt;0,'03_全链计算'!Z60+1,0),IF('01_数值调参'!J40&lt;0,'03_全链计算'!AA60+1,0),IF('01_数值调参'!J41&lt;0,'03_全链计算'!AB60+1,0),IF('01_数值调参'!J42&lt;0,'03_全链计算'!AC60+1,0),IF('01_数值调参'!J43&lt;0,'03_全链计算'!AD60+1,0),IF('01_数值调参'!J44&lt;0,'03_全链计算'!AE60+1,0),IF('01_数值调参'!J45&lt;0,'03_全链计算'!AF60+1,0),IF('01_数值调参'!J46&lt;0,'03_全链计算'!AG60+1,0),IF('01_数值调参'!J47&lt;0,'03_全链计算'!AH60+1,0),IF('01_数值调参'!J48&lt;0,'03_全链计算'!AI60+1,0),IF('01_数值调参'!J49&lt;0,'03_全链计算'!AJ60+1,0),IF('01_数值调参'!J50&lt;0,'03_全链计算'!AK60+1,0),IF('01_数值调参'!J51&lt;0,'03_全链计算'!AL60+1,0),IF('01_数值调参'!J52&lt;0,'03_全链计算'!AM60+1,0))</x:f>
        <x:v>0</x:v>
      </x:c>
      <x:c r="K61" s="9" t="n">
        <x:f>MAX(IF('01_数值调参'!K18&lt;0,'03_全链计算'!E60+1,0),IF('01_数值调参'!K19&lt;0,'03_全链计算'!F60+1,0),IF('01_数值调参'!K20&lt;0,'03_全链计算'!G60+1,0),IF('01_数值调参'!K21&lt;0,'03_全链计算'!H60+1,0),IF('01_数值调参'!K22&lt;0,'03_全链计算'!I60+1,0),IF('01_数值调参'!K23&lt;0,'03_全链计算'!J60+1,0),IF('01_数值调参'!K24&lt;0,'03_全链计算'!K60+1,0),IF('01_数值调参'!K25&lt;0,'03_全链计算'!L60+1,0),IF('01_数值调参'!K26&lt;0,'03_全链计算'!M60+1,0),IF('01_数值调参'!K27&lt;0,'03_全链计算'!N60+1,0),IF('01_数值调参'!K28&lt;0,'03_全链计算'!O60+1,0),IF('01_数值调参'!K29&lt;0,'03_全链计算'!P60+1,0),IF('01_数值调参'!K30&lt;0,'03_全链计算'!Q60+1,0),IF('01_数值调参'!K31&lt;0,'03_全链计算'!R60+1,0),IF('01_数值调参'!K32&lt;0,'03_全链计算'!S60+1,0),IF('01_数值调参'!K33&lt;0,'03_全链计算'!T60+1,0),IF('01_数值调参'!K34&lt;0,'03_全链计算'!U60+1,0),IF('01_数值调参'!K35&lt;0,'03_全链计算'!V60+1,0),IF('01_数值调参'!K36&lt;0,'03_全链计算'!W60+1,0),IF('01_数值调参'!K37&lt;0,'03_全链计算'!X60+1,0),IF('01_数值调参'!K38&lt;0,'03_全链计算'!Y60+1,0),IF('01_数值调参'!K39&lt;0,'03_全链计算'!Z60+1,0),IF('01_数值调参'!K40&lt;0,'03_全链计算'!AA60+1,0),IF('01_数值调参'!K41&lt;0,'03_全链计算'!AB60+1,0),IF('01_数值调参'!K42&lt;0,'03_全链计算'!AC60+1,0),IF('01_数值调参'!K43&lt;0,'03_全链计算'!AD60+1,0),IF('01_数值调参'!K44&lt;0,'03_全链计算'!AE60+1,0),IF('01_数值调参'!K45&lt;0,'03_全链计算'!AF60+1,0),IF('01_数值调参'!K46&lt;0,'03_全链计算'!AG60+1,0),IF('01_数值调参'!K47&lt;0,'03_全链计算'!AH60+1,0),IF('01_数值调参'!K48&lt;0,'03_全链计算'!AI60+1,0),IF('01_数值调参'!K49&lt;0,'03_全链计算'!AJ60+1,0),IF('01_数值调参'!K50&lt;0,'03_全链计算'!AK60+1,0),IF('01_数值调参'!K51&lt;0,'03_全链计算'!AL60+1,0),IF('01_数值调参'!K52&lt;0,'03_全链计算'!AM60+1,0))</x:f>
        <x:v>0</x:v>
      </x:c>
      <x:c r="L61" s="9" t="n">
        <x:f>MAX(IF('01_数值调参'!L18&lt;0,'03_全链计算'!E60+1,0),IF('01_数值调参'!L19&lt;0,'03_全链计算'!F60+1,0),IF('01_数值调参'!L20&lt;0,'03_全链计算'!G60+1,0),IF('01_数值调参'!L21&lt;0,'03_全链计算'!H60+1,0),IF('01_数值调参'!L22&lt;0,'03_全链计算'!I60+1,0),IF('01_数值调参'!L23&lt;0,'03_全链计算'!J60+1,0),IF('01_数值调参'!L24&lt;0,'03_全链计算'!K60+1,0),IF('01_数值调参'!L25&lt;0,'03_全链计算'!L60+1,0),IF('01_数值调参'!L26&lt;0,'03_全链计算'!M60+1,0),IF('01_数值调参'!L27&lt;0,'03_全链计算'!N60+1,0),IF('01_数值调参'!L28&lt;0,'03_全链计算'!O60+1,0),IF('01_数值调参'!L29&lt;0,'03_全链计算'!P60+1,0),IF('01_数值调参'!L30&lt;0,'03_全链计算'!Q60+1,0),IF('01_数值调参'!L31&lt;0,'03_全链计算'!R60+1,0),IF('01_数值调参'!L32&lt;0,'03_全链计算'!S60+1,0),IF('01_数值调参'!L33&lt;0,'03_全链计算'!T60+1,0),IF('01_数值调参'!L34&lt;0,'03_全链计算'!U60+1,0),IF('01_数值调参'!L35&lt;0,'03_全链计算'!V60+1,0),IF('01_数值调参'!L36&lt;0,'03_全链计算'!W60+1,0),IF('01_数值调参'!L37&lt;0,'03_全链计算'!X60+1,0),IF('01_数值调参'!L38&lt;0,'03_全链计算'!Y60+1,0),IF('01_数值调参'!L39&lt;0,'03_全链计算'!Z60+1,0),IF('01_数值调参'!L40&lt;0,'03_全链计算'!AA60+1,0),IF('01_数值调参'!L41&lt;0,'03_全链计算'!AB60+1,0),IF('01_数值调参'!L42&lt;0,'03_全链计算'!AC60+1,0),IF('01_数值调参'!L43&lt;0,'03_全链计算'!AD60+1,0),IF('01_数值调参'!L44&lt;0,'03_全链计算'!AE60+1,0),IF('01_数值调参'!L45&lt;0,'03_全链计算'!AF60+1,0),IF('01_数值调参'!L46&lt;0,'03_全链计算'!AG60+1,0),IF('01_数值调参'!L47&lt;0,'03_全链计算'!AH60+1,0),IF('01_数值调参'!L48&lt;0,'03_全链计算'!AI60+1,0),IF('01_数值调参'!L49&lt;0,'03_全链计算'!AJ60+1,0),IF('01_数值调参'!L50&lt;0,'03_全链计算'!AK60+1,0),IF('01_数值调参'!L51&lt;0,'03_全链计算'!AL60+1,0),IF('01_数值调参'!L52&lt;0,'03_全链计算'!AM60+1,0))</x:f>
        <x:v>0</x:v>
      </x:c>
      <x:c r="M61" s="9" t="n">
        <x:f>MAX(IF('01_数值调参'!M18&lt;0,'03_全链计算'!E60+1,0),IF('01_数值调参'!M19&lt;0,'03_全链计算'!F60+1,0),IF('01_数值调参'!M20&lt;0,'03_全链计算'!G60+1,0),IF('01_数值调参'!M21&lt;0,'03_全链计算'!H60+1,0),IF('01_数值调参'!M22&lt;0,'03_全链计算'!I60+1,0),IF('01_数值调参'!M23&lt;0,'03_全链计算'!J60+1,0),IF('01_数值调参'!M24&lt;0,'03_全链计算'!K60+1,0),IF('01_数值调参'!M25&lt;0,'03_全链计算'!L60+1,0),IF('01_数值调参'!M26&lt;0,'03_全链计算'!M60+1,0),IF('01_数值调参'!M27&lt;0,'03_全链计算'!N60+1,0),IF('01_数值调参'!M28&lt;0,'03_全链计算'!O60+1,0),IF('01_数值调参'!M29&lt;0,'03_全链计算'!P60+1,0),IF('01_数值调参'!M30&lt;0,'03_全链计算'!Q60+1,0),IF('01_数值调参'!M31&lt;0,'03_全链计算'!R60+1,0),IF('01_数值调参'!M32&lt;0,'03_全链计算'!S60+1,0),IF('01_数值调参'!M33&lt;0,'03_全链计算'!T60+1,0),IF('01_数值调参'!M34&lt;0,'03_全链计算'!U60+1,0),IF('01_数值调参'!M35&lt;0,'03_全链计算'!V60+1,0),IF('01_数值调参'!M36&lt;0,'03_全链计算'!W60+1,0),IF('01_数值调参'!M37&lt;0,'03_全链计算'!X60+1,0),IF('01_数值调参'!M38&lt;0,'03_全链计算'!Y60+1,0),IF('01_数值调参'!M39&lt;0,'03_全链计算'!Z60+1,0),IF('01_数值调参'!M40&lt;0,'03_全链计算'!AA60+1,0),IF('01_数值调参'!M41&lt;0,'03_全链计算'!AB60+1,0),IF('01_数值调参'!M42&lt;0,'03_全链计算'!AC60+1,0),IF('01_数值调参'!M43&lt;0,'03_全链计算'!AD60+1,0),IF('01_数值调参'!M44&lt;0,'03_全链计算'!AE60+1,0),IF('01_数值调参'!M45&lt;0,'03_全链计算'!AF60+1,0),IF('01_数值调参'!M46&lt;0,'03_全链计算'!AG60+1,0),IF('01_数值调参'!M47&lt;0,'03_全链计算'!AH60+1,0),IF('01_数值调参'!M48&lt;0,'03_全链计算'!AI60+1,0),IF('01_数值调参'!M49&lt;0,'03_全链计算'!AJ60+1,0),IF('01_数值调参'!M50&lt;0,'03_全链计算'!AK60+1,0),IF('01_数值调参'!M51&lt;0,'03_全链计算'!AL60+1,0),IF('01_数值调参'!M52&lt;0,'03_全链计算'!AM60+1,0))</x:f>
        <x:v>0</x:v>
      </x:c>
      <x:c r="N61" s="9" t="n">
        <x:f>MAX(IF('01_数值调参'!N18&lt;0,'03_全链计算'!E60+1,0),IF('01_数值调参'!N19&lt;0,'03_全链计算'!F60+1,0),IF('01_数值调参'!N20&lt;0,'03_全链计算'!G60+1,0),IF('01_数值调参'!N21&lt;0,'03_全链计算'!H60+1,0),IF('01_数值调参'!N22&lt;0,'03_全链计算'!I60+1,0),IF('01_数值调参'!N23&lt;0,'03_全链计算'!J60+1,0),IF('01_数值调参'!N24&lt;0,'03_全链计算'!K60+1,0),IF('01_数值调参'!N25&lt;0,'03_全链计算'!L60+1,0),IF('01_数值调参'!N26&lt;0,'03_全链计算'!M60+1,0),IF('01_数值调参'!N27&lt;0,'03_全链计算'!N60+1,0),IF('01_数值调参'!N28&lt;0,'03_全链计算'!O60+1,0),IF('01_数值调参'!N29&lt;0,'03_全链计算'!P60+1,0),IF('01_数值调参'!N30&lt;0,'03_全链计算'!Q60+1,0),IF('01_数值调参'!N31&lt;0,'03_全链计算'!R60+1,0),IF('01_数值调参'!N32&lt;0,'03_全链计算'!S60+1,0),IF('01_数值调参'!N33&lt;0,'03_全链计算'!T60+1,0),IF('01_数值调参'!N34&lt;0,'03_全链计算'!U60+1,0),IF('01_数值调参'!N35&lt;0,'03_全链计算'!V60+1,0),IF('01_数值调参'!N36&lt;0,'03_全链计算'!W60+1,0),IF('01_数值调参'!N37&lt;0,'03_全链计算'!X60+1,0),IF('01_数值调参'!N38&lt;0,'03_全链计算'!Y60+1,0),IF('01_数值调参'!N39&lt;0,'03_全链计算'!Z60+1,0),IF('01_数值调参'!N40&lt;0,'03_全链计算'!AA60+1,0),IF('01_数值调参'!N41&lt;0,'03_全链计算'!AB60+1,0),IF('01_数值调参'!N42&lt;0,'03_全链计算'!AC60+1,0),IF('01_数值调参'!N43&lt;0,'03_全链计算'!AD60+1,0),IF('01_数值调参'!N44&lt;0,'03_全链计算'!AE60+1,0),IF('01_数值调参'!N45&lt;0,'03_全链计算'!AF60+1,0),IF('01_数值调参'!N46&lt;0,'03_全链计算'!AG60+1,0),IF('01_数值调参'!N47&lt;0,'03_全链计算'!AH60+1,0),IF('01_数值调参'!N48&lt;0,'03_全链计算'!AI60+1,0),IF('01_数值调参'!N49&lt;0,'03_全链计算'!AJ60+1,0),IF('01_数值调参'!N50&lt;0,'03_全链计算'!AK60+1,0),IF('01_数值调参'!N51&lt;0,'03_全链计算'!AL60+1,0),IF('01_数值调参'!N52&lt;0,'03_全链计算'!AM60+1,0))</x:f>
        <x:v>1</x:v>
      </x:c>
      <x:c r="O61" s="9" t="n">
        <x:f>MAX(IF('01_数值调参'!O18&lt;0,'03_全链计算'!E60+1,0),IF('01_数值调参'!O19&lt;0,'03_全链计算'!F60+1,0),IF('01_数值调参'!O20&lt;0,'03_全链计算'!G60+1,0),IF('01_数值调参'!O21&lt;0,'03_全链计算'!H60+1,0),IF('01_数值调参'!O22&lt;0,'03_全链计算'!I60+1,0),IF('01_数值调参'!O23&lt;0,'03_全链计算'!J60+1,0),IF('01_数值调参'!O24&lt;0,'03_全链计算'!K60+1,0),IF('01_数值调参'!O25&lt;0,'03_全链计算'!L60+1,0),IF('01_数值调参'!O26&lt;0,'03_全链计算'!M60+1,0),IF('01_数值调参'!O27&lt;0,'03_全链计算'!N60+1,0),IF('01_数值调参'!O28&lt;0,'03_全链计算'!O60+1,0),IF('01_数值调参'!O29&lt;0,'03_全链计算'!P60+1,0),IF('01_数值调参'!O30&lt;0,'03_全链计算'!Q60+1,0),IF('01_数值调参'!O31&lt;0,'03_全链计算'!R60+1,0),IF('01_数值调参'!O32&lt;0,'03_全链计算'!S60+1,0),IF('01_数值调参'!O33&lt;0,'03_全链计算'!T60+1,0),IF('01_数值调参'!O34&lt;0,'03_全链计算'!U60+1,0),IF('01_数值调参'!O35&lt;0,'03_全链计算'!V60+1,0),IF('01_数值调参'!O36&lt;0,'03_全链计算'!W60+1,0),IF('01_数值调参'!O37&lt;0,'03_全链计算'!X60+1,0),IF('01_数值调参'!O38&lt;0,'03_全链计算'!Y60+1,0),IF('01_数值调参'!O39&lt;0,'03_全链计算'!Z60+1,0),IF('01_数值调参'!O40&lt;0,'03_全链计算'!AA60+1,0),IF('01_数值调参'!O41&lt;0,'03_全链计算'!AB60+1,0),IF('01_数值调参'!O42&lt;0,'03_全链计算'!AC60+1,0),IF('01_数值调参'!O43&lt;0,'03_全链计算'!AD60+1,0),IF('01_数值调参'!O44&lt;0,'03_全链计算'!AE60+1,0),IF('01_数值调参'!O45&lt;0,'03_全链计算'!AF60+1,0),IF('01_数值调参'!O46&lt;0,'03_全链计算'!AG60+1,0),IF('01_数值调参'!O47&lt;0,'03_全链计算'!AH60+1,0),IF('01_数值调参'!O48&lt;0,'03_全链计算'!AI60+1,0),IF('01_数值调参'!O49&lt;0,'03_全链计算'!AJ60+1,0),IF('01_数值调参'!O50&lt;0,'03_全链计算'!AK60+1,0),IF('01_数值调参'!O51&lt;0,'03_全链计算'!AL60+1,0),IF('01_数值调参'!O52&lt;0,'03_全链计算'!AM60+1,0))</x:f>
        <x:v>1</x:v>
      </x:c>
      <x:c r="P61" s="9" t="n">
        <x:f>MAX(IF('01_数值调参'!P18&lt;0,'03_全链计算'!E60+1,0),IF('01_数值调参'!P19&lt;0,'03_全链计算'!F60+1,0),IF('01_数值调参'!P20&lt;0,'03_全链计算'!G60+1,0),IF('01_数值调参'!P21&lt;0,'03_全链计算'!H60+1,0),IF('01_数值调参'!P22&lt;0,'03_全链计算'!I60+1,0),IF('01_数值调参'!P23&lt;0,'03_全链计算'!J60+1,0),IF('01_数值调参'!P24&lt;0,'03_全链计算'!K60+1,0),IF('01_数值调参'!P25&lt;0,'03_全链计算'!L60+1,0),IF('01_数值调参'!P26&lt;0,'03_全链计算'!M60+1,0),IF('01_数值调参'!P27&lt;0,'03_全链计算'!N60+1,0),IF('01_数值调参'!P28&lt;0,'03_全链计算'!O60+1,0),IF('01_数值调参'!P29&lt;0,'03_全链计算'!P60+1,0),IF('01_数值调参'!P30&lt;0,'03_全链计算'!Q60+1,0),IF('01_数值调参'!P31&lt;0,'03_全链计算'!R60+1,0),IF('01_数值调参'!P32&lt;0,'03_全链计算'!S60+1,0),IF('01_数值调参'!P33&lt;0,'03_全链计算'!T60+1,0),IF('01_数值调参'!P34&lt;0,'03_全链计算'!U60+1,0),IF('01_数值调参'!P35&lt;0,'03_全链计算'!V60+1,0),IF('01_数值调参'!P36&lt;0,'03_全链计算'!W60+1,0),IF('01_数值调参'!P37&lt;0,'03_全链计算'!X60+1,0),IF('01_数值调参'!P38&lt;0,'03_全链计算'!Y60+1,0),IF('01_数值调参'!P39&lt;0,'03_全链计算'!Z60+1,0),IF('01_数值调参'!P40&lt;0,'03_全链计算'!AA60+1,0),IF('01_数值调参'!P41&lt;0,'03_全链计算'!AB60+1,0),IF('01_数值调参'!P42&lt;0,'03_全链计算'!AC60+1,0),IF('01_数值调参'!P43&lt;0,'03_全链计算'!AD60+1,0),IF('01_数值调参'!P44&lt;0,'03_全链计算'!AE60+1,0),IF('01_数值调参'!P45&lt;0,'03_全链计算'!AF60+1,0),IF('01_数值调参'!P46&lt;0,'03_全链计算'!AG60+1,0),IF('01_数值调参'!P47&lt;0,'03_全链计算'!AH60+1,0),IF('01_数值调参'!P48&lt;0,'03_全链计算'!AI60+1,0),IF('01_数值调参'!P49&lt;0,'03_全链计算'!AJ60+1,0),IF('01_数值调参'!P50&lt;0,'03_全链计算'!AK60+1,0),IF('01_数值调参'!P51&lt;0,'03_全链计算'!AL60+1,0),IF('01_数值调参'!P52&lt;0,'03_全链计算'!AM60+1,0))</x:f>
        <x:v>1</x:v>
      </x:c>
      <x:c r="Q61" s="9" t="n">
        <x:f>MAX(IF('01_数值调参'!Q18&lt;0,'03_全链计算'!E60+1,0),IF('01_数值调参'!Q19&lt;0,'03_全链计算'!F60+1,0),IF('01_数值调参'!Q20&lt;0,'03_全链计算'!G60+1,0),IF('01_数值调参'!Q21&lt;0,'03_全链计算'!H60+1,0),IF('01_数值调参'!Q22&lt;0,'03_全链计算'!I60+1,0),IF('01_数值调参'!Q23&lt;0,'03_全链计算'!J60+1,0),IF('01_数值调参'!Q24&lt;0,'03_全链计算'!K60+1,0),IF('01_数值调参'!Q25&lt;0,'03_全链计算'!L60+1,0),IF('01_数值调参'!Q26&lt;0,'03_全链计算'!M60+1,0),IF('01_数值调参'!Q27&lt;0,'03_全链计算'!N60+1,0),IF('01_数值调参'!Q28&lt;0,'03_全链计算'!O60+1,0),IF('01_数值调参'!Q29&lt;0,'03_全链计算'!P60+1,0),IF('01_数值调参'!Q30&lt;0,'03_全链计算'!Q60+1,0),IF('01_数值调参'!Q31&lt;0,'03_全链计算'!R60+1,0),IF('01_数值调参'!Q32&lt;0,'03_全链计算'!S60+1,0),IF('01_数值调参'!Q33&lt;0,'03_全链计算'!T60+1,0),IF('01_数值调参'!Q34&lt;0,'03_全链计算'!U60+1,0),IF('01_数值调参'!Q35&lt;0,'03_全链计算'!V60+1,0),IF('01_数值调参'!Q36&lt;0,'03_全链计算'!W60+1,0),IF('01_数值调参'!Q37&lt;0,'03_全链计算'!X60+1,0),IF('01_数值调参'!Q38&lt;0,'03_全链计算'!Y60+1,0),IF('01_数值调参'!Q39&lt;0,'03_全链计算'!Z60+1,0),IF('01_数值调参'!Q40&lt;0,'03_全链计算'!AA60+1,0),IF('01_数值调参'!Q41&lt;0,'03_全链计算'!AB60+1,0),IF('01_数值调参'!Q42&lt;0,'03_全链计算'!AC60+1,0),IF('01_数值调参'!Q43&lt;0,'03_全链计算'!AD60+1,0),IF('01_数值调参'!Q44&lt;0,'03_全链计算'!AE60+1,0),IF('01_数值调参'!Q45&lt;0,'03_全链计算'!AF60+1,0),IF('01_数值调参'!Q46&lt;0,'03_全链计算'!AG60+1,0),IF('01_数值调参'!Q47&lt;0,'03_全链计算'!AH60+1,0),IF('01_数值调参'!Q48&lt;0,'03_全链计算'!AI60+1,0),IF('01_数值调参'!Q49&lt;0,'03_全链计算'!AJ60+1,0),IF('01_数值调参'!Q50&lt;0,'03_全链计算'!AK60+1,0),IF('01_数值调参'!Q51&lt;0,'03_全链计算'!AL60+1,0),IF('01_数值调参'!Q52&lt;0,'03_全链计算'!AM60+1,0))</x:f>
        <x:v>1</x:v>
      </x:c>
      <x:c r="R61" s="9" t="n">
        <x:f>MAX(IF('01_数值调参'!R18&lt;0,'03_全链计算'!E60+1,0),IF('01_数值调参'!R19&lt;0,'03_全链计算'!F60+1,0),IF('01_数值调参'!R20&lt;0,'03_全链计算'!G60+1,0),IF('01_数值调参'!R21&lt;0,'03_全链计算'!H60+1,0),IF('01_数值调参'!R22&lt;0,'03_全链计算'!I60+1,0),IF('01_数值调参'!R23&lt;0,'03_全链计算'!J60+1,0),IF('01_数值调参'!R24&lt;0,'03_全链计算'!K60+1,0),IF('01_数值调参'!R25&lt;0,'03_全链计算'!L60+1,0),IF('01_数值调参'!R26&lt;0,'03_全链计算'!M60+1,0),IF('01_数值调参'!R27&lt;0,'03_全链计算'!N60+1,0),IF('01_数值调参'!R28&lt;0,'03_全链计算'!O60+1,0),IF('01_数值调参'!R29&lt;0,'03_全链计算'!P60+1,0),IF('01_数值调参'!R30&lt;0,'03_全链计算'!Q60+1,0),IF('01_数值调参'!R31&lt;0,'03_全链计算'!R60+1,0),IF('01_数值调参'!R32&lt;0,'03_全链计算'!S60+1,0),IF('01_数值调参'!R33&lt;0,'03_全链计算'!T60+1,0),IF('01_数值调参'!R34&lt;0,'03_全链计算'!U60+1,0),IF('01_数值调参'!R35&lt;0,'03_全链计算'!V60+1,0),IF('01_数值调参'!R36&lt;0,'03_全链计算'!W60+1,0),IF('01_数值调参'!R37&lt;0,'03_全链计算'!X60+1,0),IF('01_数值调参'!R38&lt;0,'03_全链计算'!Y60+1,0),IF('01_数值调参'!R39&lt;0,'03_全链计算'!Z60+1,0),IF('01_数值调参'!R40&lt;0,'03_全链计算'!AA60+1,0),IF('01_数值调参'!R41&lt;0,'03_全链计算'!AB60+1,0),IF('01_数值调参'!R42&lt;0,'03_全链计算'!AC60+1,0),IF('01_数值调参'!R43&lt;0,'03_全链计算'!AD60+1,0),IF('01_数值调参'!R44&lt;0,'03_全链计算'!AE60+1,0),IF('01_数值调参'!R45&lt;0,'03_全链计算'!AF60+1,0),IF('01_数值调参'!R46&lt;0,'03_全链计算'!AG60+1,0),IF('01_数值调参'!R47&lt;0,'03_全链计算'!AH60+1,0),IF('01_数值调参'!R48&lt;0,'03_全链计算'!AI60+1,0),IF('01_数值调参'!R49&lt;0,'03_全链计算'!AJ60+1,0),IF('01_数值调参'!R50&lt;0,'03_全链计算'!AK60+1,0),IF('01_数值调参'!R51&lt;0,'03_全链计算'!AL60+1,0),IF('01_数值调参'!R52&lt;0,'03_全链计算'!AM60+1,0))</x:f>
        <x:v>1</x:v>
      </x:c>
      <x:c r="S61" s="9" t="n">
        <x:f>MAX(IF('01_数值调参'!S18&lt;0,'03_全链计算'!E60+1,0),IF('01_数值调参'!S19&lt;0,'03_全链计算'!F60+1,0),IF('01_数值调参'!S20&lt;0,'03_全链计算'!G60+1,0),IF('01_数值调参'!S21&lt;0,'03_全链计算'!H60+1,0),IF('01_数值调参'!S22&lt;0,'03_全链计算'!I60+1,0),IF('01_数值调参'!S23&lt;0,'03_全链计算'!J60+1,0),IF('01_数值调参'!S24&lt;0,'03_全链计算'!K60+1,0),IF('01_数值调参'!S25&lt;0,'03_全链计算'!L60+1,0),IF('01_数值调参'!S26&lt;0,'03_全链计算'!M60+1,0),IF('01_数值调参'!S27&lt;0,'03_全链计算'!N60+1,0),IF('01_数值调参'!S28&lt;0,'03_全链计算'!O60+1,0),IF('01_数值调参'!S29&lt;0,'03_全链计算'!P60+1,0),IF('01_数值调参'!S30&lt;0,'03_全链计算'!Q60+1,0),IF('01_数值调参'!S31&lt;0,'03_全链计算'!R60+1,0),IF('01_数值调参'!S32&lt;0,'03_全链计算'!S60+1,0),IF('01_数值调参'!S33&lt;0,'03_全链计算'!T60+1,0),IF('01_数值调参'!S34&lt;0,'03_全链计算'!U60+1,0),IF('01_数值调参'!S35&lt;0,'03_全链计算'!V60+1,0),IF('01_数值调参'!S36&lt;0,'03_全链计算'!W60+1,0),IF('01_数值调参'!S37&lt;0,'03_全链计算'!X60+1,0),IF('01_数值调参'!S38&lt;0,'03_全链计算'!Y60+1,0),IF('01_数值调参'!S39&lt;0,'03_全链计算'!Z60+1,0),IF('01_数值调参'!S40&lt;0,'03_全链计算'!AA60+1,0),IF('01_数值调参'!S41&lt;0,'03_全链计算'!AB60+1,0),IF('01_数值调参'!S42&lt;0,'03_全链计算'!AC60+1,0),IF('01_数值调参'!S43&lt;0,'03_全链计算'!AD60+1,0),IF('01_数值调参'!S44&lt;0,'03_全链计算'!AE60+1,0),IF('01_数值调参'!S45&lt;0,'03_全链计算'!AF60+1,0),IF('01_数值调参'!S46&lt;0,'03_全链计算'!AG60+1,0),IF('01_数值调参'!S47&lt;0,'03_全链计算'!AH60+1,0),IF('01_数值调参'!S48&lt;0,'03_全链计算'!AI60+1,0),IF('01_数值调参'!S49&lt;0,'03_全链计算'!AJ60+1,0),IF('01_数值调参'!S50&lt;0,'03_全链计算'!AK60+1,0),IF('01_数值调参'!S51&lt;0,'03_全链计算'!AL60+1,0),IF('01_数值调参'!S52&lt;0,'03_全链计算'!AM60+1,0))</x:f>
        <x:v>1</x:v>
      </x:c>
      <x:c r="T61" s="9" t="n">
        <x:f>MAX(IF('01_数值调参'!T18&lt;0,'03_全链计算'!E60+1,0),IF('01_数值调参'!T19&lt;0,'03_全链计算'!F60+1,0),IF('01_数值调参'!T20&lt;0,'03_全链计算'!G60+1,0),IF('01_数值调参'!T21&lt;0,'03_全链计算'!H60+1,0),IF('01_数值调参'!T22&lt;0,'03_全链计算'!I60+1,0),IF('01_数值调参'!T23&lt;0,'03_全链计算'!J60+1,0),IF('01_数值调参'!T24&lt;0,'03_全链计算'!K60+1,0),IF('01_数值调参'!T25&lt;0,'03_全链计算'!L60+1,0),IF('01_数值调参'!T26&lt;0,'03_全链计算'!M60+1,0),IF('01_数值调参'!T27&lt;0,'03_全链计算'!N60+1,0),IF('01_数值调参'!T28&lt;0,'03_全链计算'!O60+1,0),IF('01_数值调参'!T29&lt;0,'03_全链计算'!P60+1,0),IF('01_数值调参'!T30&lt;0,'03_全链计算'!Q60+1,0),IF('01_数值调参'!T31&lt;0,'03_全链计算'!R60+1,0),IF('01_数值调参'!T32&lt;0,'03_全链计算'!S60+1,0),IF('01_数值调参'!T33&lt;0,'03_全链计算'!T60+1,0),IF('01_数值调参'!T34&lt;0,'03_全链计算'!U60+1,0),IF('01_数值调参'!T35&lt;0,'03_全链计算'!V60+1,0),IF('01_数值调参'!T36&lt;0,'03_全链计算'!W60+1,0),IF('01_数值调参'!T37&lt;0,'03_全链计算'!X60+1,0),IF('01_数值调参'!T38&lt;0,'03_全链计算'!Y60+1,0),IF('01_数值调参'!T39&lt;0,'03_全链计算'!Z60+1,0),IF('01_数值调参'!T40&lt;0,'03_全链计算'!AA60+1,0),IF('01_数值调参'!T41&lt;0,'03_全链计算'!AB60+1,0),IF('01_数值调参'!T42&lt;0,'03_全链计算'!AC60+1,0),IF('01_数值调参'!T43&lt;0,'03_全链计算'!AD60+1,0),IF('01_数值调参'!T44&lt;0,'03_全链计算'!AE60+1,0),IF('01_数值调参'!T45&lt;0,'03_全链计算'!AF60+1,0),IF('01_数值调参'!T46&lt;0,'03_全链计算'!AG60+1,0),IF('01_数值调参'!T47&lt;0,'03_全链计算'!AH60+1,0),IF('01_数值调参'!T48&lt;0,'03_全链计算'!AI60+1,0),IF('01_数值调参'!T49&lt;0,'03_全链计算'!AJ60+1,0),IF('01_数值调参'!T50&lt;0,'03_全链计算'!AK60+1,0),IF('01_数值调参'!T51&lt;0,'03_全链计算'!AL60+1,0),IF('01_数值调参'!T52&lt;0,'03_全链计算'!AM60+1,0))</x:f>
        <x:v>1</x:v>
      </x:c>
      <x:c r="U61" s="9" t="n">
        <x:f>MAX(IF('01_数值调参'!U18&lt;0,'03_全链计算'!E60+1,0),IF('01_数值调参'!U19&lt;0,'03_全链计算'!F60+1,0),IF('01_数值调参'!U20&lt;0,'03_全链计算'!G60+1,0),IF('01_数值调参'!U21&lt;0,'03_全链计算'!H60+1,0),IF('01_数值调参'!U22&lt;0,'03_全链计算'!I60+1,0),IF('01_数值调参'!U23&lt;0,'03_全链计算'!J60+1,0),IF('01_数值调参'!U24&lt;0,'03_全链计算'!K60+1,0),IF('01_数值调参'!U25&lt;0,'03_全链计算'!L60+1,0),IF('01_数值调参'!U26&lt;0,'03_全链计算'!M60+1,0),IF('01_数值调参'!U27&lt;0,'03_全链计算'!N60+1,0),IF('01_数值调参'!U28&lt;0,'03_全链计算'!O60+1,0),IF('01_数值调参'!U29&lt;0,'03_全链计算'!P60+1,0),IF('01_数值调参'!U30&lt;0,'03_全链计算'!Q60+1,0),IF('01_数值调参'!U31&lt;0,'03_全链计算'!R60+1,0),IF('01_数值调参'!U32&lt;0,'03_全链计算'!S60+1,0),IF('01_数值调参'!U33&lt;0,'03_全链计算'!T60+1,0),IF('01_数值调参'!U34&lt;0,'03_全链计算'!U60+1,0),IF('01_数值调参'!U35&lt;0,'03_全链计算'!V60+1,0),IF('01_数值调参'!U36&lt;0,'03_全链计算'!W60+1,0),IF('01_数值调参'!U37&lt;0,'03_全链计算'!X60+1,0),IF('01_数值调参'!U38&lt;0,'03_全链计算'!Y60+1,0),IF('01_数值调参'!U39&lt;0,'03_全链计算'!Z60+1,0),IF('01_数值调参'!U40&lt;0,'03_全链计算'!AA60+1,0),IF('01_数值调参'!U41&lt;0,'03_全链计算'!AB60+1,0),IF('01_数值调参'!U42&lt;0,'03_全链计算'!AC60+1,0),IF('01_数值调参'!U43&lt;0,'03_全链计算'!AD60+1,0),IF('01_数值调参'!U44&lt;0,'03_全链计算'!AE60+1,0),IF('01_数值调参'!U45&lt;0,'03_全链计算'!AF60+1,0),IF('01_数值调参'!U46&lt;0,'03_全链计算'!AG60+1,0),IF('01_数值调参'!U47&lt;0,'03_全链计算'!AH60+1,0),IF('01_数值调参'!U48&lt;0,'03_全链计算'!AI60+1,0),IF('01_数值调参'!U49&lt;0,'03_全链计算'!AJ60+1,0),IF('01_数值调参'!U50&lt;0,'03_全链计算'!AK60+1,0),IF('01_数值调参'!U51&lt;0,'03_全链计算'!AL60+1,0),IF('01_数值调参'!U52&lt;0,'03_全链计算'!AM60+1,0))</x:f>
        <x:v>1</x:v>
      </x:c>
      <x:c r="V61" s="9" t="n">
        <x:f>MAX(IF('01_数值调参'!V18&lt;0,'03_全链计算'!E60+1,0),IF('01_数值调参'!V19&lt;0,'03_全链计算'!F60+1,0),IF('01_数值调参'!V20&lt;0,'03_全链计算'!G60+1,0),IF('01_数值调参'!V21&lt;0,'03_全链计算'!H60+1,0),IF('01_数值调参'!V22&lt;0,'03_全链计算'!I60+1,0),IF('01_数值调参'!V23&lt;0,'03_全链计算'!J60+1,0),IF('01_数值调参'!V24&lt;0,'03_全链计算'!K60+1,0),IF('01_数值调参'!V25&lt;0,'03_全链计算'!L60+1,0),IF('01_数值调参'!V26&lt;0,'03_全链计算'!M60+1,0),IF('01_数值调参'!V27&lt;0,'03_全链计算'!N60+1,0),IF('01_数值调参'!V28&lt;0,'03_全链计算'!O60+1,0),IF('01_数值调参'!V29&lt;0,'03_全链计算'!P60+1,0),IF('01_数值调参'!V30&lt;0,'03_全链计算'!Q60+1,0),IF('01_数值调参'!V31&lt;0,'03_全链计算'!R60+1,0),IF('01_数值调参'!V32&lt;0,'03_全链计算'!S60+1,0),IF('01_数值调参'!V33&lt;0,'03_全链计算'!T60+1,0),IF('01_数值调参'!V34&lt;0,'03_全链计算'!U60+1,0),IF('01_数值调参'!V35&lt;0,'03_全链计算'!V60+1,0),IF('01_数值调参'!V36&lt;0,'03_全链计算'!W60+1,0),IF('01_数值调参'!V37&lt;0,'03_全链计算'!X60+1,0),IF('01_数值调参'!V38&lt;0,'03_全链计算'!Y60+1,0),IF('01_数值调参'!V39&lt;0,'03_全链计算'!Z60+1,0),IF('01_数值调参'!V40&lt;0,'03_全链计算'!AA60+1,0),IF('01_数值调参'!V41&lt;0,'03_全链计算'!AB60+1,0),IF('01_数值调参'!V42&lt;0,'03_全链计算'!AC60+1,0),IF('01_数值调参'!V43&lt;0,'03_全链计算'!AD60+1,0),IF('01_数值调参'!V44&lt;0,'03_全链计算'!AE60+1,0),IF('01_数值调参'!V45&lt;0,'03_全链计算'!AF60+1,0),IF('01_数值调参'!V46&lt;0,'03_全链计算'!AG60+1,0),IF('01_数值调参'!V47&lt;0,'03_全链计算'!AH60+1,0),IF('01_数值调参'!V48&lt;0,'03_全链计算'!AI60+1,0),IF('01_数值调参'!V49&lt;0,'03_全链计算'!AJ60+1,0),IF('01_数值调参'!V50&lt;0,'03_全链计算'!AK60+1,0),IF('01_数值调参'!V51&lt;0,'03_全链计算'!AL60+1,0),IF('01_数值调参'!V52&lt;0,'03_全链计算'!AM60+1,0))</x:f>
        <x:v>1</x:v>
      </x:c>
      <x:c r="W61" s="9" t="n">
        <x:f>MAX(IF('01_数值调参'!W18&lt;0,'03_全链计算'!E60+1,0),IF('01_数值调参'!W19&lt;0,'03_全链计算'!F60+1,0),IF('01_数值调参'!W20&lt;0,'03_全链计算'!G60+1,0),IF('01_数值调参'!W21&lt;0,'03_全链计算'!H60+1,0),IF('01_数值调参'!W22&lt;0,'03_全链计算'!I60+1,0),IF('01_数值调参'!W23&lt;0,'03_全链计算'!J60+1,0),IF('01_数值调参'!W24&lt;0,'03_全链计算'!K60+1,0),IF('01_数值调参'!W25&lt;0,'03_全链计算'!L60+1,0),IF('01_数值调参'!W26&lt;0,'03_全链计算'!M60+1,0),IF('01_数值调参'!W27&lt;0,'03_全链计算'!N60+1,0),IF('01_数值调参'!W28&lt;0,'03_全链计算'!O60+1,0),IF('01_数值调参'!W29&lt;0,'03_全链计算'!P60+1,0),IF('01_数值调参'!W30&lt;0,'03_全链计算'!Q60+1,0),IF('01_数值调参'!W31&lt;0,'03_全链计算'!R60+1,0),IF('01_数值调参'!W32&lt;0,'03_全链计算'!S60+1,0),IF('01_数值调参'!W33&lt;0,'03_全链计算'!T60+1,0),IF('01_数值调参'!W34&lt;0,'03_全链计算'!U60+1,0),IF('01_数值调参'!W35&lt;0,'03_全链计算'!V60+1,0),IF('01_数值调参'!W36&lt;0,'03_全链计算'!W60+1,0),IF('01_数值调参'!W37&lt;0,'03_全链计算'!X60+1,0),IF('01_数值调参'!W38&lt;0,'03_全链计算'!Y60+1,0),IF('01_数值调参'!W39&lt;0,'03_全链计算'!Z60+1,0),IF('01_数值调参'!W40&lt;0,'03_全链计算'!AA60+1,0),IF('01_数值调参'!W41&lt;0,'03_全链计算'!AB60+1,0),IF('01_数值调参'!W42&lt;0,'03_全链计算'!AC60+1,0),IF('01_数值调参'!W43&lt;0,'03_全链计算'!AD60+1,0),IF('01_数值调参'!W44&lt;0,'03_全链计算'!AE60+1,0),IF('01_数值调参'!W45&lt;0,'03_全链计算'!AF60+1,0),IF('01_数值调参'!W46&lt;0,'03_全链计算'!AG60+1,0),IF('01_数值调参'!W47&lt;0,'03_全链计算'!AH60+1,0),IF('01_数值调参'!W48&lt;0,'03_全链计算'!AI60+1,0),IF('01_数值调参'!W49&lt;0,'03_全链计算'!AJ60+1,0),IF('01_数值调参'!W50&lt;0,'03_全链计算'!AK60+1,0),IF('01_数值调参'!W51&lt;0,'03_全链计算'!AL60+1,0),IF('01_数值调参'!W52&lt;0,'03_全链计算'!AM60+1,0))</x:f>
        <x:v>1</x:v>
      </x:c>
      <x:c r="X61" s="9" t="n">
        <x:f>MAX(IF('01_数值调参'!X18&lt;0,'03_全链计算'!E60+1,0),IF('01_数值调参'!X19&lt;0,'03_全链计算'!F60+1,0),IF('01_数值调参'!X20&lt;0,'03_全链计算'!G60+1,0),IF('01_数值调参'!X21&lt;0,'03_全链计算'!H60+1,0),IF('01_数值调参'!X22&lt;0,'03_全链计算'!I60+1,0),IF('01_数值调参'!X23&lt;0,'03_全链计算'!J60+1,0),IF('01_数值调参'!X24&lt;0,'03_全链计算'!K60+1,0),IF('01_数值调参'!X25&lt;0,'03_全链计算'!L60+1,0),IF('01_数值调参'!X26&lt;0,'03_全链计算'!M60+1,0),IF('01_数值调参'!X27&lt;0,'03_全链计算'!N60+1,0),IF('01_数值调参'!X28&lt;0,'03_全链计算'!O60+1,0),IF('01_数值调参'!X29&lt;0,'03_全链计算'!P60+1,0),IF('01_数值调参'!X30&lt;0,'03_全链计算'!Q60+1,0),IF('01_数值调参'!X31&lt;0,'03_全链计算'!R60+1,0),IF('01_数值调参'!X32&lt;0,'03_全链计算'!S60+1,0),IF('01_数值调参'!X33&lt;0,'03_全链计算'!T60+1,0),IF('01_数值调参'!X34&lt;0,'03_全链计算'!U60+1,0),IF('01_数值调参'!X35&lt;0,'03_全链计算'!V60+1,0),IF('01_数值调参'!X36&lt;0,'03_全链计算'!W60+1,0),IF('01_数值调参'!X37&lt;0,'03_全链计算'!X60+1,0),IF('01_数值调参'!X38&lt;0,'03_全链计算'!Y60+1,0),IF('01_数值调参'!X39&lt;0,'03_全链计算'!Z60+1,0),IF('01_数值调参'!X40&lt;0,'03_全链计算'!AA60+1,0),IF('01_数值调参'!X41&lt;0,'03_全链计算'!AB60+1,0),IF('01_数值调参'!X42&lt;0,'03_全链计算'!AC60+1,0),IF('01_数值调参'!X43&lt;0,'03_全链计算'!AD60+1,0),IF('01_数值调参'!X44&lt;0,'03_全链计算'!AE60+1,0),IF('01_数值调参'!X45&lt;0,'03_全链计算'!AF60+1,0),IF('01_数值调参'!X46&lt;0,'03_全链计算'!AG60+1,0),IF('01_数值调参'!X47&lt;0,'03_全链计算'!AH60+1,0),IF('01_数值调参'!X48&lt;0,'03_全链计算'!AI60+1,0),IF('01_数值调参'!X49&lt;0,'03_全链计算'!AJ60+1,0),IF('01_数值调参'!X50&lt;0,'03_全链计算'!AK60+1,0),IF('01_数值调参'!X51&lt;0,'03_全链计算'!AL60+1,0),IF('01_数值调参'!X52&lt;0,'03_全链计算'!AM60+1,0))</x:f>
        <x:v>2</x:v>
      </x:c>
      <x:c r="Y61" s="9" t="n">
        <x:f>MAX(IF('01_数值调参'!Y18&lt;0,'03_全链计算'!E60+1,0),IF('01_数值调参'!Y19&lt;0,'03_全链计算'!F60+1,0),IF('01_数值调参'!Y20&lt;0,'03_全链计算'!G60+1,0),IF('01_数值调参'!Y21&lt;0,'03_全链计算'!H60+1,0),IF('01_数值调参'!Y22&lt;0,'03_全链计算'!I60+1,0),IF('01_数值调参'!Y23&lt;0,'03_全链计算'!J60+1,0),IF('01_数值调参'!Y24&lt;0,'03_全链计算'!K60+1,0),IF('01_数值调参'!Y25&lt;0,'03_全链计算'!L60+1,0),IF('01_数值调参'!Y26&lt;0,'03_全链计算'!M60+1,0),IF('01_数值调参'!Y27&lt;0,'03_全链计算'!N60+1,0),IF('01_数值调参'!Y28&lt;0,'03_全链计算'!O60+1,0),IF('01_数值调参'!Y29&lt;0,'03_全链计算'!P60+1,0),IF('01_数值调参'!Y30&lt;0,'03_全链计算'!Q60+1,0),IF('01_数值调参'!Y31&lt;0,'03_全链计算'!R60+1,0),IF('01_数值调参'!Y32&lt;0,'03_全链计算'!S60+1,0),IF('01_数值调参'!Y33&lt;0,'03_全链计算'!T60+1,0),IF('01_数值调参'!Y34&lt;0,'03_全链计算'!U60+1,0),IF('01_数值调参'!Y35&lt;0,'03_全链计算'!V60+1,0),IF('01_数值调参'!Y36&lt;0,'03_全链计算'!W60+1,0),IF('01_数值调参'!Y37&lt;0,'03_全链计算'!X60+1,0),IF('01_数值调参'!Y38&lt;0,'03_全链计算'!Y60+1,0),IF('01_数值调参'!Y39&lt;0,'03_全链计算'!Z60+1,0),IF('01_数值调参'!Y40&lt;0,'03_全链计算'!AA60+1,0),IF('01_数值调参'!Y41&lt;0,'03_全链计算'!AB60+1,0),IF('01_数值调参'!Y42&lt;0,'03_全链计算'!AC60+1,0),IF('01_数值调参'!Y43&lt;0,'03_全链计算'!AD60+1,0),IF('01_数值调参'!Y44&lt;0,'03_全链计算'!AE60+1,0),IF('01_数值调参'!Y45&lt;0,'03_全链计算'!AF60+1,0),IF('01_数值调参'!Y46&lt;0,'03_全链计算'!AG60+1,0),IF('01_数值调参'!Y47&lt;0,'03_全链计算'!AH60+1,0),IF('01_数值调参'!Y48&lt;0,'03_全链计算'!AI60+1,0),IF('01_数值调参'!Y49&lt;0,'03_全链计算'!AJ60+1,0),IF('01_数值调参'!Y50&lt;0,'03_全链计算'!AK60+1,0),IF('01_数值调参'!Y51&lt;0,'03_全链计算'!AL60+1,0),IF('01_数值调参'!Y52&lt;0,'03_全链计算'!AM60+1,0))</x:f>
        <x:v>2</x:v>
      </x:c>
      <x:c r="Z61" s="9" t="n">
        <x:f>MAX(IF('01_数值调参'!Z18&lt;0,'03_全链计算'!E60+1,0),IF('01_数值调参'!Z19&lt;0,'03_全链计算'!F60+1,0),IF('01_数值调参'!Z20&lt;0,'03_全链计算'!G60+1,0),IF('01_数值调参'!Z21&lt;0,'03_全链计算'!H60+1,0),IF('01_数值调参'!Z22&lt;0,'03_全链计算'!I60+1,0),IF('01_数值调参'!Z23&lt;0,'03_全链计算'!J60+1,0),IF('01_数值调参'!Z24&lt;0,'03_全链计算'!K60+1,0),IF('01_数值调参'!Z25&lt;0,'03_全链计算'!L60+1,0),IF('01_数值调参'!Z26&lt;0,'03_全链计算'!M60+1,0),IF('01_数值调参'!Z27&lt;0,'03_全链计算'!N60+1,0),IF('01_数值调参'!Z28&lt;0,'03_全链计算'!O60+1,0),IF('01_数值调参'!Z29&lt;0,'03_全链计算'!P60+1,0),IF('01_数值调参'!Z30&lt;0,'03_全链计算'!Q60+1,0),IF('01_数值调参'!Z31&lt;0,'03_全链计算'!R60+1,0),IF('01_数值调参'!Z32&lt;0,'03_全链计算'!S60+1,0),IF('01_数值调参'!Z33&lt;0,'03_全链计算'!T60+1,0),IF('01_数值调参'!Z34&lt;0,'03_全链计算'!U60+1,0),IF('01_数值调参'!Z35&lt;0,'03_全链计算'!V60+1,0),IF('01_数值调参'!Z36&lt;0,'03_全链计算'!W60+1,0),IF('01_数值调参'!Z37&lt;0,'03_全链计算'!X60+1,0),IF('01_数值调参'!Z38&lt;0,'03_全链计算'!Y60+1,0),IF('01_数值调参'!Z39&lt;0,'03_全链计算'!Z60+1,0),IF('01_数值调参'!Z40&lt;0,'03_全链计算'!AA60+1,0),IF('01_数值调参'!Z41&lt;0,'03_全链计算'!AB60+1,0),IF('01_数值调参'!Z42&lt;0,'03_全链计算'!AC60+1,0),IF('01_数值调参'!Z43&lt;0,'03_全链计算'!AD60+1,0),IF('01_数值调参'!Z44&lt;0,'03_全链计算'!AE60+1,0),IF('01_数值调参'!Z45&lt;0,'03_全链计算'!AF60+1,0),IF('01_数值调参'!Z46&lt;0,'03_全链计算'!AG60+1,0),IF('01_数值调参'!Z47&lt;0,'03_全链计算'!AH60+1,0),IF('01_数值调参'!Z48&lt;0,'03_全链计算'!AI60+1,0),IF('01_数值调参'!Z49&lt;0,'03_全链计算'!AJ60+1,0),IF('01_数值调参'!Z50&lt;0,'03_全链计算'!AK60+1,0),IF('01_数值调参'!Z51&lt;0,'03_全链计算'!AL60+1,0),IF('01_数值调参'!Z52&lt;0,'03_全链计算'!AM60+1,0))</x:f>
        <x:v>2</x:v>
      </x:c>
      <x:c r="AA61" s="9" t="n">
        <x:f>MAX(IF('01_数值调参'!AA18&lt;0,'03_全链计算'!E60+1,0),IF('01_数值调参'!AA19&lt;0,'03_全链计算'!F60+1,0),IF('01_数值调参'!AA20&lt;0,'03_全链计算'!G60+1,0),IF('01_数值调参'!AA21&lt;0,'03_全链计算'!H60+1,0),IF('01_数值调参'!AA22&lt;0,'03_全链计算'!I60+1,0),IF('01_数值调参'!AA23&lt;0,'03_全链计算'!J60+1,0),IF('01_数值调参'!AA24&lt;0,'03_全链计算'!K60+1,0),IF('01_数值调参'!AA25&lt;0,'03_全链计算'!L60+1,0),IF('01_数值调参'!AA26&lt;0,'03_全链计算'!M60+1,0),IF('01_数值调参'!AA27&lt;0,'03_全链计算'!N60+1,0),IF('01_数值调参'!AA28&lt;0,'03_全链计算'!O60+1,0),IF('01_数值调参'!AA29&lt;0,'03_全链计算'!P60+1,0),IF('01_数值调参'!AA30&lt;0,'03_全链计算'!Q60+1,0),IF('01_数值调参'!AA31&lt;0,'03_全链计算'!R60+1,0),IF('01_数值调参'!AA32&lt;0,'03_全链计算'!S60+1,0),IF('01_数值调参'!AA33&lt;0,'03_全链计算'!T60+1,0),IF('01_数值调参'!AA34&lt;0,'03_全链计算'!U60+1,0),IF('01_数值调参'!AA35&lt;0,'03_全链计算'!V60+1,0),IF('01_数值调参'!AA36&lt;0,'03_全链计算'!W60+1,0),IF('01_数值调参'!AA37&lt;0,'03_全链计算'!X60+1,0),IF('01_数值调参'!AA38&lt;0,'03_全链计算'!Y60+1,0),IF('01_数值调参'!AA39&lt;0,'03_全链计算'!Z60+1,0),IF('01_数值调参'!AA40&lt;0,'03_全链计算'!AA60+1,0),IF('01_数值调参'!AA41&lt;0,'03_全链计算'!AB60+1,0),IF('01_数值调参'!AA42&lt;0,'03_全链计算'!AC60+1,0),IF('01_数值调参'!AA43&lt;0,'03_全链计算'!AD60+1,0),IF('01_数值调参'!AA44&lt;0,'03_全链计算'!AE60+1,0),IF('01_数值调参'!AA45&lt;0,'03_全链计算'!AF60+1,0),IF('01_数值调参'!AA46&lt;0,'03_全链计算'!AG60+1,0),IF('01_数值调参'!AA47&lt;0,'03_全链计算'!AH60+1,0),IF('01_数值调参'!AA48&lt;0,'03_全链计算'!AI60+1,0),IF('01_数值调参'!AA49&lt;0,'03_全链计算'!AJ60+1,0),IF('01_数值调参'!AA50&lt;0,'03_全链计算'!AK60+1,0),IF('01_数值调参'!AA51&lt;0,'03_全链计算'!AL60+1,0),IF('01_数值调参'!AA52&lt;0,'03_全链计算'!AM60+1,0))</x:f>
        <x:v>2</x:v>
      </x:c>
      <x:c r="AB61" s="9" t="n">
        <x:f>MAX(IF('01_数值调参'!AB18&lt;0,'03_全链计算'!E60+1,0),IF('01_数值调参'!AB19&lt;0,'03_全链计算'!F60+1,0),IF('01_数值调参'!AB20&lt;0,'03_全链计算'!G60+1,0),IF('01_数值调参'!AB21&lt;0,'03_全链计算'!H60+1,0),IF('01_数值调参'!AB22&lt;0,'03_全链计算'!I60+1,0),IF('01_数值调参'!AB23&lt;0,'03_全链计算'!J60+1,0),IF('01_数值调参'!AB24&lt;0,'03_全链计算'!K60+1,0),IF('01_数值调参'!AB25&lt;0,'03_全链计算'!L60+1,0),IF('01_数值调参'!AB26&lt;0,'03_全链计算'!M60+1,0),IF('01_数值调参'!AB27&lt;0,'03_全链计算'!N60+1,0),IF('01_数值调参'!AB28&lt;0,'03_全链计算'!O60+1,0),IF('01_数值调参'!AB29&lt;0,'03_全链计算'!P60+1,0),IF('01_数值调参'!AB30&lt;0,'03_全链计算'!Q60+1,0),IF('01_数值调参'!AB31&lt;0,'03_全链计算'!R60+1,0),IF('01_数值调参'!AB32&lt;0,'03_全链计算'!S60+1,0),IF('01_数值调参'!AB33&lt;0,'03_全链计算'!T60+1,0),IF('01_数值调参'!AB34&lt;0,'03_全链计算'!U60+1,0),IF('01_数值调参'!AB35&lt;0,'03_全链计算'!V60+1,0),IF('01_数值调参'!AB36&lt;0,'03_全链计算'!W60+1,0),IF('01_数值调参'!AB37&lt;0,'03_全链计算'!X60+1,0),IF('01_数值调参'!AB38&lt;0,'03_全链计算'!Y60+1,0),IF('01_数值调参'!AB39&lt;0,'03_全链计算'!Z60+1,0),IF('01_数值调参'!AB40&lt;0,'03_全链计算'!AA60+1,0),IF('01_数值调参'!AB41&lt;0,'03_全链计算'!AB60+1,0),IF('01_数值调参'!AB42&lt;0,'03_全链计算'!AC60+1,0),IF('01_数值调参'!AB43&lt;0,'03_全链计算'!AD60+1,0),IF('01_数值调参'!AB44&lt;0,'03_全链计算'!AE60+1,0),IF('01_数值调参'!AB45&lt;0,'03_全链计算'!AF60+1,0),IF('01_数值调参'!AB46&lt;0,'03_全链计算'!AG60+1,0),IF('01_数值调参'!AB47&lt;0,'03_全链计算'!AH60+1,0),IF('01_数值调参'!AB48&lt;0,'03_全链计算'!AI60+1,0),IF('01_数值调参'!AB49&lt;0,'03_全链计算'!AJ60+1,0),IF('01_数值调参'!AB50&lt;0,'03_全链计算'!AK60+1,0),IF('01_数值调参'!AB51&lt;0,'03_全链计算'!AL60+1,0),IF('01_数值调参'!AB52&lt;0,'03_全链计算'!AM60+1,0))</x:f>
        <x:v>2</x:v>
      </x:c>
      <x:c r="AC61" s="9" t="n">
        <x:f>MAX(IF('01_数值调参'!AC18&lt;0,'03_全链计算'!E60+1,0),IF('01_数值调参'!AC19&lt;0,'03_全链计算'!F60+1,0),IF('01_数值调参'!AC20&lt;0,'03_全链计算'!G60+1,0),IF('01_数值调参'!AC21&lt;0,'03_全链计算'!H60+1,0),IF('01_数值调参'!AC22&lt;0,'03_全链计算'!I60+1,0),IF('01_数值调参'!AC23&lt;0,'03_全链计算'!J60+1,0),IF('01_数值调参'!AC24&lt;0,'03_全链计算'!K60+1,0),IF('01_数值调参'!AC25&lt;0,'03_全链计算'!L60+1,0),IF('01_数值调参'!AC26&lt;0,'03_全链计算'!M60+1,0),IF('01_数值调参'!AC27&lt;0,'03_全链计算'!N60+1,0),IF('01_数值调参'!AC28&lt;0,'03_全链计算'!O60+1,0),IF('01_数值调参'!AC29&lt;0,'03_全链计算'!P60+1,0),IF('01_数值调参'!AC30&lt;0,'03_全链计算'!Q60+1,0),IF('01_数值调参'!AC31&lt;0,'03_全链计算'!R60+1,0),IF('01_数值调参'!AC32&lt;0,'03_全链计算'!S60+1,0),IF('01_数值调参'!AC33&lt;0,'03_全链计算'!T60+1,0),IF('01_数值调参'!AC34&lt;0,'03_全链计算'!U60+1,0),IF('01_数值调参'!AC35&lt;0,'03_全链计算'!V60+1,0),IF('01_数值调参'!AC36&lt;0,'03_全链计算'!W60+1,0),IF('01_数值调参'!AC37&lt;0,'03_全链计算'!X60+1,0),IF('01_数值调参'!AC38&lt;0,'03_全链计算'!Y60+1,0),IF('01_数值调参'!AC39&lt;0,'03_全链计算'!Z60+1,0),IF('01_数值调参'!AC40&lt;0,'03_全链计算'!AA60+1,0),IF('01_数值调参'!AC41&lt;0,'03_全链计算'!AB60+1,0),IF('01_数值调参'!AC42&lt;0,'03_全链计算'!AC60+1,0),IF('01_数值调参'!AC43&lt;0,'03_全链计算'!AD60+1,0),IF('01_数值调参'!AC44&lt;0,'03_全链计算'!AE60+1,0),IF('01_数值调参'!AC45&lt;0,'03_全链计算'!AF60+1,0),IF('01_数值调参'!AC46&lt;0,'03_全链计算'!AG60+1,0),IF('01_数值调参'!AC47&lt;0,'03_全链计算'!AH60+1,0),IF('01_数值调参'!AC48&lt;0,'03_全链计算'!AI60+1,0),IF('01_数值调参'!AC49&lt;0,'03_全链计算'!AJ60+1,0),IF('01_数值调参'!AC50&lt;0,'03_全链计算'!AK60+1,0),IF('01_数值调参'!AC51&lt;0,'03_全链计算'!AL60+1,0),IF('01_数值调参'!AC52&lt;0,'03_全链计算'!AM60+1,0))</x:f>
        <x:v>2</x:v>
      </x:c>
      <x:c r="AD61" s="9" t="n">
        <x:f>MAX(IF('01_数值调参'!AD18&lt;0,'03_全链计算'!E60+1,0),IF('01_数值调参'!AD19&lt;0,'03_全链计算'!F60+1,0),IF('01_数值调参'!AD20&lt;0,'03_全链计算'!G60+1,0),IF('01_数值调参'!AD21&lt;0,'03_全链计算'!H60+1,0),IF('01_数值调参'!AD22&lt;0,'03_全链计算'!I60+1,0),IF('01_数值调参'!AD23&lt;0,'03_全链计算'!J60+1,0),IF('01_数值调参'!AD24&lt;0,'03_全链计算'!K60+1,0),IF('01_数值调参'!AD25&lt;0,'03_全链计算'!L60+1,0),IF('01_数值调参'!AD26&lt;0,'03_全链计算'!M60+1,0),IF('01_数值调参'!AD27&lt;0,'03_全链计算'!N60+1,0),IF('01_数值调参'!AD28&lt;0,'03_全链计算'!O60+1,0),IF('01_数值调参'!AD29&lt;0,'03_全链计算'!P60+1,0),IF('01_数值调参'!AD30&lt;0,'03_全链计算'!Q60+1,0),IF('01_数值调参'!AD31&lt;0,'03_全链计算'!R60+1,0),IF('01_数值调参'!AD32&lt;0,'03_全链计算'!S60+1,0),IF('01_数值调参'!AD33&lt;0,'03_全链计算'!T60+1,0),IF('01_数值调参'!AD34&lt;0,'03_全链计算'!U60+1,0),IF('01_数值调参'!AD35&lt;0,'03_全链计算'!V60+1,0),IF('01_数值调参'!AD36&lt;0,'03_全链计算'!W60+1,0),IF('01_数值调参'!AD37&lt;0,'03_全链计算'!X60+1,0),IF('01_数值调参'!AD38&lt;0,'03_全链计算'!Y60+1,0),IF('01_数值调参'!AD39&lt;0,'03_全链计算'!Z60+1,0),IF('01_数值调参'!AD40&lt;0,'03_全链计算'!AA60+1,0),IF('01_数值调参'!AD41&lt;0,'03_全链计算'!AB60+1,0),IF('01_数值调参'!AD42&lt;0,'03_全链计算'!AC60+1,0),IF('01_数值调参'!AD43&lt;0,'03_全链计算'!AD60+1,0),IF('01_数值调参'!AD44&lt;0,'03_全链计算'!AE60+1,0),IF('01_数值调参'!AD45&lt;0,'03_全链计算'!AF60+1,0),IF('01_数值调参'!AD46&lt;0,'03_全链计算'!AG60+1,0),IF('01_数值调参'!AD47&lt;0,'03_全链计算'!AH60+1,0),IF('01_数值调参'!AD48&lt;0,'03_全链计算'!AI60+1,0),IF('01_数值调参'!AD49&lt;0,'03_全链计算'!AJ60+1,0),IF('01_数值调参'!AD50&lt;0,'03_全链计算'!AK60+1,0),IF('01_数值调参'!AD51&lt;0,'03_全链计算'!AL60+1,0),IF('01_数值调参'!AD52&lt;0,'03_全链计算'!AM60+1,0))</x:f>
        <x:v>1</x:v>
      </x:c>
      <x:c r="AE61" s="9" t="n">
        <x:f>MAX(IF('01_数值调参'!AE18&lt;0,'03_全链计算'!E60+1,0),IF('01_数值调参'!AE19&lt;0,'03_全链计算'!F60+1,0),IF('01_数值调参'!AE20&lt;0,'03_全链计算'!G60+1,0),IF('01_数值调参'!AE21&lt;0,'03_全链计算'!H60+1,0),IF('01_数值调参'!AE22&lt;0,'03_全链计算'!I60+1,0),IF('01_数值调参'!AE23&lt;0,'03_全链计算'!J60+1,0),IF('01_数值调参'!AE24&lt;0,'03_全链计算'!K60+1,0),IF('01_数值调参'!AE25&lt;0,'03_全链计算'!L60+1,0),IF('01_数值调参'!AE26&lt;0,'03_全链计算'!M60+1,0),IF('01_数值调参'!AE27&lt;0,'03_全链计算'!N60+1,0),IF('01_数值调参'!AE28&lt;0,'03_全链计算'!O60+1,0),IF('01_数值调参'!AE29&lt;0,'03_全链计算'!P60+1,0),IF('01_数值调参'!AE30&lt;0,'03_全链计算'!Q60+1,0),IF('01_数值调参'!AE31&lt;0,'03_全链计算'!R60+1,0),IF('01_数值调参'!AE32&lt;0,'03_全链计算'!S60+1,0),IF('01_数值调参'!AE33&lt;0,'03_全链计算'!T60+1,0),IF('01_数值调参'!AE34&lt;0,'03_全链计算'!U60+1,0),IF('01_数值调参'!AE35&lt;0,'03_全链计算'!V60+1,0),IF('01_数值调参'!AE36&lt;0,'03_全链计算'!W60+1,0),IF('01_数值调参'!AE37&lt;0,'03_全链计算'!X60+1,0),IF('01_数值调参'!AE38&lt;0,'03_全链计算'!Y60+1,0),IF('01_数值调参'!AE39&lt;0,'03_全链计算'!Z60+1,0),IF('01_数值调参'!AE40&lt;0,'03_全链计算'!AA60+1,0),IF('01_数值调参'!AE41&lt;0,'03_全链计算'!AB60+1,0),IF('01_数值调参'!AE42&lt;0,'03_全链计算'!AC60+1,0),IF('01_数值调参'!AE43&lt;0,'03_全链计算'!AD60+1,0),IF('01_数值调参'!AE44&lt;0,'03_全链计算'!AE60+1,0),IF('01_数值调参'!AE45&lt;0,'03_全链计算'!AF60+1,0),IF('01_数值调参'!AE46&lt;0,'03_全链计算'!AG60+1,0),IF('01_数值调参'!AE47&lt;0,'03_全链计算'!AH60+1,0),IF('01_数值调参'!AE48&lt;0,'03_全链计算'!AI60+1,0),IF('01_数值调参'!AE49&lt;0,'03_全链计算'!AJ60+1,0),IF('01_数值调参'!AE50&lt;0,'03_全链计算'!AK60+1,0),IF('01_数值调参'!AE51&lt;0,'03_全链计算'!AL60+1,0),IF('01_数值调参'!AE52&lt;0,'03_全链计算'!AM60+1,0))</x:f>
        <x:v>1</x:v>
      </x:c>
      <x:c r="AF61" s="9" t="n">
        <x:f>MAX(IF('01_数值调参'!AF18&lt;0,'03_全链计算'!E60+1,0),IF('01_数值调参'!AF19&lt;0,'03_全链计算'!F60+1,0),IF('01_数值调参'!AF20&lt;0,'03_全链计算'!G60+1,0),IF('01_数值调参'!AF21&lt;0,'03_全链计算'!H60+1,0),IF('01_数值调参'!AF22&lt;0,'03_全链计算'!I60+1,0),IF('01_数值调参'!AF23&lt;0,'03_全链计算'!J60+1,0),IF('01_数值调参'!AF24&lt;0,'03_全链计算'!K60+1,0),IF('01_数值调参'!AF25&lt;0,'03_全链计算'!L60+1,0),IF('01_数值调参'!AF26&lt;0,'03_全链计算'!M60+1,0),IF('01_数值调参'!AF27&lt;0,'03_全链计算'!N60+1,0),IF('01_数值调参'!AF28&lt;0,'03_全链计算'!O60+1,0),IF('01_数值调参'!AF29&lt;0,'03_全链计算'!P60+1,0),IF('01_数值调参'!AF30&lt;0,'03_全链计算'!Q60+1,0),IF('01_数值调参'!AF31&lt;0,'03_全链计算'!R60+1,0),IF('01_数值调参'!AF32&lt;0,'03_全链计算'!S60+1,0),IF('01_数值调参'!AF33&lt;0,'03_全链计算'!T60+1,0),IF('01_数值调参'!AF34&lt;0,'03_全链计算'!U60+1,0),IF('01_数值调参'!AF35&lt;0,'03_全链计算'!V60+1,0),IF('01_数值调参'!AF36&lt;0,'03_全链计算'!W60+1,0),IF('01_数值调参'!AF37&lt;0,'03_全链计算'!X60+1,0),IF('01_数值调参'!AF38&lt;0,'03_全链计算'!Y60+1,0),IF('01_数值调参'!AF39&lt;0,'03_全链计算'!Z60+1,0),IF('01_数值调参'!AF40&lt;0,'03_全链计算'!AA60+1,0),IF('01_数值调参'!AF41&lt;0,'03_全链计算'!AB60+1,0),IF('01_数值调参'!AF42&lt;0,'03_全链计算'!AC60+1,0),IF('01_数值调参'!AF43&lt;0,'03_全链计算'!AD60+1,0),IF('01_数值调参'!AF44&lt;0,'03_全链计算'!AE60+1,0),IF('01_数值调参'!AF45&lt;0,'03_全链计算'!AF60+1,0),IF('01_数值调参'!AF46&lt;0,'03_全链计算'!AG60+1,0),IF('01_数值调参'!AF47&lt;0,'03_全链计算'!AH60+1,0),IF('01_数值调参'!AF48&lt;0,'03_全链计算'!AI60+1,0),IF('01_数值调参'!AF49&lt;0,'03_全链计算'!AJ60+1,0),IF('01_数值调参'!AF50&lt;0,'03_全链计算'!AK60+1,0),IF('01_数值调参'!AF51&lt;0,'03_全链计算'!AL60+1,0),IF('01_数值调参'!AF52&lt;0,'03_全链计算'!AM60+1,0))</x:f>
        <x:v>1</x:v>
      </x:c>
      <x:c r="AG61" s="9" t="n">
        <x:f>MAX(IF('01_数值调参'!AG18&lt;0,'03_全链计算'!E60+1,0),IF('01_数值调参'!AG19&lt;0,'03_全链计算'!F60+1,0),IF('01_数值调参'!AG20&lt;0,'03_全链计算'!G60+1,0),IF('01_数值调参'!AG21&lt;0,'03_全链计算'!H60+1,0),IF('01_数值调参'!AG22&lt;0,'03_全链计算'!I60+1,0),IF('01_数值调参'!AG23&lt;0,'03_全链计算'!J60+1,0),IF('01_数值调参'!AG24&lt;0,'03_全链计算'!K60+1,0),IF('01_数值调参'!AG25&lt;0,'03_全链计算'!L60+1,0),IF('01_数值调参'!AG26&lt;0,'03_全链计算'!M60+1,0),IF('01_数值调参'!AG27&lt;0,'03_全链计算'!N60+1,0),IF('01_数值调参'!AG28&lt;0,'03_全链计算'!O60+1,0),IF('01_数值调参'!AG29&lt;0,'03_全链计算'!P60+1,0),IF('01_数值调参'!AG30&lt;0,'03_全链计算'!Q60+1,0),IF('01_数值调参'!AG31&lt;0,'03_全链计算'!R60+1,0),IF('01_数值调参'!AG32&lt;0,'03_全链计算'!S60+1,0),IF('01_数值调参'!AG33&lt;0,'03_全链计算'!T60+1,0),IF('01_数值调参'!AG34&lt;0,'03_全链计算'!U60+1,0),IF('01_数值调参'!AG35&lt;0,'03_全链计算'!V60+1,0),IF('01_数值调参'!AG36&lt;0,'03_全链计算'!W60+1,0),IF('01_数值调参'!AG37&lt;0,'03_全链计算'!X60+1,0),IF('01_数值调参'!AG38&lt;0,'03_全链计算'!Y60+1,0),IF('01_数值调参'!AG39&lt;0,'03_全链计算'!Z60+1,0),IF('01_数值调参'!AG40&lt;0,'03_全链计算'!AA60+1,0),IF('01_数值调参'!AG41&lt;0,'03_全链计算'!AB60+1,0),IF('01_数值调参'!AG42&lt;0,'03_全链计算'!AC60+1,0),IF('01_数值调参'!AG43&lt;0,'03_全链计算'!AD60+1,0),IF('01_数值调参'!AG44&lt;0,'03_全链计算'!AE60+1,0),IF('01_数值调参'!AG45&lt;0,'03_全链计算'!AF60+1,0),IF('01_数值调参'!AG46&lt;0,'03_全链计算'!AG60+1,0),IF('01_数值调参'!AG47&lt;0,'03_全链计算'!AH60+1,0),IF('01_数值调参'!AG48&lt;0,'03_全链计算'!AI60+1,0),IF('01_数值调参'!AG49&lt;0,'03_全链计算'!AJ60+1,0),IF('01_数值调参'!AG50&lt;0,'03_全链计算'!AK60+1,0),IF('01_数值调参'!AG51&lt;0,'03_全链计算'!AL60+1,0),IF('01_数值调参'!AG52&lt;0,'03_全链计算'!AM60+1,0))</x:f>
        <x:v>1</x:v>
      </x:c>
      <x:c r="AH61" s="9" t="n">
        <x:f>MAX(IF('01_数值调参'!AH18&lt;0,'03_全链计算'!E60+1,0),IF('01_数值调参'!AH19&lt;0,'03_全链计算'!F60+1,0),IF('01_数值调参'!AH20&lt;0,'03_全链计算'!G60+1,0),IF('01_数值调参'!AH21&lt;0,'03_全链计算'!H60+1,0),IF('01_数值调参'!AH22&lt;0,'03_全链计算'!I60+1,0),IF('01_数值调参'!AH23&lt;0,'03_全链计算'!J60+1,0),IF('01_数值调参'!AH24&lt;0,'03_全链计算'!K60+1,0),IF('01_数值调参'!AH25&lt;0,'03_全链计算'!L60+1,0),IF('01_数值调参'!AH26&lt;0,'03_全链计算'!M60+1,0),IF('01_数值调参'!AH27&lt;0,'03_全链计算'!N60+1,0),IF('01_数值调参'!AH28&lt;0,'03_全链计算'!O60+1,0),IF('01_数值调参'!AH29&lt;0,'03_全链计算'!P60+1,0),IF('01_数值调参'!AH30&lt;0,'03_全链计算'!Q60+1,0),IF('01_数值调参'!AH31&lt;0,'03_全链计算'!R60+1,0),IF('01_数值调参'!AH32&lt;0,'03_全链计算'!S60+1,0),IF('01_数值调参'!AH33&lt;0,'03_全链计算'!T60+1,0),IF('01_数值调参'!AH34&lt;0,'03_全链计算'!U60+1,0),IF('01_数值调参'!AH35&lt;0,'03_全链计算'!V60+1,0),IF('01_数值调参'!AH36&lt;0,'03_全链计算'!W60+1,0),IF('01_数值调参'!AH37&lt;0,'03_全链计算'!X60+1,0),IF('01_数值调参'!AH38&lt;0,'03_全链计算'!Y60+1,0),IF('01_数值调参'!AH39&lt;0,'03_全链计算'!Z60+1,0),IF('01_数值调参'!AH40&lt;0,'03_全链计算'!AA60+1,0),IF('01_数值调参'!AH41&lt;0,'03_全链计算'!AB60+1,0),IF('01_数值调参'!AH42&lt;0,'03_全链计算'!AC60+1,0),IF('01_数值调参'!AH43&lt;0,'03_全链计算'!AD60+1,0),IF('01_数值调参'!AH44&lt;0,'03_全链计算'!AE60+1,0),IF('01_数值调参'!AH45&lt;0,'03_全链计算'!AF60+1,0),IF('01_数值调参'!AH46&lt;0,'03_全链计算'!AG60+1,0),IF('01_数值调参'!AH47&lt;0,'03_全链计算'!AH60+1,0),IF('01_数值调参'!AH48&lt;0,'03_全链计算'!AI60+1,0),IF('01_数值调参'!AH49&lt;0,'03_全链计算'!AJ60+1,0),IF('01_数值调参'!AH50&lt;0,'03_全链计算'!AK60+1,0),IF('01_数值调参'!AH51&lt;0,'03_全链计算'!AL60+1,0),IF('01_数值调参'!AH52&lt;0,'03_全链计算'!AM60+1,0))</x:f>
        <x:v>2</x:v>
      </x:c>
      <x:c r="AI61" s="9" t="n">
        <x:f>MAX(IF('01_数值调参'!AI18&lt;0,'03_全链计算'!E60+1,0),IF('01_数值调参'!AI19&lt;0,'03_全链计算'!F60+1,0),IF('01_数值调参'!AI20&lt;0,'03_全链计算'!G60+1,0),IF('01_数值调参'!AI21&lt;0,'03_全链计算'!H60+1,0),IF('01_数值调参'!AI22&lt;0,'03_全链计算'!I60+1,0),IF('01_数值调参'!AI23&lt;0,'03_全链计算'!J60+1,0),IF('01_数值调参'!AI24&lt;0,'03_全链计算'!K60+1,0),IF('01_数值调参'!AI25&lt;0,'03_全链计算'!L60+1,0),IF('01_数值调参'!AI26&lt;0,'03_全链计算'!M60+1,0),IF('01_数值调参'!AI27&lt;0,'03_全链计算'!N60+1,0),IF('01_数值调参'!AI28&lt;0,'03_全链计算'!O60+1,0),IF('01_数值调参'!AI29&lt;0,'03_全链计算'!P60+1,0),IF('01_数值调参'!AI30&lt;0,'03_全链计算'!Q60+1,0),IF('01_数值调参'!AI31&lt;0,'03_全链计算'!R60+1,0),IF('01_数值调参'!AI32&lt;0,'03_全链计算'!S60+1,0),IF('01_数值调参'!AI33&lt;0,'03_全链计算'!T60+1,0),IF('01_数值调参'!AI34&lt;0,'03_全链计算'!U60+1,0),IF('01_数值调参'!AI35&lt;0,'03_全链计算'!V60+1,0),IF('01_数值调参'!AI36&lt;0,'03_全链计算'!W60+1,0),IF('01_数值调参'!AI37&lt;0,'03_全链计算'!X60+1,0),IF('01_数值调参'!AI38&lt;0,'03_全链计算'!Y60+1,0),IF('01_数值调参'!AI39&lt;0,'03_全链计算'!Z60+1,0),IF('01_数值调参'!AI40&lt;0,'03_全链计算'!AA60+1,0),IF('01_数值调参'!AI41&lt;0,'03_全链计算'!AB60+1,0),IF('01_数值调参'!AI42&lt;0,'03_全链计算'!AC60+1,0),IF('01_数值调参'!AI43&lt;0,'03_全链计算'!AD60+1,0),IF('01_数值调参'!AI44&lt;0,'03_全链计算'!AE60+1,0),IF('01_数值调参'!AI45&lt;0,'03_全链计算'!AF60+1,0),IF('01_数值调参'!AI46&lt;0,'03_全链计算'!AG60+1,0),IF('01_数值调参'!AI47&lt;0,'03_全链计算'!AH60+1,0),IF('01_数值调参'!AI48&lt;0,'03_全链计算'!AI60+1,0),IF('01_数值调参'!AI49&lt;0,'03_全链计算'!AJ60+1,0),IF('01_数值调参'!AI50&lt;0,'03_全链计算'!AK60+1,0),IF('01_数值调参'!AI51&lt;0,'03_全链计算'!AL60+1,0),IF('01_数值调参'!AI52&lt;0,'03_全链计算'!AM60+1,0))</x:f>
        <x:v>2</x:v>
      </x:c>
      <x:c r="AJ61" s="9" t="n">
        <x:f>MAX(IF('01_数值调参'!AJ18&lt;0,'03_全链计算'!E60+1,0),IF('01_数值调参'!AJ19&lt;0,'03_全链计算'!F60+1,0),IF('01_数值调参'!AJ20&lt;0,'03_全链计算'!G60+1,0),IF('01_数值调参'!AJ21&lt;0,'03_全链计算'!H60+1,0),IF('01_数值调参'!AJ22&lt;0,'03_全链计算'!I60+1,0),IF('01_数值调参'!AJ23&lt;0,'03_全链计算'!J60+1,0),IF('01_数值调参'!AJ24&lt;0,'03_全链计算'!K60+1,0),IF('01_数值调参'!AJ25&lt;0,'03_全链计算'!L60+1,0),IF('01_数值调参'!AJ26&lt;0,'03_全链计算'!M60+1,0),IF('01_数值调参'!AJ27&lt;0,'03_全链计算'!N60+1,0),IF('01_数值调参'!AJ28&lt;0,'03_全链计算'!O60+1,0),IF('01_数值调参'!AJ29&lt;0,'03_全链计算'!P60+1,0),IF('01_数值调参'!AJ30&lt;0,'03_全链计算'!Q60+1,0),IF('01_数值调参'!AJ31&lt;0,'03_全链计算'!R60+1,0),IF('01_数值调参'!AJ32&lt;0,'03_全链计算'!S60+1,0),IF('01_数值调参'!AJ33&lt;0,'03_全链计算'!T60+1,0),IF('01_数值调参'!AJ34&lt;0,'03_全链计算'!U60+1,0),IF('01_数值调参'!AJ35&lt;0,'03_全链计算'!V60+1,0),IF('01_数值调参'!AJ36&lt;0,'03_全链计算'!W60+1,0),IF('01_数值调参'!AJ37&lt;0,'03_全链计算'!X60+1,0),IF('01_数值调参'!AJ38&lt;0,'03_全链计算'!Y60+1,0),IF('01_数值调参'!AJ39&lt;0,'03_全链计算'!Z60+1,0),IF('01_数值调参'!AJ40&lt;0,'03_全链计算'!AA60+1,0),IF('01_数值调参'!AJ41&lt;0,'03_全链计算'!AB60+1,0),IF('01_数值调参'!AJ42&lt;0,'03_全链计算'!AC60+1,0),IF('01_数值调参'!AJ43&lt;0,'03_全链计算'!AD60+1,0),IF('01_数值调参'!AJ44&lt;0,'03_全链计算'!AE60+1,0),IF('01_数值调参'!AJ45&lt;0,'03_全链计算'!AF60+1,0),IF('01_数值调参'!AJ46&lt;0,'03_全链计算'!AG60+1,0),IF('01_数值调参'!AJ47&lt;0,'03_全链计算'!AH60+1,0),IF('01_数值调参'!AJ48&lt;0,'03_全链计算'!AI60+1,0),IF('01_数值调参'!AJ49&lt;0,'03_全链计算'!AJ60+1,0),IF('01_数值调参'!AJ50&lt;0,'03_全链计算'!AK60+1,0),IF('01_数值调参'!AJ51&lt;0,'03_全链计算'!AL60+1,0),IF('01_数值调参'!AJ52&lt;0,'03_全链计算'!AM60+1,0))</x:f>
        <x:v>2</x:v>
      </x:c>
      <x:c r="AK61" s="9" t="n">
        <x:f>MAX(IF('01_数值调参'!AK18&lt;0,'03_全链计算'!E60+1,0),IF('01_数值调参'!AK19&lt;0,'03_全链计算'!F60+1,0),IF('01_数值调参'!AK20&lt;0,'03_全链计算'!G60+1,0),IF('01_数值调参'!AK21&lt;0,'03_全链计算'!H60+1,0),IF('01_数值调参'!AK22&lt;0,'03_全链计算'!I60+1,0),IF('01_数值调参'!AK23&lt;0,'03_全链计算'!J60+1,0),IF('01_数值调参'!AK24&lt;0,'03_全链计算'!K60+1,0),IF('01_数值调参'!AK25&lt;0,'03_全链计算'!L60+1,0),IF('01_数值调参'!AK26&lt;0,'03_全链计算'!M60+1,0),IF('01_数值调参'!AK27&lt;0,'03_全链计算'!N60+1,0),IF('01_数值调参'!AK28&lt;0,'03_全链计算'!O60+1,0),IF('01_数值调参'!AK29&lt;0,'03_全链计算'!P60+1,0),IF('01_数值调参'!AK30&lt;0,'03_全链计算'!Q60+1,0),IF('01_数值调参'!AK31&lt;0,'03_全链计算'!R60+1,0),IF('01_数值调参'!AK32&lt;0,'03_全链计算'!S60+1,0),IF('01_数值调参'!AK33&lt;0,'03_全链计算'!T60+1,0),IF('01_数值调参'!AK34&lt;0,'03_全链计算'!U60+1,0),IF('01_数值调参'!AK35&lt;0,'03_全链计算'!V60+1,0),IF('01_数值调参'!AK36&lt;0,'03_全链计算'!W60+1,0),IF('01_数值调参'!AK37&lt;0,'03_全链计算'!X60+1,0),IF('01_数值调参'!AK38&lt;0,'03_全链计算'!Y60+1,0),IF('01_数值调参'!AK39&lt;0,'03_全链计算'!Z60+1,0),IF('01_数值调参'!AK40&lt;0,'03_全链计算'!AA60+1,0),IF('01_数值调参'!AK41&lt;0,'03_全链计算'!AB60+1,0),IF('01_数值调参'!AK42&lt;0,'03_全链计算'!AC60+1,0),IF('01_数值调参'!AK43&lt;0,'03_全链计算'!AD60+1,0),IF('01_数值调参'!AK44&lt;0,'03_全链计算'!AE60+1,0),IF('01_数值调参'!AK45&lt;0,'03_全链计算'!AF60+1,0),IF('01_数值调参'!AK46&lt;0,'03_全链计算'!AG60+1,0),IF('01_数值调参'!AK47&lt;0,'03_全链计算'!AH60+1,0),IF('01_数值调参'!AK48&lt;0,'03_全链计算'!AI60+1,0),IF('01_数值调参'!AK49&lt;0,'03_全链计算'!AJ60+1,0),IF('01_数值调参'!AK50&lt;0,'03_全链计算'!AK60+1,0),IF('01_数值调参'!AK51&lt;0,'03_全链计算'!AL60+1,0),IF('01_数值调参'!AK52&lt;0,'03_全链计算'!AM60+1,0))</x:f>
        <x:v>2</x:v>
      </x:c>
      <x:c r="AL61" s="9" t="n">
        <x:f>MAX(IF('01_数值调参'!AL18&lt;0,'03_全链计算'!E60+1,0),IF('01_数值调参'!AL19&lt;0,'03_全链计算'!F60+1,0),IF('01_数值调参'!AL20&lt;0,'03_全链计算'!G60+1,0),IF('01_数值调参'!AL21&lt;0,'03_全链计算'!H60+1,0),IF('01_数值调参'!AL22&lt;0,'03_全链计算'!I60+1,0),IF('01_数值调参'!AL23&lt;0,'03_全链计算'!J60+1,0),IF('01_数值调参'!AL24&lt;0,'03_全链计算'!K60+1,0),IF('01_数值调参'!AL25&lt;0,'03_全链计算'!L60+1,0),IF('01_数值调参'!AL26&lt;0,'03_全链计算'!M60+1,0),IF('01_数值调参'!AL27&lt;0,'03_全链计算'!N60+1,0),IF('01_数值调参'!AL28&lt;0,'03_全链计算'!O60+1,0),IF('01_数值调参'!AL29&lt;0,'03_全链计算'!P60+1,0),IF('01_数值调参'!AL30&lt;0,'03_全链计算'!Q60+1,0),IF('01_数值调参'!AL31&lt;0,'03_全链计算'!R60+1,0),IF('01_数值调参'!AL32&lt;0,'03_全链计算'!S60+1,0),IF('01_数值调参'!AL33&lt;0,'03_全链计算'!T60+1,0),IF('01_数值调参'!AL34&lt;0,'03_全链计算'!U60+1,0),IF('01_数值调参'!AL35&lt;0,'03_全链计算'!V60+1,0),IF('01_数值调参'!AL36&lt;0,'03_全链计算'!W60+1,0),IF('01_数值调参'!AL37&lt;0,'03_全链计算'!X60+1,0),IF('01_数值调参'!AL38&lt;0,'03_全链计算'!Y60+1,0),IF('01_数值调参'!AL39&lt;0,'03_全链计算'!Z60+1,0),IF('01_数值调参'!AL40&lt;0,'03_全链计算'!AA60+1,0),IF('01_数值调参'!AL41&lt;0,'03_全链计算'!AB60+1,0),IF('01_数值调参'!AL42&lt;0,'03_全链计算'!AC60+1,0),IF('01_数值调参'!AL43&lt;0,'03_全链计算'!AD60+1,0),IF('01_数值调参'!AL44&lt;0,'03_全链计算'!AE60+1,0),IF('01_数值调参'!AL45&lt;0,'03_全链计算'!AF60+1,0),IF('01_数值调参'!AL46&lt;0,'03_全链计算'!AG60+1,0),IF('01_数值调参'!AL47&lt;0,'03_全链计算'!AH60+1,0),IF('01_数值调参'!AL48&lt;0,'03_全链计算'!AI60+1,0),IF('01_数值调参'!AL49&lt;0,'03_全链计算'!AJ60+1,0),IF('01_数值调参'!AL50&lt;0,'03_全链计算'!AK60+1,0),IF('01_数值调参'!AL51&lt;0,'03_全链计算'!AL60+1,0),IF('01_数值调参'!AL52&lt;0,'03_全链计算'!AM60+1,0))</x:f>
        <x:v>3</x:v>
      </x:c>
      <x:c r="AM61" s="9" t="n">
        <x:f>MAX(IF('01_数值调参'!AM18&lt;0,'03_全链计算'!E60+1,0),IF('01_数值调参'!AM19&lt;0,'03_全链计算'!F60+1,0),IF('01_数值调参'!AM20&lt;0,'03_全链计算'!G60+1,0),IF('01_数值调参'!AM21&lt;0,'03_全链计算'!H60+1,0),IF('01_数值调参'!AM22&lt;0,'03_全链计算'!I60+1,0),IF('01_数值调参'!AM23&lt;0,'03_全链计算'!J60+1,0),IF('01_数值调参'!AM24&lt;0,'03_全链计算'!K60+1,0),IF('01_数值调参'!AM25&lt;0,'03_全链计算'!L60+1,0),IF('01_数值调参'!AM26&lt;0,'03_全链计算'!M60+1,0),IF('01_数值调参'!AM27&lt;0,'03_全链计算'!N60+1,0),IF('01_数值调参'!AM28&lt;0,'03_全链计算'!O60+1,0),IF('01_数值调参'!AM29&lt;0,'03_全链计算'!P60+1,0),IF('01_数值调参'!AM30&lt;0,'03_全链计算'!Q60+1,0),IF('01_数值调参'!AM31&lt;0,'03_全链计算'!R60+1,0),IF('01_数值调参'!AM32&lt;0,'03_全链计算'!S60+1,0),IF('01_数值调参'!AM33&lt;0,'03_全链计算'!T60+1,0),IF('01_数值调参'!AM34&lt;0,'03_全链计算'!U60+1,0),IF('01_数值调参'!AM35&lt;0,'03_全链计算'!V60+1,0),IF('01_数值调参'!AM36&lt;0,'03_全链计算'!W60+1,0),IF('01_数值调参'!AM37&lt;0,'03_全链计算'!X60+1,0),IF('01_数值调参'!AM38&lt;0,'03_全链计算'!Y60+1,0),IF('01_数值调参'!AM39&lt;0,'03_全链计算'!Z60+1,0),IF('01_数值调参'!AM40&lt;0,'03_全链计算'!AA60+1,0),IF('01_数值调参'!AM41&lt;0,'03_全链计算'!AB60+1,0),IF('01_数值调参'!AM42&lt;0,'03_全链计算'!AC60+1,0),IF('01_数值调参'!AM43&lt;0,'03_全链计算'!AD60+1,0),IF('01_数值调参'!AM44&lt;0,'03_全链计算'!AE60+1,0),IF('01_数值调参'!AM45&lt;0,'03_全链计算'!AF60+1,0),IF('01_数值调参'!AM46&lt;0,'03_全链计算'!AG60+1,0),IF('01_数值调参'!AM47&lt;0,'03_全链计算'!AH60+1,0),IF('01_数值调参'!AM48&lt;0,'03_全链计算'!AI60+1,0),IF('01_数值调参'!AM49&lt;0,'03_全链计算'!AJ60+1,0),IF('01_数值调参'!AM50&lt;0,'03_全链计算'!AK60+1,0),IF('01_数值调参'!AM51&lt;0,'03_全链计算'!AL60+1,0),IF('01_数值调参'!AM52&lt;0,'03_全链计算'!AM60+1,0))</x:f>
        <x:v>3</x:v>
      </x:c>
    </x:row>
    <x:row r="62" ht="22" customHeight="1">
      <x:c r="A62" s="9" t="n">
        <x:v>17</x:v>
      </x:c>
      <x:c r="B62" s="9"/>
      <x:c r="C62" s="9"/>
      <x:c r="D62" s="9"/>
      <x:c r="E62" s="9" t="n">
        <x:f>MAX(IF('01_数值调参'!E18&lt;0,'03_全链计算'!E61+1,0),IF('01_数值调参'!E19&lt;0,'03_全链计算'!F61+1,0),IF('01_数值调参'!E20&lt;0,'03_全链计算'!G61+1,0),IF('01_数值调参'!E21&lt;0,'03_全链计算'!H61+1,0),IF('01_数值调参'!E22&lt;0,'03_全链计算'!I61+1,0),IF('01_数值调参'!E23&lt;0,'03_全链计算'!J61+1,0),IF('01_数值调参'!E24&lt;0,'03_全链计算'!K61+1,0),IF('01_数值调参'!E25&lt;0,'03_全链计算'!L61+1,0),IF('01_数值调参'!E26&lt;0,'03_全链计算'!M61+1,0),IF('01_数值调参'!E27&lt;0,'03_全链计算'!N61+1,0),IF('01_数值调参'!E28&lt;0,'03_全链计算'!O61+1,0),IF('01_数值调参'!E29&lt;0,'03_全链计算'!P61+1,0),IF('01_数值调参'!E30&lt;0,'03_全链计算'!Q61+1,0),IF('01_数值调参'!E31&lt;0,'03_全链计算'!R61+1,0),IF('01_数值调参'!E32&lt;0,'03_全链计算'!S61+1,0),IF('01_数值调参'!E33&lt;0,'03_全链计算'!T61+1,0),IF('01_数值调参'!E34&lt;0,'03_全链计算'!U61+1,0),IF('01_数值调参'!E35&lt;0,'03_全链计算'!V61+1,0),IF('01_数值调参'!E36&lt;0,'03_全链计算'!W61+1,0),IF('01_数值调参'!E37&lt;0,'03_全链计算'!X61+1,0),IF('01_数值调参'!E38&lt;0,'03_全链计算'!Y61+1,0),IF('01_数值调参'!E39&lt;0,'03_全链计算'!Z61+1,0),IF('01_数值调参'!E40&lt;0,'03_全链计算'!AA61+1,0),IF('01_数值调参'!E41&lt;0,'03_全链计算'!AB61+1,0),IF('01_数值调参'!E42&lt;0,'03_全链计算'!AC61+1,0),IF('01_数值调参'!E43&lt;0,'03_全链计算'!AD61+1,0),IF('01_数值调参'!E44&lt;0,'03_全链计算'!AE61+1,0),IF('01_数值调参'!E45&lt;0,'03_全链计算'!AF61+1,0),IF('01_数值调参'!E46&lt;0,'03_全链计算'!AG61+1,0),IF('01_数值调参'!E47&lt;0,'03_全链计算'!AH61+1,0),IF('01_数值调参'!E48&lt;0,'03_全链计算'!AI61+1,0),IF('01_数值调参'!E49&lt;0,'03_全链计算'!AJ61+1,0),IF('01_数值调参'!E50&lt;0,'03_全链计算'!AK61+1,0),IF('01_数值调参'!E51&lt;0,'03_全链计算'!AL61+1,0),IF('01_数值调参'!E52&lt;0,'03_全链计算'!AM61+1,0))</x:f>
        <x:v>0</x:v>
      </x:c>
      <x:c r="F62" s="9" t="n">
        <x:f>MAX(IF('01_数值调参'!F18&lt;0,'03_全链计算'!E61+1,0),IF('01_数值调参'!F19&lt;0,'03_全链计算'!F61+1,0),IF('01_数值调参'!F20&lt;0,'03_全链计算'!G61+1,0),IF('01_数值调参'!F21&lt;0,'03_全链计算'!H61+1,0),IF('01_数值调参'!F22&lt;0,'03_全链计算'!I61+1,0),IF('01_数值调参'!F23&lt;0,'03_全链计算'!J61+1,0),IF('01_数值调参'!F24&lt;0,'03_全链计算'!K61+1,0),IF('01_数值调参'!F25&lt;0,'03_全链计算'!L61+1,0),IF('01_数值调参'!F26&lt;0,'03_全链计算'!M61+1,0),IF('01_数值调参'!F27&lt;0,'03_全链计算'!N61+1,0),IF('01_数值调参'!F28&lt;0,'03_全链计算'!O61+1,0),IF('01_数值调参'!F29&lt;0,'03_全链计算'!P61+1,0),IF('01_数值调参'!F30&lt;0,'03_全链计算'!Q61+1,0),IF('01_数值调参'!F31&lt;0,'03_全链计算'!R61+1,0),IF('01_数值调参'!F32&lt;0,'03_全链计算'!S61+1,0),IF('01_数值调参'!F33&lt;0,'03_全链计算'!T61+1,0),IF('01_数值调参'!F34&lt;0,'03_全链计算'!U61+1,0),IF('01_数值调参'!F35&lt;0,'03_全链计算'!V61+1,0),IF('01_数值调参'!F36&lt;0,'03_全链计算'!W61+1,0),IF('01_数值调参'!F37&lt;0,'03_全链计算'!X61+1,0),IF('01_数值调参'!F38&lt;0,'03_全链计算'!Y61+1,0),IF('01_数值调参'!F39&lt;0,'03_全链计算'!Z61+1,0),IF('01_数值调参'!F40&lt;0,'03_全链计算'!AA61+1,0),IF('01_数值调参'!F41&lt;0,'03_全链计算'!AB61+1,0),IF('01_数值调参'!F42&lt;0,'03_全链计算'!AC61+1,0),IF('01_数值调参'!F43&lt;0,'03_全链计算'!AD61+1,0),IF('01_数值调参'!F44&lt;0,'03_全链计算'!AE61+1,0),IF('01_数值调参'!F45&lt;0,'03_全链计算'!AF61+1,0),IF('01_数值调参'!F46&lt;0,'03_全链计算'!AG61+1,0),IF('01_数值调参'!F47&lt;0,'03_全链计算'!AH61+1,0),IF('01_数值调参'!F48&lt;0,'03_全链计算'!AI61+1,0),IF('01_数值调参'!F49&lt;0,'03_全链计算'!AJ61+1,0),IF('01_数值调参'!F50&lt;0,'03_全链计算'!AK61+1,0),IF('01_数值调参'!F51&lt;0,'03_全链计算'!AL61+1,0),IF('01_数值调参'!F52&lt;0,'03_全链计算'!AM61+1,0))</x:f>
        <x:v>0</x:v>
      </x:c>
      <x:c r="G62" s="9" t="n">
        <x:f>MAX(IF('01_数值调参'!G18&lt;0,'03_全链计算'!E61+1,0),IF('01_数值调参'!G19&lt;0,'03_全链计算'!F61+1,0),IF('01_数值调参'!G20&lt;0,'03_全链计算'!G61+1,0),IF('01_数值调参'!G21&lt;0,'03_全链计算'!H61+1,0),IF('01_数值调参'!G22&lt;0,'03_全链计算'!I61+1,0),IF('01_数值调参'!G23&lt;0,'03_全链计算'!J61+1,0),IF('01_数值调参'!G24&lt;0,'03_全链计算'!K61+1,0),IF('01_数值调参'!G25&lt;0,'03_全链计算'!L61+1,0),IF('01_数值调参'!G26&lt;0,'03_全链计算'!M61+1,0),IF('01_数值调参'!G27&lt;0,'03_全链计算'!N61+1,0),IF('01_数值调参'!G28&lt;0,'03_全链计算'!O61+1,0),IF('01_数值调参'!G29&lt;0,'03_全链计算'!P61+1,0),IF('01_数值调参'!G30&lt;0,'03_全链计算'!Q61+1,0),IF('01_数值调参'!G31&lt;0,'03_全链计算'!R61+1,0),IF('01_数值调参'!G32&lt;0,'03_全链计算'!S61+1,0),IF('01_数值调参'!G33&lt;0,'03_全链计算'!T61+1,0),IF('01_数值调参'!G34&lt;0,'03_全链计算'!U61+1,0),IF('01_数值调参'!G35&lt;0,'03_全链计算'!V61+1,0),IF('01_数值调参'!G36&lt;0,'03_全链计算'!W61+1,0),IF('01_数值调参'!G37&lt;0,'03_全链计算'!X61+1,0),IF('01_数值调参'!G38&lt;0,'03_全链计算'!Y61+1,0),IF('01_数值调参'!G39&lt;0,'03_全链计算'!Z61+1,0),IF('01_数值调参'!G40&lt;0,'03_全链计算'!AA61+1,0),IF('01_数值调参'!G41&lt;0,'03_全链计算'!AB61+1,0),IF('01_数值调参'!G42&lt;0,'03_全链计算'!AC61+1,0),IF('01_数值调参'!G43&lt;0,'03_全链计算'!AD61+1,0),IF('01_数值调参'!G44&lt;0,'03_全链计算'!AE61+1,0),IF('01_数值调参'!G45&lt;0,'03_全链计算'!AF61+1,0),IF('01_数值调参'!G46&lt;0,'03_全链计算'!AG61+1,0),IF('01_数值调参'!G47&lt;0,'03_全链计算'!AH61+1,0),IF('01_数值调参'!G48&lt;0,'03_全链计算'!AI61+1,0),IF('01_数值调参'!G49&lt;0,'03_全链计算'!AJ61+1,0),IF('01_数值调参'!G50&lt;0,'03_全链计算'!AK61+1,0),IF('01_数值调参'!G51&lt;0,'03_全链计算'!AL61+1,0),IF('01_数值调参'!G52&lt;0,'03_全链计算'!AM61+1,0))</x:f>
        <x:v>0</x:v>
      </x:c>
      <x:c r="H62" s="9" t="n">
        <x:f>MAX(IF('01_数值调参'!H18&lt;0,'03_全链计算'!E61+1,0),IF('01_数值调参'!H19&lt;0,'03_全链计算'!F61+1,0),IF('01_数值调参'!H20&lt;0,'03_全链计算'!G61+1,0),IF('01_数值调参'!H21&lt;0,'03_全链计算'!H61+1,0),IF('01_数值调参'!H22&lt;0,'03_全链计算'!I61+1,0),IF('01_数值调参'!H23&lt;0,'03_全链计算'!J61+1,0),IF('01_数值调参'!H24&lt;0,'03_全链计算'!K61+1,0),IF('01_数值调参'!H25&lt;0,'03_全链计算'!L61+1,0),IF('01_数值调参'!H26&lt;0,'03_全链计算'!M61+1,0),IF('01_数值调参'!H27&lt;0,'03_全链计算'!N61+1,0),IF('01_数值调参'!H28&lt;0,'03_全链计算'!O61+1,0),IF('01_数值调参'!H29&lt;0,'03_全链计算'!P61+1,0),IF('01_数值调参'!H30&lt;0,'03_全链计算'!Q61+1,0),IF('01_数值调参'!H31&lt;0,'03_全链计算'!R61+1,0),IF('01_数值调参'!H32&lt;0,'03_全链计算'!S61+1,0),IF('01_数值调参'!H33&lt;0,'03_全链计算'!T61+1,0),IF('01_数值调参'!H34&lt;0,'03_全链计算'!U61+1,0),IF('01_数值调参'!H35&lt;0,'03_全链计算'!V61+1,0),IF('01_数值调参'!H36&lt;0,'03_全链计算'!W61+1,0),IF('01_数值调参'!H37&lt;0,'03_全链计算'!X61+1,0),IF('01_数值调参'!H38&lt;0,'03_全链计算'!Y61+1,0),IF('01_数值调参'!H39&lt;0,'03_全链计算'!Z61+1,0),IF('01_数值调参'!H40&lt;0,'03_全链计算'!AA61+1,0),IF('01_数值调参'!H41&lt;0,'03_全链计算'!AB61+1,0),IF('01_数值调参'!H42&lt;0,'03_全链计算'!AC61+1,0),IF('01_数值调参'!H43&lt;0,'03_全链计算'!AD61+1,0),IF('01_数值调参'!H44&lt;0,'03_全链计算'!AE61+1,0),IF('01_数值调参'!H45&lt;0,'03_全链计算'!AF61+1,0),IF('01_数值调参'!H46&lt;0,'03_全链计算'!AG61+1,0),IF('01_数值调参'!H47&lt;0,'03_全链计算'!AH61+1,0),IF('01_数值调参'!H48&lt;0,'03_全链计算'!AI61+1,0),IF('01_数值调参'!H49&lt;0,'03_全链计算'!AJ61+1,0),IF('01_数值调参'!H50&lt;0,'03_全链计算'!AK61+1,0),IF('01_数值调参'!H51&lt;0,'03_全链计算'!AL61+1,0),IF('01_数值调参'!H52&lt;0,'03_全链计算'!AM61+1,0))</x:f>
        <x:v>0</x:v>
      </x:c>
      <x:c r="I62" s="9" t="n">
        <x:f>MAX(IF('01_数值调参'!I18&lt;0,'03_全链计算'!E61+1,0),IF('01_数值调参'!I19&lt;0,'03_全链计算'!F61+1,0),IF('01_数值调参'!I20&lt;0,'03_全链计算'!G61+1,0),IF('01_数值调参'!I21&lt;0,'03_全链计算'!H61+1,0),IF('01_数值调参'!I22&lt;0,'03_全链计算'!I61+1,0),IF('01_数值调参'!I23&lt;0,'03_全链计算'!J61+1,0),IF('01_数值调参'!I24&lt;0,'03_全链计算'!K61+1,0),IF('01_数值调参'!I25&lt;0,'03_全链计算'!L61+1,0),IF('01_数值调参'!I26&lt;0,'03_全链计算'!M61+1,0),IF('01_数值调参'!I27&lt;0,'03_全链计算'!N61+1,0),IF('01_数值调参'!I28&lt;0,'03_全链计算'!O61+1,0),IF('01_数值调参'!I29&lt;0,'03_全链计算'!P61+1,0),IF('01_数值调参'!I30&lt;0,'03_全链计算'!Q61+1,0),IF('01_数值调参'!I31&lt;0,'03_全链计算'!R61+1,0),IF('01_数值调参'!I32&lt;0,'03_全链计算'!S61+1,0),IF('01_数值调参'!I33&lt;0,'03_全链计算'!T61+1,0),IF('01_数值调参'!I34&lt;0,'03_全链计算'!U61+1,0),IF('01_数值调参'!I35&lt;0,'03_全链计算'!V61+1,0),IF('01_数值调参'!I36&lt;0,'03_全链计算'!W61+1,0),IF('01_数值调参'!I37&lt;0,'03_全链计算'!X61+1,0),IF('01_数值调参'!I38&lt;0,'03_全链计算'!Y61+1,0),IF('01_数值调参'!I39&lt;0,'03_全链计算'!Z61+1,0),IF('01_数值调参'!I40&lt;0,'03_全链计算'!AA61+1,0),IF('01_数值调参'!I41&lt;0,'03_全链计算'!AB61+1,0),IF('01_数值调参'!I42&lt;0,'03_全链计算'!AC61+1,0),IF('01_数值调参'!I43&lt;0,'03_全链计算'!AD61+1,0),IF('01_数值调参'!I44&lt;0,'03_全链计算'!AE61+1,0),IF('01_数值调参'!I45&lt;0,'03_全链计算'!AF61+1,0),IF('01_数值调参'!I46&lt;0,'03_全链计算'!AG61+1,0),IF('01_数值调参'!I47&lt;0,'03_全链计算'!AH61+1,0),IF('01_数值调参'!I48&lt;0,'03_全链计算'!AI61+1,0),IF('01_数值调参'!I49&lt;0,'03_全链计算'!AJ61+1,0),IF('01_数值调参'!I50&lt;0,'03_全链计算'!AK61+1,0),IF('01_数值调参'!I51&lt;0,'03_全链计算'!AL61+1,0),IF('01_数值调参'!I52&lt;0,'03_全链计算'!AM61+1,0))</x:f>
        <x:v>0</x:v>
      </x:c>
      <x:c r="J62" s="9" t="n">
        <x:f>MAX(IF('01_数值调参'!J18&lt;0,'03_全链计算'!E61+1,0),IF('01_数值调参'!J19&lt;0,'03_全链计算'!F61+1,0),IF('01_数值调参'!J20&lt;0,'03_全链计算'!G61+1,0),IF('01_数值调参'!J21&lt;0,'03_全链计算'!H61+1,0),IF('01_数值调参'!J22&lt;0,'03_全链计算'!I61+1,0),IF('01_数值调参'!J23&lt;0,'03_全链计算'!J61+1,0),IF('01_数值调参'!J24&lt;0,'03_全链计算'!K61+1,0),IF('01_数值调参'!J25&lt;0,'03_全链计算'!L61+1,0),IF('01_数值调参'!J26&lt;0,'03_全链计算'!M61+1,0),IF('01_数值调参'!J27&lt;0,'03_全链计算'!N61+1,0),IF('01_数值调参'!J28&lt;0,'03_全链计算'!O61+1,0),IF('01_数值调参'!J29&lt;0,'03_全链计算'!P61+1,0),IF('01_数值调参'!J30&lt;0,'03_全链计算'!Q61+1,0),IF('01_数值调参'!J31&lt;0,'03_全链计算'!R61+1,0),IF('01_数值调参'!J32&lt;0,'03_全链计算'!S61+1,0),IF('01_数值调参'!J33&lt;0,'03_全链计算'!T61+1,0),IF('01_数值调参'!J34&lt;0,'03_全链计算'!U61+1,0),IF('01_数值调参'!J35&lt;0,'03_全链计算'!V61+1,0),IF('01_数值调参'!J36&lt;0,'03_全链计算'!W61+1,0),IF('01_数值调参'!J37&lt;0,'03_全链计算'!X61+1,0),IF('01_数值调参'!J38&lt;0,'03_全链计算'!Y61+1,0),IF('01_数值调参'!J39&lt;0,'03_全链计算'!Z61+1,0),IF('01_数值调参'!J40&lt;0,'03_全链计算'!AA61+1,0),IF('01_数值调参'!J41&lt;0,'03_全链计算'!AB61+1,0),IF('01_数值调参'!J42&lt;0,'03_全链计算'!AC61+1,0),IF('01_数值调参'!J43&lt;0,'03_全链计算'!AD61+1,0),IF('01_数值调参'!J44&lt;0,'03_全链计算'!AE61+1,0),IF('01_数值调参'!J45&lt;0,'03_全链计算'!AF61+1,0),IF('01_数值调参'!J46&lt;0,'03_全链计算'!AG61+1,0),IF('01_数值调参'!J47&lt;0,'03_全链计算'!AH61+1,0),IF('01_数值调参'!J48&lt;0,'03_全链计算'!AI61+1,0),IF('01_数值调参'!J49&lt;0,'03_全链计算'!AJ61+1,0),IF('01_数值调参'!J50&lt;0,'03_全链计算'!AK61+1,0),IF('01_数值调参'!J51&lt;0,'03_全链计算'!AL61+1,0),IF('01_数值调参'!J52&lt;0,'03_全链计算'!AM61+1,0))</x:f>
        <x:v>0</x:v>
      </x:c>
      <x:c r="K62" s="9" t="n">
        <x:f>MAX(IF('01_数值调参'!K18&lt;0,'03_全链计算'!E61+1,0),IF('01_数值调参'!K19&lt;0,'03_全链计算'!F61+1,0),IF('01_数值调参'!K20&lt;0,'03_全链计算'!G61+1,0),IF('01_数值调参'!K21&lt;0,'03_全链计算'!H61+1,0),IF('01_数值调参'!K22&lt;0,'03_全链计算'!I61+1,0),IF('01_数值调参'!K23&lt;0,'03_全链计算'!J61+1,0),IF('01_数值调参'!K24&lt;0,'03_全链计算'!K61+1,0),IF('01_数值调参'!K25&lt;0,'03_全链计算'!L61+1,0),IF('01_数值调参'!K26&lt;0,'03_全链计算'!M61+1,0),IF('01_数值调参'!K27&lt;0,'03_全链计算'!N61+1,0),IF('01_数值调参'!K28&lt;0,'03_全链计算'!O61+1,0),IF('01_数值调参'!K29&lt;0,'03_全链计算'!P61+1,0),IF('01_数值调参'!K30&lt;0,'03_全链计算'!Q61+1,0),IF('01_数值调参'!K31&lt;0,'03_全链计算'!R61+1,0),IF('01_数值调参'!K32&lt;0,'03_全链计算'!S61+1,0),IF('01_数值调参'!K33&lt;0,'03_全链计算'!T61+1,0),IF('01_数值调参'!K34&lt;0,'03_全链计算'!U61+1,0),IF('01_数值调参'!K35&lt;0,'03_全链计算'!V61+1,0),IF('01_数值调参'!K36&lt;0,'03_全链计算'!W61+1,0),IF('01_数值调参'!K37&lt;0,'03_全链计算'!X61+1,0),IF('01_数值调参'!K38&lt;0,'03_全链计算'!Y61+1,0),IF('01_数值调参'!K39&lt;0,'03_全链计算'!Z61+1,0),IF('01_数值调参'!K40&lt;0,'03_全链计算'!AA61+1,0),IF('01_数值调参'!K41&lt;0,'03_全链计算'!AB61+1,0),IF('01_数值调参'!K42&lt;0,'03_全链计算'!AC61+1,0),IF('01_数值调参'!K43&lt;0,'03_全链计算'!AD61+1,0),IF('01_数值调参'!K44&lt;0,'03_全链计算'!AE61+1,0),IF('01_数值调参'!K45&lt;0,'03_全链计算'!AF61+1,0),IF('01_数值调参'!K46&lt;0,'03_全链计算'!AG61+1,0),IF('01_数值调参'!K47&lt;0,'03_全链计算'!AH61+1,0),IF('01_数值调参'!K48&lt;0,'03_全链计算'!AI61+1,0),IF('01_数值调参'!K49&lt;0,'03_全链计算'!AJ61+1,0),IF('01_数值调参'!K50&lt;0,'03_全链计算'!AK61+1,0),IF('01_数值调参'!K51&lt;0,'03_全链计算'!AL61+1,0),IF('01_数值调参'!K52&lt;0,'03_全链计算'!AM61+1,0))</x:f>
        <x:v>0</x:v>
      </x:c>
      <x:c r="L62" s="9" t="n">
        <x:f>MAX(IF('01_数值调参'!L18&lt;0,'03_全链计算'!E61+1,0),IF('01_数值调参'!L19&lt;0,'03_全链计算'!F61+1,0),IF('01_数值调参'!L20&lt;0,'03_全链计算'!G61+1,0),IF('01_数值调参'!L21&lt;0,'03_全链计算'!H61+1,0),IF('01_数值调参'!L22&lt;0,'03_全链计算'!I61+1,0),IF('01_数值调参'!L23&lt;0,'03_全链计算'!J61+1,0),IF('01_数值调参'!L24&lt;0,'03_全链计算'!K61+1,0),IF('01_数值调参'!L25&lt;0,'03_全链计算'!L61+1,0),IF('01_数值调参'!L26&lt;0,'03_全链计算'!M61+1,0),IF('01_数值调参'!L27&lt;0,'03_全链计算'!N61+1,0),IF('01_数值调参'!L28&lt;0,'03_全链计算'!O61+1,0),IF('01_数值调参'!L29&lt;0,'03_全链计算'!P61+1,0),IF('01_数值调参'!L30&lt;0,'03_全链计算'!Q61+1,0),IF('01_数值调参'!L31&lt;0,'03_全链计算'!R61+1,0),IF('01_数值调参'!L32&lt;0,'03_全链计算'!S61+1,0),IF('01_数值调参'!L33&lt;0,'03_全链计算'!T61+1,0),IF('01_数值调参'!L34&lt;0,'03_全链计算'!U61+1,0),IF('01_数值调参'!L35&lt;0,'03_全链计算'!V61+1,0),IF('01_数值调参'!L36&lt;0,'03_全链计算'!W61+1,0),IF('01_数值调参'!L37&lt;0,'03_全链计算'!X61+1,0),IF('01_数值调参'!L38&lt;0,'03_全链计算'!Y61+1,0),IF('01_数值调参'!L39&lt;0,'03_全链计算'!Z61+1,0),IF('01_数值调参'!L40&lt;0,'03_全链计算'!AA61+1,0),IF('01_数值调参'!L41&lt;0,'03_全链计算'!AB61+1,0),IF('01_数值调参'!L42&lt;0,'03_全链计算'!AC61+1,0),IF('01_数值调参'!L43&lt;0,'03_全链计算'!AD61+1,0),IF('01_数值调参'!L44&lt;0,'03_全链计算'!AE61+1,0),IF('01_数值调参'!L45&lt;0,'03_全链计算'!AF61+1,0),IF('01_数值调参'!L46&lt;0,'03_全链计算'!AG61+1,0),IF('01_数值调参'!L47&lt;0,'03_全链计算'!AH61+1,0),IF('01_数值调参'!L48&lt;0,'03_全链计算'!AI61+1,0),IF('01_数值调参'!L49&lt;0,'03_全链计算'!AJ61+1,0),IF('01_数值调参'!L50&lt;0,'03_全链计算'!AK61+1,0),IF('01_数值调参'!L51&lt;0,'03_全链计算'!AL61+1,0),IF('01_数值调参'!L52&lt;0,'03_全链计算'!AM61+1,0))</x:f>
        <x:v>0</x:v>
      </x:c>
      <x:c r="M62" s="9" t="n">
        <x:f>MAX(IF('01_数值调参'!M18&lt;0,'03_全链计算'!E61+1,0),IF('01_数值调参'!M19&lt;0,'03_全链计算'!F61+1,0),IF('01_数值调参'!M20&lt;0,'03_全链计算'!G61+1,0),IF('01_数值调参'!M21&lt;0,'03_全链计算'!H61+1,0),IF('01_数值调参'!M22&lt;0,'03_全链计算'!I61+1,0),IF('01_数值调参'!M23&lt;0,'03_全链计算'!J61+1,0),IF('01_数值调参'!M24&lt;0,'03_全链计算'!K61+1,0),IF('01_数值调参'!M25&lt;0,'03_全链计算'!L61+1,0),IF('01_数值调参'!M26&lt;0,'03_全链计算'!M61+1,0),IF('01_数值调参'!M27&lt;0,'03_全链计算'!N61+1,0),IF('01_数值调参'!M28&lt;0,'03_全链计算'!O61+1,0),IF('01_数值调参'!M29&lt;0,'03_全链计算'!P61+1,0),IF('01_数值调参'!M30&lt;0,'03_全链计算'!Q61+1,0),IF('01_数值调参'!M31&lt;0,'03_全链计算'!R61+1,0),IF('01_数值调参'!M32&lt;0,'03_全链计算'!S61+1,0),IF('01_数值调参'!M33&lt;0,'03_全链计算'!T61+1,0),IF('01_数值调参'!M34&lt;0,'03_全链计算'!U61+1,0),IF('01_数值调参'!M35&lt;0,'03_全链计算'!V61+1,0),IF('01_数值调参'!M36&lt;0,'03_全链计算'!W61+1,0),IF('01_数值调参'!M37&lt;0,'03_全链计算'!X61+1,0),IF('01_数值调参'!M38&lt;0,'03_全链计算'!Y61+1,0),IF('01_数值调参'!M39&lt;0,'03_全链计算'!Z61+1,0),IF('01_数值调参'!M40&lt;0,'03_全链计算'!AA61+1,0),IF('01_数值调参'!M41&lt;0,'03_全链计算'!AB61+1,0),IF('01_数值调参'!M42&lt;0,'03_全链计算'!AC61+1,0),IF('01_数值调参'!M43&lt;0,'03_全链计算'!AD61+1,0),IF('01_数值调参'!M44&lt;0,'03_全链计算'!AE61+1,0),IF('01_数值调参'!M45&lt;0,'03_全链计算'!AF61+1,0),IF('01_数值调参'!M46&lt;0,'03_全链计算'!AG61+1,0),IF('01_数值调参'!M47&lt;0,'03_全链计算'!AH61+1,0),IF('01_数值调参'!M48&lt;0,'03_全链计算'!AI61+1,0),IF('01_数值调参'!M49&lt;0,'03_全链计算'!AJ61+1,0),IF('01_数值调参'!M50&lt;0,'03_全链计算'!AK61+1,0),IF('01_数值调参'!M51&lt;0,'03_全链计算'!AL61+1,0),IF('01_数值调参'!M52&lt;0,'03_全链计算'!AM61+1,0))</x:f>
        <x:v>0</x:v>
      </x:c>
      <x:c r="N62" s="9" t="n">
        <x:f>MAX(IF('01_数值调参'!N18&lt;0,'03_全链计算'!E61+1,0),IF('01_数值调参'!N19&lt;0,'03_全链计算'!F61+1,0),IF('01_数值调参'!N20&lt;0,'03_全链计算'!G61+1,0),IF('01_数值调参'!N21&lt;0,'03_全链计算'!H61+1,0),IF('01_数值调参'!N22&lt;0,'03_全链计算'!I61+1,0),IF('01_数值调参'!N23&lt;0,'03_全链计算'!J61+1,0),IF('01_数值调参'!N24&lt;0,'03_全链计算'!K61+1,0),IF('01_数值调参'!N25&lt;0,'03_全链计算'!L61+1,0),IF('01_数值调参'!N26&lt;0,'03_全链计算'!M61+1,0),IF('01_数值调参'!N27&lt;0,'03_全链计算'!N61+1,0),IF('01_数值调参'!N28&lt;0,'03_全链计算'!O61+1,0),IF('01_数值调参'!N29&lt;0,'03_全链计算'!P61+1,0),IF('01_数值调参'!N30&lt;0,'03_全链计算'!Q61+1,0),IF('01_数值调参'!N31&lt;0,'03_全链计算'!R61+1,0),IF('01_数值调参'!N32&lt;0,'03_全链计算'!S61+1,0),IF('01_数值调参'!N33&lt;0,'03_全链计算'!T61+1,0),IF('01_数值调参'!N34&lt;0,'03_全链计算'!U61+1,0),IF('01_数值调参'!N35&lt;0,'03_全链计算'!V61+1,0),IF('01_数值调参'!N36&lt;0,'03_全链计算'!W61+1,0),IF('01_数值调参'!N37&lt;0,'03_全链计算'!X61+1,0),IF('01_数值调参'!N38&lt;0,'03_全链计算'!Y61+1,0),IF('01_数值调参'!N39&lt;0,'03_全链计算'!Z61+1,0),IF('01_数值调参'!N40&lt;0,'03_全链计算'!AA61+1,0),IF('01_数值调参'!N41&lt;0,'03_全链计算'!AB61+1,0),IF('01_数值调参'!N42&lt;0,'03_全链计算'!AC61+1,0),IF('01_数值调参'!N43&lt;0,'03_全链计算'!AD61+1,0),IF('01_数值调参'!N44&lt;0,'03_全链计算'!AE61+1,0),IF('01_数值调参'!N45&lt;0,'03_全链计算'!AF61+1,0),IF('01_数值调参'!N46&lt;0,'03_全链计算'!AG61+1,0),IF('01_数值调参'!N47&lt;0,'03_全链计算'!AH61+1,0),IF('01_数值调参'!N48&lt;0,'03_全链计算'!AI61+1,0),IF('01_数值调参'!N49&lt;0,'03_全链计算'!AJ61+1,0),IF('01_数值调参'!N50&lt;0,'03_全链计算'!AK61+1,0),IF('01_数值调参'!N51&lt;0,'03_全链计算'!AL61+1,0),IF('01_数值调参'!N52&lt;0,'03_全链计算'!AM61+1,0))</x:f>
        <x:v>1</x:v>
      </x:c>
      <x:c r="O62" s="9" t="n">
        <x:f>MAX(IF('01_数值调参'!O18&lt;0,'03_全链计算'!E61+1,0),IF('01_数值调参'!O19&lt;0,'03_全链计算'!F61+1,0),IF('01_数值调参'!O20&lt;0,'03_全链计算'!G61+1,0),IF('01_数值调参'!O21&lt;0,'03_全链计算'!H61+1,0),IF('01_数值调参'!O22&lt;0,'03_全链计算'!I61+1,0),IF('01_数值调参'!O23&lt;0,'03_全链计算'!J61+1,0),IF('01_数值调参'!O24&lt;0,'03_全链计算'!K61+1,0),IF('01_数值调参'!O25&lt;0,'03_全链计算'!L61+1,0),IF('01_数值调参'!O26&lt;0,'03_全链计算'!M61+1,0),IF('01_数值调参'!O27&lt;0,'03_全链计算'!N61+1,0),IF('01_数值调参'!O28&lt;0,'03_全链计算'!O61+1,0),IF('01_数值调参'!O29&lt;0,'03_全链计算'!P61+1,0),IF('01_数值调参'!O30&lt;0,'03_全链计算'!Q61+1,0),IF('01_数值调参'!O31&lt;0,'03_全链计算'!R61+1,0),IF('01_数值调参'!O32&lt;0,'03_全链计算'!S61+1,0),IF('01_数值调参'!O33&lt;0,'03_全链计算'!T61+1,0),IF('01_数值调参'!O34&lt;0,'03_全链计算'!U61+1,0),IF('01_数值调参'!O35&lt;0,'03_全链计算'!V61+1,0),IF('01_数值调参'!O36&lt;0,'03_全链计算'!W61+1,0),IF('01_数值调参'!O37&lt;0,'03_全链计算'!X61+1,0),IF('01_数值调参'!O38&lt;0,'03_全链计算'!Y61+1,0),IF('01_数值调参'!O39&lt;0,'03_全链计算'!Z61+1,0),IF('01_数值调参'!O40&lt;0,'03_全链计算'!AA61+1,0),IF('01_数值调参'!O41&lt;0,'03_全链计算'!AB61+1,0),IF('01_数值调参'!O42&lt;0,'03_全链计算'!AC61+1,0),IF('01_数值调参'!O43&lt;0,'03_全链计算'!AD61+1,0),IF('01_数值调参'!O44&lt;0,'03_全链计算'!AE61+1,0),IF('01_数值调参'!O45&lt;0,'03_全链计算'!AF61+1,0),IF('01_数值调参'!O46&lt;0,'03_全链计算'!AG61+1,0),IF('01_数值调参'!O47&lt;0,'03_全链计算'!AH61+1,0),IF('01_数值调参'!O48&lt;0,'03_全链计算'!AI61+1,0),IF('01_数值调参'!O49&lt;0,'03_全链计算'!AJ61+1,0),IF('01_数值调参'!O50&lt;0,'03_全链计算'!AK61+1,0),IF('01_数值调参'!O51&lt;0,'03_全链计算'!AL61+1,0),IF('01_数值调参'!O52&lt;0,'03_全链计算'!AM61+1,0))</x:f>
        <x:v>1</x:v>
      </x:c>
      <x:c r="P62" s="9" t="n">
        <x:f>MAX(IF('01_数值调参'!P18&lt;0,'03_全链计算'!E61+1,0),IF('01_数值调参'!P19&lt;0,'03_全链计算'!F61+1,0),IF('01_数值调参'!P20&lt;0,'03_全链计算'!G61+1,0),IF('01_数值调参'!P21&lt;0,'03_全链计算'!H61+1,0),IF('01_数值调参'!P22&lt;0,'03_全链计算'!I61+1,0),IF('01_数值调参'!P23&lt;0,'03_全链计算'!J61+1,0),IF('01_数值调参'!P24&lt;0,'03_全链计算'!K61+1,0),IF('01_数值调参'!P25&lt;0,'03_全链计算'!L61+1,0),IF('01_数值调参'!P26&lt;0,'03_全链计算'!M61+1,0),IF('01_数值调参'!P27&lt;0,'03_全链计算'!N61+1,0),IF('01_数值调参'!P28&lt;0,'03_全链计算'!O61+1,0),IF('01_数值调参'!P29&lt;0,'03_全链计算'!P61+1,0),IF('01_数值调参'!P30&lt;0,'03_全链计算'!Q61+1,0),IF('01_数值调参'!P31&lt;0,'03_全链计算'!R61+1,0),IF('01_数值调参'!P32&lt;0,'03_全链计算'!S61+1,0),IF('01_数值调参'!P33&lt;0,'03_全链计算'!T61+1,0),IF('01_数值调参'!P34&lt;0,'03_全链计算'!U61+1,0),IF('01_数值调参'!P35&lt;0,'03_全链计算'!V61+1,0),IF('01_数值调参'!P36&lt;0,'03_全链计算'!W61+1,0),IF('01_数值调参'!P37&lt;0,'03_全链计算'!X61+1,0),IF('01_数值调参'!P38&lt;0,'03_全链计算'!Y61+1,0),IF('01_数值调参'!P39&lt;0,'03_全链计算'!Z61+1,0),IF('01_数值调参'!P40&lt;0,'03_全链计算'!AA61+1,0),IF('01_数值调参'!P41&lt;0,'03_全链计算'!AB61+1,0),IF('01_数值调参'!P42&lt;0,'03_全链计算'!AC61+1,0),IF('01_数值调参'!P43&lt;0,'03_全链计算'!AD61+1,0),IF('01_数值调参'!P44&lt;0,'03_全链计算'!AE61+1,0),IF('01_数值调参'!P45&lt;0,'03_全链计算'!AF61+1,0),IF('01_数值调参'!P46&lt;0,'03_全链计算'!AG61+1,0),IF('01_数值调参'!P47&lt;0,'03_全链计算'!AH61+1,0),IF('01_数值调参'!P48&lt;0,'03_全链计算'!AI61+1,0),IF('01_数值调参'!P49&lt;0,'03_全链计算'!AJ61+1,0),IF('01_数值调参'!P50&lt;0,'03_全链计算'!AK61+1,0),IF('01_数值调参'!P51&lt;0,'03_全链计算'!AL61+1,0),IF('01_数值调参'!P52&lt;0,'03_全链计算'!AM61+1,0))</x:f>
        <x:v>1</x:v>
      </x:c>
      <x:c r="Q62" s="9" t="n">
        <x:f>MAX(IF('01_数值调参'!Q18&lt;0,'03_全链计算'!E61+1,0),IF('01_数值调参'!Q19&lt;0,'03_全链计算'!F61+1,0),IF('01_数值调参'!Q20&lt;0,'03_全链计算'!G61+1,0),IF('01_数值调参'!Q21&lt;0,'03_全链计算'!H61+1,0),IF('01_数值调参'!Q22&lt;0,'03_全链计算'!I61+1,0),IF('01_数值调参'!Q23&lt;0,'03_全链计算'!J61+1,0),IF('01_数值调参'!Q24&lt;0,'03_全链计算'!K61+1,0),IF('01_数值调参'!Q25&lt;0,'03_全链计算'!L61+1,0),IF('01_数值调参'!Q26&lt;0,'03_全链计算'!M61+1,0),IF('01_数值调参'!Q27&lt;0,'03_全链计算'!N61+1,0),IF('01_数值调参'!Q28&lt;0,'03_全链计算'!O61+1,0),IF('01_数值调参'!Q29&lt;0,'03_全链计算'!P61+1,0),IF('01_数值调参'!Q30&lt;0,'03_全链计算'!Q61+1,0),IF('01_数值调参'!Q31&lt;0,'03_全链计算'!R61+1,0),IF('01_数值调参'!Q32&lt;0,'03_全链计算'!S61+1,0),IF('01_数值调参'!Q33&lt;0,'03_全链计算'!T61+1,0),IF('01_数值调参'!Q34&lt;0,'03_全链计算'!U61+1,0),IF('01_数值调参'!Q35&lt;0,'03_全链计算'!V61+1,0),IF('01_数值调参'!Q36&lt;0,'03_全链计算'!W61+1,0),IF('01_数值调参'!Q37&lt;0,'03_全链计算'!X61+1,0),IF('01_数值调参'!Q38&lt;0,'03_全链计算'!Y61+1,0),IF('01_数值调参'!Q39&lt;0,'03_全链计算'!Z61+1,0),IF('01_数值调参'!Q40&lt;0,'03_全链计算'!AA61+1,0),IF('01_数值调参'!Q41&lt;0,'03_全链计算'!AB61+1,0),IF('01_数值调参'!Q42&lt;0,'03_全链计算'!AC61+1,0),IF('01_数值调参'!Q43&lt;0,'03_全链计算'!AD61+1,0),IF('01_数值调参'!Q44&lt;0,'03_全链计算'!AE61+1,0),IF('01_数值调参'!Q45&lt;0,'03_全链计算'!AF61+1,0),IF('01_数值调参'!Q46&lt;0,'03_全链计算'!AG61+1,0),IF('01_数值调参'!Q47&lt;0,'03_全链计算'!AH61+1,0),IF('01_数值调参'!Q48&lt;0,'03_全链计算'!AI61+1,0),IF('01_数值调参'!Q49&lt;0,'03_全链计算'!AJ61+1,0),IF('01_数值调参'!Q50&lt;0,'03_全链计算'!AK61+1,0),IF('01_数值调参'!Q51&lt;0,'03_全链计算'!AL61+1,0),IF('01_数值调参'!Q52&lt;0,'03_全链计算'!AM61+1,0))</x:f>
        <x:v>1</x:v>
      </x:c>
      <x:c r="R62" s="9" t="n">
        <x:f>MAX(IF('01_数值调参'!R18&lt;0,'03_全链计算'!E61+1,0),IF('01_数值调参'!R19&lt;0,'03_全链计算'!F61+1,0),IF('01_数值调参'!R20&lt;0,'03_全链计算'!G61+1,0),IF('01_数值调参'!R21&lt;0,'03_全链计算'!H61+1,0),IF('01_数值调参'!R22&lt;0,'03_全链计算'!I61+1,0),IF('01_数值调参'!R23&lt;0,'03_全链计算'!J61+1,0),IF('01_数值调参'!R24&lt;0,'03_全链计算'!K61+1,0),IF('01_数值调参'!R25&lt;0,'03_全链计算'!L61+1,0),IF('01_数值调参'!R26&lt;0,'03_全链计算'!M61+1,0),IF('01_数值调参'!R27&lt;0,'03_全链计算'!N61+1,0),IF('01_数值调参'!R28&lt;0,'03_全链计算'!O61+1,0),IF('01_数值调参'!R29&lt;0,'03_全链计算'!P61+1,0),IF('01_数值调参'!R30&lt;0,'03_全链计算'!Q61+1,0),IF('01_数值调参'!R31&lt;0,'03_全链计算'!R61+1,0),IF('01_数值调参'!R32&lt;0,'03_全链计算'!S61+1,0),IF('01_数值调参'!R33&lt;0,'03_全链计算'!T61+1,0),IF('01_数值调参'!R34&lt;0,'03_全链计算'!U61+1,0),IF('01_数值调参'!R35&lt;0,'03_全链计算'!V61+1,0),IF('01_数值调参'!R36&lt;0,'03_全链计算'!W61+1,0),IF('01_数值调参'!R37&lt;0,'03_全链计算'!X61+1,0),IF('01_数值调参'!R38&lt;0,'03_全链计算'!Y61+1,0),IF('01_数值调参'!R39&lt;0,'03_全链计算'!Z61+1,0),IF('01_数值调参'!R40&lt;0,'03_全链计算'!AA61+1,0),IF('01_数值调参'!R41&lt;0,'03_全链计算'!AB61+1,0),IF('01_数值调参'!R42&lt;0,'03_全链计算'!AC61+1,0),IF('01_数值调参'!R43&lt;0,'03_全链计算'!AD61+1,0),IF('01_数值调参'!R44&lt;0,'03_全链计算'!AE61+1,0),IF('01_数值调参'!R45&lt;0,'03_全链计算'!AF61+1,0),IF('01_数值调参'!R46&lt;0,'03_全链计算'!AG61+1,0),IF('01_数值调参'!R47&lt;0,'03_全链计算'!AH61+1,0),IF('01_数值调参'!R48&lt;0,'03_全链计算'!AI61+1,0),IF('01_数值调参'!R49&lt;0,'03_全链计算'!AJ61+1,0),IF('01_数值调参'!R50&lt;0,'03_全链计算'!AK61+1,0),IF('01_数值调参'!R51&lt;0,'03_全链计算'!AL61+1,0),IF('01_数值调参'!R52&lt;0,'03_全链计算'!AM61+1,0))</x:f>
        <x:v>1</x:v>
      </x:c>
      <x:c r="S62" s="9" t="n">
        <x:f>MAX(IF('01_数值调参'!S18&lt;0,'03_全链计算'!E61+1,0),IF('01_数值调参'!S19&lt;0,'03_全链计算'!F61+1,0),IF('01_数值调参'!S20&lt;0,'03_全链计算'!G61+1,0),IF('01_数值调参'!S21&lt;0,'03_全链计算'!H61+1,0),IF('01_数值调参'!S22&lt;0,'03_全链计算'!I61+1,0),IF('01_数值调参'!S23&lt;0,'03_全链计算'!J61+1,0),IF('01_数值调参'!S24&lt;0,'03_全链计算'!K61+1,0),IF('01_数值调参'!S25&lt;0,'03_全链计算'!L61+1,0),IF('01_数值调参'!S26&lt;0,'03_全链计算'!M61+1,0),IF('01_数值调参'!S27&lt;0,'03_全链计算'!N61+1,0),IF('01_数值调参'!S28&lt;0,'03_全链计算'!O61+1,0),IF('01_数值调参'!S29&lt;0,'03_全链计算'!P61+1,0),IF('01_数值调参'!S30&lt;0,'03_全链计算'!Q61+1,0),IF('01_数值调参'!S31&lt;0,'03_全链计算'!R61+1,0),IF('01_数值调参'!S32&lt;0,'03_全链计算'!S61+1,0),IF('01_数值调参'!S33&lt;0,'03_全链计算'!T61+1,0),IF('01_数值调参'!S34&lt;0,'03_全链计算'!U61+1,0),IF('01_数值调参'!S35&lt;0,'03_全链计算'!V61+1,0),IF('01_数值调参'!S36&lt;0,'03_全链计算'!W61+1,0),IF('01_数值调参'!S37&lt;0,'03_全链计算'!X61+1,0),IF('01_数值调参'!S38&lt;0,'03_全链计算'!Y61+1,0),IF('01_数值调参'!S39&lt;0,'03_全链计算'!Z61+1,0),IF('01_数值调参'!S40&lt;0,'03_全链计算'!AA61+1,0),IF('01_数值调参'!S41&lt;0,'03_全链计算'!AB61+1,0),IF('01_数值调参'!S42&lt;0,'03_全链计算'!AC61+1,0),IF('01_数值调参'!S43&lt;0,'03_全链计算'!AD61+1,0),IF('01_数值调参'!S44&lt;0,'03_全链计算'!AE61+1,0),IF('01_数值调参'!S45&lt;0,'03_全链计算'!AF61+1,0),IF('01_数值调参'!S46&lt;0,'03_全链计算'!AG61+1,0),IF('01_数值调参'!S47&lt;0,'03_全链计算'!AH61+1,0),IF('01_数值调参'!S48&lt;0,'03_全链计算'!AI61+1,0),IF('01_数值调参'!S49&lt;0,'03_全链计算'!AJ61+1,0),IF('01_数值调参'!S50&lt;0,'03_全链计算'!AK61+1,0),IF('01_数值调参'!S51&lt;0,'03_全链计算'!AL61+1,0),IF('01_数值调参'!S52&lt;0,'03_全链计算'!AM61+1,0))</x:f>
        <x:v>1</x:v>
      </x:c>
      <x:c r="T62" s="9" t="n">
        <x:f>MAX(IF('01_数值调参'!T18&lt;0,'03_全链计算'!E61+1,0),IF('01_数值调参'!T19&lt;0,'03_全链计算'!F61+1,0),IF('01_数值调参'!T20&lt;0,'03_全链计算'!G61+1,0),IF('01_数值调参'!T21&lt;0,'03_全链计算'!H61+1,0),IF('01_数值调参'!T22&lt;0,'03_全链计算'!I61+1,0),IF('01_数值调参'!T23&lt;0,'03_全链计算'!J61+1,0),IF('01_数值调参'!T24&lt;0,'03_全链计算'!K61+1,0),IF('01_数值调参'!T25&lt;0,'03_全链计算'!L61+1,0),IF('01_数值调参'!T26&lt;0,'03_全链计算'!M61+1,0),IF('01_数值调参'!T27&lt;0,'03_全链计算'!N61+1,0),IF('01_数值调参'!T28&lt;0,'03_全链计算'!O61+1,0),IF('01_数值调参'!T29&lt;0,'03_全链计算'!P61+1,0),IF('01_数值调参'!T30&lt;0,'03_全链计算'!Q61+1,0),IF('01_数值调参'!T31&lt;0,'03_全链计算'!R61+1,0),IF('01_数值调参'!T32&lt;0,'03_全链计算'!S61+1,0),IF('01_数值调参'!T33&lt;0,'03_全链计算'!T61+1,0),IF('01_数值调参'!T34&lt;0,'03_全链计算'!U61+1,0),IF('01_数值调参'!T35&lt;0,'03_全链计算'!V61+1,0),IF('01_数值调参'!T36&lt;0,'03_全链计算'!W61+1,0),IF('01_数值调参'!T37&lt;0,'03_全链计算'!X61+1,0),IF('01_数值调参'!T38&lt;0,'03_全链计算'!Y61+1,0),IF('01_数值调参'!T39&lt;0,'03_全链计算'!Z61+1,0),IF('01_数值调参'!T40&lt;0,'03_全链计算'!AA61+1,0),IF('01_数值调参'!T41&lt;0,'03_全链计算'!AB61+1,0),IF('01_数值调参'!T42&lt;0,'03_全链计算'!AC61+1,0),IF('01_数值调参'!T43&lt;0,'03_全链计算'!AD61+1,0),IF('01_数值调参'!T44&lt;0,'03_全链计算'!AE61+1,0),IF('01_数值调参'!T45&lt;0,'03_全链计算'!AF61+1,0),IF('01_数值调参'!T46&lt;0,'03_全链计算'!AG61+1,0),IF('01_数值调参'!T47&lt;0,'03_全链计算'!AH61+1,0),IF('01_数值调参'!T48&lt;0,'03_全链计算'!AI61+1,0),IF('01_数值调参'!T49&lt;0,'03_全链计算'!AJ61+1,0),IF('01_数值调参'!T50&lt;0,'03_全链计算'!AK61+1,0),IF('01_数值调参'!T51&lt;0,'03_全链计算'!AL61+1,0),IF('01_数值调参'!T52&lt;0,'03_全链计算'!AM61+1,0))</x:f>
        <x:v>1</x:v>
      </x:c>
      <x:c r="U62" s="9" t="n">
        <x:f>MAX(IF('01_数值调参'!U18&lt;0,'03_全链计算'!E61+1,0),IF('01_数值调参'!U19&lt;0,'03_全链计算'!F61+1,0),IF('01_数值调参'!U20&lt;0,'03_全链计算'!G61+1,0),IF('01_数值调参'!U21&lt;0,'03_全链计算'!H61+1,0),IF('01_数值调参'!U22&lt;0,'03_全链计算'!I61+1,0),IF('01_数值调参'!U23&lt;0,'03_全链计算'!J61+1,0),IF('01_数值调参'!U24&lt;0,'03_全链计算'!K61+1,0),IF('01_数值调参'!U25&lt;0,'03_全链计算'!L61+1,0),IF('01_数值调参'!U26&lt;0,'03_全链计算'!M61+1,0),IF('01_数值调参'!U27&lt;0,'03_全链计算'!N61+1,0),IF('01_数值调参'!U28&lt;0,'03_全链计算'!O61+1,0),IF('01_数值调参'!U29&lt;0,'03_全链计算'!P61+1,0),IF('01_数值调参'!U30&lt;0,'03_全链计算'!Q61+1,0),IF('01_数值调参'!U31&lt;0,'03_全链计算'!R61+1,0),IF('01_数值调参'!U32&lt;0,'03_全链计算'!S61+1,0),IF('01_数值调参'!U33&lt;0,'03_全链计算'!T61+1,0),IF('01_数值调参'!U34&lt;0,'03_全链计算'!U61+1,0),IF('01_数值调参'!U35&lt;0,'03_全链计算'!V61+1,0),IF('01_数值调参'!U36&lt;0,'03_全链计算'!W61+1,0),IF('01_数值调参'!U37&lt;0,'03_全链计算'!X61+1,0),IF('01_数值调参'!U38&lt;0,'03_全链计算'!Y61+1,0),IF('01_数值调参'!U39&lt;0,'03_全链计算'!Z61+1,0),IF('01_数值调参'!U40&lt;0,'03_全链计算'!AA61+1,0),IF('01_数值调参'!U41&lt;0,'03_全链计算'!AB61+1,0),IF('01_数值调参'!U42&lt;0,'03_全链计算'!AC61+1,0),IF('01_数值调参'!U43&lt;0,'03_全链计算'!AD61+1,0),IF('01_数值调参'!U44&lt;0,'03_全链计算'!AE61+1,0),IF('01_数值调参'!U45&lt;0,'03_全链计算'!AF61+1,0),IF('01_数值调参'!U46&lt;0,'03_全链计算'!AG61+1,0),IF('01_数值调参'!U47&lt;0,'03_全链计算'!AH61+1,0),IF('01_数值调参'!U48&lt;0,'03_全链计算'!AI61+1,0),IF('01_数值调参'!U49&lt;0,'03_全链计算'!AJ61+1,0),IF('01_数值调参'!U50&lt;0,'03_全链计算'!AK61+1,0),IF('01_数值调参'!U51&lt;0,'03_全链计算'!AL61+1,0),IF('01_数值调参'!U52&lt;0,'03_全链计算'!AM61+1,0))</x:f>
        <x:v>1</x:v>
      </x:c>
      <x:c r="V62" s="9" t="n">
        <x:f>MAX(IF('01_数值调参'!V18&lt;0,'03_全链计算'!E61+1,0),IF('01_数值调参'!V19&lt;0,'03_全链计算'!F61+1,0),IF('01_数值调参'!V20&lt;0,'03_全链计算'!G61+1,0),IF('01_数值调参'!V21&lt;0,'03_全链计算'!H61+1,0),IF('01_数值调参'!V22&lt;0,'03_全链计算'!I61+1,0),IF('01_数值调参'!V23&lt;0,'03_全链计算'!J61+1,0),IF('01_数值调参'!V24&lt;0,'03_全链计算'!K61+1,0),IF('01_数值调参'!V25&lt;0,'03_全链计算'!L61+1,0),IF('01_数值调参'!V26&lt;0,'03_全链计算'!M61+1,0),IF('01_数值调参'!V27&lt;0,'03_全链计算'!N61+1,0),IF('01_数值调参'!V28&lt;0,'03_全链计算'!O61+1,0),IF('01_数值调参'!V29&lt;0,'03_全链计算'!P61+1,0),IF('01_数值调参'!V30&lt;0,'03_全链计算'!Q61+1,0),IF('01_数值调参'!V31&lt;0,'03_全链计算'!R61+1,0),IF('01_数值调参'!V32&lt;0,'03_全链计算'!S61+1,0),IF('01_数值调参'!V33&lt;0,'03_全链计算'!T61+1,0),IF('01_数值调参'!V34&lt;0,'03_全链计算'!U61+1,0),IF('01_数值调参'!V35&lt;0,'03_全链计算'!V61+1,0),IF('01_数值调参'!V36&lt;0,'03_全链计算'!W61+1,0),IF('01_数值调参'!V37&lt;0,'03_全链计算'!X61+1,0),IF('01_数值调参'!V38&lt;0,'03_全链计算'!Y61+1,0),IF('01_数值调参'!V39&lt;0,'03_全链计算'!Z61+1,0),IF('01_数值调参'!V40&lt;0,'03_全链计算'!AA61+1,0),IF('01_数值调参'!V41&lt;0,'03_全链计算'!AB61+1,0),IF('01_数值调参'!V42&lt;0,'03_全链计算'!AC61+1,0),IF('01_数值调参'!V43&lt;0,'03_全链计算'!AD61+1,0),IF('01_数值调参'!V44&lt;0,'03_全链计算'!AE61+1,0),IF('01_数值调参'!V45&lt;0,'03_全链计算'!AF61+1,0),IF('01_数值调参'!V46&lt;0,'03_全链计算'!AG61+1,0),IF('01_数值调参'!V47&lt;0,'03_全链计算'!AH61+1,0),IF('01_数值调参'!V48&lt;0,'03_全链计算'!AI61+1,0),IF('01_数值调参'!V49&lt;0,'03_全链计算'!AJ61+1,0),IF('01_数值调参'!V50&lt;0,'03_全链计算'!AK61+1,0),IF('01_数值调参'!V51&lt;0,'03_全链计算'!AL61+1,0),IF('01_数值调参'!V52&lt;0,'03_全链计算'!AM61+1,0))</x:f>
        <x:v>1</x:v>
      </x:c>
      <x:c r="W62" s="9" t="n">
        <x:f>MAX(IF('01_数值调参'!W18&lt;0,'03_全链计算'!E61+1,0),IF('01_数值调参'!W19&lt;0,'03_全链计算'!F61+1,0),IF('01_数值调参'!W20&lt;0,'03_全链计算'!G61+1,0),IF('01_数值调参'!W21&lt;0,'03_全链计算'!H61+1,0),IF('01_数值调参'!W22&lt;0,'03_全链计算'!I61+1,0),IF('01_数值调参'!W23&lt;0,'03_全链计算'!J61+1,0),IF('01_数值调参'!W24&lt;0,'03_全链计算'!K61+1,0),IF('01_数值调参'!W25&lt;0,'03_全链计算'!L61+1,0),IF('01_数值调参'!W26&lt;0,'03_全链计算'!M61+1,0),IF('01_数值调参'!W27&lt;0,'03_全链计算'!N61+1,0),IF('01_数值调参'!W28&lt;0,'03_全链计算'!O61+1,0),IF('01_数值调参'!W29&lt;0,'03_全链计算'!P61+1,0),IF('01_数值调参'!W30&lt;0,'03_全链计算'!Q61+1,0),IF('01_数值调参'!W31&lt;0,'03_全链计算'!R61+1,0),IF('01_数值调参'!W32&lt;0,'03_全链计算'!S61+1,0),IF('01_数值调参'!W33&lt;0,'03_全链计算'!T61+1,0),IF('01_数值调参'!W34&lt;0,'03_全链计算'!U61+1,0),IF('01_数值调参'!W35&lt;0,'03_全链计算'!V61+1,0),IF('01_数值调参'!W36&lt;0,'03_全链计算'!W61+1,0),IF('01_数值调参'!W37&lt;0,'03_全链计算'!X61+1,0),IF('01_数值调参'!W38&lt;0,'03_全链计算'!Y61+1,0),IF('01_数值调参'!W39&lt;0,'03_全链计算'!Z61+1,0),IF('01_数值调参'!W40&lt;0,'03_全链计算'!AA61+1,0),IF('01_数值调参'!W41&lt;0,'03_全链计算'!AB61+1,0),IF('01_数值调参'!W42&lt;0,'03_全链计算'!AC61+1,0),IF('01_数值调参'!W43&lt;0,'03_全链计算'!AD61+1,0),IF('01_数值调参'!W44&lt;0,'03_全链计算'!AE61+1,0),IF('01_数值调参'!W45&lt;0,'03_全链计算'!AF61+1,0),IF('01_数值调参'!W46&lt;0,'03_全链计算'!AG61+1,0),IF('01_数值调参'!W47&lt;0,'03_全链计算'!AH61+1,0),IF('01_数值调参'!W48&lt;0,'03_全链计算'!AI61+1,0),IF('01_数值调参'!W49&lt;0,'03_全链计算'!AJ61+1,0),IF('01_数值调参'!W50&lt;0,'03_全链计算'!AK61+1,0),IF('01_数值调参'!W51&lt;0,'03_全链计算'!AL61+1,0),IF('01_数值调参'!W52&lt;0,'03_全链计算'!AM61+1,0))</x:f>
        <x:v>1</x:v>
      </x:c>
      <x:c r="X62" s="9" t="n">
        <x:f>MAX(IF('01_数值调参'!X18&lt;0,'03_全链计算'!E61+1,0),IF('01_数值调参'!X19&lt;0,'03_全链计算'!F61+1,0),IF('01_数值调参'!X20&lt;0,'03_全链计算'!G61+1,0),IF('01_数值调参'!X21&lt;0,'03_全链计算'!H61+1,0),IF('01_数值调参'!X22&lt;0,'03_全链计算'!I61+1,0),IF('01_数值调参'!X23&lt;0,'03_全链计算'!J61+1,0),IF('01_数值调参'!X24&lt;0,'03_全链计算'!K61+1,0),IF('01_数值调参'!X25&lt;0,'03_全链计算'!L61+1,0),IF('01_数值调参'!X26&lt;0,'03_全链计算'!M61+1,0),IF('01_数值调参'!X27&lt;0,'03_全链计算'!N61+1,0),IF('01_数值调参'!X28&lt;0,'03_全链计算'!O61+1,0),IF('01_数值调参'!X29&lt;0,'03_全链计算'!P61+1,0),IF('01_数值调参'!X30&lt;0,'03_全链计算'!Q61+1,0),IF('01_数值调参'!X31&lt;0,'03_全链计算'!R61+1,0),IF('01_数值调参'!X32&lt;0,'03_全链计算'!S61+1,0),IF('01_数值调参'!X33&lt;0,'03_全链计算'!T61+1,0),IF('01_数值调参'!X34&lt;0,'03_全链计算'!U61+1,0),IF('01_数值调参'!X35&lt;0,'03_全链计算'!V61+1,0),IF('01_数值调参'!X36&lt;0,'03_全链计算'!W61+1,0),IF('01_数值调参'!X37&lt;0,'03_全链计算'!X61+1,0),IF('01_数值调参'!X38&lt;0,'03_全链计算'!Y61+1,0),IF('01_数值调参'!X39&lt;0,'03_全链计算'!Z61+1,0),IF('01_数值调参'!X40&lt;0,'03_全链计算'!AA61+1,0),IF('01_数值调参'!X41&lt;0,'03_全链计算'!AB61+1,0),IF('01_数值调参'!X42&lt;0,'03_全链计算'!AC61+1,0),IF('01_数值调参'!X43&lt;0,'03_全链计算'!AD61+1,0),IF('01_数值调参'!X44&lt;0,'03_全链计算'!AE61+1,0),IF('01_数值调参'!X45&lt;0,'03_全链计算'!AF61+1,0),IF('01_数值调参'!X46&lt;0,'03_全链计算'!AG61+1,0),IF('01_数值调参'!X47&lt;0,'03_全链计算'!AH61+1,0),IF('01_数值调参'!X48&lt;0,'03_全链计算'!AI61+1,0),IF('01_数值调参'!X49&lt;0,'03_全链计算'!AJ61+1,0),IF('01_数值调参'!X50&lt;0,'03_全链计算'!AK61+1,0),IF('01_数值调参'!X51&lt;0,'03_全链计算'!AL61+1,0),IF('01_数值调参'!X52&lt;0,'03_全链计算'!AM61+1,0))</x:f>
        <x:v>2</x:v>
      </x:c>
      <x:c r="Y62" s="9" t="n">
        <x:f>MAX(IF('01_数值调参'!Y18&lt;0,'03_全链计算'!E61+1,0),IF('01_数值调参'!Y19&lt;0,'03_全链计算'!F61+1,0),IF('01_数值调参'!Y20&lt;0,'03_全链计算'!G61+1,0),IF('01_数值调参'!Y21&lt;0,'03_全链计算'!H61+1,0),IF('01_数值调参'!Y22&lt;0,'03_全链计算'!I61+1,0),IF('01_数值调参'!Y23&lt;0,'03_全链计算'!J61+1,0),IF('01_数值调参'!Y24&lt;0,'03_全链计算'!K61+1,0),IF('01_数值调参'!Y25&lt;0,'03_全链计算'!L61+1,0),IF('01_数值调参'!Y26&lt;0,'03_全链计算'!M61+1,0),IF('01_数值调参'!Y27&lt;0,'03_全链计算'!N61+1,0),IF('01_数值调参'!Y28&lt;0,'03_全链计算'!O61+1,0),IF('01_数值调参'!Y29&lt;0,'03_全链计算'!P61+1,0),IF('01_数值调参'!Y30&lt;0,'03_全链计算'!Q61+1,0),IF('01_数值调参'!Y31&lt;0,'03_全链计算'!R61+1,0),IF('01_数值调参'!Y32&lt;0,'03_全链计算'!S61+1,0),IF('01_数值调参'!Y33&lt;0,'03_全链计算'!T61+1,0),IF('01_数值调参'!Y34&lt;0,'03_全链计算'!U61+1,0),IF('01_数值调参'!Y35&lt;0,'03_全链计算'!V61+1,0),IF('01_数值调参'!Y36&lt;0,'03_全链计算'!W61+1,0),IF('01_数值调参'!Y37&lt;0,'03_全链计算'!X61+1,0),IF('01_数值调参'!Y38&lt;0,'03_全链计算'!Y61+1,0),IF('01_数值调参'!Y39&lt;0,'03_全链计算'!Z61+1,0),IF('01_数值调参'!Y40&lt;0,'03_全链计算'!AA61+1,0),IF('01_数值调参'!Y41&lt;0,'03_全链计算'!AB61+1,0),IF('01_数值调参'!Y42&lt;0,'03_全链计算'!AC61+1,0),IF('01_数值调参'!Y43&lt;0,'03_全链计算'!AD61+1,0),IF('01_数值调参'!Y44&lt;0,'03_全链计算'!AE61+1,0),IF('01_数值调参'!Y45&lt;0,'03_全链计算'!AF61+1,0),IF('01_数值调参'!Y46&lt;0,'03_全链计算'!AG61+1,0),IF('01_数值调参'!Y47&lt;0,'03_全链计算'!AH61+1,0),IF('01_数值调参'!Y48&lt;0,'03_全链计算'!AI61+1,0),IF('01_数值调参'!Y49&lt;0,'03_全链计算'!AJ61+1,0),IF('01_数值调参'!Y50&lt;0,'03_全链计算'!AK61+1,0),IF('01_数值调参'!Y51&lt;0,'03_全链计算'!AL61+1,0),IF('01_数值调参'!Y52&lt;0,'03_全链计算'!AM61+1,0))</x:f>
        <x:v>2</x:v>
      </x:c>
      <x:c r="Z62" s="9" t="n">
        <x:f>MAX(IF('01_数值调参'!Z18&lt;0,'03_全链计算'!E61+1,0),IF('01_数值调参'!Z19&lt;0,'03_全链计算'!F61+1,0),IF('01_数值调参'!Z20&lt;0,'03_全链计算'!G61+1,0),IF('01_数值调参'!Z21&lt;0,'03_全链计算'!H61+1,0),IF('01_数值调参'!Z22&lt;0,'03_全链计算'!I61+1,0),IF('01_数值调参'!Z23&lt;0,'03_全链计算'!J61+1,0),IF('01_数值调参'!Z24&lt;0,'03_全链计算'!K61+1,0),IF('01_数值调参'!Z25&lt;0,'03_全链计算'!L61+1,0),IF('01_数值调参'!Z26&lt;0,'03_全链计算'!M61+1,0),IF('01_数值调参'!Z27&lt;0,'03_全链计算'!N61+1,0),IF('01_数值调参'!Z28&lt;0,'03_全链计算'!O61+1,0),IF('01_数值调参'!Z29&lt;0,'03_全链计算'!P61+1,0),IF('01_数值调参'!Z30&lt;0,'03_全链计算'!Q61+1,0),IF('01_数值调参'!Z31&lt;0,'03_全链计算'!R61+1,0),IF('01_数值调参'!Z32&lt;0,'03_全链计算'!S61+1,0),IF('01_数值调参'!Z33&lt;0,'03_全链计算'!T61+1,0),IF('01_数值调参'!Z34&lt;0,'03_全链计算'!U61+1,0),IF('01_数值调参'!Z35&lt;0,'03_全链计算'!V61+1,0),IF('01_数值调参'!Z36&lt;0,'03_全链计算'!W61+1,0),IF('01_数值调参'!Z37&lt;0,'03_全链计算'!X61+1,0),IF('01_数值调参'!Z38&lt;0,'03_全链计算'!Y61+1,0),IF('01_数值调参'!Z39&lt;0,'03_全链计算'!Z61+1,0),IF('01_数值调参'!Z40&lt;0,'03_全链计算'!AA61+1,0),IF('01_数值调参'!Z41&lt;0,'03_全链计算'!AB61+1,0),IF('01_数值调参'!Z42&lt;0,'03_全链计算'!AC61+1,0),IF('01_数值调参'!Z43&lt;0,'03_全链计算'!AD61+1,0),IF('01_数值调参'!Z44&lt;0,'03_全链计算'!AE61+1,0),IF('01_数值调参'!Z45&lt;0,'03_全链计算'!AF61+1,0),IF('01_数值调参'!Z46&lt;0,'03_全链计算'!AG61+1,0),IF('01_数值调参'!Z47&lt;0,'03_全链计算'!AH61+1,0),IF('01_数值调参'!Z48&lt;0,'03_全链计算'!AI61+1,0),IF('01_数值调参'!Z49&lt;0,'03_全链计算'!AJ61+1,0),IF('01_数值调参'!Z50&lt;0,'03_全链计算'!AK61+1,0),IF('01_数值调参'!Z51&lt;0,'03_全链计算'!AL61+1,0),IF('01_数值调参'!Z52&lt;0,'03_全链计算'!AM61+1,0))</x:f>
        <x:v>2</x:v>
      </x:c>
      <x:c r="AA62" s="9" t="n">
        <x:f>MAX(IF('01_数值调参'!AA18&lt;0,'03_全链计算'!E61+1,0),IF('01_数值调参'!AA19&lt;0,'03_全链计算'!F61+1,0),IF('01_数值调参'!AA20&lt;0,'03_全链计算'!G61+1,0),IF('01_数值调参'!AA21&lt;0,'03_全链计算'!H61+1,0),IF('01_数值调参'!AA22&lt;0,'03_全链计算'!I61+1,0),IF('01_数值调参'!AA23&lt;0,'03_全链计算'!J61+1,0),IF('01_数值调参'!AA24&lt;0,'03_全链计算'!K61+1,0),IF('01_数值调参'!AA25&lt;0,'03_全链计算'!L61+1,0),IF('01_数值调参'!AA26&lt;0,'03_全链计算'!M61+1,0),IF('01_数值调参'!AA27&lt;0,'03_全链计算'!N61+1,0),IF('01_数值调参'!AA28&lt;0,'03_全链计算'!O61+1,0),IF('01_数值调参'!AA29&lt;0,'03_全链计算'!P61+1,0),IF('01_数值调参'!AA30&lt;0,'03_全链计算'!Q61+1,0),IF('01_数值调参'!AA31&lt;0,'03_全链计算'!R61+1,0),IF('01_数值调参'!AA32&lt;0,'03_全链计算'!S61+1,0),IF('01_数值调参'!AA33&lt;0,'03_全链计算'!T61+1,0),IF('01_数值调参'!AA34&lt;0,'03_全链计算'!U61+1,0),IF('01_数值调参'!AA35&lt;0,'03_全链计算'!V61+1,0),IF('01_数值调参'!AA36&lt;0,'03_全链计算'!W61+1,0),IF('01_数值调参'!AA37&lt;0,'03_全链计算'!X61+1,0),IF('01_数值调参'!AA38&lt;0,'03_全链计算'!Y61+1,0),IF('01_数值调参'!AA39&lt;0,'03_全链计算'!Z61+1,0),IF('01_数值调参'!AA40&lt;0,'03_全链计算'!AA61+1,0),IF('01_数值调参'!AA41&lt;0,'03_全链计算'!AB61+1,0),IF('01_数值调参'!AA42&lt;0,'03_全链计算'!AC61+1,0),IF('01_数值调参'!AA43&lt;0,'03_全链计算'!AD61+1,0),IF('01_数值调参'!AA44&lt;0,'03_全链计算'!AE61+1,0),IF('01_数值调参'!AA45&lt;0,'03_全链计算'!AF61+1,0),IF('01_数值调参'!AA46&lt;0,'03_全链计算'!AG61+1,0),IF('01_数值调参'!AA47&lt;0,'03_全链计算'!AH61+1,0),IF('01_数值调参'!AA48&lt;0,'03_全链计算'!AI61+1,0),IF('01_数值调参'!AA49&lt;0,'03_全链计算'!AJ61+1,0),IF('01_数值调参'!AA50&lt;0,'03_全链计算'!AK61+1,0),IF('01_数值调参'!AA51&lt;0,'03_全链计算'!AL61+1,0),IF('01_数值调参'!AA52&lt;0,'03_全链计算'!AM61+1,0))</x:f>
        <x:v>2</x:v>
      </x:c>
      <x:c r="AB62" s="9" t="n">
        <x:f>MAX(IF('01_数值调参'!AB18&lt;0,'03_全链计算'!E61+1,0),IF('01_数值调参'!AB19&lt;0,'03_全链计算'!F61+1,0),IF('01_数值调参'!AB20&lt;0,'03_全链计算'!G61+1,0),IF('01_数值调参'!AB21&lt;0,'03_全链计算'!H61+1,0),IF('01_数值调参'!AB22&lt;0,'03_全链计算'!I61+1,0),IF('01_数值调参'!AB23&lt;0,'03_全链计算'!J61+1,0),IF('01_数值调参'!AB24&lt;0,'03_全链计算'!K61+1,0),IF('01_数值调参'!AB25&lt;0,'03_全链计算'!L61+1,0),IF('01_数值调参'!AB26&lt;0,'03_全链计算'!M61+1,0),IF('01_数值调参'!AB27&lt;0,'03_全链计算'!N61+1,0),IF('01_数值调参'!AB28&lt;0,'03_全链计算'!O61+1,0),IF('01_数值调参'!AB29&lt;0,'03_全链计算'!P61+1,0),IF('01_数值调参'!AB30&lt;0,'03_全链计算'!Q61+1,0),IF('01_数值调参'!AB31&lt;0,'03_全链计算'!R61+1,0),IF('01_数值调参'!AB32&lt;0,'03_全链计算'!S61+1,0),IF('01_数值调参'!AB33&lt;0,'03_全链计算'!T61+1,0),IF('01_数值调参'!AB34&lt;0,'03_全链计算'!U61+1,0),IF('01_数值调参'!AB35&lt;0,'03_全链计算'!V61+1,0),IF('01_数值调参'!AB36&lt;0,'03_全链计算'!W61+1,0),IF('01_数值调参'!AB37&lt;0,'03_全链计算'!X61+1,0),IF('01_数值调参'!AB38&lt;0,'03_全链计算'!Y61+1,0),IF('01_数值调参'!AB39&lt;0,'03_全链计算'!Z61+1,0),IF('01_数值调参'!AB40&lt;0,'03_全链计算'!AA61+1,0),IF('01_数值调参'!AB41&lt;0,'03_全链计算'!AB61+1,0),IF('01_数值调参'!AB42&lt;0,'03_全链计算'!AC61+1,0),IF('01_数值调参'!AB43&lt;0,'03_全链计算'!AD61+1,0),IF('01_数值调参'!AB44&lt;0,'03_全链计算'!AE61+1,0),IF('01_数值调参'!AB45&lt;0,'03_全链计算'!AF61+1,0),IF('01_数值调参'!AB46&lt;0,'03_全链计算'!AG61+1,0),IF('01_数值调参'!AB47&lt;0,'03_全链计算'!AH61+1,0),IF('01_数值调参'!AB48&lt;0,'03_全链计算'!AI61+1,0),IF('01_数值调参'!AB49&lt;0,'03_全链计算'!AJ61+1,0),IF('01_数值调参'!AB50&lt;0,'03_全链计算'!AK61+1,0),IF('01_数值调参'!AB51&lt;0,'03_全链计算'!AL61+1,0),IF('01_数值调参'!AB52&lt;0,'03_全链计算'!AM61+1,0))</x:f>
        <x:v>2</x:v>
      </x:c>
      <x:c r="AC62" s="9" t="n">
        <x:f>MAX(IF('01_数值调参'!AC18&lt;0,'03_全链计算'!E61+1,0),IF('01_数值调参'!AC19&lt;0,'03_全链计算'!F61+1,0),IF('01_数值调参'!AC20&lt;0,'03_全链计算'!G61+1,0),IF('01_数值调参'!AC21&lt;0,'03_全链计算'!H61+1,0),IF('01_数值调参'!AC22&lt;0,'03_全链计算'!I61+1,0),IF('01_数值调参'!AC23&lt;0,'03_全链计算'!J61+1,0),IF('01_数值调参'!AC24&lt;0,'03_全链计算'!K61+1,0),IF('01_数值调参'!AC25&lt;0,'03_全链计算'!L61+1,0),IF('01_数值调参'!AC26&lt;0,'03_全链计算'!M61+1,0),IF('01_数值调参'!AC27&lt;0,'03_全链计算'!N61+1,0),IF('01_数值调参'!AC28&lt;0,'03_全链计算'!O61+1,0),IF('01_数值调参'!AC29&lt;0,'03_全链计算'!P61+1,0),IF('01_数值调参'!AC30&lt;0,'03_全链计算'!Q61+1,0),IF('01_数值调参'!AC31&lt;0,'03_全链计算'!R61+1,0),IF('01_数值调参'!AC32&lt;0,'03_全链计算'!S61+1,0),IF('01_数值调参'!AC33&lt;0,'03_全链计算'!T61+1,0),IF('01_数值调参'!AC34&lt;0,'03_全链计算'!U61+1,0),IF('01_数值调参'!AC35&lt;0,'03_全链计算'!V61+1,0),IF('01_数值调参'!AC36&lt;0,'03_全链计算'!W61+1,0),IF('01_数值调参'!AC37&lt;0,'03_全链计算'!X61+1,0),IF('01_数值调参'!AC38&lt;0,'03_全链计算'!Y61+1,0),IF('01_数值调参'!AC39&lt;0,'03_全链计算'!Z61+1,0),IF('01_数值调参'!AC40&lt;0,'03_全链计算'!AA61+1,0),IF('01_数值调参'!AC41&lt;0,'03_全链计算'!AB61+1,0),IF('01_数值调参'!AC42&lt;0,'03_全链计算'!AC61+1,0),IF('01_数值调参'!AC43&lt;0,'03_全链计算'!AD61+1,0),IF('01_数值调参'!AC44&lt;0,'03_全链计算'!AE61+1,0),IF('01_数值调参'!AC45&lt;0,'03_全链计算'!AF61+1,0),IF('01_数值调参'!AC46&lt;0,'03_全链计算'!AG61+1,0),IF('01_数值调参'!AC47&lt;0,'03_全链计算'!AH61+1,0),IF('01_数值调参'!AC48&lt;0,'03_全链计算'!AI61+1,0),IF('01_数值调参'!AC49&lt;0,'03_全链计算'!AJ61+1,0),IF('01_数值调参'!AC50&lt;0,'03_全链计算'!AK61+1,0),IF('01_数值调参'!AC51&lt;0,'03_全链计算'!AL61+1,0),IF('01_数值调参'!AC52&lt;0,'03_全链计算'!AM61+1,0))</x:f>
        <x:v>2</x:v>
      </x:c>
      <x:c r="AD62" s="9" t="n">
        <x:f>MAX(IF('01_数值调参'!AD18&lt;0,'03_全链计算'!E61+1,0),IF('01_数值调参'!AD19&lt;0,'03_全链计算'!F61+1,0),IF('01_数值调参'!AD20&lt;0,'03_全链计算'!G61+1,0),IF('01_数值调参'!AD21&lt;0,'03_全链计算'!H61+1,0),IF('01_数值调参'!AD22&lt;0,'03_全链计算'!I61+1,0),IF('01_数值调参'!AD23&lt;0,'03_全链计算'!J61+1,0),IF('01_数值调参'!AD24&lt;0,'03_全链计算'!K61+1,0),IF('01_数值调参'!AD25&lt;0,'03_全链计算'!L61+1,0),IF('01_数值调参'!AD26&lt;0,'03_全链计算'!M61+1,0),IF('01_数值调参'!AD27&lt;0,'03_全链计算'!N61+1,0),IF('01_数值调参'!AD28&lt;0,'03_全链计算'!O61+1,0),IF('01_数值调参'!AD29&lt;0,'03_全链计算'!P61+1,0),IF('01_数值调参'!AD30&lt;0,'03_全链计算'!Q61+1,0),IF('01_数值调参'!AD31&lt;0,'03_全链计算'!R61+1,0),IF('01_数值调参'!AD32&lt;0,'03_全链计算'!S61+1,0),IF('01_数值调参'!AD33&lt;0,'03_全链计算'!T61+1,0),IF('01_数值调参'!AD34&lt;0,'03_全链计算'!U61+1,0),IF('01_数值调参'!AD35&lt;0,'03_全链计算'!V61+1,0),IF('01_数值调参'!AD36&lt;0,'03_全链计算'!W61+1,0),IF('01_数值调参'!AD37&lt;0,'03_全链计算'!X61+1,0),IF('01_数值调参'!AD38&lt;0,'03_全链计算'!Y61+1,0),IF('01_数值调参'!AD39&lt;0,'03_全链计算'!Z61+1,0),IF('01_数值调参'!AD40&lt;0,'03_全链计算'!AA61+1,0),IF('01_数值调参'!AD41&lt;0,'03_全链计算'!AB61+1,0),IF('01_数值调参'!AD42&lt;0,'03_全链计算'!AC61+1,0),IF('01_数值调参'!AD43&lt;0,'03_全链计算'!AD61+1,0),IF('01_数值调参'!AD44&lt;0,'03_全链计算'!AE61+1,0),IF('01_数值调参'!AD45&lt;0,'03_全链计算'!AF61+1,0),IF('01_数值调参'!AD46&lt;0,'03_全链计算'!AG61+1,0),IF('01_数值调参'!AD47&lt;0,'03_全链计算'!AH61+1,0),IF('01_数值调参'!AD48&lt;0,'03_全链计算'!AI61+1,0),IF('01_数值调参'!AD49&lt;0,'03_全链计算'!AJ61+1,0),IF('01_数值调参'!AD50&lt;0,'03_全链计算'!AK61+1,0),IF('01_数值调参'!AD51&lt;0,'03_全链计算'!AL61+1,0),IF('01_数值调参'!AD52&lt;0,'03_全链计算'!AM61+1,0))</x:f>
        <x:v>1</x:v>
      </x:c>
      <x:c r="AE62" s="9" t="n">
        <x:f>MAX(IF('01_数值调参'!AE18&lt;0,'03_全链计算'!E61+1,0),IF('01_数值调参'!AE19&lt;0,'03_全链计算'!F61+1,0),IF('01_数值调参'!AE20&lt;0,'03_全链计算'!G61+1,0),IF('01_数值调参'!AE21&lt;0,'03_全链计算'!H61+1,0),IF('01_数值调参'!AE22&lt;0,'03_全链计算'!I61+1,0),IF('01_数值调参'!AE23&lt;0,'03_全链计算'!J61+1,0),IF('01_数值调参'!AE24&lt;0,'03_全链计算'!K61+1,0),IF('01_数值调参'!AE25&lt;0,'03_全链计算'!L61+1,0),IF('01_数值调参'!AE26&lt;0,'03_全链计算'!M61+1,0),IF('01_数值调参'!AE27&lt;0,'03_全链计算'!N61+1,0),IF('01_数值调参'!AE28&lt;0,'03_全链计算'!O61+1,0),IF('01_数值调参'!AE29&lt;0,'03_全链计算'!P61+1,0),IF('01_数值调参'!AE30&lt;0,'03_全链计算'!Q61+1,0),IF('01_数值调参'!AE31&lt;0,'03_全链计算'!R61+1,0),IF('01_数值调参'!AE32&lt;0,'03_全链计算'!S61+1,0),IF('01_数值调参'!AE33&lt;0,'03_全链计算'!T61+1,0),IF('01_数值调参'!AE34&lt;0,'03_全链计算'!U61+1,0),IF('01_数值调参'!AE35&lt;0,'03_全链计算'!V61+1,0),IF('01_数值调参'!AE36&lt;0,'03_全链计算'!W61+1,0),IF('01_数值调参'!AE37&lt;0,'03_全链计算'!X61+1,0),IF('01_数值调参'!AE38&lt;0,'03_全链计算'!Y61+1,0),IF('01_数值调参'!AE39&lt;0,'03_全链计算'!Z61+1,0),IF('01_数值调参'!AE40&lt;0,'03_全链计算'!AA61+1,0),IF('01_数值调参'!AE41&lt;0,'03_全链计算'!AB61+1,0),IF('01_数值调参'!AE42&lt;0,'03_全链计算'!AC61+1,0),IF('01_数值调参'!AE43&lt;0,'03_全链计算'!AD61+1,0),IF('01_数值调参'!AE44&lt;0,'03_全链计算'!AE61+1,0),IF('01_数值调参'!AE45&lt;0,'03_全链计算'!AF61+1,0),IF('01_数值调参'!AE46&lt;0,'03_全链计算'!AG61+1,0),IF('01_数值调参'!AE47&lt;0,'03_全链计算'!AH61+1,0),IF('01_数值调参'!AE48&lt;0,'03_全链计算'!AI61+1,0),IF('01_数值调参'!AE49&lt;0,'03_全链计算'!AJ61+1,0),IF('01_数值调参'!AE50&lt;0,'03_全链计算'!AK61+1,0),IF('01_数值调参'!AE51&lt;0,'03_全链计算'!AL61+1,0),IF('01_数值调参'!AE52&lt;0,'03_全链计算'!AM61+1,0))</x:f>
        <x:v>1</x:v>
      </x:c>
      <x:c r="AF62" s="9" t="n">
        <x:f>MAX(IF('01_数值调参'!AF18&lt;0,'03_全链计算'!E61+1,0),IF('01_数值调参'!AF19&lt;0,'03_全链计算'!F61+1,0),IF('01_数值调参'!AF20&lt;0,'03_全链计算'!G61+1,0),IF('01_数值调参'!AF21&lt;0,'03_全链计算'!H61+1,0),IF('01_数值调参'!AF22&lt;0,'03_全链计算'!I61+1,0),IF('01_数值调参'!AF23&lt;0,'03_全链计算'!J61+1,0),IF('01_数值调参'!AF24&lt;0,'03_全链计算'!K61+1,0),IF('01_数值调参'!AF25&lt;0,'03_全链计算'!L61+1,0),IF('01_数值调参'!AF26&lt;0,'03_全链计算'!M61+1,0),IF('01_数值调参'!AF27&lt;0,'03_全链计算'!N61+1,0),IF('01_数值调参'!AF28&lt;0,'03_全链计算'!O61+1,0),IF('01_数值调参'!AF29&lt;0,'03_全链计算'!P61+1,0),IF('01_数值调参'!AF30&lt;0,'03_全链计算'!Q61+1,0),IF('01_数值调参'!AF31&lt;0,'03_全链计算'!R61+1,0),IF('01_数值调参'!AF32&lt;0,'03_全链计算'!S61+1,0),IF('01_数值调参'!AF33&lt;0,'03_全链计算'!T61+1,0),IF('01_数值调参'!AF34&lt;0,'03_全链计算'!U61+1,0),IF('01_数值调参'!AF35&lt;0,'03_全链计算'!V61+1,0),IF('01_数值调参'!AF36&lt;0,'03_全链计算'!W61+1,0),IF('01_数值调参'!AF37&lt;0,'03_全链计算'!X61+1,0),IF('01_数值调参'!AF38&lt;0,'03_全链计算'!Y61+1,0),IF('01_数值调参'!AF39&lt;0,'03_全链计算'!Z61+1,0),IF('01_数值调参'!AF40&lt;0,'03_全链计算'!AA61+1,0),IF('01_数值调参'!AF41&lt;0,'03_全链计算'!AB61+1,0),IF('01_数值调参'!AF42&lt;0,'03_全链计算'!AC61+1,0),IF('01_数值调参'!AF43&lt;0,'03_全链计算'!AD61+1,0),IF('01_数值调参'!AF44&lt;0,'03_全链计算'!AE61+1,0),IF('01_数值调参'!AF45&lt;0,'03_全链计算'!AF61+1,0),IF('01_数值调参'!AF46&lt;0,'03_全链计算'!AG61+1,0),IF('01_数值调参'!AF47&lt;0,'03_全链计算'!AH61+1,0),IF('01_数值调参'!AF48&lt;0,'03_全链计算'!AI61+1,0),IF('01_数值调参'!AF49&lt;0,'03_全链计算'!AJ61+1,0),IF('01_数值调参'!AF50&lt;0,'03_全链计算'!AK61+1,0),IF('01_数值调参'!AF51&lt;0,'03_全链计算'!AL61+1,0),IF('01_数值调参'!AF52&lt;0,'03_全链计算'!AM61+1,0))</x:f>
        <x:v>1</x:v>
      </x:c>
      <x:c r="AG62" s="9" t="n">
        <x:f>MAX(IF('01_数值调参'!AG18&lt;0,'03_全链计算'!E61+1,0),IF('01_数值调参'!AG19&lt;0,'03_全链计算'!F61+1,0),IF('01_数值调参'!AG20&lt;0,'03_全链计算'!G61+1,0),IF('01_数值调参'!AG21&lt;0,'03_全链计算'!H61+1,0),IF('01_数值调参'!AG22&lt;0,'03_全链计算'!I61+1,0),IF('01_数值调参'!AG23&lt;0,'03_全链计算'!J61+1,0),IF('01_数值调参'!AG24&lt;0,'03_全链计算'!K61+1,0),IF('01_数值调参'!AG25&lt;0,'03_全链计算'!L61+1,0),IF('01_数值调参'!AG26&lt;0,'03_全链计算'!M61+1,0),IF('01_数值调参'!AG27&lt;0,'03_全链计算'!N61+1,0),IF('01_数值调参'!AG28&lt;0,'03_全链计算'!O61+1,0),IF('01_数值调参'!AG29&lt;0,'03_全链计算'!P61+1,0),IF('01_数值调参'!AG30&lt;0,'03_全链计算'!Q61+1,0),IF('01_数值调参'!AG31&lt;0,'03_全链计算'!R61+1,0),IF('01_数值调参'!AG32&lt;0,'03_全链计算'!S61+1,0),IF('01_数值调参'!AG33&lt;0,'03_全链计算'!T61+1,0),IF('01_数值调参'!AG34&lt;0,'03_全链计算'!U61+1,0),IF('01_数值调参'!AG35&lt;0,'03_全链计算'!V61+1,0),IF('01_数值调参'!AG36&lt;0,'03_全链计算'!W61+1,0),IF('01_数值调参'!AG37&lt;0,'03_全链计算'!X61+1,0),IF('01_数值调参'!AG38&lt;0,'03_全链计算'!Y61+1,0),IF('01_数值调参'!AG39&lt;0,'03_全链计算'!Z61+1,0),IF('01_数值调参'!AG40&lt;0,'03_全链计算'!AA61+1,0),IF('01_数值调参'!AG41&lt;0,'03_全链计算'!AB61+1,0),IF('01_数值调参'!AG42&lt;0,'03_全链计算'!AC61+1,0),IF('01_数值调参'!AG43&lt;0,'03_全链计算'!AD61+1,0),IF('01_数值调参'!AG44&lt;0,'03_全链计算'!AE61+1,0),IF('01_数值调参'!AG45&lt;0,'03_全链计算'!AF61+1,0),IF('01_数值调参'!AG46&lt;0,'03_全链计算'!AG61+1,0),IF('01_数值调参'!AG47&lt;0,'03_全链计算'!AH61+1,0),IF('01_数值调参'!AG48&lt;0,'03_全链计算'!AI61+1,0),IF('01_数值调参'!AG49&lt;0,'03_全链计算'!AJ61+1,0),IF('01_数值调参'!AG50&lt;0,'03_全链计算'!AK61+1,0),IF('01_数值调参'!AG51&lt;0,'03_全链计算'!AL61+1,0),IF('01_数值调参'!AG52&lt;0,'03_全链计算'!AM61+1,0))</x:f>
        <x:v>1</x:v>
      </x:c>
      <x:c r="AH62" s="9" t="n">
        <x:f>MAX(IF('01_数值调参'!AH18&lt;0,'03_全链计算'!E61+1,0),IF('01_数值调参'!AH19&lt;0,'03_全链计算'!F61+1,0),IF('01_数值调参'!AH20&lt;0,'03_全链计算'!G61+1,0),IF('01_数值调参'!AH21&lt;0,'03_全链计算'!H61+1,0),IF('01_数值调参'!AH22&lt;0,'03_全链计算'!I61+1,0),IF('01_数值调参'!AH23&lt;0,'03_全链计算'!J61+1,0),IF('01_数值调参'!AH24&lt;0,'03_全链计算'!K61+1,0),IF('01_数值调参'!AH25&lt;0,'03_全链计算'!L61+1,0),IF('01_数值调参'!AH26&lt;0,'03_全链计算'!M61+1,0),IF('01_数值调参'!AH27&lt;0,'03_全链计算'!N61+1,0),IF('01_数值调参'!AH28&lt;0,'03_全链计算'!O61+1,0),IF('01_数值调参'!AH29&lt;0,'03_全链计算'!P61+1,0),IF('01_数值调参'!AH30&lt;0,'03_全链计算'!Q61+1,0),IF('01_数值调参'!AH31&lt;0,'03_全链计算'!R61+1,0),IF('01_数值调参'!AH32&lt;0,'03_全链计算'!S61+1,0),IF('01_数值调参'!AH33&lt;0,'03_全链计算'!T61+1,0),IF('01_数值调参'!AH34&lt;0,'03_全链计算'!U61+1,0),IF('01_数值调参'!AH35&lt;0,'03_全链计算'!V61+1,0),IF('01_数值调参'!AH36&lt;0,'03_全链计算'!W61+1,0),IF('01_数值调参'!AH37&lt;0,'03_全链计算'!X61+1,0),IF('01_数值调参'!AH38&lt;0,'03_全链计算'!Y61+1,0),IF('01_数值调参'!AH39&lt;0,'03_全链计算'!Z61+1,0),IF('01_数值调参'!AH40&lt;0,'03_全链计算'!AA61+1,0),IF('01_数值调参'!AH41&lt;0,'03_全链计算'!AB61+1,0),IF('01_数值调参'!AH42&lt;0,'03_全链计算'!AC61+1,0),IF('01_数值调参'!AH43&lt;0,'03_全链计算'!AD61+1,0),IF('01_数值调参'!AH44&lt;0,'03_全链计算'!AE61+1,0),IF('01_数值调参'!AH45&lt;0,'03_全链计算'!AF61+1,0),IF('01_数值调参'!AH46&lt;0,'03_全链计算'!AG61+1,0),IF('01_数值调参'!AH47&lt;0,'03_全链计算'!AH61+1,0),IF('01_数值调参'!AH48&lt;0,'03_全链计算'!AI61+1,0),IF('01_数值调参'!AH49&lt;0,'03_全链计算'!AJ61+1,0),IF('01_数值调参'!AH50&lt;0,'03_全链计算'!AK61+1,0),IF('01_数值调参'!AH51&lt;0,'03_全链计算'!AL61+1,0),IF('01_数值调参'!AH52&lt;0,'03_全链计算'!AM61+1,0))</x:f>
        <x:v>2</x:v>
      </x:c>
      <x:c r="AI62" s="9" t="n">
        <x:f>MAX(IF('01_数值调参'!AI18&lt;0,'03_全链计算'!E61+1,0),IF('01_数值调参'!AI19&lt;0,'03_全链计算'!F61+1,0),IF('01_数值调参'!AI20&lt;0,'03_全链计算'!G61+1,0),IF('01_数值调参'!AI21&lt;0,'03_全链计算'!H61+1,0),IF('01_数值调参'!AI22&lt;0,'03_全链计算'!I61+1,0),IF('01_数值调参'!AI23&lt;0,'03_全链计算'!J61+1,0),IF('01_数值调参'!AI24&lt;0,'03_全链计算'!K61+1,0),IF('01_数值调参'!AI25&lt;0,'03_全链计算'!L61+1,0),IF('01_数值调参'!AI26&lt;0,'03_全链计算'!M61+1,0),IF('01_数值调参'!AI27&lt;0,'03_全链计算'!N61+1,0),IF('01_数值调参'!AI28&lt;0,'03_全链计算'!O61+1,0),IF('01_数值调参'!AI29&lt;0,'03_全链计算'!P61+1,0),IF('01_数值调参'!AI30&lt;0,'03_全链计算'!Q61+1,0),IF('01_数值调参'!AI31&lt;0,'03_全链计算'!R61+1,0),IF('01_数值调参'!AI32&lt;0,'03_全链计算'!S61+1,0),IF('01_数值调参'!AI33&lt;0,'03_全链计算'!T61+1,0),IF('01_数值调参'!AI34&lt;0,'03_全链计算'!U61+1,0),IF('01_数值调参'!AI35&lt;0,'03_全链计算'!V61+1,0),IF('01_数值调参'!AI36&lt;0,'03_全链计算'!W61+1,0),IF('01_数值调参'!AI37&lt;0,'03_全链计算'!X61+1,0),IF('01_数值调参'!AI38&lt;0,'03_全链计算'!Y61+1,0),IF('01_数值调参'!AI39&lt;0,'03_全链计算'!Z61+1,0),IF('01_数值调参'!AI40&lt;0,'03_全链计算'!AA61+1,0),IF('01_数值调参'!AI41&lt;0,'03_全链计算'!AB61+1,0),IF('01_数值调参'!AI42&lt;0,'03_全链计算'!AC61+1,0),IF('01_数值调参'!AI43&lt;0,'03_全链计算'!AD61+1,0),IF('01_数值调参'!AI44&lt;0,'03_全链计算'!AE61+1,0),IF('01_数值调参'!AI45&lt;0,'03_全链计算'!AF61+1,0),IF('01_数值调参'!AI46&lt;0,'03_全链计算'!AG61+1,0),IF('01_数值调参'!AI47&lt;0,'03_全链计算'!AH61+1,0),IF('01_数值调参'!AI48&lt;0,'03_全链计算'!AI61+1,0),IF('01_数值调参'!AI49&lt;0,'03_全链计算'!AJ61+1,0),IF('01_数值调参'!AI50&lt;0,'03_全链计算'!AK61+1,0),IF('01_数值调参'!AI51&lt;0,'03_全链计算'!AL61+1,0),IF('01_数值调参'!AI52&lt;0,'03_全链计算'!AM61+1,0))</x:f>
        <x:v>2</x:v>
      </x:c>
      <x:c r="AJ62" s="9" t="n">
        <x:f>MAX(IF('01_数值调参'!AJ18&lt;0,'03_全链计算'!E61+1,0),IF('01_数值调参'!AJ19&lt;0,'03_全链计算'!F61+1,0),IF('01_数值调参'!AJ20&lt;0,'03_全链计算'!G61+1,0),IF('01_数值调参'!AJ21&lt;0,'03_全链计算'!H61+1,0),IF('01_数值调参'!AJ22&lt;0,'03_全链计算'!I61+1,0),IF('01_数值调参'!AJ23&lt;0,'03_全链计算'!J61+1,0),IF('01_数值调参'!AJ24&lt;0,'03_全链计算'!K61+1,0),IF('01_数值调参'!AJ25&lt;0,'03_全链计算'!L61+1,0),IF('01_数值调参'!AJ26&lt;0,'03_全链计算'!M61+1,0),IF('01_数值调参'!AJ27&lt;0,'03_全链计算'!N61+1,0),IF('01_数值调参'!AJ28&lt;0,'03_全链计算'!O61+1,0),IF('01_数值调参'!AJ29&lt;0,'03_全链计算'!P61+1,0),IF('01_数值调参'!AJ30&lt;0,'03_全链计算'!Q61+1,0),IF('01_数值调参'!AJ31&lt;0,'03_全链计算'!R61+1,0),IF('01_数值调参'!AJ32&lt;0,'03_全链计算'!S61+1,0),IF('01_数值调参'!AJ33&lt;0,'03_全链计算'!T61+1,0),IF('01_数值调参'!AJ34&lt;0,'03_全链计算'!U61+1,0),IF('01_数值调参'!AJ35&lt;0,'03_全链计算'!V61+1,0),IF('01_数值调参'!AJ36&lt;0,'03_全链计算'!W61+1,0),IF('01_数值调参'!AJ37&lt;0,'03_全链计算'!X61+1,0),IF('01_数值调参'!AJ38&lt;0,'03_全链计算'!Y61+1,0),IF('01_数值调参'!AJ39&lt;0,'03_全链计算'!Z61+1,0),IF('01_数值调参'!AJ40&lt;0,'03_全链计算'!AA61+1,0),IF('01_数值调参'!AJ41&lt;0,'03_全链计算'!AB61+1,0),IF('01_数值调参'!AJ42&lt;0,'03_全链计算'!AC61+1,0),IF('01_数值调参'!AJ43&lt;0,'03_全链计算'!AD61+1,0),IF('01_数值调参'!AJ44&lt;0,'03_全链计算'!AE61+1,0),IF('01_数值调参'!AJ45&lt;0,'03_全链计算'!AF61+1,0),IF('01_数值调参'!AJ46&lt;0,'03_全链计算'!AG61+1,0),IF('01_数值调参'!AJ47&lt;0,'03_全链计算'!AH61+1,0),IF('01_数值调参'!AJ48&lt;0,'03_全链计算'!AI61+1,0),IF('01_数值调参'!AJ49&lt;0,'03_全链计算'!AJ61+1,0),IF('01_数值调参'!AJ50&lt;0,'03_全链计算'!AK61+1,0),IF('01_数值调参'!AJ51&lt;0,'03_全链计算'!AL61+1,0),IF('01_数值调参'!AJ52&lt;0,'03_全链计算'!AM61+1,0))</x:f>
        <x:v>2</x:v>
      </x:c>
      <x:c r="AK62" s="9" t="n">
        <x:f>MAX(IF('01_数值调参'!AK18&lt;0,'03_全链计算'!E61+1,0),IF('01_数值调参'!AK19&lt;0,'03_全链计算'!F61+1,0),IF('01_数值调参'!AK20&lt;0,'03_全链计算'!G61+1,0),IF('01_数值调参'!AK21&lt;0,'03_全链计算'!H61+1,0),IF('01_数值调参'!AK22&lt;0,'03_全链计算'!I61+1,0),IF('01_数值调参'!AK23&lt;0,'03_全链计算'!J61+1,0),IF('01_数值调参'!AK24&lt;0,'03_全链计算'!K61+1,0),IF('01_数值调参'!AK25&lt;0,'03_全链计算'!L61+1,0),IF('01_数值调参'!AK26&lt;0,'03_全链计算'!M61+1,0),IF('01_数值调参'!AK27&lt;0,'03_全链计算'!N61+1,0),IF('01_数值调参'!AK28&lt;0,'03_全链计算'!O61+1,0),IF('01_数值调参'!AK29&lt;0,'03_全链计算'!P61+1,0),IF('01_数值调参'!AK30&lt;0,'03_全链计算'!Q61+1,0),IF('01_数值调参'!AK31&lt;0,'03_全链计算'!R61+1,0),IF('01_数值调参'!AK32&lt;0,'03_全链计算'!S61+1,0),IF('01_数值调参'!AK33&lt;0,'03_全链计算'!T61+1,0),IF('01_数值调参'!AK34&lt;0,'03_全链计算'!U61+1,0),IF('01_数值调参'!AK35&lt;0,'03_全链计算'!V61+1,0),IF('01_数值调参'!AK36&lt;0,'03_全链计算'!W61+1,0),IF('01_数值调参'!AK37&lt;0,'03_全链计算'!X61+1,0),IF('01_数值调参'!AK38&lt;0,'03_全链计算'!Y61+1,0),IF('01_数值调参'!AK39&lt;0,'03_全链计算'!Z61+1,0),IF('01_数值调参'!AK40&lt;0,'03_全链计算'!AA61+1,0),IF('01_数值调参'!AK41&lt;0,'03_全链计算'!AB61+1,0),IF('01_数值调参'!AK42&lt;0,'03_全链计算'!AC61+1,0),IF('01_数值调参'!AK43&lt;0,'03_全链计算'!AD61+1,0),IF('01_数值调参'!AK44&lt;0,'03_全链计算'!AE61+1,0),IF('01_数值调参'!AK45&lt;0,'03_全链计算'!AF61+1,0),IF('01_数值调参'!AK46&lt;0,'03_全链计算'!AG61+1,0),IF('01_数值调参'!AK47&lt;0,'03_全链计算'!AH61+1,0),IF('01_数值调参'!AK48&lt;0,'03_全链计算'!AI61+1,0),IF('01_数值调参'!AK49&lt;0,'03_全链计算'!AJ61+1,0),IF('01_数值调参'!AK50&lt;0,'03_全链计算'!AK61+1,0),IF('01_数值调参'!AK51&lt;0,'03_全链计算'!AL61+1,0),IF('01_数值调参'!AK52&lt;0,'03_全链计算'!AM61+1,0))</x:f>
        <x:v>2</x:v>
      </x:c>
      <x:c r="AL62" s="9" t="n">
        <x:f>MAX(IF('01_数值调参'!AL18&lt;0,'03_全链计算'!E61+1,0),IF('01_数值调参'!AL19&lt;0,'03_全链计算'!F61+1,0),IF('01_数值调参'!AL20&lt;0,'03_全链计算'!G61+1,0),IF('01_数值调参'!AL21&lt;0,'03_全链计算'!H61+1,0),IF('01_数值调参'!AL22&lt;0,'03_全链计算'!I61+1,0),IF('01_数值调参'!AL23&lt;0,'03_全链计算'!J61+1,0),IF('01_数值调参'!AL24&lt;0,'03_全链计算'!K61+1,0),IF('01_数值调参'!AL25&lt;0,'03_全链计算'!L61+1,0),IF('01_数值调参'!AL26&lt;0,'03_全链计算'!M61+1,0),IF('01_数值调参'!AL27&lt;0,'03_全链计算'!N61+1,0),IF('01_数值调参'!AL28&lt;0,'03_全链计算'!O61+1,0),IF('01_数值调参'!AL29&lt;0,'03_全链计算'!P61+1,0),IF('01_数值调参'!AL30&lt;0,'03_全链计算'!Q61+1,0),IF('01_数值调参'!AL31&lt;0,'03_全链计算'!R61+1,0),IF('01_数值调参'!AL32&lt;0,'03_全链计算'!S61+1,0),IF('01_数值调参'!AL33&lt;0,'03_全链计算'!T61+1,0),IF('01_数值调参'!AL34&lt;0,'03_全链计算'!U61+1,0),IF('01_数值调参'!AL35&lt;0,'03_全链计算'!V61+1,0),IF('01_数值调参'!AL36&lt;0,'03_全链计算'!W61+1,0),IF('01_数值调参'!AL37&lt;0,'03_全链计算'!X61+1,0),IF('01_数值调参'!AL38&lt;0,'03_全链计算'!Y61+1,0),IF('01_数值调参'!AL39&lt;0,'03_全链计算'!Z61+1,0),IF('01_数值调参'!AL40&lt;0,'03_全链计算'!AA61+1,0),IF('01_数值调参'!AL41&lt;0,'03_全链计算'!AB61+1,0),IF('01_数值调参'!AL42&lt;0,'03_全链计算'!AC61+1,0),IF('01_数值调参'!AL43&lt;0,'03_全链计算'!AD61+1,0),IF('01_数值调参'!AL44&lt;0,'03_全链计算'!AE61+1,0),IF('01_数值调参'!AL45&lt;0,'03_全链计算'!AF61+1,0),IF('01_数值调参'!AL46&lt;0,'03_全链计算'!AG61+1,0),IF('01_数值调参'!AL47&lt;0,'03_全链计算'!AH61+1,0),IF('01_数值调参'!AL48&lt;0,'03_全链计算'!AI61+1,0),IF('01_数值调参'!AL49&lt;0,'03_全链计算'!AJ61+1,0),IF('01_数值调参'!AL50&lt;0,'03_全链计算'!AK61+1,0),IF('01_数值调参'!AL51&lt;0,'03_全链计算'!AL61+1,0),IF('01_数值调参'!AL52&lt;0,'03_全链计算'!AM61+1,0))</x:f>
        <x:v>3</x:v>
      </x:c>
      <x:c r="AM62" s="9" t="n">
        <x:f>MAX(IF('01_数值调参'!AM18&lt;0,'03_全链计算'!E61+1,0),IF('01_数值调参'!AM19&lt;0,'03_全链计算'!F61+1,0),IF('01_数值调参'!AM20&lt;0,'03_全链计算'!G61+1,0),IF('01_数值调参'!AM21&lt;0,'03_全链计算'!H61+1,0),IF('01_数值调参'!AM22&lt;0,'03_全链计算'!I61+1,0),IF('01_数值调参'!AM23&lt;0,'03_全链计算'!J61+1,0),IF('01_数值调参'!AM24&lt;0,'03_全链计算'!K61+1,0),IF('01_数值调参'!AM25&lt;0,'03_全链计算'!L61+1,0),IF('01_数值调参'!AM26&lt;0,'03_全链计算'!M61+1,0),IF('01_数值调参'!AM27&lt;0,'03_全链计算'!N61+1,0),IF('01_数值调参'!AM28&lt;0,'03_全链计算'!O61+1,0),IF('01_数值调参'!AM29&lt;0,'03_全链计算'!P61+1,0),IF('01_数值调参'!AM30&lt;0,'03_全链计算'!Q61+1,0),IF('01_数值调参'!AM31&lt;0,'03_全链计算'!R61+1,0),IF('01_数值调参'!AM32&lt;0,'03_全链计算'!S61+1,0),IF('01_数值调参'!AM33&lt;0,'03_全链计算'!T61+1,0),IF('01_数值调参'!AM34&lt;0,'03_全链计算'!U61+1,0),IF('01_数值调参'!AM35&lt;0,'03_全链计算'!V61+1,0),IF('01_数值调参'!AM36&lt;0,'03_全链计算'!W61+1,0),IF('01_数值调参'!AM37&lt;0,'03_全链计算'!X61+1,0),IF('01_数值调参'!AM38&lt;0,'03_全链计算'!Y61+1,0),IF('01_数值调参'!AM39&lt;0,'03_全链计算'!Z61+1,0),IF('01_数值调参'!AM40&lt;0,'03_全链计算'!AA61+1,0),IF('01_数值调参'!AM41&lt;0,'03_全链计算'!AB61+1,0),IF('01_数值调参'!AM42&lt;0,'03_全链计算'!AC61+1,0),IF('01_数值调参'!AM43&lt;0,'03_全链计算'!AD61+1,0),IF('01_数值调参'!AM44&lt;0,'03_全链计算'!AE61+1,0),IF('01_数值调参'!AM45&lt;0,'03_全链计算'!AF61+1,0),IF('01_数值调参'!AM46&lt;0,'03_全链计算'!AG61+1,0),IF('01_数值调参'!AM47&lt;0,'03_全链计算'!AH61+1,0),IF('01_数值调参'!AM48&lt;0,'03_全链计算'!AI61+1,0),IF('01_数值调参'!AM49&lt;0,'03_全链计算'!AJ61+1,0),IF('01_数值调参'!AM50&lt;0,'03_全链计算'!AK61+1,0),IF('01_数值调参'!AM51&lt;0,'03_全链计算'!AL61+1,0),IF('01_数值调参'!AM52&lt;0,'03_全链计算'!AM61+1,0))</x:f>
        <x:v>3</x:v>
      </x:c>
    </x:row>
    <x:row r="63" ht="22" customHeight="1">
      <x:c r="A63" s="9" t="n">
        <x:v>18</x:v>
      </x:c>
      <x:c r="B63" s="9"/>
      <x:c r="C63" s="9"/>
      <x:c r="D63" s="9"/>
      <x:c r="E63" s="9" t="n">
        <x:f>MAX(IF('01_数值调参'!E18&lt;0,'03_全链计算'!E62+1,0),IF('01_数值调参'!E19&lt;0,'03_全链计算'!F62+1,0),IF('01_数值调参'!E20&lt;0,'03_全链计算'!G62+1,0),IF('01_数值调参'!E21&lt;0,'03_全链计算'!H62+1,0),IF('01_数值调参'!E22&lt;0,'03_全链计算'!I62+1,0),IF('01_数值调参'!E23&lt;0,'03_全链计算'!J62+1,0),IF('01_数值调参'!E24&lt;0,'03_全链计算'!K62+1,0),IF('01_数值调参'!E25&lt;0,'03_全链计算'!L62+1,0),IF('01_数值调参'!E26&lt;0,'03_全链计算'!M62+1,0),IF('01_数值调参'!E27&lt;0,'03_全链计算'!N62+1,0),IF('01_数值调参'!E28&lt;0,'03_全链计算'!O62+1,0),IF('01_数值调参'!E29&lt;0,'03_全链计算'!P62+1,0),IF('01_数值调参'!E30&lt;0,'03_全链计算'!Q62+1,0),IF('01_数值调参'!E31&lt;0,'03_全链计算'!R62+1,0),IF('01_数值调参'!E32&lt;0,'03_全链计算'!S62+1,0),IF('01_数值调参'!E33&lt;0,'03_全链计算'!T62+1,0),IF('01_数值调参'!E34&lt;0,'03_全链计算'!U62+1,0),IF('01_数值调参'!E35&lt;0,'03_全链计算'!V62+1,0),IF('01_数值调参'!E36&lt;0,'03_全链计算'!W62+1,0),IF('01_数值调参'!E37&lt;0,'03_全链计算'!X62+1,0),IF('01_数值调参'!E38&lt;0,'03_全链计算'!Y62+1,0),IF('01_数值调参'!E39&lt;0,'03_全链计算'!Z62+1,0),IF('01_数值调参'!E40&lt;0,'03_全链计算'!AA62+1,0),IF('01_数值调参'!E41&lt;0,'03_全链计算'!AB62+1,0),IF('01_数值调参'!E42&lt;0,'03_全链计算'!AC62+1,0),IF('01_数值调参'!E43&lt;0,'03_全链计算'!AD62+1,0),IF('01_数值调参'!E44&lt;0,'03_全链计算'!AE62+1,0),IF('01_数值调参'!E45&lt;0,'03_全链计算'!AF62+1,0),IF('01_数值调参'!E46&lt;0,'03_全链计算'!AG62+1,0),IF('01_数值调参'!E47&lt;0,'03_全链计算'!AH62+1,0),IF('01_数值调参'!E48&lt;0,'03_全链计算'!AI62+1,0),IF('01_数值调参'!E49&lt;0,'03_全链计算'!AJ62+1,0),IF('01_数值调参'!E50&lt;0,'03_全链计算'!AK62+1,0),IF('01_数值调参'!E51&lt;0,'03_全链计算'!AL62+1,0),IF('01_数值调参'!E52&lt;0,'03_全链计算'!AM62+1,0))</x:f>
        <x:v>0</x:v>
      </x:c>
      <x:c r="F63" s="9" t="n">
        <x:f>MAX(IF('01_数值调参'!F18&lt;0,'03_全链计算'!E62+1,0),IF('01_数值调参'!F19&lt;0,'03_全链计算'!F62+1,0),IF('01_数值调参'!F20&lt;0,'03_全链计算'!G62+1,0),IF('01_数值调参'!F21&lt;0,'03_全链计算'!H62+1,0),IF('01_数值调参'!F22&lt;0,'03_全链计算'!I62+1,0),IF('01_数值调参'!F23&lt;0,'03_全链计算'!J62+1,0),IF('01_数值调参'!F24&lt;0,'03_全链计算'!K62+1,0),IF('01_数值调参'!F25&lt;0,'03_全链计算'!L62+1,0),IF('01_数值调参'!F26&lt;0,'03_全链计算'!M62+1,0),IF('01_数值调参'!F27&lt;0,'03_全链计算'!N62+1,0),IF('01_数值调参'!F28&lt;0,'03_全链计算'!O62+1,0),IF('01_数值调参'!F29&lt;0,'03_全链计算'!P62+1,0),IF('01_数值调参'!F30&lt;0,'03_全链计算'!Q62+1,0),IF('01_数值调参'!F31&lt;0,'03_全链计算'!R62+1,0),IF('01_数值调参'!F32&lt;0,'03_全链计算'!S62+1,0),IF('01_数值调参'!F33&lt;0,'03_全链计算'!T62+1,0),IF('01_数值调参'!F34&lt;0,'03_全链计算'!U62+1,0),IF('01_数值调参'!F35&lt;0,'03_全链计算'!V62+1,0),IF('01_数值调参'!F36&lt;0,'03_全链计算'!W62+1,0),IF('01_数值调参'!F37&lt;0,'03_全链计算'!X62+1,0),IF('01_数值调参'!F38&lt;0,'03_全链计算'!Y62+1,0),IF('01_数值调参'!F39&lt;0,'03_全链计算'!Z62+1,0),IF('01_数值调参'!F40&lt;0,'03_全链计算'!AA62+1,0),IF('01_数值调参'!F41&lt;0,'03_全链计算'!AB62+1,0),IF('01_数值调参'!F42&lt;0,'03_全链计算'!AC62+1,0),IF('01_数值调参'!F43&lt;0,'03_全链计算'!AD62+1,0),IF('01_数值调参'!F44&lt;0,'03_全链计算'!AE62+1,0),IF('01_数值调参'!F45&lt;0,'03_全链计算'!AF62+1,0),IF('01_数值调参'!F46&lt;0,'03_全链计算'!AG62+1,0),IF('01_数值调参'!F47&lt;0,'03_全链计算'!AH62+1,0),IF('01_数值调参'!F48&lt;0,'03_全链计算'!AI62+1,0),IF('01_数值调参'!F49&lt;0,'03_全链计算'!AJ62+1,0),IF('01_数值调参'!F50&lt;0,'03_全链计算'!AK62+1,0),IF('01_数值调参'!F51&lt;0,'03_全链计算'!AL62+1,0),IF('01_数值调参'!F52&lt;0,'03_全链计算'!AM62+1,0))</x:f>
        <x:v>0</x:v>
      </x:c>
      <x:c r="G63" s="9" t="n">
        <x:f>MAX(IF('01_数值调参'!G18&lt;0,'03_全链计算'!E62+1,0),IF('01_数值调参'!G19&lt;0,'03_全链计算'!F62+1,0),IF('01_数值调参'!G20&lt;0,'03_全链计算'!G62+1,0),IF('01_数值调参'!G21&lt;0,'03_全链计算'!H62+1,0),IF('01_数值调参'!G22&lt;0,'03_全链计算'!I62+1,0),IF('01_数值调参'!G23&lt;0,'03_全链计算'!J62+1,0),IF('01_数值调参'!G24&lt;0,'03_全链计算'!K62+1,0),IF('01_数值调参'!G25&lt;0,'03_全链计算'!L62+1,0),IF('01_数值调参'!G26&lt;0,'03_全链计算'!M62+1,0),IF('01_数值调参'!G27&lt;0,'03_全链计算'!N62+1,0),IF('01_数值调参'!G28&lt;0,'03_全链计算'!O62+1,0),IF('01_数值调参'!G29&lt;0,'03_全链计算'!P62+1,0),IF('01_数值调参'!G30&lt;0,'03_全链计算'!Q62+1,0),IF('01_数值调参'!G31&lt;0,'03_全链计算'!R62+1,0),IF('01_数值调参'!G32&lt;0,'03_全链计算'!S62+1,0),IF('01_数值调参'!G33&lt;0,'03_全链计算'!T62+1,0),IF('01_数值调参'!G34&lt;0,'03_全链计算'!U62+1,0),IF('01_数值调参'!G35&lt;0,'03_全链计算'!V62+1,0),IF('01_数值调参'!G36&lt;0,'03_全链计算'!W62+1,0),IF('01_数值调参'!G37&lt;0,'03_全链计算'!X62+1,0),IF('01_数值调参'!G38&lt;0,'03_全链计算'!Y62+1,0),IF('01_数值调参'!G39&lt;0,'03_全链计算'!Z62+1,0),IF('01_数值调参'!G40&lt;0,'03_全链计算'!AA62+1,0),IF('01_数值调参'!G41&lt;0,'03_全链计算'!AB62+1,0),IF('01_数值调参'!G42&lt;0,'03_全链计算'!AC62+1,0),IF('01_数值调参'!G43&lt;0,'03_全链计算'!AD62+1,0),IF('01_数值调参'!G44&lt;0,'03_全链计算'!AE62+1,0),IF('01_数值调参'!G45&lt;0,'03_全链计算'!AF62+1,0),IF('01_数值调参'!G46&lt;0,'03_全链计算'!AG62+1,0),IF('01_数值调参'!G47&lt;0,'03_全链计算'!AH62+1,0),IF('01_数值调参'!G48&lt;0,'03_全链计算'!AI62+1,0),IF('01_数值调参'!G49&lt;0,'03_全链计算'!AJ62+1,0),IF('01_数值调参'!G50&lt;0,'03_全链计算'!AK62+1,0),IF('01_数值调参'!G51&lt;0,'03_全链计算'!AL62+1,0),IF('01_数值调参'!G52&lt;0,'03_全链计算'!AM62+1,0))</x:f>
        <x:v>0</x:v>
      </x:c>
      <x:c r="H63" s="9" t="n">
        <x:f>MAX(IF('01_数值调参'!H18&lt;0,'03_全链计算'!E62+1,0),IF('01_数值调参'!H19&lt;0,'03_全链计算'!F62+1,0),IF('01_数值调参'!H20&lt;0,'03_全链计算'!G62+1,0),IF('01_数值调参'!H21&lt;0,'03_全链计算'!H62+1,0),IF('01_数值调参'!H22&lt;0,'03_全链计算'!I62+1,0),IF('01_数值调参'!H23&lt;0,'03_全链计算'!J62+1,0),IF('01_数值调参'!H24&lt;0,'03_全链计算'!K62+1,0),IF('01_数值调参'!H25&lt;0,'03_全链计算'!L62+1,0),IF('01_数值调参'!H26&lt;0,'03_全链计算'!M62+1,0),IF('01_数值调参'!H27&lt;0,'03_全链计算'!N62+1,0),IF('01_数值调参'!H28&lt;0,'03_全链计算'!O62+1,0),IF('01_数值调参'!H29&lt;0,'03_全链计算'!P62+1,0),IF('01_数值调参'!H30&lt;0,'03_全链计算'!Q62+1,0),IF('01_数值调参'!H31&lt;0,'03_全链计算'!R62+1,0),IF('01_数值调参'!H32&lt;0,'03_全链计算'!S62+1,0),IF('01_数值调参'!H33&lt;0,'03_全链计算'!T62+1,0),IF('01_数值调参'!H34&lt;0,'03_全链计算'!U62+1,0),IF('01_数值调参'!H35&lt;0,'03_全链计算'!V62+1,0),IF('01_数值调参'!H36&lt;0,'03_全链计算'!W62+1,0),IF('01_数值调参'!H37&lt;0,'03_全链计算'!X62+1,0),IF('01_数值调参'!H38&lt;0,'03_全链计算'!Y62+1,0),IF('01_数值调参'!H39&lt;0,'03_全链计算'!Z62+1,0),IF('01_数值调参'!H40&lt;0,'03_全链计算'!AA62+1,0),IF('01_数值调参'!H41&lt;0,'03_全链计算'!AB62+1,0),IF('01_数值调参'!H42&lt;0,'03_全链计算'!AC62+1,0),IF('01_数值调参'!H43&lt;0,'03_全链计算'!AD62+1,0),IF('01_数值调参'!H44&lt;0,'03_全链计算'!AE62+1,0),IF('01_数值调参'!H45&lt;0,'03_全链计算'!AF62+1,0),IF('01_数值调参'!H46&lt;0,'03_全链计算'!AG62+1,0),IF('01_数值调参'!H47&lt;0,'03_全链计算'!AH62+1,0),IF('01_数值调参'!H48&lt;0,'03_全链计算'!AI62+1,0),IF('01_数值调参'!H49&lt;0,'03_全链计算'!AJ62+1,0),IF('01_数值调参'!H50&lt;0,'03_全链计算'!AK62+1,0),IF('01_数值调参'!H51&lt;0,'03_全链计算'!AL62+1,0),IF('01_数值调参'!H52&lt;0,'03_全链计算'!AM62+1,0))</x:f>
        <x:v>0</x:v>
      </x:c>
      <x:c r="I63" s="9" t="n">
        <x:f>MAX(IF('01_数值调参'!I18&lt;0,'03_全链计算'!E62+1,0),IF('01_数值调参'!I19&lt;0,'03_全链计算'!F62+1,0),IF('01_数值调参'!I20&lt;0,'03_全链计算'!G62+1,0),IF('01_数值调参'!I21&lt;0,'03_全链计算'!H62+1,0),IF('01_数值调参'!I22&lt;0,'03_全链计算'!I62+1,0),IF('01_数值调参'!I23&lt;0,'03_全链计算'!J62+1,0),IF('01_数值调参'!I24&lt;0,'03_全链计算'!K62+1,0),IF('01_数值调参'!I25&lt;0,'03_全链计算'!L62+1,0),IF('01_数值调参'!I26&lt;0,'03_全链计算'!M62+1,0),IF('01_数值调参'!I27&lt;0,'03_全链计算'!N62+1,0),IF('01_数值调参'!I28&lt;0,'03_全链计算'!O62+1,0),IF('01_数值调参'!I29&lt;0,'03_全链计算'!P62+1,0),IF('01_数值调参'!I30&lt;0,'03_全链计算'!Q62+1,0),IF('01_数值调参'!I31&lt;0,'03_全链计算'!R62+1,0),IF('01_数值调参'!I32&lt;0,'03_全链计算'!S62+1,0),IF('01_数值调参'!I33&lt;0,'03_全链计算'!T62+1,0),IF('01_数值调参'!I34&lt;0,'03_全链计算'!U62+1,0),IF('01_数值调参'!I35&lt;0,'03_全链计算'!V62+1,0),IF('01_数值调参'!I36&lt;0,'03_全链计算'!W62+1,0),IF('01_数值调参'!I37&lt;0,'03_全链计算'!X62+1,0),IF('01_数值调参'!I38&lt;0,'03_全链计算'!Y62+1,0),IF('01_数值调参'!I39&lt;0,'03_全链计算'!Z62+1,0),IF('01_数值调参'!I40&lt;0,'03_全链计算'!AA62+1,0),IF('01_数值调参'!I41&lt;0,'03_全链计算'!AB62+1,0),IF('01_数值调参'!I42&lt;0,'03_全链计算'!AC62+1,0),IF('01_数值调参'!I43&lt;0,'03_全链计算'!AD62+1,0),IF('01_数值调参'!I44&lt;0,'03_全链计算'!AE62+1,0),IF('01_数值调参'!I45&lt;0,'03_全链计算'!AF62+1,0),IF('01_数值调参'!I46&lt;0,'03_全链计算'!AG62+1,0),IF('01_数值调参'!I47&lt;0,'03_全链计算'!AH62+1,0),IF('01_数值调参'!I48&lt;0,'03_全链计算'!AI62+1,0),IF('01_数值调参'!I49&lt;0,'03_全链计算'!AJ62+1,0),IF('01_数值调参'!I50&lt;0,'03_全链计算'!AK62+1,0),IF('01_数值调参'!I51&lt;0,'03_全链计算'!AL62+1,0),IF('01_数值调参'!I52&lt;0,'03_全链计算'!AM62+1,0))</x:f>
        <x:v>0</x:v>
      </x:c>
      <x:c r="J63" s="9" t="n">
        <x:f>MAX(IF('01_数值调参'!J18&lt;0,'03_全链计算'!E62+1,0),IF('01_数值调参'!J19&lt;0,'03_全链计算'!F62+1,0),IF('01_数值调参'!J20&lt;0,'03_全链计算'!G62+1,0),IF('01_数值调参'!J21&lt;0,'03_全链计算'!H62+1,0),IF('01_数值调参'!J22&lt;0,'03_全链计算'!I62+1,0),IF('01_数值调参'!J23&lt;0,'03_全链计算'!J62+1,0),IF('01_数值调参'!J24&lt;0,'03_全链计算'!K62+1,0),IF('01_数值调参'!J25&lt;0,'03_全链计算'!L62+1,0),IF('01_数值调参'!J26&lt;0,'03_全链计算'!M62+1,0),IF('01_数值调参'!J27&lt;0,'03_全链计算'!N62+1,0),IF('01_数值调参'!J28&lt;0,'03_全链计算'!O62+1,0),IF('01_数值调参'!J29&lt;0,'03_全链计算'!P62+1,0),IF('01_数值调参'!J30&lt;0,'03_全链计算'!Q62+1,0),IF('01_数值调参'!J31&lt;0,'03_全链计算'!R62+1,0),IF('01_数值调参'!J32&lt;0,'03_全链计算'!S62+1,0),IF('01_数值调参'!J33&lt;0,'03_全链计算'!T62+1,0),IF('01_数值调参'!J34&lt;0,'03_全链计算'!U62+1,0),IF('01_数值调参'!J35&lt;0,'03_全链计算'!V62+1,0),IF('01_数值调参'!J36&lt;0,'03_全链计算'!W62+1,0),IF('01_数值调参'!J37&lt;0,'03_全链计算'!X62+1,0),IF('01_数值调参'!J38&lt;0,'03_全链计算'!Y62+1,0),IF('01_数值调参'!J39&lt;0,'03_全链计算'!Z62+1,0),IF('01_数值调参'!J40&lt;0,'03_全链计算'!AA62+1,0),IF('01_数值调参'!J41&lt;0,'03_全链计算'!AB62+1,0),IF('01_数值调参'!J42&lt;0,'03_全链计算'!AC62+1,0),IF('01_数值调参'!J43&lt;0,'03_全链计算'!AD62+1,0),IF('01_数值调参'!J44&lt;0,'03_全链计算'!AE62+1,0),IF('01_数值调参'!J45&lt;0,'03_全链计算'!AF62+1,0),IF('01_数值调参'!J46&lt;0,'03_全链计算'!AG62+1,0),IF('01_数值调参'!J47&lt;0,'03_全链计算'!AH62+1,0),IF('01_数值调参'!J48&lt;0,'03_全链计算'!AI62+1,0),IF('01_数值调参'!J49&lt;0,'03_全链计算'!AJ62+1,0),IF('01_数值调参'!J50&lt;0,'03_全链计算'!AK62+1,0),IF('01_数值调参'!J51&lt;0,'03_全链计算'!AL62+1,0),IF('01_数值调参'!J52&lt;0,'03_全链计算'!AM62+1,0))</x:f>
        <x:v>0</x:v>
      </x:c>
      <x:c r="K63" s="9" t="n">
        <x:f>MAX(IF('01_数值调参'!K18&lt;0,'03_全链计算'!E62+1,0),IF('01_数值调参'!K19&lt;0,'03_全链计算'!F62+1,0),IF('01_数值调参'!K20&lt;0,'03_全链计算'!G62+1,0),IF('01_数值调参'!K21&lt;0,'03_全链计算'!H62+1,0),IF('01_数值调参'!K22&lt;0,'03_全链计算'!I62+1,0),IF('01_数值调参'!K23&lt;0,'03_全链计算'!J62+1,0),IF('01_数值调参'!K24&lt;0,'03_全链计算'!K62+1,0),IF('01_数值调参'!K25&lt;0,'03_全链计算'!L62+1,0),IF('01_数值调参'!K26&lt;0,'03_全链计算'!M62+1,0),IF('01_数值调参'!K27&lt;0,'03_全链计算'!N62+1,0),IF('01_数值调参'!K28&lt;0,'03_全链计算'!O62+1,0),IF('01_数值调参'!K29&lt;0,'03_全链计算'!P62+1,0),IF('01_数值调参'!K30&lt;0,'03_全链计算'!Q62+1,0),IF('01_数值调参'!K31&lt;0,'03_全链计算'!R62+1,0),IF('01_数值调参'!K32&lt;0,'03_全链计算'!S62+1,0),IF('01_数值调参'!K33&lt;0,'03_全链计算'!T62+1,0),IF('01_数值调参'!K34&lt;0,'03_全链计算'!U62+1,0),IF('01_数值调参'!K35&lt;0,'03_全链计算'!V62+1,0),IF('01_数值调参'!K36&lt;0,'03_全链计算'!W62+1,0),IF('01_数值调参'!K37&lt;0,'03_全链计算'!X62+1,0),IF('01_数值调参'!K38&lt;0,'03_全链计算'!Y62+1,0),IF('01_数值调参'!K39&lt;0,'03_全链计算'!Z62+1,0),IF('01_数值调参'!K40&lt;0,'03_全链计算'!AA62+1,0),IF('01_数值调参'!K41&lt;0,'03_全链计算'!AB62+1,0),IF('01_数值调参'!K42&lt;0,'03_全链计算'!AC62+1,0),IF('01_数值调参'!K43&lt;0,'03_全链计算'!AD62+1,0),IF('01_数值调参'!K44&lt;0,'03_全链计算'!AE62+1,0),IF('01_数值调参'!K45&lt;0,'03_全链计算'!AF62+1,0),IF('01_数值调参'!K46&lt;0,'03_全链计算'!AG62+1,0),IF('01_数值调参'!K47&lt;0,'03_全链计算'!AH62+1,0),IF('01_数值调参'!K48&lt;0,'03_全链计算'!AI62+1,0),IF('01_数值调参'!K49&lt;0,'03_全链计算'!AJ62+1,0),IF('01_数值调参'!K50&lt;0,'03_全链计算'!AK62+1,0),IF('01_数值调参'!K51&lt;0,'03_全链计算'!AL62+1,0),IF('01_数值调参'!K52&lt;0,'03_全链计算'!AM62+1,0))</x:f>
        <x:v>0</x:v>
      </x:c>
      <x:c r="L63" s="9" t="n">
        <x:f>MAX(IF('01_数值调参'!L18&lt;0,'03_全链计算'!E62+1,0),IF('01_数值调参'!L19&lt;0,'03_全链计算'!F62+1,0),IF('01_数值调参'!L20&lt;0,'03_全链计算'!G62+1,0),IF('01_数值调参'!L21&lt;0,'03_全链计算'!H62+1,0),IF('01_数值调参'!L22&lt;0,'03_全链计算'!I62+1,0),IF('01_数值调参'!L23&lt;0,'03_全链计算'!J62+1,0),IF('01_数值调参'!L24&lt;0,'03_全链计算'!K62+1,0),IF('01_数值调参'!L25&lt;0,'03_全链计算'!L62+1,0),IF('01_数值调参'!L26&lt;0,'03_全链计算'!M62+1,0),IF('01_数值调参'!L27&lt;0,'03_全链计算'!N62+1,0),IF('01_数值调参'!L28&lt;0,'03_全链计算'!O62+1,0),IF('01_数值调参'!L29&lt;0,'03_全链计算'!P62+1,0),IF('01_数值调参'!L30&lt;0,'03_全链计算'!Q62+1,0),IF('01_数值调参'!L31&lt;0,'03_全链计算'!R62+1,0),IF('01_数值调参'!L32&lt;0,'03_全链计算'!S62+1,0),IF('01_数值调参'!L33&lt;0,'03_全链计算'!T62+1,0),IF('01_数值调参'!L34&lt;0,'03_全链计算'!U62+1,0),IF('01_数值调参'!L35&lt;0,'03_全链计算'!V62+1,0),IF('01_数值调参'!L36&lt;0,'03_全链计算'!W62+1,0),IF('01_数值调参'!L37&lt;0,'03_全链计算'!X62+1,0),IF('01_数值调参'!L38&lt;0,'03_全链计算'!Y62+1,0),IF('01_数值调参'!L39&lt;0,'03_全链计算'!Z62+1,0),IF('01_数值调参'!L40&lt;0,'03_全链计算'!AA62+1,0),IF('01_数值调参'!L41&lt;0,'03_全链计算'!AB62+1,0),IF('01_数值调参'!L42&lt;0,'03_全链计算'!AC62+1,0),IF('01_数值调参'!L43&lt;0,'03_全链计算'!AD62+1,0),IF('01_数值调参'!L44&lt;0,'03_全链计算'!AE62+1,0),IF('01_数值调参'!L45&lt;0,'03_全链计算'!AF62+1,0),IF('01_数值调参'!L46&lt;0,'03_全链计算'!AG62+1,0),IF('01_数值调参'!L47&lt;0,'03_全链计算'!AH62+1,0),IF('01_数值调参'!L48&lt;0,'03_全链计算'!AI62+1,0),IF('01_数值调参'!L49&lt;0,'03_全链计算'!AJ62+1,0),IF('01_数值调参'!L50&lt;0,'03_全链计算'!AK62+1,0),IF('01_数值调参'!L51&lt;0,'03_全链计算'!AL62+1,0),IF('01_数值调参'!L52&lt;0,'03_全链计算'!AM62+1,0))</x:f>
        <x:v>0</x:v>
      </x:c>
      <x:c r="M63" s="9" t="n">
        <x:f>MAX(IF('01_数值调参'!M18&lt;0,'03_全链计算'!E62+1,0),IF('01_数值调参'!M19&lt;0,'03_全链计算'!F62+1,0),IF('01_数值调参'!M20&lt;0,'03_全链计算'!G62+1,0),IF('01_数值调参'!M21&lt;0,'03_全链计算'!H62+1,0),IF('01_数值调参'!M22&lt;0,'03_全链计算'!I62+1,0),IF('01_数值调参'!M23&lt;0,'03_全链计算'!J62+1,0),IF('01_数值调参'!M24&lt;0,'03_全链计算'!K62+1,0),IF('01_数值调参'!M25&lt;0,'03_全链计算'!L62+1,0),IF('01_数值调参'!M26&lt;0,'03_全链计算'!M62+1,0),IF('01_数值调参'!M27&lt;0,'03_全链计算'!N62+1,0),IF('01_数值调参'!M28&lt;0,'03_全链计算'!O62+1,0),IF('01_数值调参'!M29&lt;0,'03_全链计算'!P62+1,0),IF('01_数值调参'!M30&lt;0,'03_全链计算'!Q62+1,0),IF('01_数值调参'!M31&lt;0,'03_全链计算'!R62+1,0),IF('01_数值调参'!M32&lt;0,'03_全链计算'!S62+1,0),IF('01_数值调参'!M33&lt;0,'03_全链计算'!T62+1,0),IF('01_数值调参'!M34&lt;0,'03_全链计算'!U62+1,0),IF('01_数值调参'!M35&lt;0,'03_全链计算'!V62+1,0),IF('01_数值调参'!M36&lt;0,'03_全链计算'!W62+1,0),IF('01_数值调参'!M37&lt;0,'03_全链计算'!X62+1,0),IF('01_数值调参'!M38&lt;0,'03_全链计算'!Y62+1,0),IF('01_数值调参'!M39&lt;0,'03_全链计算'!Z62+1,0),IF('01_数值调参'!M40&lt;0,'03_全链计算'!AA62+1,0),IF('01_数值调参'!M41&lt;0,'03_全链计算'!AB62+1,0),IF('01_数值调参'!M42&lt;0,'03_全链计算'!AC62+1,0),IF('01_数值调参'!M43&lt;0,'03_全链计算'!AD62+1,0),IF('01_数值调参'!M44&lt;0,'03_全链计算'!AE62+1,0),IF('01_数值调参'!M45&lt;0,'03_全链计算'!AF62+1,0),IF('01_数值调参'!M46&lt;0,'03_全链计算'!AG62+1,0),IF('01_数值调参'!M47&lt;0,'03_全链计算'!AH62+1,0),IF('01_数值调参'!M48&lt;0,'03_全链计算'!AI62+1,0),IF('01_数值调参'!M49&lt;0,'03_全链计算'!AJ62+1,0),IF('01_数值调参'!M50&lt;0,'03_全链计算'!AK62+1,0),IF('01_数值调参'!M51&lt;0,'03_全链计算'!AL62+1,0),IF('01_数值调参'!M52&lt;0,'03_全链计算'!AM62+1,0))</x:f>
        <x:v>0</x:v>
      </x:c>
      <x:c r="N63" s="9" t="n">
        <x:f>MAX(IF('01_数值调参'!N18&lt;0,'03_全链计算'!E62+1,0),IF('01_数值调参'!N19&lt;0,'03_全链计算'!F62+1,0),IF('01_数值调参'!N20&lt;0,'03_全链计算'!G62+1,0),IF('01_数值调参'!N21&lt;0,'03_全链计算'!H62+1,0),IF('01_数值调参'!N22&lt;0,'03_全链计算'!I62+1,0),IF('01_数值调参'!N23&lt;0,'03_全链计算'!J62+1,0),IF('01_数值调参'!N24&lt;0,'03_全链计算'!K62+1,0),IF('01_数值调参'!N25&lt;0,'03_全链计算'!L62+1,0),IF('01_数值调参'!N26&lt;0,'03_全链计算'!M62+1,0),IF('01_数值调参'!N27&lt;0,'03_全链计算'!N62+1,0),IF('01_数值调参'!N28&lt;0,'03_全链计算'!O62+1,0),IF('01_数值调参'!N29&lt;0,'03_全链计算'!P62+1,0),IF('01_数值调参'!N30&lt;0,'03_全链计算'!Q62+1,0),IF('01_数值调参'!N31&lt;0,'03_全链计算'!R62+1,0),IF('01_数值调参'!N32&lt;0,'03_全链计算'!S62+1,0),IF('01_数值调参'!N33&lt;0,'03_全链计算'!T62+1,0),IF('01_数值调参'!N34&lt;0,'03_全链计算'!U62+1,0),IF('01_数值调参'!N35&lt;0,'03_全链计算'!V62+1,0),IF('01_数值调参'!N36&lt;0,'03_全链计算'!W62+1,0),IF('01_数值调参'!N37&lt;0,'03_全链计算'!X62+1,0),IF('01_数值调参'!N38&lt;0,'03_全链计算'!Y62+1,0),IF('01_数值调参'!N39&lt;0,'03_全链计算'!Z62+1,0),IF('01_数值调参'!N40&lt;0,'03_全链计算'!AA62+1,0),IF('01_数值调参'!N41&lt;0,'03_全链计算'!AB62+1,0),IF('01_数值调参'!N42&lt;0,'03_全链计算'!AC62+1,0),IF('01_数值调参'!N43&lt;0,'03_全链计算'!AD62+1,0),IF('01_数值调参'!N44&lt;0,'03_全链计算'!AE62+1,0),IF('01_数值调参'!N45&lt;0,'03_全链计算'!AF62+1,0),IF('01_数值调参'!N46&lt;0,'03_全链计算'!AG62+1,0),IF('01_数值调参'!N47&lt;0,'03_全链计算'!AH62+1,0),IF('01_数值调参'!N48&lt;0,'03_全链计算'!AI62+1,0),IF('01_数值调参'!N49&lt;0,'03_全链计算'!AJ62+1,0),IF('01_数值调参'!N50&lt;0,'03_全链计算'!AK62+1,0),IF('01_数值调参'!N51&lt;0,'03_全链计算'!AL62+1,0),IF('01_数值调参'!N52&lt;0,'03_全链计算'!AM62+1,0))</x:f>
        <x:v>1</x:v>
      </x:c>
      <x:c r="O63" s="9" t="n">
        <x:f>MAX(IF('01_数值调参'!O18&lt;0,'03_全链计算'!E62+1,0),IF('01_数值调参'!O19&lt;0,'03_全链计算'!F62+1,0),IF('01_数值调参'!O20&lt;0,'03_全链计算'!G62+1,0),IF('01_数值调参'!O21&lt;0,'03_全链计算'!H62+1,0),IF('01_数值调参'!O22&lt;0,'03_全链计算'!I62+1,0),IF('01_数值调参'!O23&lt;0,'03_全链计算'!J62+1,0),IF('01_数值调参'!O24&lt;0,'03_全链计算'!K62+1,0),IF('01_数值调参'!O25&lt;0,'03_全链计算'!L62+1,0),IF('01_数值调参'!O26&lt;0,'03_全链计算'!M62+1,0),IF('01_数值调参'!O27&lt;0,'03_全链计算'!N62+1,0),IF('01_数值调参'!O28&lt;0,'03_全链计算'!O62+1,0),IF('01_数值调参'!O29&lt;0,'03_全链计算'!P62+1,0),IF('01_数值调参'!O30&lt;0,'03_全链计算'!Q62+1,0),IF('01_数值调参'!O31&lt;0,'03_全链计算'!R62+1,0),IF('01_数值调参'!O32&lt;0,'03_全链计算'!S62+1,0),IF('01_数值调参'!O33&lt;0,'03_全链计算'!T62+1,0),IF('01_数值调参'!O34&lt;0,'03_全链计算'!U62+1,0),IF('01_数值调参'!O35&lt;0,'03_全链计算'!V62+1,0),IF('01_数值调参'!O36&lt;0,'03_全链计算'!W62+1,0),IF('01_数值调参'!O37&lt;0,'03_全链计算'!X62+1,0),IF('01_数值调参'!O38&lt;0,'03_全链计算'!Y62+1,0),IF('01_数值调参'!O39&lt;0,'03_全链计算'!Z62+1,0),IF('01_数值调参'!O40&lt;0,'03_全链计算'!AA62+1,0),IF('01_数值调参'!O41&lt;0,'03_全链计算'!AB62+1,0),IF('01_数值调参'!O42&lt;0,'03_全链计算'!AC62+1,0),IF('01_数值调参'!O43&lt;0,'03_全链计算'!AD62+1,0),IF('01_数值调参'!O44&lt;0,'03_全链计算'!AE62+1,0),IF('01_数值调参'!O45&lt;0,'03_全链计算'!AF62+1,0),IF('01_数值调参'!O46&lt;0,'03_全链计算'!AG62+1,0),IF('01_数值调参'!O47&lt;0,'03_全链计算'!AH62+1,0),IF('01_数值调参'!O48&lt;0,'03_全链计算'!AI62+1,0),IF('01_数值调参'!O49&lt;0,'03_全链计算'!AJ62+1,0),IF('01_数值调参'!O50&lt;0,'03_全链计算'!AK62+1,0),IF('01_数值调参'!O51&lt;0,'03_全链计算'!AL62+1,0),IF('01_数值调参'!O52&lt;0,'03_全链计算'!AM62+1,0))</x:f>
        <x:v>1</x:v>
      </x:c>
      <x:c r="P63" s="9" t="n">
        <x:f>MAX(IF('01_数值调参'!P18&lt;0,'03_全链计算'!E62+1,0),IF('01_数值调参'!P19&lt;0,'03_全链计算'!F62+1,0),IF('01_数值调参'!P20&lt;0,'03_全链计算'!G62+1,0),IF('01_数值调参'!P21&lt;0,'03_全链计算'!H62+1,0),IF('01_数值调参'!P22&lt;0,'03_全链计算'!I62+1,0),IF('01_数值调参'!P23&lt;0,'03_全链计算'!J62+1,0),IF('01_数值调参'!P24&lt;0,'03_全链计算'!K62+1,0),IF('01_数值调参'!P25&lt;0,'03_全链计算'!L62+1,0),IF('01_数值调参'!P26&lt;0,'03_全链计算'!M62+1,0),IF('01_数值调参'!P27&lt;0,'03_全链计算'!N62+1,0),IF('01_数值调参'!P28&lt;0,'03_全链计算'!O62+1,0),IF('01_数值调参'!P29&lt;0,'03_全链计算'!P62+1,0),IF('01_数值调参'!P30&lt;0,'03_全链计算'!Q62+1,0),IF('01_数值调参'!P31&lt;0,'03_全链计算'!R62+1,0),IF('01_数值调参'!P32&lt;0,'03_全链计算'!S62+1,0),IF('01_数值调参'!P33&lt;0,'03_全链计算'!T62+1,0),IF('01_数值调参'!P34&lt;0,'03_全链计算'!U62+1,0),IF('01_数值调参'!P35&lt;0,'03_全链计算'!V62+1,0),IF('01_数值调参'!P36&lt;0,'03_全链计算'!W62+1,0),IF('01_数值调参'!P37&lt;0,'03_全链计算'!X62+1,0),IF('01_数值调参'!P38&lt;0,'03_全链计算'!Y62+1,0),IF('01_数值调参'!P39&lt;0,'03_全链计算'!Z62+1,0),IF('01_数值调参'!P40&lt;0,'03_全链计算'!AA62+1,0),IF('01_数值调参'!P41&lt;0,'03_全链计算'!AB62+1,0),IF('01_数值调参'!P42&lt;0,'03_全链计算'!AC62+1,0),IF('01_数值调参'!P43&lt;0,'03_全链计算'!AD62+1,0),IF('01_数值调参'!P44&lt;0,'03_全链计算'!AE62+1,0),IF('01_数值调参'!P45&lt;0,'03_全链计算'!AF62+1,0),IF('01_数值调参'!P46&lt;0,'03_全链计算'!AG62+1,0),IF('01_数值调参'!P47&lt;0,'03_全链计算'!AH62+1,0),IF('01_数值调参'!P48&lt;0,'03_全链计算'!AI62+1,0),IF('01_数值调参'!P49&lt;0,'03_全链计算'!AJ62+1,0),IF('01_数值调参'!P50&lt;0,'03_全链计算'!AK62+1,0),IF('01_数值调参'!P51&lt;0,'03_全链计算'!AL62+1,0),IF('01_数值调参'!P52&lt;0,'03_全链计算'!AM62+1,0))</x:f>
        <x:v>1</x:v>
      </x:c>
      <x:c r="Q63" s="9" t="n">
        <x:f>MAX(IF('01_数值调参'!Q18&lt;0,'03_全链计算'!E62+1,0),IF('01_数值调参'!Q19&lt;0,'03_全链计算'!F62+1,0),IF('01_数值调参'!Q20&lt;0,'03_全链计算'!G62+1,0),IF('01_数值调参'!Q21&lt;0,'03_全链计算'!H62+1,0),IF('01_数值调参'!Q22&lt;0,'03_全链计算'!I62+1,0),IF('01_数值调参'!Q23&lt;0,'03_全链计算'!J62+1,0),IF('01_数值调参'!Q24&lt;0,'03_全链计算'!K62+1,0),IF('01_数值调参'!Q25&lt;0,'03_全链计算'!L62+1,0),IF('01_数值调参'!Q26&lt;0,'03_全链计算'!M62+1,0),IF('01_数值调参'!Q27&lt;0,'03_全链计算'!N62+1,0),IF('01_数值调参'!Q28&lt;0,'03_全链计算'!O62+1,0),IF('01_数值调参'!Q29&lt;0,'03_全链计算'!P62+1,0),IF('01_数值调参'!Q30&lt;0,'03_全链计算'!Q62+1,0),IF('01_数值调参'!Q31&lt;0,'03_全链计算'!R62+1,0),IF('01_数值调参'!Q32&lt;0,'03_全链计算'!S62+1,0),IF('01_数值调参'!Q33&lt;0,'03_全链计算'!T62+1,0),IF('01_数值调参'!Q34&lt;0,'03_全链计算'!U62+1,0),IF('01_数值调参'!Q35&lt;0,'03_全链计算'!V62+1,0),IF('01_数值调参'!Q36&lt;0,'03_全链计算'!W62+1,0),IF('01_数值调参'!Q37&lt;0,'03_全链计算'!X62+1,0),IF('01_数值调参'!Q38&lt;0,'03_全链计算'!Y62+1,0),IF('01_数值调参'!Q39&lt;0,'03_全链计算'!Z62+1,0),IF('01_数值调参'!Q40&lt;0,'03_全链计算'!AA62+1,0),IF('01_数值调参'!Q41&lt;0,'03_全链计算'!AB62+1,0),IF('01_数值调参'!Q42&lt;0,'03_全链计算'!AC62+1,0),IF('01_数值调参'!Q43&lt;0,'03_全链计算'!AD62+1,0),IF('01_数值调参'!Q44&lt;0,'03_全链计算'!AE62+1,0),IF('01_数值调参'!Q45&lt;0,'03_全链计算'!AF62+1,0),IF('01_数值调参'!Q46&lt;0,'03_全链计算'!AG62+1,0),IF('01_数值调参'!Q47&lt;0,'03_全链计算'!AH62+1,0),IF('01_数值调参'!Q48&lt;0,'03_全链计算'!AI62+1,0),IF('01_数值调参'!Q49&lt;0,'03_全链计算'!AJ62+1,0),IF('01_数值调参'!Q50&lt;0,'03_全链计算'!AK62+1,0),IF('01_数值调参'!Q51&lt;0,'03_全链计算'!AL62+1,0),IF('01_数值调参'!Q52&lt;0,'03_全链计算'!AM62+1,0))</x:f>
        <x:v>1</x:v>
      </x:c>
      <x:c r="R63" s="9" t="n">
        <x:f>MAX(IF('01_数值调参'!R18&lt;0,'03_全链计算'!E62+1,0),IF('01_数值调参'!R19&lt;0,'03_全链计算'!F62+1,0),IF('01_数值调参'!R20&lt;0,'03_全链计算'!G62+1,0),IF('01_数值调参'!R21&lt;0,'03_全链计算'!H62+1,0),IF('01_数值调参'!R22&lt;0,'03_全链计算'!I62+1,0),IF('01_数值调参'!R23&lt;0,'03_全链计算'!J62+1,0),IF('01_数值调参'!R24&lt;0,'03_全链计算'!K62+1,0),IF('01_数值调参'!R25&lt;0,'03_全链计算'!L62+1,0),IF('01_数值调参'!R26&lt;0,'03_全链计算'!M62+1,0),IF('01_数值调参'!R27&lt;0,'03_全链计算'!N62+1,0),IF('01_数值调参'!R28&lt;0,'03_全链计算'!O62+1,0),IF('01_数值调参'!R29&lt;0,'03_全链计算'!P62+1,0),IF('01_数值调参'!R30&lt;0,'03_全链计算'!Q62+1,0),IF('01_数值调参'!R31&lt;0,'03_全链计算'!R62+1,0),IF('01_数值调参'!R32&lt;0,'03_全链计算'!S62+1,0),IF('01_数值调参'!R33&lt;0,'03_全链计算'!T62+1,0),IF('01_数值调参'!R34&lt;0,'03_全链计算'!U62+1,0),IF('01_数值调参'!R35&lt;0,'03_全链计算'!V62+1,0),IF('01_数值调参'!R36&lt;0,'03_全链计算'!W62+1,0),IF('01_数值调参'!R37&lt;0,'03_全链计算'!X62+1,0),IF('01_数值调参'!R38&lt;0,'03_全链计算'!Y62+1,0),IF('01_数值调参'!R39&lt;0,'03_全链计算'!Z62+1,0),IF('01_数值调参'!R40&lt;0,'03_全链计算'!AA62+1,0),IF('01_数值调参'!R41&lt;0,'03_全链计算'!AB62+1,0),IF('01_数值调参'!R42&lt;0,'03_全链计算'!AC62+1,0),IF('01_数值调参'!R43&lt;0,'03_全链计算'!AD62+1,0),IF('01_数值调参'!R44&lt;0,'03_全链计算'!AE62+1,0),IF('01_数值调参'!R45&lt;0,'03_全链计算'!AF62+1,0),IF('01_数值调参'!R46&lt;0,'03_全链计算'!AG62+1,0),IF('01_数值调参'!R47&lt;0,'03_全链计算'!AH62+1,0),IF('01_数值调参'!R48&lt;0,'03_全链计算'!AI62+1,0),IF('01_数值调参'!R49&lt;0,'03_全链计算'!AJ62+1,0),IF('01_数值调参'!R50&lt;0,'03_全链计算'!AK62+1,0),IF('01_数值调参'!R51&lt;0,'03_全链计算'!AL62+1,0),IF('01_数值调参'!R52&lt;0,'03_全链计算'!AM62+1,0))</x:f>
        <x:v>1</x:v>
      </x:c>
      <x:c r="S63" s="9" t="n">
        <x:f>MAX(IF('01_数值调参'!S18&lt;0,'03_全链计算'!E62+1,0),IF('01_数值调参'!S19&lt;0,'03_全链计算'!F62+1,0),IF('01_数值调参'!S20&lt;0,'03_全链计算'!G62+1,0),IF('01_数值调参'!S21&lt;0,'03_全链计算'!H62+1,0),IF('01_数值调参'!S22&lt;0,'03_全链计算'!I62+1,0),IF('01_数值调参'!S23&lt;0,'03_全链计算'!J62+1,0),IF('01_数值调参'!S24&lt;0,'03_全链计算'!K62+1,0),IF('01_数值调参'!S25&lt;0,'03_全链计算'!L62+1,0),IF('01_数值调参'!S26&lt;0,'03_全链计算'!M62+1,0),IF('01_数值调参'!S27&lt;0,'03_全链计算'!N62+1,0),IF('01_数值调参'!S28&lt;0,'03_全链计算'!O62+1,0),IF('01_数值调参'!S29&lt;0,'03_全链计算'!P62+1,0),IF('01_数值调参'!S30&lt;0,'03_全链计算'!Q62+1,0),IF('01_数值调参'!S31&lt;0,'03_全链计算'!R62+1,0),IF('01_数值调参'!S32&lt;0,'03_全链计算'!S62+1,0),IF('01_数值调参'!S33&lt;0,'03_全链计算'!T62+1,0),IF('01_数值调参'!S34&lt;0,'03_全链计算'!U62+1,0),IF('01_数值调参'!S35&lt;0,'03_全链计算'!V62+1,0),IF('01_数值调参'!S36&lt;0,'03_全链计算'!W62+1,0),IF('01_数值调参'!S37&lt;0,'03_全链计算'!X62+1,0),IF('01_数值调参'!S38&lt;0,'03_全链计算'!Y62+1,0),IF('01_数值调参'!S39&lt;0,'03_全链计算'!Z62+1,0),IF('01_数值调参'!S40&lt;0,'03_全链计算'!AA62+1,0),IF('01_数值调参'!S41&lt;0,'03_全链计算'!AB62+1,0),IF('01_数值调参'!S42&lt;0,'03_全链计算'!AC62+1,0),IF('01_数值调参'!S43&lt;0,'03_全链计算'!AD62+1,0),IF('01_数值调参'!S44&lt;0,'03_全链计算'!AE62+1,0),IF('01_数值调参'!S45&lt;0,'03_全链计算'!AF62+1,0),IF('01_数值调参'!S46&lt;0,'03_全链计算'!AG62+1,0),IF('01_数值调参'!S47&lt;0,'03_全链计算'!AH62+1,0),IF('01_数值调参'!S48&lt;0,'03_全链计算'!AI62+1,0),IF('01_数值调参'!S49&lt;0,'03_全链计算'!AJ62+1,0),IF('01_数值调参'!S50&lt;0,'03_全链计算'!AK62+1,0),IF('01_数值调参'!S51&lt;0,'03_全链计算'!AL62+1,0),IF('01_数值调参'!S52&lt;0,'03_全链计算'!AM62+1,0))</x:f>
        <x:v>1</x:v>
      </x:c>
      <x:c r="T63" s="9" t="n">
        <x:f>MAX(IF('01_数值调参'!T18&lt;0,'03_全链计算'!E62+1,0),IF('01_数值调参'!T19&lt;0,'03_全链计算'!F62+1,0),IF('01_数值调参'!T20&lt;0,'03_全链计算'!G62+1,0),IF('01_数值调参'!T21&lt;0,'03_全链计算'!H62+1,0),IF('01_数值调参'!T22&lt;0,'03_全链计算'!I62+1,0),IF('01_数值调参'!T23&lt;0,'03_全链计算'!J62+1,0),IF('01_数值调参'!T24&lt;0,'03_全链计算'!K62+1,0),IF('01_数值调参'!T25&lt;0,'03_全链计算'!L62+1,0),IF('01_数值调参'!T26&lt;0,'03_全链计算'!M62+1,0),IF('01_数值调参'!T27&lt;0,'03_全链计算'!N62+1,0),IF('01_数值调参'!T28&lt;0,'03_全链计算'!O62+1,0),IF('01_数值调参'!T29&lt;0,'03_全链计算'!P62+1,0),IF('01_数值调参'!T30&lt;0,'03_全链计算'!Q62+1,0),IF('01_数值调参'!T31&lt;0,'03_全链计算'!R62+1,0),IF('01_数值调参'!T32&lt;0,'03_全链计算'!S62+1,0),IF('01_数值调参'!T33&lt;0,'03_全链计算'!T62+1,0),IF('01_数值调参'!T34&lt;0,'03_全链计算'!U62+1,0),IF('01_数值调参'!T35&lt;0,'03_全链计算'!V62+1,0),IF('01_数值调参'!T36&lt;0,'03_全链计算'!W62+1,0),IF('01_数值调参'!T37&lt;0,'03_全链计算'!X62+1,0),IF('01_数值调参'!T38&lt;0,'03_全链计算'!Y62+1,0),IF('01_数值调参'!T39&lt;0,'03_全链计算'!Z62+1,0),IF('01_数值调参'!T40&lt;0,'03_全链计算'!AA62+1,0),IF('01_数值调参'!T41&lt;0,'03_全链计算'!AB62+1,0),IF('01_数值调参'!T42&lt;0,'03_全链计算'!AC62+1,0),IF('01_数值调参'!T43&lt;0,'03_全链计算'!AD62+1,0),IF('01_数值调参'!T44&lt;0,'03_全链计算'!AE62+1,0),IF('01_数值调参'!T45&lt;0,'03_全链计算'!AF62+1,0),IF('01_数值调参'!T46&lt;0,'03_全链计算'!AG62+1,0),IF('01_数值调参'!T47&lt;0,'03_全链计算'!AH62+1,0),IF('01_数值调参'!T48&lt;0,'03_全链计算'!AI62+1,0),IF('01_数值调参'!T49&lt;0,'03_全链计算'!AJ62+1,0),IF('01_数值调参'!T50&lt;0,'03_全链计算'!AK62+1,0),IF('01_数值调参'!T51&lt;0,'03_全链计算'!AL62+1,0),IF('01_数值调参'!T52&lt;0,'03_全链计算'!AM62+1,0))</x:f>
        <x:v>1</x:v>
      </x:c>
      <x:c r="U63" s="9" t="n">
        <x:f>MAX(IF('01_数值调参'!U18&lt;0,'03_全链计算'!E62+1,0),IF('01_数值调参'!U19&lt;0,'03_全链计算'!F62+1,0),IF('01_数值调参'!U20&lt;0,'03_全链计算'!G62+1,0),IF('01_数值调参'!U21&lt;0,'03_全链计算'!H62+1,0),IF('01_数值调参'!U22&lt;0,'03_全链计算'!I62+1,0),IF('01_数值调参'!U23&lt;0,'03_全链计算'!J62+1,0),IF('01_数值调参'!U24&lt;0,'03_全链计算'!K62+1,0),IF('01_数值调参'!U25&lt;0,'03_全链计算'!L62+1,0),IF('01_数值调参'!U26&lt;0,'03_全链计算'!M62+1,0),IF('01_数值调参'!U27&lt;0,'03_全链计算'!N62+1,0),IF('01_数值调参'!U28&lt;0,'03_全链计算'!O62+1,0),IF('01_数值调参'!U29&lt;0,'03_全链计算'!P62+1,0),IF('01_数值调参'!U30&lt;0,'03_全链计算'!Q62+1,0),IF('01_数值调参'!U31&lt;0,'03_全链计算'!R62+1,0),IF('01_数值调参'!U32&lt;0,'03_全链计算'!S62+1,0),IF('01_数值调参'!U33&lt;0,'03_全链计算'!T62+1,0),IF('01_数值调参'!U34&lt;0,'03_全链计算'!U62+1,0),IF('01_数值调参'!U35&lt;0,'03_全链计算'!V62+1,0),IF('01_数值调参'!U36&lt;0,'03_全链计算'!W62+1,0),IF('01_数值调参'!U37&lt;0,'03_全链计算'!X62+1,0),IF('01_数值调参'!U38&lt;0,'03_全链计算'!Y62+1,0),IF('01_数值调参'!U39&lt;0,'03_全链计算'!Z62+1,0),IF('01_数值调参'!U40&lt;0,'03_全链计算'!AA62+1,0),IF('01_数值调参'!U41&lt;0,'03_全链计算'!AB62+1,0),IF('01_数值调参'!U42&lt;0,'03_全链计算'!AC62+1,0),IF('01_数值调参'!U43&lt;0,'03_全链计算'!AD62+1,0),IF('01_数值调参'!U44&lt;0,'03_全链计算'!AE62+1,0),IF('01_数值调参'!U45&lt;0,'03_全链计算'!AF62+1,0),IF('01_数值调参'!U46&lt;0,'03_全链计算'!AG62+1,0),IF('01_数值调参'!U47&lt;0,'03_全链计算'!AH62+1,0),IF('01_数值调参'!U48&lt;0,'03_全链计算'!AI62+1,0),IF('01_数值调参'!U49&lt;0,'03_全链计算'!AJ62+1,0),IF('01_数值调参'!U50&lt;0,'03_全链计算'!AK62+1,0),IF('01_数值调参'!U51&lt;0,'03_全链计算'!AL62+1,0),IF('01_数值调参'!U52&lt;0,'03_全链计算'!AM62+1,0))</x:f>
        <x:v>1</x:v>
      </x:c>
      <x:c r="V63" s="9" t="n">
        <x:f>MAX(IF('01_数值调参'!V18&lt;0,'03_全链计算'!E62+1,0),IF('01_数值调参'!V19&lt;0,'03_全链计算'!F62+1,0),IF('01_数值调参'!V20&lt;0,'03_全链计算'!G62+1,0),IF('01_数值调参'!V21&lt;0,'03_全链计算'!H62+1,0),IF('01_数值调参'!V22&lt;0,'03_全链计算'!I62+1,0),IF('01_数值调参'!V23&lt;0,'03_全链计算'!J62+1,0),IF('01_数值调参'!V24&lt;0,'03_全链计算'!K62+1,0),IF('01_数值调参'!V25&lt;0,'03_全链计算'!L62+1,0),IF('01_数值调参'!V26&lt;0,'03_全链计算'!M62+1,0),IF('01_数值调参'!V27&lt;0,'03_全链计算'!N62+1,0),IF('01_数值调参'!V28&lt;0,'03_全链计算'!O62+1,0),IF('01_数值调参'!V29&lt;0,'03_全链计算'!P62+1,0),IF('01_数值调参'!V30&lt;0,'03_全链计算'!Q62+1,0),IF('01_数值调参'!V31&lt;0,'03_全链计算'!R62+1,0),IF('01_数值调参'!V32&lt;0,'03_全链计算'!S62+1,0),IF('01_数值调参'!V33&lt;0,'03_全链计算'!T62+1,0),IF('01_数值调参'!V34&lt;0,'03_全链计算'!U62+1,0),IF('01_数值调参'!V35&lt;0,'03_全链计算'!V62+1,0),IF('01_数值调参'!V36&lt;0,'03_全链计算'!W62+1,0),IF('01_数值调参'!V37&lt;0,'03_全链计算'!X62+1,0),IF('01_数值调参'!V38&lt;0,'03_全链计算'!Y62+1,0),IF('01_数值调参'!V39&lt;0,'03_全链计算'!Z62+1,0),IF('01_数值调参'!V40&lt;0,'03_全链计算'!AA62+1,0),IF('01_数值调参'!V41&lt;0,'03_全链计算'!AB62+1,0),IF('01_数值调参'!V42&lt;0,'03_全链计算'!AC62+1,0),IF('01_数值调参'!V43&lt;0,'03_全链计算'!AD62+1,0),IF('01_数值调参'!V44&lt;0,'03_全链计算'!AE62+1,0),IF('01_数值调参'!V45&lt;0,'03_全链计算'!AF62+1,0),IF('01_数值调参'!V46&lt;0,'03_全链计算'!AG62+1,0),IF('01_数值调参'!V47&lt;0,'03_全链计算'!AH62+1,0),IF('01_数值调参'!V48&lt;0,'03_全链计算'!AI62+1,0),IF('01_数值调参'!V49&lt;0,'03_全链计算'!AJ62+1,0),IF('01_数值调参'!V50&lt;0,'03_全链计算'!AK62+1,0),IF('01_数值调参'!V51&lt;0,'03_全链计算'!AL62+1,0),IF('01_数值调参'!V52&lt;0,'03_全链计算'!AM62+1,0))</x:f>
        <x:v>1</x:v>
      </x:c>
      <x:c r="W63" s="9" t="n">
        <x:f>MAX(IF('01_数值调参'!W18&lt;0,'03_全链计算'!E62+1,0),IF('01_数值调参'!W19&lt;0,'03_全链计算'!F62+1,0),IF('01_数值调参'!W20&lt;0,'03_全链计算'!G62+1,0),IF('01_数值调参'!W21&lt;0,'03_全链计算'!H62+1,0),IF('01_数值调参'!W22&lt;0,'03_全链计算'!I62+1,0),IF('01_数值调参'!W23&lt;0,'03_全链计算'!J62+1,0),IF('01_数值调参'!W24&lt;0,'03_全链计算'!K62+1,0),IF('01_数值调参'!W25&lt;0,'03_全链计算'!L62+1,0),IF('01_数值调参'!W26&lt;0,'03_全链计算'!M62+1,0),IF('01_数值调参'!W27&lt;0,'03_全链计算'!N62+1,0),IF('01_数值调参'!W28&lt;0,'03_全链计算'!O62+1,0),IF('01_数值调参'!W29&lt;0,'03_全链计算'!P62+1,0),IF('01_数值调参'!W30&lt;0,'03_全链计算'!Q62+1,0),IF('01_数值调参'!W31&lt;0,'03_全链计算'!R62+1,0),IF('01_数值调参'!W32&lt;0,'03_全链计算'!S62+1,0),IF('01_数值调参'!W33&lt;0,'03_全链计算'!T62+1,0),IF('01_数值调参'!W34&lt;0,'03_全链计算'!U62+1,0),IF('01_数值调参'!W35&lt;0,'03_全链计算'!V62+1,0),IF('01_数值调参'!W36&lt;0,'03_全链计算'!W62+1,0),IF('01_数值调参'!W37&lt;0,'03_全链计算'!X62+1,0),IF('01_数值调参'!W38&lt;0,'03_全链计算'!Y62+1,0),IF('01_数值调参'!W39&lt;0,'03_全链计算'!Z62+1,0),IF('01_数值调参'!W40&lt;0,'03_全链计算'!AA62+1,0),IF('01_数值调参'!W41&lt;0,'03_全链计算'!AB62+1,0),IF('01_数值调参'!W42&lt;0,'03_全链计算'!AC62+1,0),IF('01_数值调参'!W43&lt;0,'03_全链计算'!AD62+1,0),IF('01_数值调参'!W44&lt;0,'03_全链计算'!AE62+1,0),IF('01_数值调参'!W45&lt;0,'03_全链计算'!AF62+1,0),IF('01_数值调参'!W46&lt;0,'03_全链计算'!AG62+1,0),IF('01_数值调参'!W47&lt;0,'03_全链计算'!AH62+1,0),IF('01_数值调参'!W48&lt;0,'03_全链计算'!AI62+1,0),IF('01_数值调参'!W49&lt;0,'03_全链计算'!AJ62+1,0),IF('01_数值调参'!W50&lt;0,'03_全链计算'!AK62+1,0),IF('01_数值调参'!W51&lt;0,'03_全链计算'!AL62+1,0),IF('01_数值调参'!W52&lt;0,'03_全链计算'!AM62+1,0))</x:f>
        <x:v>1</x:v>
      </x:c>
      <x:c r="X63" s="9" t="n">
        <x:f>MAX(IF('01_数值调参'!X18&lt;0,'03_全链计算'!E62+1,0),IF('01_数值调参'!X19&lt;0,'03_全链计算'!F62+1,0),IF('01_数值调参'!X20&lt;0,'03_全链计算'!G62+1,0),IF('01_数值调参'!X21&lt;0,'03_全链计算'!H62+1,0),IF('01_数值调参'!X22&lt;0,'03_全链计算'!I62+1,0),IF('01_数值调参'!X23&lt;0,'03_全链计算'!J62+1,0),IF('01_数值调参'!X24&lt;0,'03_全链计算'!K62+1,0),IF('01_数值调参'!X25&lt;0,'03_全链计算'!L62+1,0),IF('01_数值调参'!X26&lt;0,'03_全链计算'!M62+1,0),IF('01_数值调参'!X27&lt;0,'03_全链计算'!N62+1,0),IF('01_数值调参'!X28&lt;0,'03_全链计算'!O62+1,0),IF('01_数值调参'!X29&lt;0,'03_全链计算'!P62+1,0),IF('01_数值调参'!X30&lt;0,'03_全链计算'!Q62+1,0),IF('01_数值调参'!X31&lt;0,'03_全链计算'!R62+1,0),IF('01_数值调参'!X32&lt;0,'03_全链计算'!S62+1,0),IF('01_数值调参'!X33&lt;0,'03_全链计算'!T62+1,0),IF('01_数值调参'!X34&lt;0,'03_全链计算'!U62+1,0),IF('01_数值调参'!X35&lt;0,'03_全链计算'!V62+1,0),IF('01_数值调参'!X36&lt;0,'03_全链计算'!W62+1,0),IF('01_数值调参'!X37&lt;0,'03_全链计算'!X62+1,0),IF('01_数值调参'!X38&lt;0,'03_全链计算'!Y62+1,0),IF('01_数值调参'!X39&lt;0,'03_全链计算'!Z62+1,0),IF('01_数值调参'!X40&lt;0,'03_全链计算'!AA62+1,0),IF('01_数值调参'!X41&lt;0,'03_全链计算'!AB62+1,0),IF('01_数值调参'!X42&lt;0,'03_全链计算'!AC62+1,0),IF('01_数值调参'!X43&lt;0,'03_全链计算'!AD62+1,0),IF('01_数值调参'!X44&lt;0,'03_全链计算'!AE62+1,0),IF('01_数值调参'!X45&lt;0,'03_全链计算'!AF62+1,0),IF('01_数值调参'!X46&lt;0,'03_全链计算'!AG62+1,0),IF('01_数值调参'!X47&lt;0,'03_全链计算'!AH62+1,0),IF('01_数值调参'!X48&lt;0,'03_全链计算'!AI62+1,0),IF('01_数值调参'!X49&lt;0,'03_全链计算'!AJ62+1,0),IF('01_数值调参'!X50&lt;0,'03_全链计算'!AK62+1,0),IF('01_数值调参'!X51&lt;0,'03_全链计算'!AL62+1,0),IF('01_数值调参'!X52&lt;0,'03_全链计算'!AM62+1,0))</x:f>
        <x:v>2</x:v>
      </x:c>
      <x:c r="Y63" s="9" t="n">
        <x:f>MAX(IF('01_数值调参'!Y18&lt;0,'03_全链计算'!E62+1,0),IF('01_数值调参'!Y19&lt;0,'03_全链计算'!F62+1,0),IF('01_数值调参'!Y20&lt;0,'03_全链计算'!G62+1,0),IF('01_数值调参'!Y21&lt;0,'03_全链计算'!H62+1,0),IF('01_数值调参'!Y22&lt;0,'03_全链计算'!I62+1,0),IF('01_数值调参'!Y23&lt;0,'03_全链计算'!J62+1,0),IF('01_数值调参'!Y24&lt;0,'03_全链计算'!K62+1,0),IF('01_数值调参'!Y25&lt;0,'03_全链计算'!L62+1,0),IF('01_数值调参'!Y26&lt;0,'03_全链计算'!M62+1,0),IF('01_数值调参'!Y27&lt;0,'03_全链计算'!N62+1,0),IF('01_数值调参'!Y28&lt;0,'03_全链计算'!O62+1,0),IF('01_数值调参'!Y29&lt;0,'03_全链计算'!P62+1,0),IF('01_数值调参'!Y30&lt;0,'03_全链计算'!Q62+1,0),IF('01_数值调参'!Y31&lt;0,'03_全链计算'!R62+1,0),IF('01_数值调参'!Y32&lt;0,'03_全链计算'!S62+1,0),IF('01_数值调参'!Y33&lt;0,'03_全链计算'!T62+1,0),IF('01_数值调参'!Y34&lt;0,'03_全链计算'!U62+1,0),IF('01_数值调参'!Y35&lt;0,'03_全链计算'!V62+1,0),IF('01_数值调参'!Y36&lt;0,'03_全链计算'!W62+1,0),IF('01_数值调参'!Y37&lt;0,'03_全链计算'!X62+1,0),IF('01_数值调参'!Y38&lt;0,'03_全链计算'!Y62+1,0),IF('01_数值调参'!Y39&lt;0,'03_全链计算'!Z62+1,0),IF('01_数值调参'!Y40&lt;0,'03_全链计算'!AA62+1,0),IF('01_数值调参'!Y41&lt;0,'03_全链计算'!AB62+1,0),IF('01_数值调参'!Y42&lt;0,'03_全链计算'!AC62+1,0),IF('01_数值调参'!Y43&lt;0,'03_全链计算'!AD62+1,0),IF('01_数值调参'!Y44&lt;0,'03_全链计算'!AE62+1,0),IF('01_数值调参'!Y45&lt;0,'03_全链计算'!AF62+1,0),IF('01_数值调参'!Y46&lt;0,'03_全链计算'!AG62+1,0),IF('01_数值调参'!Y47&lt;0,'03_全链计算'!AH62+1,0),IF('01_数值调参'!Y48&lt;0,'03_全链计算'!AI62+1,0),IF('01_数值调参'!Y49&lt;0,'03_全链计算'!AJ62+1,0),IF('01_数值调参'!Y50&lt;0,'03_全链计算'!AK62+1,0),IF('01_数值调参'!Y51&lt;0,'03_全链计算'!AL62+1,0),IF('01_数值调参'!Y52&lt;0,'03_全链计算'!AM62+1,0))</x:f>
        <x:v>2</x:v>
      </x:c>
      <x:c r="Z63" s="9" t="n">
        <x:f>MAX(IF('01_数值调参'!Z18&lt;0,'03_全链计算'!E62+1,0),IF('01_数值调参'!Z19&lt;0,'03_全链计算'!F62+1,0),IF('01_数值调参'!Z20&lt;0,'03_全链计算'!G62+1,0),IF('01_数值调参'!Z21&lt;0,'03_全链计算'!H62+1,0),IF('01_数值调参'!Z22&lt;0,'03_全链计算'!I62+1,0),IF('01_数值调参'!Z23&lt;0,'03_全链计算'!J62+1,0),IF('01_数值调参'!Z24&lt;0,'03_全链计算'!K62+1,0),IF('01_数值调参'!Z25&lt;0,'03_全链计算'!L62+1,0),IF('01_数值调参'!Z26&lt;0,'03_全链计算'!M62+1,0),IF('01_数值调参'!Z27&lt;0,'03_全链计算'!N62+1,0),IF('01_数值调参'!Z28&lt;0,'03_全链计算'!O62+1,0),IF('01_数值调参'!Z29&lt;0,'03_全链计算'!P62+1,0),IF('01_数值调参'!Z30&lt;0,'03_全链计算'!Q62+1,0),IF('01_数值调参'!Z31&lt;0,'03_全链计算'!R62+1,0),IF('01_数值调参'!Z32&lt;0,'03_全链计算'!S62+1,0),IF('01_数值调参'!Z33&lt;0,'03_全链计算'!T62+1,0),IF('01_数值调参'!Z34&lt;0,'03_全链计算'!U62+1,0),IF('01_数值调参'!Z35&lt;0,'03_全链计算'!V62+1,0),IF('01_数值调参'!Z36&lt;0,'03_全链计算'!W62+1,0),IF('01_数值调参'!Z37&lt;0,'03_全链计算'!X62+1,0),IF('01_数值调参'!Z38&lt;0,'03_全链计算'!Y62+1,0),IF('01_数值调参'!Z39&lt;0,'03_全链计算'!Z62+1,0),IF('01_数值调参'!Z40&lt;0,'03_全链计算'!AA62+1,0),IF('01_数值调参'!Z41&lt;0,'03_全链计算'!AB62+1,0),IF('01_数值调参'!Z42&lt;0,'03_全链计算'!AC62+1,0),IF('01_数值调参'!Z43&lt;0,'03_全链计算'!AD62+1,0),IF('01_数值调参'!Z44&lt;0,'03_全链计算'!AE62+1,0),IF('01_数值调参'!Z45&lt;0,'03_全链计算'!AF62+1,0),IF('01_数值调参'!Z46&lt;0,'03_全链计算'!AG62+1,0),IF('01_数值调参'!Z47&lt;0,'03_全链计算'!AH62+1,0),IF('01_数值调参'!Z48&lt;0,'03_全链计算'!AI62+1,0),IF('01_数值调参'!Z49&lt;0,'03_全链计算'!AJ62+1,0),IF('01_数值调参'!Z50&lt;0,'03_全链计算'!AK62+1,0),IF('01_数值调参'!Z51&lt;0,'03_全链计算'!AL62+1,0),IF('01_数值调参'!Z52&lt;0,'03_全链计算'!AM62+1,0))</x:f>
        <x:v>2</x:v>
      </x:c>
      <x:c r="AA63" s="9" t="n">
        <x:f>MAX(IF('01_数值调参'!AA18&lt;0,'03_全链计算'!E62+1,0),IF('01_数值调参'!AA19&lt;0,'03_全链计算'!F62+1,0),IF('01_数值调参'!AA20&lt;0,'03_全链计算'!G62+1,0),IF('01_数值调参'!AA21&lt;0,'03_全链计算'!H62+1,0),IF('01_数值调参'!AA22&lt;0,'03_全链计算'!I62+1,0),IF('01_数值调参'!AA23&lt;0,'03_全链计算'!J62+1,0),IF('01_数值调参'!AA24&lt;0,'03_全链计算'!K62+1,0),IF('01_数值调参'!AA25&lt;0,'03_全链计算'!L62+1,0),IF('01_数值调参'!AA26&lt;0,'03_全链计算'!M62+1,0),IF('01_数值调参'!AA27&lt;0,'03_全链计算'!N62+1,0),IF('01_数值调参'!AA28&lt;0,'03_全链计算'!O62+1,0),IF('01_数值调参'!AA29&lt;0,'03_全链计算'!P62+1,0),IF('01_数值调参'!AA30&lt;0,'03_全链计算'!Q62+1,0),IF('01_数值调参'!AA31&lt;0,'03_全链计算'!R62+1,0),IF('01_数值调参'!AA32&lt;0,'03_全链计算'!S62+1,0),IF('01_数值调参'!AA33&lt;0,'03_全链计算'!T62+1,0),IF('01_数值调参'!AA34&lt;0,'03_全链计算'!U62+1,0),IF('01_数值调参'!AA35&lt;0,'03_全链计算'!V62+1,0),IF('01_数值调参'!AA36&lt;0,'03_全链计算'!W62+1,0),IF('01_数值调参'!AA37&lt;0,'03_全链计算'!X62+1,0),IF('01_数值调参'!AA38&lt;0,'03_全链计算'!Y62+1,0),IF('01_数值调参'!AA39&lt;0,'03_全链计算'!Z62+1,0),IF('01_数值调参'!AA40&lt;0,'03_全链计算'!AA62+1,0),IF('01_数值调参'!AA41&lt;0,'03_全链计算'!AB62+1,0),IF('01_数值调参'!AA42&lt;0,'03_全链计算'!AC62+1,0),IF('01_数值调参'!AA43&lt;0,'03_全链计算'!AD62+1,0),IF('01_数值调参'!AA44&lt;0,'03_全链计算'!AE62+1,0),IF('01_数值调参'!AA45&lt;0,'03_全链计算'!AF62+1,0),IF('01_数值调参'!AA46&lt;0,'03_全链计算'!AG62+1,0),IF('01_数值调参'!AA47&lt;0,'03_全链计算'!AH62+1,0),IF('01_数值调参'!AA48&lt;0,'03_全链计算'!AI62+1,0),IF('01_数值调参'!AA49&lt;0,'03_全链计算'!AJ62+1,0),IF('01_数值调参'!AA50&lt;0,'03_全链计算'!AK62+1,0),IF('01_数值调参'!AA51&lt;0,'03_全链计算'!AL62+1,0),IF('01_数值调参'!AA52&lt;0,'03_全链计算'!AM62+1,0))</x:f>
        <x:v>2</x:v>
      </x:c>
      <x:c r="AB63" s="9" t="n">
        <x:f>MAX(IF('01_数值调参'!AB18&lt;0,'03_全链计算'!E62+1,0),IF('01_数值调参'!AB19&lt;0,'03_全链计算'!F62+1,0),IF('01_数值调参'!AB20&lt;0,'03_全链计算'!G62+1,0),IF('01_数值调参'!AB21&lt;0,'03_全链计算'!H62+1,0),IF('01_数值调参'!AB22&lt;0,'03_全链计算'!I62+1,0),IF('01_数值调参'!AB23&lt;0,'03_全链计算'!J62+1,0),IF('01_数值调参'!AB24&lt;0,'03_全链计算'!K62+1,0),IF('01_数值调参'!AB25&lt;0,'03_全链计算'!L62+1,0),IF('01_数值调参'!AB26&lt;0,'03_全链计算'!M62+1,0),IF('01_数值调参'!AB27&lt;0,'03_全链计算'!N62+1,0),IF('01_数值调参'!AB28&lt;0,'03_全链计算'!O62+1,0),IF('01_数值调参'!AB29&lt;0,'03_全链计算'!P62+1,0),IF('01_数值调参'!AB30&lt;0,'03_全链计算'!Q62+1,0),IF('01_数值调参'!AB31&lt;0,'03_全链计算'!R62+1,0),IF('01_数值调参'!AB32&lt;0,'03_全链计算'!S62+1,0),IF('01_数值调参'!AB33&lt;0,'03_全链计算'!T62+1,0),IF('01_数值调参'!AB34&lt;0,'03_全链计算'!U62+1,0),IF('01_数值调参'!AB35&lt;0,'03_全链计算'!V62+1,0),IF('01_数值调参'!AB36&lt;0,'03_全链计算'!W62+1,0),IF('01_数值调参'!AB37&lt;0,'03_全链计算'!X62+1,0),IF('01_数值调参'!AB38&lt;0,'03_全链计算'!Y62+1,0),IF('01_数值调参'!AB39&lt;0,'03_全链计算'!Z62+1,0),IF('01_数值调参'!AB40&lt;0,'03_全链计算'!AA62+1,0),IF('01_数值调参'!AB41&lt;0,'03_全链计算'!AB62+1,0),IF('01_数值调参'!AB42&lt;0,'03_全链计算'!AC62+1,0),IF('01_数值调参'!AB43&lt;0,'03_全链计算'!AD62+1,0),IF('01_数值调参'!AB44&lt;0,'03_全链计算'!AE62+1,0),IF('01_数值调参'!AB45&lt;0,'03_全链计算'!AF62+1,0),IF('01_数值调参'!AB46&lt;0,'03_全链计算'!AG62+1,0),IF('01_数值调参'!AB47&lt;0,'03_全链计算'!AH62+1,0),IF('01_数值调参'!AB48&lt;0,'03_全链计算'!AI62+1,0),IF('01_数值调参'!AB49&lt;0,'03_全链计算'!AJ62+1,0),IF('01_数值调参'!AB50&lt;0,'03_全链计算'!AK62+1,0),IF('01_数值调参'!AB51&lt;0,'03_全链计算'!AL62+1,0),IF('01_数值调参'!AB52&lt;0,'03_全链计算'!AM62+1,0))</x:f>
        <x:v>2</x:v>
      </x:c>
      <x:c r="AC63" s="9" t="n">
        <x:f>MAX(IF('01_数值调参'!AC18&lt;0,'03_全链计算'!E62+1,0),IF('01_数值调参'!AC19&lt;0,'03_全链计算'!F62+1,0),IF('01_数值调参'!AC20&lt;0,'03_全链计算'!G62+1,0),IF('01_数值调参'!AC21&lt;0,'03_全链计算'!H62+1,0),IF('01_数值调参'!AC22&lt;0,'03_全链计算'!I62+1,0),IF('01_数值调参'!AC23&lt;0,'03_全链计算'!J62+1,0),IF('01_数值调参'!AC24&lt;0,'03_全链计算'!K62+1,0),IF('01_数值调参'!AC25&lt;0,'03_全链计算'!L62+1,0),IF('01_数值调参'!AC26&lt;0,'03_全链计算'!M62+1,0),IF('01_数值调参'!AC27&lt;0,'03_全链计算'!N62+1,0),IF('01_数值调参'!AC28&lt;0,'03_全链计算'!O62+1,0),IF('01_数值调参'!AC29&lt;0,'03_全链计算'!P62+1,0),IF('01_数值调参'!AC30&lt;0,'03_全链计算'!Q62+1,0),IF('01_数值调参'!AC31&lt;0,'03_全链计算'!R62+1,0),IF('01_数值调参'!AC32&lt;0,'03_全链计算'!S62+1,0),IF('01_数值调参'!AC33&lt;0,'03_全链计算'!T62+1,0),IF('01_数值调参'!AC34&lt;0,'03_全链计算'!U62+1,0),IF('01_数值调参'!AC35&lt;0,'03_全链计算'!V62+1,0),IF('01_数值调参'!AC36&lt;0,'03_全链计算'!W62+1,0),IF('01_数值调参'!AC37&lt;0,'03_全链计算'!X62+1,0),IF('01_数值调参'!AC38&lt;0,'03_全链计算'!Y62+1,0),IF('01_数值调参'!AC39&lt;0,'03_全链计算'!Z62+1,0),IF('01_数值调参'!AC40&lt;0,'03_全链计算'!AA62+1,0),IF('01_数值调参'!AC41&lt;0,'03_全链计算'!AB62+1,0),IF('01_数值调参'!AC42&lt;0,'03_全链计算'!AC62+1,0),IF('01_数值调参'!AC43&lt;0,'03_全链计算'!AD62+1,0),IF('01_数值调参'!AC44&lt;0,'03_全链计算'!AE62+1,0),IF('01_数值调参'!AC45&lt;0,'03_全链计算'!AF62+1,0),IF('01_数值调参'!AC46&lt;0,'03_全链计算'!AG62+1,0),IF('01_数值调参'!AC47&lt;0,'03_全链计算'!AH62+1,0),IF('01_数值调参'!AC48&lt;0,'03_全链计算'!AI62+1,0),IF('01_数值调参'!AC49&lt;0,'03_全链计算'!AJ62+1,0),IF('01_数值调参'!AC50&lt;0,'03_全链计算'!AK62+1,0),IF('01_数值调参'!AC51&lt;0,'03_全链计算'!AL62+1,0),IF('01_数值调参'!AC52&lt;0,'03_全链计算'!AM62+1,0))</x:f>
        <x:v>2</x:v>
      </x:c>
      <x:c r="AD63" s="9" t="n">
        <x:f>MAX(IF('01_数值调参'!AD18&lt;0,'03_全链计算'!E62+1,0),IF('01_数值调参'!AD19&lt;0,'03_全链计算'!F62+1,0),IF('01_数值调参'!AD20&lt;0,'03_全链计算'!G62+1,0),IF('01_数值调参'!AD21&lt;0,'03_全链计算'!H62+1,0),IF('01_数值调参'!AD22&lt;0,'03_全链计算'!I62+1,0),IF('01_数值调参'!AD23&lt;0,'03_全链计算'!J62+1,0),IF('01_数值调参'!AD24&lt;0,'03_全链计算'!K62+1,0),IF('01_数值调参'!AD25&lt;0,'03_全链计算'!L62+1,0),IF('01_数值调参'!AD26&lt;0,'03_全链计算'!M62+1,0),IF('01_数值调参'!AD27&lt;0,'03_全链计算'!N62+1,0),IF('01_数值调参'!AD28&lt;0,'03_全链计算'!O62+1,0),IF('01_数值调参'!AD29&lt;0,'03_全链计算'!P62+1,0),IF('01_数值调参'!AD30&lt;0,'03_全链计算'!Q62+1,0),IF('01_数值调参'!AD31&lt;0,'03_全链计算'!R62+1,0),IF('01_数值调参'!AD32&lt;0,'03_全链计算'!S62+1,0),IF('01_数值调参'!AD33&lt;0,'03_全链计算'!T62+1,0),IF('01_数值调参'!AD34&lt;0,'03_全链计算'!U62+1,0),IF('01_数值调参'!AD35&lt;0,'03_全链计算'!V62+1,0),IF('01_数值调参'!AD36&lt;0,'03_全链计算'!W62+1,0),IF('01_数值调参'!AD37&lt;0,'03_全链计算'!X62+1,0),IF('01_数值调参'!AD38&lt;0,'03_全链计算'!Y62+1,0),IF('01_数值调参'!AD39&lt;0,'03_全链计算'!Z62+1,0),IF('01_数值调参'!AD40&lt;0,'03_全链计算'!AA62+1,0),IF('01_数值调参'!AD41&lt;0,'03_全链计算'!AB62+1,0),IF('01_数值调参'!AD42&lt;0,'03_全链计算'!AC62+1,0),IF('01_数值调参'!AD43&lt;0,'03_全链计算'!AD62+1,0),IF('01_数值调参'!AD44&lt;0,'03_全链计算'!AE62+1,0),IF('01_数值调参'!AD45&lt;0,'03_全链计算'!AF62+1,0),IF('01_数值调参'!AD46&lt;0,'03_全链计算'!AG62+1,0),IF('01_数值调参'!AD47&lt;0,'03_全链计算'!AH62+1,0),IF('01_数值调参'!AD48&lt;0,'03_全链计算'!AI62+1,0),IF('01_数值调参'!AD49&lt;0,'03_全链计算'!AJ62+1,0),IF('01_数值调参'!AD50&lt;0,'03_全链计算'!AK62+1,0),IF('01_数值调参'!AD51&lt;0,'03_全链计算'!AL62+1,0),IF('01_数值调参'!AD52&lt;0,'03_全链计算'!AM62+1,0))</x:f>
        <x:v>1</x:v>
      </x:c>
      <x:c r="AE63" s="9" t="n">
        <x:f>MAX(IF('01_数值调参'!AE18&lt;0,'03_全链计算'!E62+1,0),IF('01_数值调参'!AE19&lt;0,'03_全链计算'!F62+1,0),IF('01_数值调参'!AE20&lt;0,'03_全链计算'!G62+1,0),IF('01_数值调参'!AE21&lt;0,'03_全链计算'!H62+1,0),IF('01_数值调参'!AE22&lt;0,'03_全链计算'!I62+1,0),IF('01_数值调参'!AE23&lt;0,'03_全链计算'!J62+1,0),IF('01_数值调参'!AE24&lt;0,'03_全链计算'!K62+1,0),IF('01_数值调参'!AE25&lt;0,'03_全链计算'!L62+1,0),IF('01_数值调参'!AE26&lt;0,'03_全链计算'!M62+1,0),IF('01_数值调参'!AE27&lt;0,'03_全链计算'!N62+1,0),IF('01_数值调参'!AE28&lt;0,'03_全链计算'!O62+1,0),IF('01_数值调参'!AE29&lt;0,'03_全链计算'!P62+1,0),IF('01_数值调参'!AE30&lt;0,'03_全链计算'!Q62+1,0),IF('01_数值调参'!AE31&lt;0,'03_全链计算'!R62+1,0),IF('01_数值调参'!AE32&lt;0,'03_全链计算'!S62+1,0),IF('01_数值调参'!AE33&lt;0,'03_全链计算'!T62+1,0),IF('01_数值调参'!AE34&lt;0,'03_全链计算'!U62+1,0),IF('01_数值调参'!AE35&lt;0,'03_全链计算'!V62+1,0),IF('01_数值调参'!AE36&lt;0,'03_全链计算'!W62+1,0),IF('01_数值调参'!AE37&lt;0,'03_全链计算'!X62+1,0),IF('01_数值调参'!AE38&lt;0,'03_全链计算'!Y62+1,0),IF('01_数值调参'!AE39&lt;0,'03_全链计算'!Z62+1,0),IF('01_数值调参'!AE40&lt;0,'03_全链计算'!AA62+1,0),IF('01_数值调参'!AE41&lt;0,'03_全链计算'!AB62+1,0),IF('01_数值调参'!AE42&lt;0,'03_全链计算'!AC62+1,0),IF('01_数值调参'!AE43&lt;0,'03_全链计算'!AD62+1,0),IF('01_数值调参'!AE44&lt;0,'03_全链计算'!AE62+1,0),IF('01_数值调参'!AE45&lt;0,'03_全链计算'!AF62+1,0),IF('01_数值调参'!AE46&lt;0,'03_全链计算'!AG62+1,0),IF('01_数值调参'!AE47&lt;0,'03_全链计算'!AH62+1,0),IF('01_数值调参'!AE48&lt;0,'03_全链计算'!AI62+1,0),IF('01_数值调参'!AE49&lt;0,'03_全链计算'!AJ62+1,0),IF('01_数值调参'!AE50&lt;0,'03_全链计算'!AK62+1,0),IF('01_数值调参'!AE51&lt;0,'03_全链计算'!AL62+1,0),IF('01_数值调参'!AE52&lt;0,'03_全链计算'!AM62+1,0))</x:f>
        <x:v>1</x:v>
      </x:c>
      <x:c r="AF63" s="9" t="n">
        <x:f>MAX(IF('01_数值调参'!AF18&lt;0,'03_全链计算'!E62+1,0),IF('01_数值调参'!AF19&lt;0,'03_全链计算'!F62+1,0),IF('01_数值调参'!AF20&lt;0,'03_全链计算'!G62+1,0),IF('01_数值调参'!AF21&lt;0,'03_全链计算'!H62+1,0),IF('01_数值调参'!AF22&lt;0,'03_全链计算'!I62+1,0),IF('01_数值调参'!AF23&lt;0,'03_全链计算'!J62+1,0),IF('01_数值调参'!AF24&lt;0,'03_全链计算'!K62+1,0),IF('01_数值调参'!AF25&lt;0,'03_全链计算'!L62+1,0),IF('01_数值调参'!AF26&lt;0,'03_全链计算'!M62+1,0),IF('01_数值调参'!AF27&lt;0,'03_全链计算'!N62+1,0),IF('01_数值调参'!AF28&lt;0,'03_全链计算'!O62+1,0),IF('01_数值调参'!AF29&lt;0,'03_全链计算'!P62+1,0),IF('01_数值调参'!AF30&lt;0,'03_全链计算'!Q62+1,0),IF('01_数值调参'!AF31&lt;0,'03_全链计算'!R62+1,0),IF('01_数值调参'!AF32&lt;0,'03_全链计算'!S62+1,0),IF('01_数值调参'!AF33&lt;0,'03_全链计算'!T62+1,0),IF('01_数值调参'!AF34&lt;0,'03_全链计算'!U62+1,0),IF('01_数值调参'!AF35&lt;0,'03_全链计算'!V62+1,0),IF('01_数值调参'!AF36&lt;0,'03_全链计算'!W62+1,0),IF('01_数值调参'!AF37&lt;0,'03_全链计算'!X62+1,0),IF('01_数值调参'!AF38&lt;0,'03_全链计算'!Y62+1,0),IF('01_数值调参'!AF39&lt;0,'03_全链计算'!Z62+1,0),IF('01_数值调参'!AF40&lt;0,'03_全链计算'!AA62+1,0),IF('01_数值调参'!AF41&lt;0,'03_全链计算'!AB62+1,0),IF('01_数值调参'!AF42&lt;0,'03_全链计算'!AC62+1,0),IF('01_数值调参'!AF43&lt;0,'03_全链计算'!AD62+1,0),IF('01_数值调参'!AF44&lt;0,'03_全链计算'!AE62+1,0),IF('01_数值调参'!AF45&lt;0,'03_全链计算'!AF62+1,0),IF('01_数值调参'!AF46&lt;0,'03_全链计算'!AG62+1,0),IF('01_数值调参'!AF47&lt;0,'03_全链计算'!AH62+1,0),IF('01_数值调参'!AF48&lt;0,'03_全链计算'!AI62+1,0),IF('01_数值调参'!AF49&lt;0,'03_全链计算'!AJ62+1,0),IF('01_数值调参'!AF50&lt;0,'03_全链计算'!AK62+1,0),IF('01_数值调参'!AF51&lt;0,'03_全链计算'!AL62+1,0),IF('01_数值调参'!AF52&lt;0,'03_全链计算'!AM62+1,0))</x:f>
        <x:v>1</x:v>
      </x:c>
      <x:c r="AG63" s="9" t="n">
        <x:f>MAX(IF('01_数值调参'!AG18&lt;0,'03_全链计算'!E62+1,0),IF('01_数值调参'!AG19&lt;0,'03_全链计算'!F62+1,0),IF('01_数值调参'!AG20&lt;0,'03_全链计算'!G62+1,0),IF('01_数值调参'!AG21&lt;0,'03_全链计算'!H62+1,0),IF('01_数值调参'!AG22&lt;0,'03_全链计算'!I62+1,0),IF('01_数值调参'!AG23&lt;0,'03_全链计算'!J62+1,0),IF('01_数值调参'!AG24&lt;0,'03_全链计算'!K62+1,0),IF('01_数值调参'!AG25&lt;0,'03_全链计算'!L62+1,0),IF('01_数值调参'!AG26&lt;0,'03_全链计算'!M62+1,0),IF('01_数值调参'!AG27&lt;0,'03_全链计算'!N62+1,0),IF('01_数值调参'!AG28&lt;0,'03_全链计算'!O62+1,0),IF('01_数值调参'!AG29&lt;0,'03_全链计算'!P62+1,0),IF('01_数值调参'!AG30&lt;0,'03_全链计算'!Q62+1,0),IF('01_数值调参'!AG31&lt;0,'03_全链计算'!R62+1,0),IF('01_数值调参'!AG32&lt;0,'03_全链计算'!S62+1,0),IF('01_数值调参'!AG33&lt;0,'03_全链计算'!T62+1,0),IF('01_数值调参'!AG34&lt;0,'03_全链计算'!U62+1,0),IF('01_数值调参'!AG35&lt;0,'03_全链计算'!V62+1,0),IF('01_数值调参'!AG36&lt;0,'03_全链计算'!W62+1,0),IF('01_数值调参'!AG37&lt;0,'03_全链计算'!X62+1,0),IF('01_数值调参'!AG38&lt;0,'03_全链计算'!Y62+1,0),IF('01_数值调参'!AG39&lt;0,'03_全链计算'!Z62+1,0),IF('01_数值调参'!AG40&lt;0,'03_全链计算'!AA62+1,0),IF('01_数值调参'!AG41&lt;0,'03_全链计算'!AB62+1,0),IF('01_数值调参'!AG42&lt;0,'03_全链计算'!AC62+1,0),IF('01_数值调参'!AG43&lt;0,'03_全链计算'!AD62+1,0),IF('01_数值调参'!AG44&lt;0,'03_全链计算'!AE62+1,0),IF('01_数值调参'!AG45&lt;0,'03_全链计算'!AF62+1,0),IF('01_数值调参'!AG46&lt;0,'03_全链计算'!AG62+1,0),IF('01_数值调参'!AG47&lt;0,'03_全链计算'!AH62+1,0),IF('01_数值调参'!AG48&lt;0,'03_全链计算'!AI62+1,0),IF('01_数值调参'!AG49&lt;0,'03_全链计算'!AJ62+1,0),IF('01_数值调参'!AG50&lt;0,'03_全链计算'!AK62+1,0),IF('01_数值调参'!AG51&lt;0,'03_全链计算'!AL62+1,0),IF('01_数值调参'!AG52&lt;0,'03_全链计算'!AM62+1,0))</x:f>
        <x:v>1</x:v>
      </x:c>
      <x:c r="AH63" s="9" t="n">
        <x:f>MAX(IF('01_数值调参'!AH18&lt;0,'03_全链计算'!E62+1,0),IF('01_数值调参'!AH19&lt;0,'03_全链计算'!F62+1,0),IF('01_数值调参'!AH20&lt;0,'03_全链计算'!G62+1,0),IF('01_数值调参'!AH21&lt;0,'03_全链计算'!H62+1,0),IF('01_数值调参'!AH22&lt;0,'03_全链计算'!I62+1,0),IF('01_数值调参'!AH23&lt;0,'03_全链计算'!J62+1,0),IF('01_数值调参'!AH24&lt;0,'03_全链计算'!K62+1,0),IF('01_数值调参'!AH25&lt;0,'03_全链计算'!L62+1,0),IF('01_数值调参'!AH26&lt;0,'03_全链计算'!M62+1,0),IF('01_数值调参'!AH27&lt;0,'03_全链计算'!N62+1,0),IF('01_数值调参'!AH28&lt;0,'03_全链计算'!O62+1,0),IF('01_数值调参'!AH29&lt;0,'03_全链计算'!P62+1,0),IF('01_数值调参'!AH30&lt;0,'03_全链计算'!Q62+1,0),IF('01_数值调参'!AH31&lt;0,'03_全链计算'!R62+1,0),IF('01_数值调参'!AH32&lt;0,'03_全链计算'!S62+1,0),IF('01_数值调参'!AH33&lt;0,'03_全链计算'!T62+1,0),IF('01_数值调参'!AH34&lt;0,'03_全链计算'!U62+1,0),IF('01_数值调参'!AH35&lt;0,'03_全链计算'!V62+1,0),IF('01_数值调参'!AH36&lt;0,'03_全链计算'!W62+1,0),IF('01_数值调参'!AH37&lt;0,'03_全链计算'!X62+1,0),IF('01_数值调参'!AH38&lt;0,'03_全链计算'!Y62+1,0),IF('01_数值调参'!AH39&lt;0,'03_全链计算'!Z62+1,0),IF('01_数值调参'!AH40&lt;0,'03_全链计算'!AA62+1,0),IF('01_数值调参'!AH41&lt;0,'03_全链计算'!AB62+1,0),IF('01_数值调参'!AH42&lt;0,'03_全链计算'!AC62+1,0),IF('01_数值调参'!AH43&lt;0,'03_全链计算'!AD62+1,0),IF('01_数值调参'!AH44&lt;0,'03_全链计算'!AE62+1,0),IF('01_数值调参'!AH45&lt;0,'03_全链计算'!AF62+1,0),IF('01_数值调参'!AH46&lt;0,'03_全链计算'!AG62+1,0),IF('01_数值调参'!AH47&lt;0,'03_全链计算'!AH62+1,0),IF('01_数值调参'!AH48&lt;0,'03_全链计算'!AI62+1,0),IF('01_数值调参'!AH49&lt;0,'03_全链计算'!AJ62+1,0),IF('01_数值调参'!AH50&lt;0,'03_全链计算'!AK62+1,0),IF('01_数值调参'!AH51&lt;0,'03_全链计算'!AL62+1,0),IF('01_数值调参'!AH52&lt;0,'03_全链计算'!AM62+1,0))</x:f>
        <x:v>2</x:v>
      </x:c>
      <x:c r="AI63" s="9" t="n">
        <x:f>MAX(IF('01_数值调参'!AI18&lt;0,'03_全链计算'!E62+1,0),IF('01_数值调参'!AI19&lt;0,'03_全链计算'!F62+1,0),IF('01_数值调参'!AI20&lt;0,'03_全链计算'!G62+1,0),IF('01_数值调参'!AI21&lt;0,'03_全链计算'!H62+1,0),IF('01_数值调参'!AI22&lt;0,'03_全链计算'!I62+1,0),IF('01_数值调参'!AI23&lt;0,'03_全链计算'!J62+1,0),IF('01_数值调参'!AI24&lt;0,'03_全链计算'!K62+1,0),IF('01_数值调参'!AI25&lt;0,'03_全链计算'!L62+1,0),IF('01_数值调参'!AI26&lt;0,'03_全链计算'!M62+1,0),IF('01_数值调参'!AI27&lt;0,'03_全链计算'!N62+1,0),IF('01_数值调参'!AI28&lt;0,'03_全链计算'!O62+1,0),IF('01_数值调参'!AI29&lt;0,'03_全链计算'!P62+1,0),IF('01_数值调参'!AI30&lt;0,'03_全链计算'!Q62+1,0),IF('01_数值调参'!AI31&lt;0,'03_全链计算'!R62+1,0),IF('01_数值调参'!AI32&lt;0,'03_全链计算'!S62+1,0),IF('01_数值调参'!AI33&lt;0,'03_全链计算'!T62+1,0),IF('01_数值调参'!AI34&lt;0,'03_全链计算'!U62+1,0),IF('01_数值调参'!AI35&lt;0,'03_全链计算'!V62+1,0),IF('01_数值调参'!AI36&lt;0,'03_全链计算'!W62+1,0),IF('01_数值调参'!AI37&lt;0,'03_全链计算'!X62+1,0),IF('01_数值调参'!AI38&lt;0,'03_全链计算'!Y62+1,0),IF('01_数值调参'!AI39&lt;0,'03_全链计算'!Z62+1,0),IF('01_数值调参'!AI40&lt;0,'03_全链计算'!AA62+1,0),IF('01_数值调参'!AI41&lt;0,'03_全链计算'!AB62+1,0),IF('01_数值调参'!AI42&lt;0,'03_全链计算'!AC62+1,0),IF('01_数值调参'!AI43&lt;0,'03_全链计算'!AD62+1,0),IF('01_数值调参'!AI44&lt;0,'03_全链计算'!AE62+1,0),IF('01_数值调参'!AI45&lt;0,'03_全链计算'!AF62+1,0),IF('01_数值调参'!AI46&lt;0,'03_全链计算'!AG62+1,0),IF('01_数值调参'!AI47&lt;0,'03_全链计算'!AH62+1,0),IF('01_数值调参'!AI48&lt;0,'03_全链计算'!AI62+1,0),IF('01_数值调参'!AI49&lt;0,'03_全链计算'!AJ62+1,0),IF('01_数值调参'!AI50&lt;0,'03_全链计算'!AK62+1,0),IF('01_数值调参'!AI51&lt;0,'03_全链计算'!AL62+1,0),IF('01_数值调参'!AI52&lt;0,'03_全链计算'!AM62+1,0))</x:f>
        <x:v>2</x:v>
      </x:c>
      <x:c r="AJ63" s="9" t="n">
        <x:f>MAX(IF('01_数值调参'!AJ18&lt;0,'03_全链计算'!E62+1,0),IF('01_数值调参'!AJ19&lt;0,'03_全链计算'!F62+1,0),IF('01_数值调参'!AJ20&lt;0,'03_全链计算'!G62+1,0),IF('01_数值调参'!AJ21&lt;0,'03_全链计算'!H62+1,0),IF('01_数值调参'!AJ22&lt;0,'03_全链计算'!I62+1,0),IF('01_数值调参'!AJ23&lt;0,'03_全链计算'!J62+1,0),IF('01_数值调参'!AJ24&lt;0,'03_全链计算'!K62+1,0),IF('01_数值调参'!AJ25&lt;0,'03_全链计算'!L62+1,0),IF('01_数值调参'!AJ26&lt;0,'03_全链计算'!M62+1,0),IF('01_数值调参'!AJ27&lt;0,'03_全链计算'!N62+1,0),IF('01_数值调参'!AJ28&lt;0,'03_全链计算'!O62+1,0),IF('01_数值调参'!AJ29&lt;0,'03_全链计算'!P62+1,0),IF('01_数值调参'!AJ30&lt;0,'03_全链计算'!Q62+1,0),IF('01_数值调参'!AJ31&lt;0,'03_全链计算'!R62+1,0),IF('01_数值调参'!AJ32&lt;0,'03_全链计算'!S62+1,0),IF('01_数值调参'!AJ33&lt;0,'03_全链计算'!T62+1,0),IF('01_数值调参'!AJ34&lt;0,'03_全链计算'!U62+1,0),IF('01_数值调参'!AJ35&lt;0,'03_全链计算'!V62+1,0),IF('01_数值调参'!AJ36&lt;0,'03_全链计算'!W62+1,0),IF('01_数值调参'!AJ37&lt;0,'03_全链计算'!X62+1,0),IF('01_数值调参'!AJ38&lt;0,'03_全链计算'!Y62+1,0),IF('01_数值调参'!AJ39&lt;0,'03_全链计算'!Z62+1,0),IF('01_数值调参'!AJ40&lt;0,'03_全链计算'!AA62+1,0),IF('01_数值调参'!AJ41&lt;0,'03_全链计算'!AB62+1,0),IF('01_数值调参'!AJ42&lt;0,'03_全链计算'!AC62+1,0),IF('01_数值调参'!AJ43&lt;0,'03_全链计算'!AD62+1,0),IF('01_数值调参'!AJ44&lt;0,'03_全链计算'!AE62+1,0),IF('01_数值调参'!AJ45&lt;0,'03_全链计算'!AF62+1,0),IF('01_数值调参'!AJ46&lt;0,'03_全链计算'!AG62+1,0),IF('01_数值调参'!AJ47&lt;0,'03_全链计算'!AH62+1,0),IF('01_数值调参'!AJ48&lt;0,'03_全链计算'!AI62+1,0),IF('01_数值调参'!AJ49&lt;0,'03_全链计算'!AJ62+1,0),IF('01_数值调参'!AJ50&lt;0,'03_全链计算'!AK62+1,0),IF('01_数值调参'!AJ51&lt;0,'03_全链计算'!AL62+1,0),IF('01_数值调参'!AJ52&lt;0,'03_全链计算'!AM62+1,0))</x:f>
        <x:v>2</x:v>
      </x:c>
      <x:c r="AK63" s="9" t="n">
        <x:f>MAX(IF('01_数值调参'!AK18&lt;0,'03_全链计算'!E62+1,0),IF('01_数值调参'!AK19&lt;0,'03_全链计算'!F62+1,0),IF('01_数值调参'!AK20&lt;0,'03_全链计算'!G62+1,0),IF('01_数值调参'!AK21&lt;0,'03_全链计算'!H62+1,0),IF('01_数值调参'!AK22&lt;0,'03_全链计算'!I62+1,0),IF('01_数值调参'!AK23&lt;0,'03_全链计算'!J62+1,0),IF('01_数值调参'!AK24&lt;0,'03_全链计算'!K62+1,0),IF('01_数值调参'!AK25&lt;0,'03_全链计算'!L62+1,0),IF('01_数值调参'!AK26&lt;0,'03_全链计算'!M62+1,0),IF('01_数值调参'!AK27&lt;0,'03_全链计算'!N62+1,0),IF('01_数值调参'!AK28&lt;0,'03_全链计算'!O62+1,0),IF('01_数值调参'!AK29&lt;0,'03_全链计算'!P62+1,0),IF('01_数值调参'!AK30&lt;0,'03_全链计算'!Q62+1,0),IF('01_数值调参'!AK31&lt;0,'03_全链计算'!R62+1,0),IF('01_数值调参'!AK32&lt;0,'03_全链计算'!S62+1,0),IF('01_数值调参'!AK33&lt;0,'03_全链计算'!T62+1,0),IF('01_数值调参'!AK34&lt;0,'03_全链计算'!U62+1,0),IF('01_数值调参'!AK35&lt;0,'03_全链计算'!V62+1,0),IF('01_数值调参'!AK36&lt;0,'03_全链计算'!W62+1,0),IF('01_数值调参'!AK37&lt;0,'03_全链计算'!X62+1,0),IF('01_数值调参'!AK38&lt;0,'03_全链计算'!Y62+1,0),IF('01_数值调参'!AK39&lt;0,'03_全链计算'!Z62+1,0),IF('01_数值调参'!AK40&lt;0,'03_全链计算'!AA62+1,0),IF('01_数值调参'!AK41&lt;0,'03_全链计算'!AB62+1,0),IF('01_数值调参'!AK42&lt;0,'03_全链计算'!AC62+1,0),IF('01_数值调参'!AK43&lt;0,'03_全链计算'!AD62+1,0),IF('01_数值调参'!AK44&lt;0,'03_全链计算'!AE62+1,0),IF('01_数值调参'!AK45&lt;0,'03_全链计算'!AF62+1,0),IF('01_数值调参'!AK46&lt;0,'03_全链计算'!AG62+1,0),IF('01_数值调参'!AK47&lt;0,'03_全链计算'!AH62+1,0),IF('01_数值调参'!AK48&lt;0,'03_全链计算'!AI62+1,0),IF('01_数值调参'!AK49&lt;0,'03_全链计算'!AJ62+1,0),IF('01_数值调参'!AK50&lt;0,'03_全链计算'!AK62+1,0),IF('01_数值调参'!AK51&lt;0,'03_全链计算'!AL62+1,0),IF('01_数值调参'!AK52&lt;0,'03_全链计算'!AM62+1,0))</x:f>
        <x:v>2</x:v>
      </x:c>
      <x:c r="AL63" s="9" t="n">
        <x:f>MAX(IF('01_数值调参'!AL18&lt;0,'03_全链计算'!E62+1,0),IF('01_数值调参'!AL19&lt;0,'03_全链计算'!F62+1,0),IF('01_数值调参'!AL20&lt;0,'03_全链计算'!G62+1,0),IF('01_数值调参'!AL21&lt;0,'03_全链计算'!H62+1,0),IF('01_数值调参'!AL22&lt;0,'03_全链计算'!I62+1,0),IF('01_数值调参'!AL23&lt;0,'03_全链计算'!J62+1,0),IF('01_数值调参'!AL24&lt;0,'03_全链计算'!K62+1,0),IF('01_数值调参'!AL25&lt;0,'03_全链计算'!L62+1,0),IF('01_数值调参'!AL26&lt;0,'03_全链计算'!M62+1,0),IF('01_数值调参'!AL27&lt;0,'03_全链计算'!N62+1,0),IF('01_数值调参'!AL28&lt;0,'03_全链计算'!O62+1,0),IF('01_数值调参'!AL29&lt;0,'03_全链计算'!P62+1,0),IF('01_数值调参'!AL30&lt;0,'03_全链计算'!Q62+1,0),IF('01_数值调参'!AL31&lt;0,'03_全链计算'!R62+1,0),IF('01_数值调参'!AL32&lt;0,'03_全链计算'!S62+1,0),IF('01_数值调参'!AL33&lt;0,'03_全链计算'!T62+1,0),IF('01_数值调参'!AL34&lt;0,'03_全链计算'!U62+1,0),IF('01_数值调参'!AL35&lt;0,'03_全链计算'!V62+1,0),IF('01_数值调参'!AL36&lt;0,'03_全链计算'!W62+1,0),IF('01_数值调参'!AL37&lt;0,'03_全链计算'!X62+1,0),IF('01_数值调参'!AL38&lt;0,'03_全链计算'!Y62+1,0),IF('01_数值调参'!AL39&lt;0,'03_全链计算'!Z62+1,0),IF('01_数值调参'!AL40&lt;0,'03_全链计算'!AA62+1,0),IF('01_数值调参'!AL41&lt;0,'03_全链计算'!AB62+1,0),IF('01_数值调参'!AL42&lt;0,'03_全链计算'!AC62+1,0),IF('01_数值调参'!AL43&lt;0,'03_全链计算'!AD62+1,0),IF('01_数值调参'!AL44&lt;0,'03_全链计算'!AE62+1,0),IF('01_数值调参'!AL45&lt;0,'03_全链计算'!AF62+1,0),IF('01_数值调参'!AL46&lt;0,'03_全链计算'!AG62+1,0),IF('01_数值调参'!AL47&lt;0,'03_全链计算'!AH62+1,0),IF('01_数值调参'!AL48&lt;0,'03_全链计算'!AI62+1,0),IF('01_数值调参'!AL49&lt;0,'03_全链计算'!AJ62+1,0),IF('01_数值调参'!AL50&lt;0,'03_全链计算'!AK62+1,0),IF('01_数值调参'!AL51&lt;0,'03_全链计算'!AL62+1,0),IF('01_数值调参'!AL52&lt;0,'03_全链计算'!AM62+1,0))</x:f>
        <x:v>3</x:v>
      </x:c>
      <x:c r="AM63" s="9" t="n">
        <x:f>MAX(IF('01_数值调参'!AM18&lt;0,'03_全链计算'!E62+1,0),IF('01_数值调参'!AM19&lt;0,'03_全链计算'!F62+1,0),IF('01_数值调参'!AM20&lt;0,'03_全链计算'!G62+1,0),IF('01_数值调参'!AM21&lt;0,'03_全链计算'!H62+1,0),IF('01_数值调参'!AM22&lt;0,'03_全链计算'!I62+1,0),IF('01_数值调参'!AM23&lt;0,'03_全链计算'!J62+1,0),IF('01_数值调参'!AM24&lt;0,'03_全链计算'!K62+1,0),IF('01_数值调参'!AM25&lt;0,'03_全链计算'!L62+1,0),IF('01_数值调参'!AM26&lt;0,'03_全链计算'!M62+1,0),IF('01_数值调参'!AM27&lt;0,'03_全链计算'!N62+1,0),IF('01_数值调参'!AM28&lt;0,'03_全链计算'!O62+1,0),IF('01_数值调参'!AM29&lt;0,'03_全链计算'!P62+1,0),IF('01_数值调参'!AM30&lt;0,'03_全链计算'!Q62+1,0),IF('01_数值调参'!AM31&lt;0,'03_全链计算'!R62+1,0),IF('01_数值调参'!AM32&lt;0,'03_全链计算'!S62+1,0),IF('01_数值调参'!AM33&lt;0,'03_全链计算'!T62+1,0),IF('01_数值调参'!AM34&lt;0,'03_全链计算'!U62+1,0),IF('01_数值调参'!AM35&lt;0,'03_全链计算'!V62+1,0),IF('01_数值调参'!AM36&lt;0,'03_全链计算'!W62+1,0),IF('01_数值调参'!AM37&lt;0,'03_全链计算'!X62+1,0),IF('01_数值调参'!AM38&lt;0,'03_全链计算'!Y62+1,0),IF('01_数值调参'!AM39&lt;0,'03_全链计算'!Z62+1,0),IF('01_数值调参'!AM40&lt;0,'03_全链计算'!AA62+1,0),IF('01_数值调参'!AM41&lt;0,'03_全链计算'!AB62+1,0),IF('01_数值调参'!AM42&lt;0,'03_全链计算'!AC62+1,0),IF('01_数值调参'!AM43&lt;0,'03_全链计算'!AD62+1,0),IF('01_数值调参'!AM44&lt;0,'03_全链计算'!AE62+1,0),IF('01_数值调参'!AM45&lt;0,'03_全链计算'!AF62+1,0),IF('01_数值调参'!AM46&lt;0,'03_全链计算'!AG62+1,0),IF('01_数值调参'!AM47&lt;0,'03_全链计算'!AH62+1,0),IF('01_数值调参'!AM48&lt;0,'03_全链计算'!AI62+1,0),IF('01_数值调参'!AM49&lt;0,'03_全链计算'!AJ62+1,0),IF('01_数值调参'!AM50&lt;0,'03_全链计算'!AK62+1,0),IF('01_数值调参'!AM51&lt;0,'03_全链计算'!AL62+1,0),IF('01_数值调参'!AM52&lt;0,'03_全链计算'!AM62+1,0))</x:f>
        <x:v>3</x:v>
      </x:c>
    </x:row>
    <x:row r="64" ht="22" customHeight="1">
      <x:c r="A64" s="9" t="n">
        <x:v>19</x:v>
      </x:c>
      <x:c r="B64" s="9"/>
      <x:c r="C64" s="9"/>
      <x:c r="D64" s="9"/>
      <x:c r="E64" s="9" t="n">
        <x:f>MAX(IF('01_数值调参'!E18&lt;0,'03_全链计算'!E63+1,0),IF('01_数值调参'!E19&lt;0,'03_全链计算'!F63+1,0),IF('01_数值调参'!E20&lt;0,'03_全链计算'!G63+1,0),IF('01_数值调参'!E21&lt;0,'03_全链计算'!H63+1,0),IF('01_数值调参'!E22&lt;0,'03_全链计算'!I63+1,0),IF('01_数值调参'!E23&lt;0,'03_全链计算'!J63+1,0),IF('01_数值调参'!E24&lt;0,'03_全链计算'!K63+1,0),IF('01_数值调参'!E25&lt;0,'03_全链计算'!L63+1,0),IF('01_数值调参'!E26&lt;0,'03_全链计算'!M63+1,0),IF('01_数值调参'!E27&lt;0,'03_全链计算'!N63+1,0),IF('01_数值调参'!E28&lt;0,'03_全链计算'!O63+1,0),IF('01_数值调参'!E29&lt;0,'03_全链计算'!P63+1,0),IF('01_数值调参'!E30&lt;0,'03_全链计算'!Q63+1,0),IF('01_数值调参'!E31&lt;0,'03_全链计算'!R63+1,0),IF('01_数值调参'!E32&lt;0,'03_全链计算'!S63+1,0),IF('01_数值调参'!E33&lt;0,'03_全链计算'!T63+1,0),IF('01_数值调参'!E34&lt;0,'03_全链计算'!U63+1,0),IF('01_数值调参'!E35&lt;0,'03_全链计算'!V63+1,0),IF('01_数值调参'!E36&lt;0,'03_全链计算'!W63+1,0),IF('01_数值调参'!E37&lt;0,'03_全链计算'!X63+1,0),IF('01_数值调参'!E38&lt;0,'03_全链计算'!Y63+1,0),IF('01_数值调参'!E39&lt;0,'03_全链计算'!Z63+1,0),IF('01_数值调参'!E40&lt;0,'03_全链计算'!AA63+1,0),IF('01_数值调参'!E41&lt;0,'03_全链计算'!AB63+1,0),IF('01_数值调参'!E42&lt;0,'03_全链计算'!AC63+1,0),IF('01_数值调参'!E43&lt;0,'03_全链计算'!AD63+1,0),IF('01_数值调参'!E44&lt;0,'03_全链计算'!AE63+1,0),IF('01_数值调参'!E45&lt;0,'03_全链计算'!AF63+1,0),IF('01_数值调参'!E46&lt;0,'03_全链计算'!AG63+1,0),IF('01_数值调参'!E47&lt;0,'03_全链计算'!AH63+1,0),IF('01_数值调参'!E48&lt;0,'03_全链计算'!AI63+1,0),IF('01_数值调参'!E49&lt;0,'03_全链计算'!AJ63+1,0),IF('01_数值调参'!E50&lt;0,'03_全链计算'!AK63+1,0),IF('01_数值调参'!E51&lt;0,'03_全链计算'!AL63+1,0),IF('01_数值调参'!E52&lt;0,'03_全链计算'!AM63+1,0))</x:f>
        <x:v>0</x:v>
      </x:c>
      <x:c r="F64" s="9" t="n">
        <x:f>MAX(IF('01_数值调参'!F18&lt;0,'03_全链计算'!E63+1,0),IF('01_数值调参'!F19&lt;0,'03_全链计算'!F63+1,0),IF('01_数值调参'!F20&lt;0,'03_全链计算'!G63+1,0),IF('01_数值调参'!F21&lt;0,'03_全链计算'!H63+1,0),IF('01_数值调参'!F22&lt;0,'03_全链计算'!I63+1,0),IF('01_数值调参'!F23&lt;0,'03_全链计算'!J63+1,0),IF('01_数值调参'!F24&lt;0,'03_全链计算'!K63+1,0),IF('01_数值调参'!F25&lt;0,'03_全链计算'!L63+1,0),IF('01_数值调参'!F26&lt;0,'03_全链计算'!M63+1,0),IF('01_数值调参'!F27&lt;0,'03_全链计算'!N63+1,0),IF('01_数值调参'!F28&lt;0,'03_全链计算'!O63+1,0),IF('01_数值调参'!F29&lt;0,'03_全链计算'!P63+1,0),IF('01_数值调参'!F30&lt;0,'03_全链计算'!Q63+1,0),IF('01_数值调参'!F31&lt;0,'03_全链计算'!R63+1,0),IF('01_数值调参'!F32&lt;0,'03_全链计算'!S63+1,0),IF('01_数值调参'!F33&lt;0,'03_全链计算'!T63+1,0),IF('01_数值调参'!F34&lt;0,'03_全链计算'!U63+1,0),IF('01_数值调参'!F35&lt;0,'03_全链计算'!V63+1,0),IF('01_数值调参'!F36&lt;0,'03_全链计算'!W63+1,0),IF('01_数值调参'!F37&lt;0,'03_全链计算'!X63+1,0),IF('01_数值调参'!F38&lt;0,'03_全链计算'!Y63+1,0),IF('01_数值调参'!F39&lt;0,'03_全链计算'!Z63+1,0),IF('01_数值调参'!F40&lt;0,'03_全链计算'!AA63+1,0),IF('01_数值调参'!F41&lt;0,'03_全链计算'!AB63+1,0),IF('01_数值调参'!F42&lt;0,'03_全链计算'!AC63+1,0),IF('01_数值调参'!F43&lt;0,'03_全链计算'!AD63+1,0),IF('01_数值调参'!F44&lt;0,'03_全链计算'!AE63+1,0),IF('01_数值调参'!F45&lt;0,'03_全链计算'!AF63+1,0),IF('01_数值调参'!F46&lt;0,'03_全链计算'!AG63+1,0),IF('01_数值调参'!F47&lt;0,'03_全链计算'!AH63+1,0),IF('01_数值调参'!F48&lt;0,'03_全链计算'!AI63+1,0),IF('01_数值调参'!F49&lt;0,'03_全链计算'!AJ63+1,0),IF('01_数值调参'!F50&lt;0,'03_全链计算'!AK63+1,0),IF('01_数值调参'!F51&lt;0,'03_全链计算'!AL63+1,0),IF('01_数值调参'!F52&lt;0,'03_全链计算'!AM63+1,0))</x:f>
        <x:v>0</x:v>
      </x:c>
      <x:c r="G64" s="9" t="n">
        <x:f>MAX(IF('01_数值调参'!G18&lt;0,'03_全链计算'!E63+1,0),IF('01_数值调参'!G19&lt;0,'03_全链计算'!F63+1,0),IF('01_数值调参'!G20&lt;0,'03_全链计算'!G63+1,0),IF('01_数值调参'!G21&lt;0,'03_全链计算'!H63+1,0),IF('01_数值调参'!G22&lt;0,'03_全链计算'!I63+1,0),IF('01_数值调参'!G23&lt;0,'03_全链计算'!J63+1,0),IF('01_数值调参'!G24&lt;0,'03_全链计算'!K63+1,0),IF('01_数值调参'!G25&lt;0,'03_全链计算'!L63+1,0),IF('01_数值调参'!G26&lt;0,'03_全链计算'!M63+1,0),IF('01_数值调参'!G27&lt;0,'03_全链计算'!N63+1,0),IF('01_数值调参'!G28&lt;0,'03_全链计算'!O63+1,0),IF('01_数值调参'!G29&lt;0,'03_全链计算'!P63+1,0),IF('01_数值调参'!G30&lt;0,'03_全链计算'!Q63+1,0),IF('01_数值调参'!G31&lt;0,'03_全链计算'!R63+1,0),IF('01_数值调参'!G32&lt;0,'03_全链计算'!S63+1,0),IF('01_数值调参'!G33&lt;0,'03_全链计算'!T63+1,0),IF('01_数值调参'!G34&lt;0,'03_全链计算'!U63+1,0),IF('01_数值调参'!G35&lt;0,'03_全链计算'!V63+1,0),IF('01_数值调参'!G36&lt;0,'03_全链计算'!W63+1,0),IF('01_数值调参'!G37&lt;0,'03_全链计算'!X63+1,0),IF('01_数值调参'!G38&lt;0,'03_全链计算'!Y63+1,0),IF('01_数值调参'!G39&lt;0,'03_全链计算'!Z63+1,0),IF('01_数值调参'!G40&lt;0,'03_全链计算'!AA63+1,0),IF('01_数值调参'!G41&lt;0,'03_全链计算'!AB63+1,0),IF('01_数值调参'!G42&lt;0,'03_全链计算'!AC63+1,0),IF('01_数值调参'!G43&lt;0,'03_全链计算'!AD63+1,0),IF('01_数值调参'!G44&lt;0,'03_全链计算'!AE63+1,0),IF('01_数值调参'!G45&lt;0,'03_全链计算'!AF63+1,0),IF('01_数值调参'!G46&lt;0,'03_全链计算'!AG63+1,0),IF('01_数值调参'!G47&lt;0,'03_全链计算'!AH63+1,0),IF('01_数值调参'!G48&lt;0,'03_全链计算'!AI63+1,0),IF('01_数值调参'!G49&lt;0,'03_全链计算'!AJ63+1,0),IF('01_数值调参'!G50&lt;0,'03_全链计算'!AK63+1,0),IF('01_数值调参'!G51&lt;0,'03_全链计算'!AL63+1,0),IF('01_数值调参'!G52&lt;0,'03_全链计算'!AM63+1,0))</x:f>
        <x:v>0</x:v>
      </x:c>
      <x:c r="H64" s="9" t="n">
        <x:f>MAX(IF('01_数值调参'!H18&lt;0,'03_全链计算'!E63+1,0),IF('01_数值调参'!H19&lt;0,'03_全链计算'!F63+1,0),IF('01_数值调参'!H20&lt;0,'03_全链计算'!G63+1,0),IF('01_数值调参'!H21&lt;0,'03_全链计算'!H63+1,0),IF('01_数值调参'!H22&lt;0,'03_全链计算'!I63+1,0),IF('01_数值调参'!H23&lt;0,'03_全链计算'!J63+1,0),IF('01_数值调参'!H24&lt;0,'03_全链计算'!K63+1,0),IF('01_数值调参'!H25&lt;0,'03_全链计算'!L63+1,0),IF('01_数值调参'!H26&lt;0,'03_全链计算'!M63+1,0),IF('01_数值调参'!H27&lt;0,'03_全链计算'!N63+1,0),IF('01_数值调参'!H28&lt;0,'03_全链计算'!O63+1,0),IF('01_数值调参'!H29&lt;0,'03_全链计算'!P63+1,0),IF('01_数值调参'!H30&lt;0,'03_全链计算'!Q63+1,0),IF('01_数值调参'!H31&lt;0,'03_全链计算'!R63+1,0),IF('01_数值调参'!H32&lt;0,'03_全链计算'!S63+1,0),IF('01_数值调参'!H33&lt;0,'03_全链计算'!T63+1,0),IF('01_数值调参'!H34&lt;0,'03_全链计算'!U63+1,0),IF('01_数值调参'!H35&lt;0,'03_全链计算'!V63+1,0),IF('01_数值调参'!H36&lt;0,'03_全链计算'!W63+1,0),IF('01_数值调参'!H37&lt;0,'03_全链计算'!X63+1,0),IF('01_数值调参'!H38&lt;0,'03_全链计算'!Y63+1,0),IF('01_数值调参'!H39&lt;0,'03_全链计算'!Z63+1,0),IF('01_数值调参'!H40&lt;0,'03_全链计算'!AA63+1,0),IF('01_数值调参'!H41&lt;0,'03_全链计算'!AB63+1,0),IF('01_数值调参'!H42&lt;0,'03_全链计算'!AC63+1,0),IF('01_数值调参'!H43&lt;0,'03_全链计算'!AD63+1,0),IF('01_数值调参'!H44&lt;0,'03_全链计算'!AE63+1,0),IF('01_数值调参'!H45&lt;0,'03_全链计算'!AF63+1,0),IF('01_数值调参'!H46&lt;0,'03_全链计算'!AG63+1,0),IF('01_数值调参'!H47&lt;0,'03_全链计算'!AH63+1,0),IF('01_数值调参'!H48&lt;0,'03_全链计算'!AI63+1,0),IF('01_数值调参'!H49&lt;0,'03_全链计算'!AJ63+1,0),IF('01_数值调参'!H50&lt;0,'03_全链计算'!AK63+1,0),IF('01_数值调参'!H51&lt;0,'03_全链计算'!AL63+1,0),IF('01_数值调参'!H52&lt;0,'03_全链计算'!AM63+1,0))</x:f>
        <x:v>0</x:v>
      </x:c>
      <x:c r="I64" s="9" t="n">
        <x:f>MAX(IF('01_数值调参'!I18&lt;0,'03_全链计算'!E63+1,0),IF('01_数值调参'!I19&lt;0,'03_全链计算'!F63+1,0),IF('01_数值调参'!I20&lt;0,'03_全链计算'!G63+1,0),IF('01_数值调参'!I21&lt;0,'03_全链计算'!H63+1,0),IF('01_数值调参'!I22&lt;0,'03_全链计算'!I63+1,0),IF('01_数值调参'!I23&lt;0,'03_全链计算'!J63+1,0),IF('01_数值调参'!I24&lt;0,'03_全链计算'!K63+1,0),IF('01_数值调参'!I25&lt;0,'03_全链计算'!L63+1,0),IF('01_数值调参'!I26&lt;0,'03_全链计算'!M63+1,0),IF('01_数值调参'!I27&lt;0,'03_全链计算'!N63+1,0),IF('01_数值调参'!I28&lt;0,'03_全链计算'!O63+1,0),IF('01_数值调参'!I29&lt;0,'03_全链计算'!P63+1,0),IF('01_数值调参'!I30&lt;0,'03_全链计算'!Q63+1,0),IF('01_数值调参'!I31&lt;0,'03_全链计算'!R63+1,0),IF('01_数值调参'!I32&lt;0,'03_全链计算'!S63+1,0),IF('01_数值调参'!I33&lt;0,'03_全链计算'!T63+1,0),IF('01_数值调参'!I34&lt;0,'03_全链计算'!U63+1,0),IF('01_数值调参'!I35&lt;0,'03_全链计算'!V63+1,0),IF('01_数值调参'!I36&lt;0,'03_全链计算'!W63+1,0),IF('01_数值调参'!I37&lt;0,'03_全链计算'!X63+1,0),IF('01_数值调参'!I38&lt;0,'03_全链计算'!Y63+1,0),IF('01_数值调参'!I39&lt;0,'03_全链计算'!Z63+1,0),IF('01_数值调参'!I40&lt;0,'03_全链计算'!AA63+1,0),IF('01_数值调参'!I41&lt;0,'03_全链计算'!AB63+1,0),IF('01_数值调参'!I42&lt;0,'03_全链计算'!AC63+1,0),IF('01_数值调参'!I43&lt;0,'03_全链计算'!AD63+1,0),IF('01_数值调参'!I44&lt;0,'03_全链计算'!AE63+1,0),IF('01_数值调参'!I45&lt;0,'03_全链计算'!AF63+1,0),IF('01_数值调参'!I46&lt;0,'03_全链计算'!AG63+1,0),IF('01_数值调参'!I47&lt;0,'03_全链计算'!AH63+1,0),IF('01_数值调参'!I48&lt;0,'03_全链计算'!AI63+1,0),IF('01_数值调参'!I49&lt;0,'03_全链计算'!AJ63+1,0),IF('01_数值调参'!I50&lt;0,'03_全链计算'!AK63+1,0),IF('01_数值调参'!I51&lt;0,'03_全链计算'!AL63+1,0),IF('01_数值调参'!I52&lt;0,'03_全链计算'!AM63+1,0))</x:f>
        <x:v>0</x:v>
      </x:c>
      <x:c r="J64" s="9" t="n">
        <x:f>MAX(IF('01_数值调参'!J18&lt;0,'03_全链计算'!E63+1,0),IF('01_数值调参'!J19&lt;0,'03_全链计算'!F63+1,0),IF('01_数值调参'!J20&lt;0,'03_全链计算'!G63+1,0),IF('01_数值调参'!J21&lt;0,'03_全链计算'!H63+1,0),IF('01_数值调参'!J22&lt;0,'03_全链计算'!I63+1,0),IF('01_数值调参'!J23&lt;0,'03_全链计算'!J63+1,0),IF('01_数值调参'!J24&lt;0,'03_全链计算'!K63+1,0),IF('01_数值调参'!J25&lt;0,'03_全链计算'!L63+1,0),IF('01_数值调参'!J26&lt;0,'03_全链计算'!M63+1,0),IF('01_数值调参'!J27&lt;0,'03_全链计算'!N63+1,0),IF('01_数值调参'!J28&lt;0,'03_全链计算'!O63+1,0),IF('01_数值调参'!J29&lt;0,'03_全链计算'!P63+1,0),IF('01_数值调参'!J30&lt;0,'03_全链计算'!Q63+1,0),IF('01_数值调参'!J31&lt;0,'03_全链计算'!R63+1,0),IF('01_数值调参'!J32&lt;0,'03_全链计算'!S63+1,0),IF('01_数值调参'!J33&lt;0,'03_全链计算'!T63+1,0),IF('01_数值调参'!J34&lt;0,'03_全链计算'!U63+1,0),IF('01_数值调参'!J35&lt;0,'03_全链计算'!V63+1,0),IF('01_数值调参'!J36&lt;0,'03_全链计算'!W63+1,0),IF('01_数值调参'!J37&lt;0,'03_全链计算'!X63+1,0),IF('01_数值调参'!J38&lt;0,'03_全链计算'!Y63+1,0),IF('01_数值调参'!J39&lt;0,'03_全链计算'!Z63+1,0),IF('01_数值调参'!J40&lt;0,'03_全链计算'!AA63+1,0),IF('01_数值调参'!J41&lt;0,'03_全链计算'!AB63+1,0),IF('01_数值调参'!J42&lt;0,'03_全链计算'!AC63+1,0),IF('01_数值调参'!J43&lt;0,'03_全链计算'!AD63+1,0),IF('01_数值调参'!J44&lt;0,'03_全链计算'!AE63+1,0),IF('01_数值调参'!J45&lt;0,'03_全链计算'!AF63+1,0),IF('01_数值调参'!J46&lt;0,'03_全链计算'!AG63+1,0),IF('01_数值调参'!J47&lt;0,'03_全链计算'!AH63+1,0),IF('01_数值调参'!J48&lt;0,'03_全链计算'!AI63+1,0),IF('01_数值调参'!J49&lt;0,'03_全链计算'!AJ63+1,0),IF('01_数值调参'!J50&lt;0,'03_全链计算'!AK63+1,0),IF('01_数值调参'!J51&lt;0,'03_全链计算'!AL63+1,0),IF('01_数值调参'!J52&lt;0,'03_全链计算'!AM63+1,0))</x:f>
        <x:v>0</x:v>
      </x:c>
      <x:c r="K64" s="9" t="n">
        <x:f>MAX(IF('01_数值调参'!K18&lt;0,'03_全链计算'!E63+1,0),IF('01_数值调参'!K19&lt;0,'03_全链计算'!F63+1,0),IF('01_数值调参'!K20&lt;0,'03_全链计算'!G63+1,0),IF('01_数值调参'!K21&lt;0,'03_全链计算'!H63+1,0),IF('01_数值调参'!K22&lt;0,'03_全链计算'!I63+1,0),IF('01_数值调参'!K23&lt;0,'03_全链计算'!J63+1,0),IF('01_数值调参'!K24&lt;0,'03_全链计算'!K63+1,0),IF('01_数值调参'!K25&lt;0,'03_全链计算'!L63+1,0),IF('01_数值调参'!K26&lt;0,'03_全链计算'!M63+1,0),IF('01_数值调参'!K27&lt;0,'03_全链计算'!N63+1,0),IF('01_数值调参'!K28&lt;0,'03_全链计算'!O63+1,0),IF('01_数值调参'!K29&lt;0,'03_全链计算'!P63+1,0),IF('01_数值调参'!K30&lt;0,'03_全链计算'!Q63+1,0),IF('01_数值调参'!K31&lt;0,'03_全链计算'!R63+1,0),IF('01_数值调参'!K32&lt;0,'03_全链计算'!S63+1,0),IF('01_数值调参'!K33&lt;0,'03_全链计算'!T63+1,0),IF('01_数值调参'!K34&lt;0,'03_全链计算'!U63+1,0),IF('01_数值调参'!K35&lt;0,'03_全链计算'!V63+1,0),IF('01_数值调参'!K36&lt;0,'03_全链计算'!W63+1,0),IF('01_数值调参'!K37&lt;0,'03_全链计算'!X63+1,0),IF('01_数值调参'!K38&lt;0,'03_全链计算'!Y63+1,0),IF('01_数值调参'!K39&lt;0,'03_全链计算'!Z63+1,0),IF('01_数值调参'!K40&lt;0,'03_全链计算'!AA63+1,0),IF('01_数值调参'!K41&lt;0,'03_全链计算'!AB63+1,0),IF('01_数值调参'!K42&lt;0,'03_全链计算'!AC63+1,0),IF('01_数值调参'!K43&lt;0,'03_全链计算'!AD63+1,0),IF('01_数值调参'!K44&lt;0,'03_全链计算'!AE63+1,0),IF('01_数值调参'!K45&lt;0,'03_全链计算'!AF63+1,0),IF('01_数值调参'!K46&lt;0,'03_全链计算'!AG63+1,0),IF('01_数值调参'!K47&lt;0,'03_全链计算'!AH63+1,0),IF('01_数值调参'!K48&lt;0,'03_全链计算'!AI63+1,0),IF('01_数值调参'!K49&lt;0,'03_全链计算'!AJ63+1,0),IF('01_数值调参'!K50&lt;0,'03_全链计算'!AK63+1,0),IF('01_数值调参'!K51&lt;0,'03_全链计算'!AL63+1,0),IF('01_数值调参'!K52&lt;0,'03_全链计算'!AM63+1,0))</x:f>
        <x:v>0</x:v>
      </x:c>
      <x:c r="L64" s="9" t="n">
        <x:f>MAX(IF('01_数值调参'!L18&lt;0,'03_全链计算'!E63+1,0),IF('01_数值调参'!L19&lt;0,'03_全链计算'!F63+1,0),IF('01_数值调参'!L20&lt;0,'03_全链计算'!G63+1,0),IF('01_数值调参'!L21&lt;0,'03_全链计算'!H63+1,0),IF('01_数值调参'!L22&lt;0,'03_全链计算'!I63+1,0),IF('01_数值调参'!L23&lt;0,'03_全链计算'!J63+1,0),IF('01_数值调参'!L24&lt;0,'03_全链计算'!K63+1,0),IF('01_数值调参'!L25&lt;0,'03_全链计算'!L63+1,0),IF('01_数值调参'!L26&lt;0,'03_全链计算'!M63+1,0),IF('01_数值调参'!L27&lt;0,'03_全链计算'!N63+1,0),IF('01_数值调参'!L28&lt;0,'03_全链计算'!O63+1,0),IF('01_数值调参'!L29&lt;0,'03_全链计算'!P63+1,0),IF('01_数值调参'!L30&lt;0,'03_全链计算'!Q63+1,0),IF('01_数值调参'!L31&lt;0,'03_全链计算'!R63+1,0),IF('01_数值调参'!L32&lt;0,'03_全链计算'!S63+1,0),IF('01_数值调参'!L33&lt;0,'03_全链计算'!T63+1,0),IF('01_数值调参'!L34&lt;0,'03_全链计算'!U63+1,0),IF('01_数值调参'!L35&lt;0,'03_全链计算'!V63+1,0),IF('01_数值调参'!L36&lt;0,'03_全链计算'!W63+1,0),IF('01_数值调参'!L37&lt;0,'03_全链计算'!X63+1,0),IF('01_数值调参'!L38&lt;0,'03_全链计算'!Y63+1,0),IF('01_数值调参'!L39&lt;0,'03_全链计算'!Z63+1,0),IF('01_数值调参'!L40&lt;0,'03_全链计算'!AA63+1,0),IF('01_数值调参'!L41&lt;0,'03_全链计算'!AB63+1,0),IF('01_数值调参'!L42&lt;0,'03_全链计算'!AC63+1,0),IF('01_数值调参'!L43&lt;0,'03_全链计算'!AD63+1,0),IF('01_数值调参'!L44&lt;0,'03_全链计算'!AE63+1,0),IF('01_数值调参'!L45&lt;0,'03_全链计算'!AF63+1,0),IF('01_数值调参'!L46&lt;0,'03_全链计算'!AG63+1,0),IF('01_数值调参'!L47&lt;0,'03_全链计算'!AH63+1,0),IF('01_数值调参'!L48&lt;0,'03_全链计算'!AI63+1,0),IF('01_数值调参'!L49&lt;0,'03_全链计算'!AJ63+1,0),IF('01_数值调参'!L50&lt;0,'03_全链计算'!AK63+1,0),IF('01_数值调参'!L51&lt;0,'03_全链计算'!AL63+1,0),IF('01_数值调参'!L52&lt;0,'03_全链计算'!AM63+1,0))</x:f>
        <x:v>0</x:v>
      </x:c>
      <x:c r="M64" s="9" t="n">
        <x:f>MAX(IF('01_数值调参'!M18&lt;0,'03_全链计算'!E63+1,0),IF('01_数值调参'!M19&lt;0,'03_全链计算'!F63+1,0),IF('01_数值调参'!M20&lt;0,'03_全链计算'!G63+1,0),IF('01_数值调参'!M21&lt;0,'03_全链计算'!H63+1,0),IF('01_数值调参'!M22&lt;0,'03_全链计算'!I63+1,0),IF('01_数值调参'!M23&lt;0,'03_全链计算'!J63+1,0),IF('01_数值调参'!M24&lt;0,'03_全链计算'!K63+1,0),IF('01_数值调参'!M25&lt;0,'03_全链计算'!L63+1,0),IF('01_数值调参'!M26&lt;0,'03_全链计算'!M63+1,0),IF('01_数值调参'!M27&lt;0,'03_全链计算'!N63+1,0),IF('01_数值调参'!M28&lt;0,'03_全链计算'!O63+1,0),IF('01_数值调参'!M29&lt;0,'03_全链计算'!P63+1,0),IF('01_数值调参'!M30&lt;0,'03_全链计算'!Q63+1,0),IF('01_数值调参'!M31&lt;0,'03_全链计算'!R63+1,0),IF('01_数值调参'!M32&lt;0,'03_全链计算'!S63+1,0),IF('01_数值调参'!M33&lt;0,'03_全链计算'!T63+1,0),IF('01_数值调参'!M34&lt;0,'03_全链计算'!U63+1,0),IF('01_数值调参'!M35&lt;0,'03_全链计算'!V63+1,0),IF('01_数值调参'!M36&lt;0,'03_全链计算'!W63+1,0),IF('01_数值调参'!M37&lt;0,'03_全链计算'!X63+1,0),IF('01_数值调参'!M38&lt;0,'03_全链计算'!Y63+1,0),IF('01_数值调参'!M39&lt;0,'03_全链计算'!Z63+1,0),IF('01_数值调参'!M40&lt;0,'03_全链计算'!AA63+1,0),IF('01_数值调参'!M41&lt;0,'03_全链计算'!AB63+1,0),IF('01_数值调参'!M42&lt;0,'03_全链计算'!AC63+1,0),IF('01_数值调参'!M43&lt;0,'03_全链计算'!AD63+1,0),IF('01_数值调参'!M44&lt;0,'03_全链计算'!AE63+1,0),IF('01_数值调参'!M45&lt;0,'03_全链计算'!AF63+1,0),IF('01_数值调参'!M46&lt;0,'03_全链计算'!AG63+1,0),IF('01_数值调参'!M47&lt;0,'03_全链计算'!AH63+1,0),IF('01_数值调参'!M48&lt;0,'03_全链计算'!AI63+1,0),IF('01_数值调参'!M49&lt;0,'03_全链计算'!AJ63+1,0),IF('01_数值调参'!M50&lt;0,'03_全链计算'!AK63+1,0),IF('01_数值调参'!M51&lt;0,'03_全链计算'!AL63+1,0),IF('01_数值调参'!M52&lt;0,'03_全链计算'!AM63+1,0))</x:f>
        <x:v>0</x:v>
      </x:c>
      <x:c r="N64" s="9" t="n">
        <x:f>MAX(IF('01_数值调参'!N18&lt;0,'03_全链计算'!E63+1,0),IF('01_数值调参'!N19&lt;0,'03_全链计算'!F63+1,0),IF('01_数值调参'!N20&lt;0,'03_全链计算'!G63+1,0),IF('01_数值调参'!N21&lt;0,'03_全链计算'!H63+1,0),IF('01_数值调参'!N22&lt;0,'03_全链计算'!I63+1,0),IF('01_数值调参'!N23&lt;0,'03_全链计算'!J63+1,0),IF('01_数值调参'!N24&lt;0,'03_全链计算'!K63+1,0),IF('01_数值调参'!N25&lt;0,'03_全链计算'!L63+1,0),IF('01_数值调参'!N26&lt;0,'03_全链计算'!M63+1,0),IF('01_数值调参'!N27&lt;0,'03_全链计算'!N63+1,0),IF('01_数值调参'!N28&lt;0,'03_全链计算'!O63+1,0),IF('01_数值调参'!N29&lt;0,'03_全链计算'!P63+1,0),IF('01_数值调参'!N30&lt;0,'03_全链计算'!Q63+1,0),IF('01_数值调参'!N31&lt;0,'03_全链计算'!R63+1,0),IF('01_数值调参'!N32&lt;0,'03_全链计算'!S63+1,0),IF('01_数值调参'!N33&lt;0,'03_全链计算'!T63+1,0),IF('01_数值调参'!N34&lt;0,'03_全链计算'!U63+1,0),IF('01_数值调参'!N35&lt;0,'03_全链计算'!V63+1,0),IF('01_数值调参'!N36&lt;0,'03_全链计算'!W63+1,0),IF('01_数值调参'!N37&lt;0,'03_全链计算'!X63+1,0),IF('01_数值调参'!N38&lt;0,'03_全链计算'!Y63+1,0),IF('01_数值调参'!N39&lt;0,'03_全链计算'!Z63+1,0),IF('01_数值调参'!N40&lt;0,'03_全链计算'!AA63+1,0),IF('01_数值调参'!N41&lt;0,'03_全链计算'!AB63+1,0),IF('01_数值调参'!N42&lt;0,'03_全链计算'!AC63+1,0),IF('01_数值调参'!N43&lt;0,'03_全链计算'!AD63+1,0),IF('01_数值调参'!N44&lt;0,'03_全链计算'!AE63+1,0),IF('01_数值调参'!N45&lt;0,'03_全链计算'!AF63+1,0),IF('01_数值调参'!N46&lt;0,'03_全链计算'!AG63+1,0),IF('01_数值调参'!N47&lt;0,'03_全链计算'!AH63+1,0),IF('01_数值调参'!N48&lt;0,'03_全链计算'!AI63+1,0),IF('01_数值调参'!N49&lt;0,'03_全链计算'!AJ63+1,0),IF('01_数值调参'!N50&lt;0,'03_全链计算'!AK63+1,0),IF('01_数值调参'!N51&lt;0,'03_全链计算'!AL63+1,0),IF('01_数值调参'!N52&lt;0,'03_全链计算'!AM63+1,0))</x:f>
        <x:v>1</x:v>
      </x:c>
      <x:c r="O64" s="9" t="n">
        <x:f>MAX(IF('01_数值调参'!O18&lt;0,'03_全链计算'!E63+1,0),IF('01_数值调参'!O19&lt;0,'03_全链计算'!F63+1,0),IF('01_数值调参'!O20&lt;0,'03_全链计算'!G63+1,0),IF('01_数值调参'!O21&lt;0,'03_全链计算'!H63+1,0),IF('01_数值调参'!O22&lt;0,'03_全链计算'!I63+1,0),IF('01_数值调参'!O23&lt;0,'03_全链计算'!J63+1,0),IF('01_数值调参'!O24&lt;0,'03_全链计算'!K63+1,0),IF('01_数值调参'!O25&lt;0,'03_全链计算'!L63+1,0),IF('01_数值调参'!O26&lt;0,'03_全链计算'!M63+1,0),IF('01_数值调参'!O27&lt;0,'03_全链计算'!N63+1,0),IF('01_数值调参'!O28&lt;0,'03_全链计算'!O63+1,0),IF('01_数值调参'!O29&lt;0,'03_全链计算'!P63+1,0),IF('01_数值调参'!O30&lt;0,'03_全链计算'!Q63+1,0),IF('01_数值调参'!O31&lt;0,'03_全链计算'!R63+1,0),IF('01_数值调参'!O32&lt;0,'03_全链计算'!S63+1,0),IF('01_数值调参'!O33&lt;0,'03_全链计算'!T63+1,0),IF('01_数值调参'!O34&lt;0,'03_全链计算'!U63+1,0),IF('01_数值调参'!O35&lt;0,'03_全链计算'!V63+1,0),IF('01_数值调参'!O36&lt;0,'03_全链计算'!W63+1,0),IF('01_数值调参'!O37&lt;0,'03_全链计算'!X63+1,0),IF('01_数值调参'!O38&lt;0,'03_全链计算'!Y63+1,0),IF('01_数值调参'!O39&lt;0,'03_全链计算'!Z63+1,0),IF('01_数值调参'!O40&lt;0,'03_全链计算'!AA63+1,0),IF('01_数值调参'!O41&lt;0,'03_全链计算'!AB63+1,0),IF('01_数值调参'!O42&lt;0,'03_全链计算'!AC63+1,0),IF('01_数值调参'!O43&lt;0,'03_全链计算'!AD63+1,0),IF('01_数值调参'!O44&lt;0,'03_全链计算'!AE63+1,0),IF('01_数值调参'!O45&lt;0,'03_全链计算'!AF63+1,0),IF('01_数值调参'!O46&lt;0,'03_全链计算'!AG63+1,0),IF('01_数值调参'!O47&lt;0,'03_全链计算'!AH63+1,0),IF('01_数值调参'!O48&lt;0,'03_全链计算'!AI63+1,0),IF('01_数值调参'!O49&lt;0,'03_全链计算'!AJ63+1,0),IF('01_数值调参'!O50&lt;0,'03_全链计算'!AK63+1,0),IF('01_数值调参'!O51&lt;0,'03_全链计算'!AL63+1,0),IF('01_数值调参'!O52&lt;0,'03_全链计算'!AM63+1,0))</x:f>
        <x:v>1</x:v>
      </x:c>
      <x:c r="P64" s="9" t="n">
        <x:f>MAX(IF('01_数值调参'!P18&lt;0,'03_全链计算'!E63+1,0),IF('01_数值调参'!P19&lt;0,'03_全链计算'!F63+1,0),IF('01_数值调参'!P20&lt;0,'03_全链计算'!G63+1,0),IF('01_数值调参'!P21&lt;0,'03_全链计算'!H63+1,0),IF('01_数值调参'!P22&lt;0,'03_全链计算'!I63+1,0),IF('01_数值调参'!P23&lt;0,'03_全链计算'!J63+1,0),IF('01_数值调参'!P24&lt;0,'03_全链计算'!K63+1,0),IF('01_数值调参'!P25&lt;0,'03_全链计算'!L63+1,0),IF('01_数值调参'!P26&lt;0,'03_全链计算'!M63+1,0),IF('01_数值调参'!P27&lt;0,'03_全链计算'!N63+1,0),IF('01_数值调参'!P28&lt;0,'03_全链计算'!O63+1,0),IF('01_数值调参'!P29&lt;0,'03_全链计算'!P63+1,0),IF('01_数值调参'!P30&lt;0,'03_全链计算'!Q63+1,0),IF('01_数值调参'!P31&lt;0,'03_全链计算'!R63+1,0),IF('01_数值调参'!P32&lt;0,'03_全链计算'!S63+1,0),IF('01_数值调参'!P33&lt;0,'03_全链计算'!T63+1,0),IF('01_数值调参'!P34&lt;0,'03_全链计算'!U63+1,0),IF('01_数值调参'!P35&lt;0,'03_全链计算'!V63+1,0),IF('01_数值调参'!P36&lt;0,'03_全链计算'!W63+1,0),IF('01_数值调参'!P37&lt;0,'03_全链计算'!X63+1,0),IF('01_数值调参'!P38&lt;0,'03_全链计算'!Y63+1,0),IF('01_数值调参'!P39&lt;0,'03_全链计算'!Z63+1,0),IF('01_数值调参'!P40&lt;0,'03_全链计算'!AA63+1,0),IF('01_数值调参'!P41&lt;0,'03_全链计算'!AB63+1,0),IF('01_数值调参'!P42&lt;0,'03_全链计算'!AC63+1,0),IF('01_数值调参'!P43&lt;0,'03_全链计算'!AD63+1,0),IF('01_数值调参'!P44&lt;0,'03_全链计算'!AE63+1,0),IF('01_数值调参'!P45&lt;0,'03_全链计算'!AF63+1,0),IF('01_数值调参'!P46&lt;0,'03_全链计算'!AG63+1,0),IF('01_数值调参'!P47&lt;0,'03_全链计算'!AH63+1,0),IF('01_数值调参'!P48&lt;0,'03_全链计算'!AI63+1,0),IF('01_数值调参'!P49&lt;0,'03_全链计算'!AJ63+1,0),IF('01_数值调参'!P50&lt;0,'03_全链计算'!AK63+1,0),IF('01_数值调参'!P51&lt;0,'03_全链计算'!AL63+1,0),IF('01_数值调参'!P52&lt;0,'03_全链计算'!AM63+1,0))</x:f>
        <x:v>1</x:v>
      </x:c>
      <x:c r="Q64" s="9" t="n">
        <x:f>MAX(IF('01_数值调参'!Q18&lt;0,'03_全链计算'!E63+1,0),IF('01_数值调参'!Q19&lt;0,'03_全链计算'!F63+1,0),IF('01_数值调参'!Q20&lt;0,'03_全链计算'!G63+1,0),IF('01_数值调参'!Q21&lt;0,'03_全链计算'!H63+1,0),IF('01_数值调参'!Q22&lt;0,'03_全链计算'!I63+1,0),IF('01_数值调参'!Q23&lt;0,'03_全链计算'!J63+1,0),IF('01_数值调参'!Q24&lt;0,'03_全链计算'!K63+1,0),IF('01_数值调参'!Q25&lt;0,'03_全链计算'!L63+1,0),IF('01_数值调参'!Q26&lt;0,'03_全链计算'!M63+1,0),IF('01_数值调参'!Q27&lt;0,'03_全链计算'!N63+1,0),IF('01_数值调参'!Q28&lt;0,'03_全链计算'!O63+1,0),IF('01_数值调参'!Q29&lt;0,'03_全链计算'!P63+1,0),IF('01_数值调参'!Q30&lt;0,'03_全链计算'!Q63+1,0),IF('01_数值调参'!Q31&lt;0,'03_全链计算'!R63+1,0),IF('01_数值调参'!Q32&lt;0,'03_全链计算'!S63+1,0),IF('01_数值调参'!Q33&lt;0,'03_全链计算'!T63+1,0),IF('01_数值调参'!Q34&lt;0,'03_全链计算'!U63+1,0),IF('01_数值调参'!Q35&lt;0,'03_全链计算'!V63+1,0),IF('01_数值调参'!Q36&lt;0,'03_全链计算'!W63+1,0),IF('01_数值调参'!Q37&lt;0,'03_全链计算'!X63+1,0),IF('01_数值调参'!Q38&lt;0,'03_全链计算'!Y63+1,0),IF('01_数值调参'!Q39&lt;0,'03_全链计算'!Z63+1,0),IF('01_数值调参'!Q40&lt;0,'03_全链计算'!AA63+1,0),IF('01_数值调参'!Q41&lt;0,'03_全链计算'!AB63+1,0),IF('01_数值调参'!Q42&lt;0,'03_全链计算'!AC63+1,0),IF('01_数值调参'!Q43&lt;0,'03_全链计算'!AD63+1,0),IF('01_数值调参'!Q44&lt;0,'03_全链计算'!AE63+1,0),IF('01_数值调参'!Q45&lt;0,'03_全链计算'!AF63+1,0),IF('01_数值调参'!Q46&lt;0,'03_全链计算'!AG63+1,0),IF('01_数值调参'!Q47&lt;0,'03_全链计算'!AH63+1,0),IF('01_数值调参'!Q48&lt;0,'03_全链计算'!AI63+1,0),IF('01_数值调参'!Q49&lt;0,'03_全链计算'!AJ63+1,0),IF('01_数值调参'!Q50&lt;0,'03_全链计算'!AK63+1,0),IF('01_数值调参'!Q51&lt;0,'03_全链计算'!AL63+1,0),IF('01_数值调参'!Q52&lt;0,'03_全链计算'!AM63+1,0))</x:f>
        <x:v>1</x:v>
      </x:c>
      <x:c r="R64" s="9" t="n">
        <x:f>MAX(IF('01_数值调参'!R18&lt;0,'03_全链计算'!E63+1,0),IF('01_数值调参'!R19&lt;0,'03_全链计算'!F63+1,0),IF('01_数值调参'!R20&lt;0,'03_全链计算'!G63+1,0),IF('01_数值调参'!R21&lt;0,'03_全链计算'!H63+1,0),IF('01_数值调参'!R22&lt;0,'03_全链计算'!I63+1,0),IF('01_数值调参'!R23&lt;0,'03_全链计算'!J63+1,0),IF('01_数值调参'!R24&lt;0,'03_全链计算'!K63+1,0),IF('01_数值调参'!R25&lt;0,'03_全链计算'!L63+1,0),IF('01_数值调参'!R26&lt;0,'03_全链计算'!M63+1,0),IF('01_数值调参'!R27&lt;0,'03_全链计算'!N63+1,0),IF('01_数值调参'!R28&lt;0,'03_全链计算'!O63+1,0),IF('01_数值调参'!R29&lt;0,'03_全链计算'!P63+1,0),IF('01_数值调参'!R30&lt;0,'03_全链计算'!Q63+1,0),IF('01_数值调参'!R31&lt;0,'03_全链计算'!R63+1,0),IF('01_数值调参'!R32&lt;0,'03_全链计算'!S63+1,0),IF('01_数值调参'!R33&lt;0,'03_全链计算'!T63+1,0),IF('01_数值调参'!R34&lt;0,'03_全链计算'!U63+1,0),IF('01_数值调参'!R35&lt;0,'03_全链计算'!V63+1,0),IF('01_数值调参'!R36&lt;0,'03_全链计算'!W63+1,0),IF('01_数值调参'!R37&lt;0,'03_全链计算'!X63+1,0),IF('01_数值调参'!R38&lt;0,'03_全链计算'!Y63+1,0),IF('01_数值调参'!R39&lt;0,'03_全链计算'!Z63+1,0),IF('01_数值调参'!R40&lt;0,'03_全链计算'!AA63+1,0),IF('01_数值调参'!R41&lt;0,'03_全链计算'!AB63+1,0),IF('01_数值调参'!R42&lt;0,'03_全链计算'!AC63+1,0),IF('01_数值调参'!R43&lt;0,'03_全链计算'!AD63+1,0),IF('01_数值调参'!R44&lt;0,'03_全链计算'!AE63+1,0),IF('01_数值调参'!R45&lt;0,'03_全链计算'!AF63+1,0),IF('01_数值调参'!R46&lt;0,'03_全链计算'!AG63+1,0),IF('01_数值调参'!R47&lt;0,'03_全链计算'!AH63+1,0),IF('01_数值调参'!R48&lt;0,'03_全链计算'!AI63+1,0),IF('01_数值调参'!R49&lt;0,'03_全链计算'!AJ63+1,0),IF('01_数值调参'!R50&lt;0,'03_全链计算'!AK63+1,0),IF('01_数值调参'!R51&lt;0,'03_全链计算'!AL63+1,0),IF('01_数值调参'!R52&lt;0,'03_全链计算'!AM63+1,0))</x:f>
        <x:v>1</x:v>
      </x:c>
      <x:c r="S64" s="9" t="n">
        <x:f>MAX(IF('01_数值调参'!S18&lt;0,'03_全链计算'!E63+1,0),IF('01_数值调参'!S19&lt;0,'03_全链计算'!F63+1,0),IF('01_数值调参'!S20&lt;0,'03_全链计算'!G63+1,0),IF('01_数值调参'!S21&lt;0,'03_全链计算'!H63+1,0),IF('01_数值调参'!S22&lt;0,'03_全链计算'!I63+1,0),IF('01_数值调参'!S23&lt;0,'03_全链计算'!J63+1,0),IF('01_数值调参'!S24&lt;0,'03_全链计算'!K63+1,0),IF('01_数值调参'!S25&lt;0,'03_全链计算'!L63+1,0),IF('01_数值调参'!S26&lt;0,'03_全链计算'!M63+1,0),IF('01_数值调参'!S27&lt;0,'03_全链计算'!N63+1,0),IF('01_数值调参'!S28&lt;0,'03_全链计算'!O63+1,0),IF('01_数值调参'!S29&lt;0,'03_全链计算'!P63+1,0),IF('01_数值调参'!S30&lt;0,'03_全链计算'!Q63+1,0),IF('01_数值调参'!S31&lt;0,'03_全链计算'!R63+1,0),IF('01_数值调参'!S32&lt;0,'03_全链计算'!S63+1,0),IF('01_数值调参'!S33&lt;0,'03_全链计算'!T63+1,0),IF('01_数值调参'!S34&lt;0,'03_全链计算'!U63+1,0),IF('01_数值调参'!S35&lt;0,'03_全链计算'!V63+1,0),IF('01_数值调参'!S36&lt;0,'03_全链计算'!W63+1,0),IF('01_数值调参'!S37&lt;0,'03_全链计算'!X63+1,0),IF('01_数值调参'!S38&lt;0,'03_全链计算'!Y63+1,0),IF('01_数值调参'!S39&lt;0,'03_全链计算'!Z63+1,0),IF('01_数值调参'!S40&lt;0,'03_全链计算'!AA63+1,0),IF('01_数值调参'!S41&lt;0,'03_全链计算'!AB63+1,0),IF('01_数值调参'!S42&lt;0,'03_全链计算'!AC63+1,0),IF('01_数值调参'!S43&lt;0,'03_全链计算'!AD63+1,0),IF('01_数值调参'!S44&lt;0,'03_全链计算'!AE63+1,0),IF('01_数值调参'!S45&lt;0,'03_全链计算'!AF63+1,0),IF('01_数值调参'!S46&lt;0,'03_全链计算'!AG63+1,0),IF('01_数值调参'!S47&lt;0,'03_全链计算'!AH63+1,0),IF('01_数值调参'!S48&lt;0,'03_全链计算'!AI63+1,0),IF('01_数值调参'!S49&lt;0,'03_全链计算'!AJ63+1,0),IF('01_数值调参'!S50&lt;0,'03_全链计算'!AK63+1,0),IF('01_数值调参'!S51&lt;0,'03_全链计算'!AL63+1,0),IF('01_数值调参'!S52&lt;0,'03_全链计算'!AM63+1,0))</x:f>
        <x:v>1</x:v>
      </x:c>
      <x:c r="T64" s="9" t="n">
        <x:f>MAX(IF('01_数值调参'!T18&lt;0,'03_全链计算'!E63+1,0),IF('01_数值调参'!T19&lt;0,'03_全链计算'!F63+1,0),IF('01_数值调参'!T20&lt;0,'03_全链计算'!G63+1,0),IF('01_数值调参'!T21&lt;0,'03_全链计算'!H63+1,0),IF('01_数值调参'!T22&lt;0,'03_全链计算'!I63+1,0),IF('01_数值调参'!T23&lt;0,'03_全链计算'!J63+1,0),IF('01_数值调参'!T24&lt;0,'03_全链计算'!K63+1,0),IF('01_数值调参'!T25&lt;0,'03_全链计算'!L63+1,0),IF('01_数值调参'!T26&lt;0,'03_全链计算'!M63+1,0),IF('01_数值调参'!T27&lt;0,'03_全链计算'!N63+1,0),IF('01_数值调参'!T28&lt;0,'03_全链计算'!O63+1,0),IF('01_数值调参'!T29&lt;0,'03_全链计算'!P63+1,0),IF('01_数值调参'!T30&lt;0,'03_全链计算'!Q63+1,0),IF('01_数值调参'!T31&lt;0,'03_全链计算'!R63+1,0),IF('01_数值调参'!T32&lt;0,'03_全链计算'!S63+1,0),IF('01_数值调参'!T33&lt;0,'03_全链计算'!T63+1,0),IF('01_数值调参'!T34&lt;0,'03_全链计算'!U63+1,0),IF('01_数值调参'!T35&lt;0,'03_全链计算'!V63+1,0),IF('01_数值调参'!T36&lt;0,'03_全链计算'!W63+1,0),IF('01_数值调参'!T37&lt;0,'03_全链计算'!X63+1,0),IF('01_数值调参'!T38&lt;0,'03_全链计算'!Y63+1,0),IF('01_数值调参'!T39&lt;0,'03_全链计算'!Z63+1,0),IF('01_数值调参'!T40&lt;0,'03_全链计算'!AA63+1,0),IF('01_数值调参'!T41&lt;0,'03_全链计算'!AB63+1,0),IF('01_数值调参'!T42&lt;0,'03_全链计算'!AC63+1,0),IF('01_数值调参'!T43&lt;0,'03_全链计算'!AD63+1,0),IF('01_数值调参'!T44&lt;0,'03_全链计算'!AE63+1,0),IF('01_数值调参'!T45&lt;0,'03_全链计算'!AF63+1,0),IF('01_数值调参'!T46&lt;0,'03_全链计算'!AG63+1,0),IF('01_数值调参'!T47&lt;0,'03_全链计算'!AH63+1,0),IF('01_数值调参'!T48&lt;0,'03_全链计算'!AI63+1,0),IF('01_数值调参'!T49&lt;0,'03_全链计算'!AJ63+1,0),IF('01_数值调参'!T50&lt;0,'03_全链计算'!AK63+1,0),IF('01_数值调参'!T51&lt;0,'03_全链计算'!AL63+1,0),IF('01_数值调参'!T52&lt;0,'03_全链计算'!AM63+1,0))</x:f>
        <x:v>1</x:v>
      </x:c>
      <x:c r="U64" s="9" t="n">
        <x:f>MAX(IF('01_数值调参'!U18&lt;0,'03_全链计算'!E63+1,0),IF('01_数值调参'!U19&lt;0,'03_全链计算'!F63+1,0),IF('01_数值调参'!U20&lt;0,'03_全链计算'!G63+1,0),IF('01_数值调参'!U21&lt;0,'03_全链计算'!H63+1,0),IF('01_数值调参'!U22&lt;0,'03_全链计算'!I63+1,0),IF('01_数值调参'!U23&lt;0,'03_全链计算'!J63+1,0),IF('01_数值调参'!U24&lt;0,'03_全链计算'!K63+1,0),IF('01_数值调参'!U25&lt;0,'03_全链计算'!L63+1,0),IF('01_数值调参'!U26&lt;0,'03_全链计算'!M63+1,0),IF('01_数值调参'!U27&lt;0,'03_全链计算'!N63+1,0),IF('01_数值调参'!U28&lt;0,'03_全链计算'!O63+1,0),IF('01_数值调参'!U29&lt;0,'03_全链计算'!P63+1,0),IF('01_数值调参'!U30&lt;0,'03_全链计算'!Q63+1,0),IF('01_数值调参'!U31&lt;0,'03_全链计算'!R63+1,0),IF('01_数值调参'!U32&lt;0,'03_全链计算'!S63+1,0),IF('01_数值调参'!U33&lt;0,'03_全链计算'!T63+1,0),IF('01_数值调参'!U34&lt;0,'03_全链计算'!U63+1,0),IF('01_数值调参'!U35&lt;0,'03_全链计算'!V63+1,0),IF('01_数值调参'!U36&lt;0,'03_全链计算'!W63+1,0),IF('01_数值调参'!U37&lt;0,'03_全链计算'!X63+1,0),IF('01_数值调参'!U38&lt;0,'03_全链计算'!Y63+1,0),IF('01_数值调参'!U39&lt;0,'03_全链计算'!Z63+1,0),IF('01_数值调参'!U40&lt;0,'03_全链计算'!AA63+1,0),IF('01_数值调参'!U41&lt;0,'03_全链计算'!AB63+1,0),IF('01_数值调参'!U42&lt;0,'03_全链计算'!AC63+1,0),IF('01_数值调参'!U43&lt;0,'03_全链计算'!AD63+1,0),IF('01_数值调参'!U44&lt;0,'03_全链计算'!AE63+1,0),IF('01_数值调参'!U45&lt;0,'03_全链计算'!AF63+1,0),IF('01_数值调参'!U46&lt;0,'03_全链计算'!AG63+1,0),IF('01_数值调参'!U47&lt;0,'03_全链计算'!AH63+1,0),IF('01_数值调参'!U48&lt;0,'03_全链计算'!AI63+1,0),IF('01_数值调参'!U49&lt;0,'03_全链计算'!AJ63+1,0),IF('01_数值调参'!U50&lt;0,'03_全链计算'!AK63+1,0),IF('01_数值调参'!U51&lt;0,'03_全链计算'!AL63+1,0),IF('01_数值调参'!U52&lt;0,'03_全链计算'!AM63+1,0))</x:f>
        <x:v>1</x:v>
      </x:c>
      <x:c r="V64" s="9" t="n">
        <x:f>MAX(IF('01_数值调参'!V18&lt;0,'03_全链计算'!E63+1,0),IF('01_数值调参'!V19&lt;0,'03_全链计算'!F63+1,0),IF('01_数值调参'!V20&lt;0,'03_全链计算'!G63+1,0),IF('01_数值调参'!V21&lt;0,'03_全链计算'!H63+1,0),IF('01_数值调参'!V22&lt;0,'03_全链计算'!I63+1,0),IF('01_数值调参'!V23&lt;0,'03_全链计算'!J63+1,0),IF('01_数值调参'!V24&lt;0,'03_全链计算'!K63+1,0),IF('01_数值调参'!V25&lt;0,'03_全链计算'!L63+1,0),IF('01_数值调参'!V26&lt;0,'03_全链计算'!M63+1,0),IF('01_数值调参'!V27&lt;0,'03_全链计算'!N63+1,0),IF('01_数值调参'!V28&lt;0,'03_全链计算'!O63+1,0),IF('01_数值调参'!V29&lt;0,'03_全链计算'!P63+1,0),IF('01_数值调参'!V30&lt;0,'03_全链计算'!Q63+1,0),IF('01_数值调参'!V31&lt;0,'03_全链计算'!R63+1,0),IF('01_数值调参'!V32&lt;0,'03_全链计算'!S63+1,0),IF('01_数值调参'!V33&lt;0,'03_全链计算'!T63+1,0),IF('01_数值调参'!V34&lt;0,'03_全链计算'!U63+1,0),IF('01_数值调参'!V35&lt;0,'03_全链计算'!V63+1,0),IF('01_数值调参'!V36&lt;0,'03_全链计算'!W63+1,0),IF('01_数值调参'!V37&lt;0,'03_全链计算'!X63+1,0),IF('01_数值调参'!V38&lt;0,'03_全链计算'!Y63+1,0),IF('01_数值调参'!V39&lt;0,'03_全链计算'!Z63+1,0),IF('01_数值调参'!V40&lt;0,'03_全链计算'!AA63+1,0),IF('01_数值调参'!V41&lt;0,'03_全链计算'!AB63+1,0),IF('01_数值调参'!V42&lt;0,'03_全链计算'!AC63+1,0),IF('01_数值调参'!V43&lt;0,'03_全链计算'!AD63+1,0),IF('01_数值调参'!V44&lt;0,'03_全链计算'!AE63+1,0),IF('01_数值调参'!V45&lt;0,'03_全链计算'!AF63+1,0),IF('01_数值调参'!V46&lt;0,'03_全链计算'!AG63+1,0),IF('01_数值调参'!V47&lt;0,'03_全链计算'!AH63+1,0),IF('01_数值调参'!V48&lt;0,'03_全链计算'!AI63+1,0),IF('01_数值调参'!V49&lt;0,'03_全链计算'!AJ63+1,0),IF('01_数值调参'!V50&lt;0,'03_全链计算'!AK63+1,0),IF('01_数值调参'!V51&lt;0,'03_全链计算'!AL63+1,0),IF('01_数值调参'!V52&lt;0,'03_全链计算'!AM63+1,0))</x:f>
        <x:v>1</x:v>
      </x:c>
      <x:c r="W64" s="9" t="n">
        <x:f>MAX(IF('01_数值调参'!W18&lt;0,'03_全链计算'!E63+1,0),IF('01_数值调参'!W19&lt;0,'03_全链计算'!F63+1,0),IF('01_数值调参'!W20&lt;0,'03_全链计算'!G63+1,0),IF('01_数值调参'!W21&lt;0,'03_全链计算'!H63+1,0),IF('01_数值调参'!W22&lt;0,'03_全链计算'!I63+1,0),IF('01_数值调参'!W23&lt;0,'03_全链计算'!J63+1,0),IF('01_数值调参'!W24&lt;0,'03_全链计算'!K63+1,0),IF('01_数值调参'!W25&lt;0,'03_全链计算'!L63+1,0),IF('01_数值调参'!W26&lt;0,'03_全链计算'!M63+1,0),IF('01_数值调参'!W27&lt;0,'03_全链计算'!N63+1,0),IF('01_数值调参'!W28&lt;0,'03_全链计算'!O63+1,0),IF('01_数值调参'!W29&lt;0,'03_全链计算'!P63+1,0),IF('01_数值调参'!W30&lt;0,'03_全链计算'!Q63+1,0),IF('01_数值调参'!W31&lt;0,'03_全链计算'!R63+1,0),IF('01_数值调参'!W32&lt;0,'03_全链计算'!S63+1,0),IF('01_数值调参'!W33&lt;0,'03_全链计算'!T63+1,0),IF('01_数值调参'!W34&lt;0,'03_全链计算'!U63+1,0),IF('01_数值调参'!W35&lt;0,'03_全链计算'!V63+1,0),IF('01_数值调参'!W36&lt;0,'03_全链计算'!W63+1,0),IF('01_数值调参'!W37&lt;0,'03_全链计算'!X63+1,0),IF('01_数值调参'!W38&lt;0,'03_全链计算'!Y63+1,0),IF('01_数值调参'!W39&lt;0,'03_全链计算'!Z63+1,0),IF('01_数值调参'!W40&lt;0,'03_全链计算'!AA63+1,0),IF('01_数值调参'!W41&lt;0,'03_全链计算'!AB63+1,0),IF('01_数值调参'!W42&lt;0,'03_全链计算'!AC63+1,0),IF('01_数值调参'!W43&lt;0,'03_全链计算'!AD63+1,0),IF('01_数值调参'!W44&lt;0,'03_全链计算'!AE63+1,0),IF('01_数值调参'!W45&lt;0,'03_全链计算'!AF63+1,0),IF('01_数值调参'!W46&lt;0,'03_全链计算'!AG63+1,0),IF('01_数值调参'!W47&lt;0,'03_全链计算'!AH63+1,0),IF('01_数值调参'!W48&lt;0,'03_全链计算'!AI63+1,0),IF('01_数值调参'!W49&lt;0,'03_全链计算'!AJ63+1,0),IF('01_数值调参'!W50&lt;0,'03_全链计算'!AK63+1,0),IF('01_数值调参'!W51&lt;0,'03_全链计算'!AL63+1,0),IF('01_数值调参'!W52&lt;0,'03_全链计算'!AM63+1,0))</x:f>
        <x:v>1</x:v>
      </x:c>
      <x:c r="X64" s="9" t="n">
        <x:f>MAX(IF('01_数值调参'!X18&lt;0,'03_全链计算'!E63+1,0),IF('01_数值调参'!X19&lt;0,'03_全链计算'!F63+1,0),IF('01_数值调参'!X20&lt;0,'03_全链计算'!G63+1,0),IF('01_数值调参'!X21&lt;0,'03_全链计算'!H63+1,0),IF('01_数值调参'!X22&lt;0,'03_全链计算'!I63+1,0),IF('01_数值调参'!X23&lt;0,'03_全链计算'!J63+1,0),IF('01_数值调参'!X24&lt;0,'03_全链计算'!K63+1,0),IF('01_数值调参'!X25&lt;0,'03_全链计算'!L63+1,0),IF('01_数值调参'!X26&lt;0,'03_全链计算'!M63+1,0),IF('01_数值调参'!X27&lt;0,'03_全链计算'!N63+1,0),IF('01_数值调参'!X28&lt;0,'03_全链计算'!O63+1,0),IF('01_数值调参'!X29&lt;0,'03_全链计算'!P63+1,0),IF('01_数值调参'!X30&lt;0,'03_全链计算'!Q63+1,0),IF('01_数值调参'!X31&lt;0,'03_全链计算'!R63+1,0),IF('01_数值调参'!X32&lt;0,'03_全链计算'!S63+1,0),IF('01_数值调参'!X33&lt;0,'03_全链计算'!T63+1,0),IF('01_数值调参'!X34&lt;0,'03_全链计算'!U63+1,0),IF('01_数值调参'!X35&lt;0,'03_全链计算'!V63+1,0),IF('01_数值调参'!X36&lt;0,'03_全链计算'!W63+1,0),IF('01_数值调参'!X37&lt;0,'03_全链计算'!X63+1,0),IF('01_数值调参'!X38&lt;0,'03_全链计算'!Y63+1,0),IF('01_数值调参'!X39&lt;0,'03_全链计算'!Z63+1,0),IF('01_数值调参'!X40&lt;0,'03_全链计算'!AA63+1,0),IF('01_数值调参'!X41&lt;0,'03_全链计算'!AB63+1,0),IF('01_数值调参'!X42&lt;0,'03_全链计算'!AC63+1,0),IF('01_数值调参'!X43&lt;0,'03_全链计算'!AD63+1,0),IF('01_数值调参'!X44&lt;0,'03_全链计算'!AE63+1,0),IF('01_数值调参'!X45&lt;0,'03_全链计算'!AF63+1,0),IF('01_数值调参'!X46&lt;0,'03_全链计算'!AG63+1,0),IF('01_数值调参'!X47&lt;0,'03_全链计算'!AH63+1,0),IF('01_数值调参'!X48&lt;0,'03_全链计算'!AI63+1,0),IF('01_数值调参'!X49&lt;0,'03_全链计算'!AJ63+1,0),IF('01_数值调参'!X50&lt;0,'03_全链计算'!AK63+1,0),IF('01_数值调参'!X51&lt;0,'03_全链计算'!AL63+1,0),IF('01_数值调参'!X52&lt;0,'03_全链计算'!AM63+1,0))</x:f>
        <x:v>2</x:v>
      </x:c>
      <x:c r="Y64" s="9" t="n">
        <x:f>MAX(IF('01_数值调参'!Y18&lt;0,'03_全链计算'!E63+1,0),IF('01_数值调参'!Y19&lt;0,'03_全链计算'!F63+1,0),IF('01_数值调参'!Y20&lt;0,'03_全链计算'!G63+1,0),IF('01_数值调参'!Y21&lt;0,'03_全链计算'!H63+1,0),IF('01_数值调参'!Y22&lt;0,'03_全链计算'!I63+1,0),IF('01_数值调参'!Y23&lt;0,'03_全链计算'!J63+1,0),IF('01_数值调参'!Y24&lt;0,'03_全链计算'!K63+1,0),IF('01_数值调参'!Y25&lt;0,'03_全链计算'!L63+1,0),IF('01_数值调参'!Y26&lt;0,'03_全链计算'!M63+1,0),IF('01_数值调参'!Y27&lt;0,'03_全链计算'!N63+1,0),IF('01_数值调参'!Y28&lt;0,'03_全链计算'!O63+1,0),IF('01_数值调参'!Y29&lt;0,'03_全链计算'!P63+1,0),IF('01_数值调参'!Y30&lt;0,'03_全链计算'!Q63+1,0),IF('01_数值调参'!Y31&lt;0,'03_全链计算'!R63+1,0),IF('01_数值调参'!Y32&lt;0,'03_全链计算'!S63+1,0),IF('01_数值调参'!Y33&lt;0,'03_全链计算'!T63+1,0),IF('01_数值调参'!Y34&lt;0,'03_全链计算'!U63+1,0),IF('01_数值调参'!Y35&lt;0,'03_全链计算'!V63+1,0),IF('01_数值调参'!Y36&lt;0,'03_全链计算'!W63+1,0),IF('01_数值调参'!Y37&lt;0,'03_全链计算'!X63+1,0),IF('01_数值调参'!Y38&lt;0,'03_全链计算'!Y63+1,0),IF('01_数值调参'!Y39&lt;0,'03_全链计算'!Z63+1,0),IF('01_数值调参'!Y40&lt;0,'03_全链计算'!AA63+1,0),IF('01_数值调参'!Y41&lt;0,'03_全链计算'!AB63+1,0),IF('01_数值调参'!Y42&lt;0,'03_全链计算'!AC63+1,0),IF('01_数值调参'!Y43&lt;0,'03_全链计算'!AD63+1,0),IF('01_数值调参'!Y44&lt;0,'03_全链计算'!AE63+1,0),IF('01_数值调参'!Y45&lt;0,'03_全链计算'!AF63+1,0),IF('01_数值调参'!Y46&lt;0,'03_全链计算'!AG63+1,0),IF('01_数值调参'!Y47&lt;0,'03_全链计算'!AH63+1,0),IF('01_数值调参'!Y48&lt;0,'03_全链计算'!AI63+1,0),IF('01_数值调参'!Y49&lt;0,'03_全链计算'!AJ63+1,0),IF('01_数值调参'!Y50&lt;0,'03_全链计算'!AK63+1,0),IF('01_数值调参'!Y51&lt;0,'03_全链计算'!AL63+1,0),IF('01_数值调参'!Y52&lt;0,'03_全链计算'!AM63+1,0))</x:f>
        <x:v>2</x:v>
      </x:c>
      <x:c r="Z64" s="9" t="n">
        <x:f>MAX(IF('01_数值调参'!Z18&lt;0,'03_全链计算'!E63+1,0),IF('01_数值调参'!Z19&lt;0,'03_全链计算'!F63+1,0),IF('01_数值调参'!Z20&lt;0,'03_全链计算'!G63+1,0),IF('01_数值调参'!Z21&lt;0,'03_全链计算'!H63+1,0),IF('01_数值调参'!Z22&lt;0,'03_全链计算'!I63+1,0),IF('01_数值调参'!Z23&lt;0,'03_全链计算'!J63+1,0),IF('01_数值调参'!Z24&lt;0,'03_全链计算'!K63+1,0),IF('01_数值调参'!Z25&lt;0,'03_全链计算'!L63+1,0),IF('01_数值调参'!Z26&lt;0,'03_全链计算'!M63+1,0),IF('01_数值调参'!Z27&lt;0,'03_全链计算'!N63+1,0),IF('01_数值调参'!Z28&lt;0,'03_全链计算'!O63+1,0),IF('01_数值调参'!Z29&lt;0,'03_全链计算'!P63+1,0),IF('01_数值调参'!Z30&lt;0,'03_全链计算'!Q63+1,0),IF('01_数值调参'!Z31&lt;0,'03_全链计算'!R63+1,0),IF('01_数值调参'!Z32&lt;0,'03_全链计算'!S63+1,0),IF('01_数值调参'!Z33&lt;0,'03_全链计算'!T63+1,0),IF('01_数值调参'!Z34&lt;0,'03_全链计算'!U63+1,0),IF('01_数值调参'!Z35&lt;0,'03_全链计算'!V63+1,0),IF('01_数值调参'!Z36&lt;0,'03_全链计算'!W63+1,0),IF('01_数值调参'!Z37&lt;0,'03_全链计算'!X63+1,0),IF('01_数值调参'!Z38&lt;0,'03_全链计算'!Y63+1,0),IF('01_数值调参'!Z39&lt;0,'03_全链计算'!Z63+1,0),IF('01_数值调参'!Z40&lt;0,'03_全链计算'!AA63+1,0),IF('01_数值调参'!Z41&lt;0,'03_全链计算'!AB63+1,0),IF('01_数值调参'!Z42&lt;0,'03_全链计算'!AC63+1,0),IF('01_数值调参'!Z43&lt;0,'03_全链计算'!AD63+1,0),IF('01_数值调参'!Z44&lt;0,'03_全链计算'!AE63+1,0),IF('01_数值调参'!Z45&lt;0,'03_全链计算'!AF63+1,0),IF('01_数值调参'!Z46&lt;0,'03_全链计算'!AG63+1,0),IF('01_数值调参'!Z47&lt;0,'03_全链计算'!AH63+1,0),IF('01_数值调参'!Z48&lt;0,'03_全链计算'!AI63+1,0),IF('01_数值调参'!Z49&lt;0,'03_全链计算'!AJ63+1,0),IF('01_数值调参'!Z50&lt;0,'03_全链计算'!AK63+1,0),IF('01_数值调参'!Z51&lt;0,'03_全链计算'!AL63+1,0),IF('01_数值调参'!Z52&lt;0,'03_全链计算'!AM63+1,0))</x:f>
        <x:v>2</x:v>
      </x:c>
      <x:c r="AA64" s="9" t="n">
        <x:f>MAX(IF('01_数值调参'!AA18&lt;0,'03_全链计算'!E63+1,0),IF('01_数值调参'!AA19&lt;0,'03_全链计算'!F63+1,0),IF('01_数值调参'!AA20&lt;0,'03_全链计算'!G63+1,0),IF('01_数值调参'!AA21&lt;0,'03_全链计算'!H63+1,0),IF('01_数值调参'!AA22&lt;0,'03_全链计算'!I63+1,0),IF('01_数值调参'!AA23&lt;0,'03_全链计算'!J63+1,0),IF('01_数值调参'!AA24&lt;0,'03_全链计算'!K63+1,0),IF('01_数值调参'!AA25&lt;0,'03_全链计算'!L63+1,0),IF('01_数值调参'!AA26&lt;0,'03_全链计算'!M63+1,0),IF('01_数值调参'!AA27&lt;0,'03_全链计算'!N63+1,0),IF('01_数值调参'!AA28&lt;0,'03_全链计算'!O63+1,0),IF('01_数值调参'!AA29&lt;0,'03_全链计算'!P63+1,0),IF('01_数值调参'!AA30&lt;0,'03_全链计算'!Q63+1,0),IF('01_数值调参'!AA31&lt;0,'03_全链计算'!R63+1,0),IF('01_数值调参'!AA32&lt;0,'03_全链计算'!S63+1,0),IF('01_数值调参'!AA33&lt;0,'03_全链计算'!T63+1,0),IF('01_数值调参'!AA34&lt;0,'03_全链计算'!U63+1,0),IF('01_数值调参'!AA35&lt;0,'03_全链计算'!V63+1,0),IF('01_数值调参'!AA36&lt;0,'03_全链计算'!W63+1,0),IF('01_数值调参'!AA37&lt;0,'03_全链计算'!X63+1,0),IF('01_数值调参'!AA38&lt;0,'03_全链计算'!Y63+1,0),IF('01_数值调参'!AA39&lt;0,'03_全链计算'!Z63+1,0),IF('01_数值调参'!AA40&lt;0,'03_全链计算'!AA63+1,0),IF('01_数值调参'!AA41&lt;0,'03_全链计算'!AB63+1,0),IF('01_数值调参'!AA42&lt;0,'03_全链计算'!AC63+1,0),IF('01_数值调参'!AA43&lt;0,'03_全链计算'!AD63+1,0),IF('01_数值调参'!AA44&lt;0,'03_全链计算'!AE63+1,0),IF('01_数值调参'!AA45&lt;0,'03_全链计算'!AF63+1,0),IF('01_数值调参'!AA46&lt;0,'03_全链计算'!AG63+1,0),IF('01_数值调参'!AA47&lt;0,'03_全链计算'!AH63+1,0),IF('01_数值调参'!AA48&lt;0,'03_全链计算'!AI63+1,0),IF('01_数值调参'!AA49&lt;0,'03_全链计算'!AJ63+1,0),IF('01_数值调参'!AA50&lt;0,'03_全链计算'!AK63+1,0),IF('01_数值调参'!AA51&lt;0,'03_全链计算'!AL63+1,0),IF('01_数值调参'!AA52&lt;0,'03_全链计算'!AM63+1,0))</x:f>
        <x:v>2</x:v>
      </x:c>
      <x:c r="AB64" s="9" t="n">
        <x:f>MAX(IF('01_数值调参'!AB18&lt;0,'03_全链计算'!E63+1,0),IF('01_数值调参'!AB19&lt;0,'03_全链计算'!F63+1,0),IF('01_数值调参'!AB20&lt;0,'03_全链计算'!G63+1,0),IF('01_数值调参'!AB21&lt;0,'03_全链计算'!H63+1,0),IF('01_数值调参'!AB22&lt;0,'03_全链计算'!I63+1,0),IF('01_数值调参'!AB23&lt;0,'03_全链计算'!J63+1,0),IF('01_数值调参'!AB24&lt;0,'03_全链计算'!K63+1,0),IF('01_数值调参'!AB25&lt;0,'03_全链计算'!L63+1,0),IF('01_数值调参'!AB26&lt;0,'03_全链计算'!M63+1,0),IF('01_数值调参'!AB27&lt;0,'03_全链计算'!N63+1,0),IF('01_数值调参'!AB28&lt;0,'03_全链计算'!O63+1,0),IF('01_数值调参'!AB29&lt;0,'03_全链计算'!P63+1,0),IF('01_数值调参'!AB30&lt;0,'03_全链计算'!Q63+1,0),IF('01_数值调参'!AB31&lt;0,'03_全链计算'!R63+1,0),IF('01_数值调参'!AB32&lt;0,'03_全链计算'!S63+1,0),IF('01_数值调参'!AB33&lt;0,'03_全链计算'!T63+1,0),IF('01_数值调参'!AB34&lt;0,'03_全链计算'!U63+1,0),IF('01_数值调参'!AB35&lt;0,'03_全链计算'!V63+1,0),IF('01_数值调参'!AB36&lt;0,'03_全链计算'!W63+1,0),IF('01_数值调参'!AB37&lt;0,'03_全链计算'!X63+1,0),IF('01_数值调参'!AB38&lt;0,'03_全链计算'!Y63+1,0),IF('01_数值调参'!AB39&lt;0,'03_全链计算'!Z63+1,0),IF('01_数值调参'!AB40&lt;0,'03_全链计算'!AA63+1,0),IF('01_数值调参'!AB41&lt;0,'03_全链计算'!AB63+1,0),IF('01_数值调参'!AB42&lt;0,'03_全链计算'!AC63+1,0),IF('01_数值调参'!AB43&lt;0,'03_全链计算'!AD63+1,0),IF('01_数值调参'!AB44&lt;0,'03_全链计算'!AE63+1,0),IF('01_数值调参'!AB45&lt;0,'03_全链计算'!AF63+1,0),IF('01_数值调参'!AB46&lt;0,'03_全链计算'!AG63+1,0),IF('01_数值调参'!AB47&lt;0,'03_全链计算'!AH63+1,0),IF('01_数值调参'!AB48&lt;0,'03_全链计算'!AI63+1,0),IF('01_数值调参'!AB49&lt;0,'03_全链计算'!AJ63+1,0),IF('01_数值调参'!AB50&lt;0,'03_全链计算'!AK63+1,0),IF('01_数值调参'!AB51&lt;0,'03_全链计算'!AL63+1,0),IF('01_数值调参'!AB52&lt;0,'03_全链计算'!AM63+1,0))</x:f>
        <x:v>2</x:v>
      </x:c>
      <x:c r="AC64" s="9" t="n">
        <x:f>MAX(IF('01_数值调参'!AC18&lt;0,'03_全链计算'!E63+1,0),IF('01_数值调参'!AC19&lt;0,'03_全链计算'!F63+1,0),IF('01_数值调参'!AC20&lt;0,'03_全链计算'!G63+1,0),IF('01_数值调参'!AC21&lt;0,'03_全链计算'!H63+1,0),IF('01_数值调参'!AC22&lt;0,'03_全链计算'!I63+1,0),IF('01_数值调参'!AC23&lt;0,'03_全链计算'!J63+1,0),IF('01_数值调参'!AC24&lt;0,'03_全链计算'!K63+1,0),IF('01_数值调参'!AC25&lt;0,'03_全链计算'!L63+1,0),IF('01_数值调参'!AC26&lt;0,'03_全链计算'!M63+1,0),IF('01_数值调参'!AC27&lt;0,'03_全链计算'!N63+1,0),IF('01_数值调参'!AC28&lt;0,'03_全链计算'!O63+1,0),IF('01_数值调参'!AC29&lt;0,'03_全链计算'!P63+1,0),IF('01_数值调参'!AC30&lt;0,'03_全链计算'!Q63+1,0),IF('01_数值调参'!AC31&lt;0,'03_全链计算'!R63+1,0),IF('01_数值调参'!AC32&lt;0,'03_全链计算'!S63+1,0),IF('01_数值调参'!AC33&lt;0,'03_全链计算'!T63+1,0),IF('01_数值调参'!AC34&lt;0,'03_全链计算'!U63+1,0),IF('01_数值调参'!AC35&lt;0,'03_全链计算'!V63+1,0),IF('01_数值调参'!AC36&lt;0,'03_全链计算'!W63+1,0),IF('01_数值调参'!AC37&lt;0,'03_全链计算'!X63+1,0),IF('01_数值调参'!AC38&lt;0,'03_全链计算'!Y63+1,0),IF('01_数值调参'!AC39&lt;0,'03_全链计算'!Z63+1,0),IF('01_数值调参'!AC40&lt;0,'03_全链计算'!AA63+1,0),IF('01_数值调参'!AC41&lt;0,'03_全链计算'!AB63+1,0),IF('01_数值调参'!AC42&lt;0,'03_全链计算'!AC63+1,0),IF('01_数值调参'!AC43&lt;0,'03_全链计算'!AD63+1,0),IF('01_数值调参'!AC44&lt;0,'03_全链计算'!AE63+1,0),IF('01_数值调参'!AC45&lt;0,'03_全链计算'!AF63+1,0),IF('01_数值调参'!AC46&lt;0,'03_全链计算'!AG63+1,0),IF('01_数值调参'!AC47&lt;0,'03_全链计算'!AH63+1,0),IF('01_数值调参'!AC48&lt;0,'03_全链计算'!AI63+1,0),IF('01_数值调参'!AC49&lt;0,'03_全链计算'!AJ63+1,0),IF('01_数值调参'!AC50&lt;0,'03_全链计算'!AK63+1,0),IF('01_数值调参'!AC51&lt;0,'03_全链计算'!AL63+1,0),IF('01_数值调参'!AC52&lt;0,'03_全链计算'!AM63+1,0))</x:f>
        <x:v>2</x:v>
      </x:c>
      <x:c r="AD64" s="9" t="n">
        <x:f>MAX(IF('01_数值调参'!AD18&lt;0,'03_全链计算'!E63+1,0),IF('01_数值调参'!AD19&lt;0,'03_全链计算'!F63+1,0),IF('01_数值调参'!AD20&lt;0,'03_全链计算'!G63+1,0),IF('01_数值调参'!AD21&lt;0,'03_全链计算'!H63+1,0),IF('01_数值调参'!AD22&lt;0,'03_全链计算'!I63+1,0),IF('01_数值调参'!AD23&lt;0,'03_全链计算'!J63+1,0),IF('01_数值调参'!AD24&lt;0,'03_全链计算'!K63+1,0),IF('01_数值调参'!AD25&lt;0,'03_全链计算'!L63+1,0),IF('01_数值调参'!AD26&lt;0,'03_全链计算'!M63+1,0),IF('01_数值调参'!AD27&lt;0,'03_全链计算'!N63+1,0),IF('01_数值调参'!AD28&lt;0,'03_全链计算'!O63+1,0),IF('01_数值调参'!AD29&lt;0,'03_全链计算'!P63+1,0),IF('01_数值调参'!AD30&lt;0,'03_全链计算'!Q63+1,0),IF('01_数值调参'!AD31&lt;0,'03_全链计算'!R63+1,0),IF('01_数值调参'!AD32&lt;0,'03_全链计算'!S63+1,0),IF('01_数值调参'!AD33&lt;0,'03_全链计算'!T63+1,0),IF('01_数值调参'!AD34&lt;0,'03_全链计算'!U63+1,0),IF('01_数值调参'!AD35&lt;0,'03_全链计算'!V63+1,0),IF('01_数值调参'!AD36&lt;0,'03_全链计算'!W63+1,0),IF('01_数值调参'!AD37&lt;0,'03_全链计算'!X63+1,0),IF('01_数值调参'!AD38&lt;0,'03_全链计算'!Y63+1,0),IF('01_数值调参'!AD39&lt;0,'03_全链计算'!Z63+1,0),IF('01_数值调参'!AD40&lt;0,'03_全链计算'!AA63+1,0),IF('01_数值调参'!AD41&lt;0,'03_全链计算'!AB63+1,0),IF('01_数值调参'!AD42&lt;0,'03_全链计算'!AC63+1,0),IF('01_数值调参'!AD43&lt;0,'03_全链计算'!AD63+1,0),IF('01_数值调参'!AD44&lt;0,'03_全链计算'!AE63+1,0),IF('01_数值调参'!AD45&lt;0,'03_全链计算'!AF63+1,0),IF('01_数值调参'!AD46&lt;0,'03_全链计算'!AG63+1,0),IF('01_数值调参'!AD47&lt;0,'03_全链计算'!AH63+1,0),IF('01_数值调参'!AD48&lt;0,'03_全链计算'!AI63+1,0),IF('01_数值调参'!AD49&lt;0,'03_全链计算'!AJ63+1,0),IF('01_数值调参'!AD50&lt;0,'03_全链计算'!AK63+1,0),IF('01_数值调参'!AD51&lt;0,'03_全链计算'!AL63+1,0),IF('01_数值调参'!AD52&lt;0,'03_全链计算'!AM63+1,0))</x:f>
        <x:v>1</x:v>
      </x:c>
      <x:c r="AE64" s="9" t="n">
        <x:f>MAX(IF('01_数值调参'!AE18&lt;0,'03_全链计算'!E63+1,0),IF('01_数值调参'!AE19&lt;0,'03_全链计算'!F63+1,0),IF('01_数值调参'!AE20&lt;0,'03_全链计算'!G63+1,0),IF('01_数值调参'!AE21&lt;0,'03_全链计算'!H63+1,0),IF('01_数值调参'!AE22&lt;0,'03_全链计算'!I63+1,0),IF('01_数值调参'!AE23&lt;0,'03_全链计算'!J63+1,0),IF('01_数值调参'!AE24&lt;0,'03_全链计算'!K63+1,0),IF('01_数值调参'!AE25&lt;0,'03_全链计算'!L63+1,0),IF('01_数值调参'!AE26&lt;0,'03_全链计算'!M63+1,0),IF('01_数值调参'!AE27&lt;0,'03_全链计算'!N63+1,0),IF('01_数值调参'!AE28&lt;0,'03_全链计算'!O63+1,0),IF('01_数值调参'!AE29&lt;0,'03_全链计算'!P63+1,0),IF('01_数值调参'!AE30&lt;0,'03_全链计算'!Q63+1,0),IF('01_数值调参'!AE31&lt;0,'03_全链计算'!R63+1,0),IF('01_数值调参'!AE32&lt;0,'03_全链计算'!S63+1,0),IF('01_数值调参'!AE33&lt;0,'03_全链计算'!T63+1,0),IF('01_数值调参'!AE34&lt;0,'03_全链计算'!U63+1,0),IF('01_数值调参'!AE35&lt;0,'03_全链计算'!V63+1,0),IF('01_数值调参'!AE36&lt;0,'03_全链计算'!W63+1,0),IF('01_数值调参'!AE37&lt;0,'03_全链计算'!X63+1,0),IF('01_数值调参'!AE38&lt;0,'03_全链计算'!Y63+1,0),IF('01_数值调参'!AE39&lt;0,'03_全链计算'!Z63+1,0),IF('01_数值调参'!AE40&lt;0,'03_全链计算'!AA63+1,0),IF('01_数值调参'!AE41&lt;0,'03_全链计算'!AB63+1,0),IF('01_数值调参'!AE42&lt;0,'03_全链计算'!AC63+1,0),IF('01_数值调参'!AE43&lt;0,'03_全链计算'!AD63+1,0),IF('01_数值调参'!AE44&lt;0,'03_全链计算'!AE63+1,0),IF('01_数值调参'!AE45&lt;0,'03_全链计算'!AF63+1,0),IF('01_数值调参'!AE46&lt;0,'03_全链计算'!AG63+1,0),IF('01_数值调参'!AE47&lt;0,'03_全链计算'!AH63+1,0),IF('01_数值调参'!AE48&lt;0,'03_全链计算'!AI63+1,0),IF('01_数值调参'!AE49&lt;0,'03_全链计算'!AJ63+1,0),IF('01_数值调参'!AE50&lt;0,'03_全链计算'!AK63+1,0),IF('01_数值调参'!AE51&lt;0,'03_全链计算'!AL63+1,0),IF('01_数值调参'!AE52&lt;0,'03_全链计算'!AM63+1,0))</x:f>
        <x:v>1</x:v>
      </x:c>
      <x:c r="AF64" s="9" t="n">
        <x:f>MAX(IF('01_数值调参'!AF18&lt;0,'03_全链计算'!E63+1,0),IF('01_数值调参'!AF19&lt;0,'03_全链计算'!F63+1,0),IF('01_数值调参'!AF20&lt;0,'03_全链计算'!G63+1,0),IF('01_数值调参'!AF21&lt;0,'03_全链计算'!H63+1,0),IF('01_数值调参'!AF22&lt;0,'03_全链计算'!I63+1,0),IF('01_数值调参'!AF23&lt;0,'03_全链计算'!J63+1,0),IF('01_数值调参'!AF24&lt;0,'03_全链计算'!K63+1,0),IF('01_数值调参'!AF25&lt;0,'03_全链计算'!L63+1,0),IF('01_数值调参'!AF26&lt;0,'03_全链计算'!M63+1,0),IF('01_数值调参'!AF27&lt;0,'03_全链计算'!N63+1,0),IF('01_数值调参'!AF28&lt;0,'03_全链计算'!O63+1,0),IF('01_数值调参'!AF29&lt;0,'03_全链计算'!P63+1,0),IF('01_数值调参'!AF30&lt;0,'03_全链计算'!Q63+1,0),IF('01_数值调参'!AF31&lt;0,'03_全链计算'!R63+1,0),IF('01_数值调参'!AF32&lt;0,'03_全链计算'!S63+1,0),IF('01_数值调参'!AF33&lt;0,'03_全链计算'!T63+1,0),IF('01_数值调参'!AF34&lt;0,'03_全链计算'!U63+1,0),IF('01_数值调参'!AF35&lt;0,'03_全链计算'!V63+1,0),IF('01_数值调参'!AF36&lt;0,'03_全链计算'!W63+1,0),IF('01_数值调参'!AF37&lt;0,'03_全链计算'!X63+1,0),IF('01_数值调参'!AF38&lt;0,'03_全链计算'!Y63+1,0),IF('01_数值调参'!AF39&lt;0,'03_全链计算'!Z63+1,0),IF('01_数值调参'!AF40&lt;0,'03_全链计算'!AA63+1,0),IF('01_数值调参'!AF41&lt;0,'03_全链计算'!AB63+1,0),IF('01_数值调参'!AF42&lt;0,'03_全链计算'!AC63+1,0),IF('01_数值调参'!AF43&lt;0,'03_全链计算'!AD63+1,0),IF('01_数值调参'!AF44&lt;0,'03_全链计算'!AE63+1,0),IF('01_数值调参'!AF45&lt;0,'03_全链计算'!AF63+1,0),IF('01_数值调参'!AF46&lt;0,'03_全链计算'!AG63+1,0),IF('01_数值调参'!AF47&lt;0,'03_全链计算'!AH63+1,0),IF('01_数值调参'!AF48&lt;0,'03_全链计算'!AI63+1,0),IF('01_数值调参'!AF49&lt;0,'03_全链计算'!AJ63+1,0),IF('01_数值调参'!AF50&lt;0,'03_全链计算'!AK63+1,0),IF('01_数值调参'!AF51&lt;0,'03_全链计算'!AL63+1,0),IF('01_数值调参'!AF52&lt;0,'03_全链计算'!AM63+1,0))</x:f>
        <x:v>1</x:v>
      </x:c>
      <x:c r="AG64" s="9" t="n">
        <x:f>MAX(IF('01_数值调参'!AG18&lt;0,'03_全链计算'!E63+1,0),IF('01_数值调参'!AG19&lt;0,'03_全链计算'!F63+1,0),IF('01_数值调参'!AG20&lt;0,'03_全链计算'!G63+1,0),IF('01_数值调参'!AG21&lt;0,'03_全链计算'!H63+1,0),IF('01_数值调参'!AG22&lt;0,'03_全链计算'!I63+1,0),IF('01_数值调参'!AG23&lt;0,'03_全链计算'!J63+1,0),IF('01_数值调参'!AG24&lt;0,'03_全链计算'!K63+1,0),IF('01_数值调参'!AG25&lt;0,'03_全链计算'!L63+1,0),IF('01_数值调参'!AG26&lt;0,'03_全链计算'!M63+1,0),IF('01_数值调参'!AG27&lt;0,'03_全链计算'!N63+1,0),IF('01_数值调参'!AG28&lt;0,'03_全链计算'!O63+1,0),IF('01_数值调参'!AG29&lt;0,'03_全链计算'!P63+1,0),IF('01_数值调参'!AG30&lt;0,'03_全链计算'!Q63+1,0),IF('01_数值调参'!AG31&lt;0,'03_全链计算'!R63+1,0),IF('01_数值调参'!AG32&lt;0,'03_全链计算'!S63+1,0),IF('01_数值调参'!AG33&lt;0,'03_全链计算'!T63+1,0),IF('01_数值调参'!AG34&lt;0,'03_全链计算'!U63+1,0),IF('01_数值调参'!AG35&lt;0,'03_全链计算'!V63+1,0),IF('01_数值调参'!AG36&lt;0,'03_全链计算'!W63+1,0),IF('01_数值调参'!AG37&lt;0,'03_全链计算'!X63+1,0),IF('01_数值调参'!AG38&lt;0,'03_全链计算'!Y63+1,0),IF('01_数值调参'!AG39&lt;0,'03_全链计算'!Z63+1,0),IF('01_数值调参'!AG40&lt;0,'03_全链计算'!AA63+1,0),IF('01_数值调参'!AG41&lt;0,'03_全链计算'!AB63+1,0),IF('01_数值调参'!AG42&lt;0,'03_全链计算'!AC63+1,0),IF('01_数值调参'!AG43&lt;0,'03_全链计算'!AD63+1,0),IF('01_数值调参'!AG44&lt;0,'03_全链计算'!AE63+1,0),IF('01_数值调参'!AG45&lt;0,'03_全链计算'!AF63+1,0),IF('01_数值调参'!AG46&lt;0,'03_全链计算'!AG63+1,0),IF('01_数值调参'!AG47&lt;0,'03_全链计算'!AH63+1,0),IF('01_数值调参'!AG48&lt;0,'03_全链计算'!AI63+1,0),IF('01_数值调参'!AG49&lt;0,'03_全链计算'!AJ63+1,0),IF('01_数值调参'!AG50&lt;0,'03_全链计算'!AK63+1,0),IF('01_数值调参'!AG51&lt;0,'03_全链计算'!AL63+1,0),IF('01_数值调参'!AG52&lt;0,'03_全链计算'!AM63+1,0))</x:f>
        <x:v>1</x:v>
      </x:c>
      <x:c r="AH64" s="9" t="n">
        <x:f>MAX(IF('01_数值调参'!AH18&lt;0,'03_全链计算'!E63+1,0),IF('01_数值调参'!AH19&lt;0,'03_全链计算'!F63+1,0),IF('01_数值调参'!AH20&lt;0,'03_全链计算'!G63+1,0),IF('01_数值调参'!AH21&lt;0,'03_全链计算'!H63+1,0),IF('01_数值调参'!AH22&lt;0,'03_全链计算'!I63+1,0),IF('01_数值调参'!AH23&lt;0,'03_全链计算'!J63+1,0),IF('01_数值调参'!AH24&lt;0,'03_全链计算'!K63+1,0),IF('01_数值调参'!AH25&lt;0,'03_全链计算'!L63+1,0),IF('01_数值调参'!AH26&lt;0,'03_全链计算'!M63+1,0),IF('01_数值调参'!AH27&lt;0,'03_全链计算'!N63+1,0),IF('01_数值调参'!AH28&lt;0,'03_全链计算'!O63+1,0),IF('01_数值调参'!AH29&lt;0,'03_全链计算'!P63+1,0),IF('01_数值调参'!AH30&lt;0,'03_全链计算'!Q63+1,0),IF('01_数值调参'!AH31&lt;0,'03_全链计算'!R63+1,0),IF('01_数值调参'!AH32&lt;0,'03_全链计算'!S63+1,0),IF('01_数值调参'!AH33&lt;0,'03_全链计算'!T63+1,0),IF('01_数值调参'!AH34&lt;0,'03_全链计算'!U63+1,0),IF('01_数值调参'!AH35&lt;0,'03_全链计算'!V63+1,0),IF('01_数值调参'!AH36&lt;0,'03_全链计算'!W63+1,0),IF('01_数值调参'!AH37&lt;0,'03_全链计算'!X63+1,0),IF('01_数值调参'!AH38&lt;0,'03_全链计算'!Y63+1,0),IF('01_数值调参'!AH39&lt;0,'03_全链计算'!Z63+1,0),IF('01_数值调参'!AH40&lt;0,'03_全链计算'!AA63+1,0),IF('01_数值调参'!AH41&lt;0,'03_全链计算'!AB63+1,0),IF('01_数值调参'!AH42&lt;0,'03_全链计算'!AC63+1,0),IF('01_数值调参'!AH43&lt;0,'03_全链计算'!AD63+1,0),IF('01_数值调参'!AH44&lt;0,'03_全链计算'!AE63+1,0),IF('01_数值调参'!AH45&lt;0,'03_全链计算'!AF63+1,0),IF('01_数值调参'!AH46&lt;0,'03_全链计算'!AG63+1,0),IF('01_数值调参'!AH47&lt;0,'03_全链计算'!AH63+1,0),IF('01_数值调参'!AH48&lt;0,'03_全链计算'!AI63+1,0),IF('01_数值调参'!AH49&lt;0,'03_全链计算'!AJ63+1,0),IF('01_数值调参'!AH50&lt;0,'03_全链计算'!AK63+1,0),IF('01_数值调参'!AH51&lt;0,'03_全链计算'!AL63+1,0),IF('01_数值调参'!AH52&lt;0,'03_全链计算'!AM63+1,0))</x:f>
        <x:v>2</x:v>
      </x:c>
      <x:c r="AI64" s="9" t="n">
        <x:f>MAX(IF('01_数值调参'!AI18&lt;0,'03_全链计算'!E63+1,0),IF('01_数值调参'!AI19&lt;0,'03_全链计算'!F63+1,0),IF('01_数值调参'!AI20&lt;0,'03_全链计算'!G63+1,0),IF('01_数值调参'!AI21&lt;0,'03_全链计算'!H63+1,0),IF('01_数值调参'!AI22&lt;0,'03_全链计算'!I63+1,0),IF('01_数值调参'!AI23&lt;0,'03_全链计算'!J63+1,0),IF('01_数值调参'!AI24&lt;0,'03_全链计算'!K63+1,0),IF('01_数值调参'!AI25&lt;0,'03_全链计算'!L63+1,0),IF('01_数值调参'!AI26&lt;0,'03_全链计算'!M63+1,0),IF('01_数值调参'!AI27&lt;0,'03_全链计算'!N63+1,0),IF('01_数值调参'!AI28&lt;0,'03_全链计算'!O63+1,0),IF('01_数值调参'!AI29&lt;0,'03_全链计算'!P63+1,0),IF('01_数值调参'!AI30&lt;0,'03_全链计算'!Q63+1,0),IF('01_数值调参'!AI31&lt;0,'03_全链计算'!R63+1,0),IF('01_数值调参'!AI32&lt;0,'03_全链计算'!S63+1,0),IF('01_数值调参'!AI33&lt;0,'03_全链计算'!T63+1,0),IF('01_数值调参'!AI34&lt;0,'03_全链计算'!U63+1,0),IF('01_数值调参'!AI35&lt;0,'03_全链计算'!V63+1,0),IF('01_数值调参'!AI36&lt;0,'03_全链计算'!W63+1,0),IF('01_数值调参'!AI37&lt;0,'03_全链计算'!X63+1,0),IF('01_数值调参'!AI38&lt;0,'03_全链计算'!Y63+1,0),IF('01_数值调参'!AI39&lt;0,'03_全链计算'!Z63+1,0),IF('01_数值调参'!AI40&lt;0,'03_全链计算'!AA63+1,0),IF('01_数值调参'!AI41&lt;0,'03_全链计算'!AB63+1,0),IF('01_数值调参'!AI42&lt;0,'03_全链计算'!AC63+1,0),IF('01_数值调参'!AI43&lt;0,'03_全链计算'!AD63+1,0),IF('01_数值调参'!AI44&lt;0,'03_全链计算'!AE63+1,0),IF('01_数值调参'!AI45&lt;0,'03_全链计算'!AF63+1,0),IF('01_数值调参'!AI46&lt;0,'03_全链计算'!AG63+1,0),IF('01_数值调参'!AI47&lt;0,'03_全链计算'!AH63+1,0),IF('01_数值调参'!AI48&lt;0,'03_全链计算'!AI63+1,0),IF('01_数值调参'!AI49&lt;0,'03_全链计算'!AJ63+1,0),IF('01_数值调参'!AI50&lt;0,'03_全链计算'!AK63+1,0),IF('01_数值调参'!AI51&lt;0,'03_全链计算'!AL63+1,0),IF('01_数值调参'!AI52&lt;0,'03_全链计算'!AM63+1,0))</x:f>
        <x:v>2</x:v>
      </x:c>
      <x:c r="AJ64" s="9" t="n">
        <x:f>MAX(IF('01_数值调参'!AJ18&lt;0,'03_全链计算'!E63+1,0),IF('01_数值调参'!AJ19&lt;0,'03_全链计算'!F63+1,0),IF('01_数值调参'!AJ20&lt;0,'03_全链计算'!G63+1,0),IF('01_数值调参'!AJ21&lt;0,'03_全链计算'!H63+1,0),IF('01_数值调参'!AJ22&lt;0,'03_全链计算'!I63+1,0),IF('01_数值调参'!AJ23&lt;0,'03_全链计算'!J63+1,0),IF('01_数值调参'!AJ24&lt;0,'03_全链计算'!K63+1,0),IF('01_数值调参'!AJ25&lt;0,'03_全链计算'!L63+1,0),IF('01_数值调参'!AJ26&lt;0,'03_全链计算'!M63+1,0),IF('01_数值调参'!AJ27&lt;0,'03_全链计算'!N63+1,0),IF('01_数值调参'!AJ28&lt;0,'03_全链计算'!O63+1,0),IF('01_数值调参'!AJ29&lt;0,'03_全链计算'!P63+1,0),IF('01_数值调参'!AJ30&lt;0,'03_全链计算'!Q63+1,0),IF('01_数值调参'!AJ31&lt;0,'03_全链计算'!R63+1,0),IF('01_数值调参'!AJ32&lt;0,'03_全链计算'!S63+1,0),IF('01_数值调参'!AJ33&lt;0,'03_全链计算'!T63+1,0),IF('01_数值调参'!AJ34&lt;0,'03_全链计算'!U63+1,0),IF('01_数值调参'!AJ35&lt;0,'03_全链计算'!V63+1,0),IF('01_数值调参'!AJ36&lt;0,'03_全链计算'!W63+1,0),IF('01_数值调参'!AJ37&lt;0,'03_全链计算'!X63+1,0),IF('01_数值调参'!AJ38&lt;0,'03_全链计算'!Y63+1,0),IF('01_数值调参'!AJ39&lt;0,'03_全链计算'!Z63+1,0),IF('01_数值调参'!AJ40&lt;0,'03_全链计算'!AA63+1,0),IF('01_数值调参'!AJ41&lt;0,'03_全链计算'!AB63+1,0),IF('01_数值调参'!AJ42&lt;0,'03_全链计算'!AC63+1,0),IF('01_数值调参'!AJ43&lt;0,'03_全链计算'!AD63+1,0),IF('01_数值调参'!AJ44&lt;0,'03_全链计算'!AE63+1,0),IF('01_数值调参'!AJ45&lt;0,'03_全链计算'!AF63+1,0),IF('01_数值调参'!AJ46&lt;0,'03_全链计算'!AG63+1,0),IF('01_数值调参'!AJ47&lt;0,'03_全链计算'!AH63+1,0),IF('01_数值调参'!AJ48&lt;0,'03_全链计算'!AI63+1,0),IF('01_数值调参'!AJ49&lt;0,'03_全链计算'!AJ63+1,0),IF('01_数值调参'!AJ50&lt;0,'03_全链计算'!AK63+1,0),IF('01_数值调参'!AJ51&lt;0,'03_全链计算'!AL63+1,0),IF('01_数值调参'!AJ52&lt;0,'03_全链计算'!AM63+1,0))</x:f>
        <x:v>2</x:v>
      </x:c>
      <x:c r="AK64" s="9" t="n">
        <x:f>MAX(IF('01_数值调参'!AK18&lt;0,'03_全链计算'!E63+1,0),IF('01_数值调参'!AK19&lt;0,'03_全链计算'!F63+1,0),IF('01_数值调参'!AK20&lt;0,'03_全链计算'!G63+1,0),IF('01_数值调参'!AK21&lt;0,'03_全链计算'!H63+1,0),IF('01_数值调参'!AK22&lt;0,'03_全链计算'!I63+1,0),IF('01_数值调参'!AK23&lt;0,'03_全链计算'!J63+1,0),IF('01_数值调参'!AK24&lt;0,'03_全链计算'!K63+1,0),IF('01_数值调参'!AK25&lt;0,'03_全链计算'!L63+1,0),IF('01_数值调参'!AK26&lt;0,'03_全链计算'!M63+1,0),IF('01_数值调参'!AK27&lt;0,'03_全链计算'!N63+1,0),IF('01_数值调参'!AK28&lt;0,'03_全链计算'!O63+1,0),IF('01_数值调参'!AK29&lt;0,'03_全链计算'!P63+1,0),IF('01_数值调参'!AK30&lt;0,'03_全链计算'!Q63+1,0),IF('01_数值调参'!AK31&lt;0,'03_全链计算'!R63+1,0),IF('01_数值调参'!AK32&lt;0,'03_全链计算'!S63+1,0),IF('01_数值调参'!AK33&lt;0,'03_全链计算'!T63+1,0),IF('01_数值调参'!AK34&lt;0,'03_全链计算'!U63+1,0),IF('01_数值调参'!AK35&lt;0,'03_全链计算'!V63+1,0),IF('01_数值调参'!AK36&lt;0,'03_全链计算'!W63+1,0),IF('01_数值调参'!AK37&lt;0,'03_全链计算'!X63+1,0),IF('01_数值调参'!AK38&lt;0,'03_全链计算'!Y63+1,0),IF('01_数值调参'!AK39&lt;0,'03_全链计算'!Z63+1,0),IF('01_数值调参'!AK40&lt;0,'03_全链计算'!AA63+1,0),IF('01_数值调参'!AK41&lt;0,'03_全链计算'!AB63+1,0),IF('01_数值调参'!AK42&lt;0,'03_全链计算'!AC63+1,0),IF('01_数值调参'!AK43&lt;0,'03_全链计算'!AD63+1,0),IF('01_数值调参'!AK44&lt;0,'03_全链计算'!AE63+1,0),IF('01_数值调参'!AK45&lt;0,'03_全链计算'!AF63+1,0),IF('01_数值调参'!AK46&lt;0,'03_全链计算'!AG63+1,0),IF('01_数值调参'!AK47&lt;0,'03_全链计算'!AH63+1,0),IF('01_数值调参'!AK48&lt;0,'03_全链计算'!AI63+1,0),IF('01_数值调参'!AK49&lt;0,'03_全链计算'!AJ63+1,0),IF('01_数值调参'!AK50&lt;0,'03_全链计算'!AK63+1,0),IF('01_数值调参'!AK51&lt;0,'03_全链计算'!AL63+1,0),IF('01_数值调参'!AK52&lt;0,'03_全链计算'!AM63+1,0))</x:f>
        <x:v>2</x:v>
      </x:c>
      <x:c r="AL64" s="9" t="n">
        <x:f>MAX(IF('01_数值调参'!AL18&lt;0,'03_全链计算'!E63+1,0),IF('01_数值调参'!AL19&lt;0,'03_全链计算'!F63+1,0),IF('01_数值调参'!AL20&lt;0,'03_全链计算'!G63+1,0),IF('01_数值调参'!AL21&lt;0,'03_全链计算'!H63+1,0),IF('01_数值调参'!AL22&lt;0,'03_全链计算'!I63+1,0),IF('01_数值调参'!AL23&lt;0,'03_全链计算'!J63+1,0),IF('01_数值调参'!AL24&lt;0,'03_全链计算'!K63+1,0),IF('01_数值调参'!AL25&lt;0,'03_全链计算'!L63+1,0),IF('01_数值调参'!AL26&lt;0,'03_全链计算'!M63+1,0),IF('01_数值调参'!AL27&lt;0,'03_全链计算'!N63+1,0),IF('01_数值调参'!AL28&lt;0,'03_全链计算'!O63+1,0),IF('01_数值调参'!AL29&lt;0,'03_全链计算'!P63+1,0),IF('01_数值调参'!AL30&lt;0,'03_全链计算'!Q63+1,0),IF('01_数值调参'!AL31&lt;0,'03_全链计算'!R63+1,0),IF('01_数值调参'!AL32&lt;0,'03_全链计算'!S63+1,0),IF('01_数值调参'!AL33&lt;0,'03_全链计算'!T63+1,0),IF('01_数值调参'!AL34&lt;0,'03_全链计算'!U63+1,0),IF('01_数值调参'!AL35&lt;0,'03_全链计算'!V63+1,0),IF('01_数值调参'!AL36&lt;0,'03_全链计算'!W63+1,0),IF('01_数值调参'!AL37&lt;0,'03_全链计算'!X63+1,0),IF('01_数值调参'!AL38&lt;0,'03_全链计算'!Y63+1,0),IF('01_数值调参'!AL39&lt;0,'03_全链计算'!Z63+1,0),IF('01_数值调参'!AL40&lt;0,'03_全链计算'!AA63+1,0),IF('01_数值调参'!AL41&lt;0,'03_全链计算'!AB63+1,0),IF('01_数值调参'!AL42&lt;0,'03_全链计算'!AC63+1,0),IF('01_数值调参'!AL43&lt;0,'03_全链计算'!AD63+1,0),IF('01_数值调参'!AL44&lt;0,'03_全链计算'!AE63+1,0),IF('01_数值调参'!AL45&lt;0,'03_全链计算'!AF63+1,0),IF('01_数值调参'!AL46&lt;0,'03_全链计算'!AG63+1,0),IF('01_数值调参'!AL47&lt;0,'03_全链计算'!AH63+1,0),IF('01_数值调参'!AL48&lt;0,'03_全链计算'!AI63+1,0),IF('01_数值调参'!AL49&lt;0,'03_全链计算'!AJ63+1,0),IF('01_数值调参'!AL50&lt;0,'03_全链计算'!AK63+1,0),IF('01_数值调参'!AL51&lt;0,'03_全链计算'!AL63+1,0),IF('01_数值调参'!AL52&lt;0,'03_全链计算'!AM63+1,0))</x:f>
        <x:v>3</x:v>
      </x:c>
      <x:c r="AM64" s="9" t="n">
        <x:f>MAX(IF('01_数值调参'!AM18&lt;0,'03_全链计算'!E63+1,0),IF('01_数值调参'!AM19&lt;0,'03_全链计算'!F63+1,0),IF('01_数值调参'!AM20&lt;0,'03_全链计算'!G63+1,0),IF('01_数值调参'!AM21&lt;0,'03_全链计算'!H63+1,0),IF('01_数值调参'!AM22&lt;0,'03_全链计算'!I63+1,0),IF('01_数值调参'!AM23&lt;0,'03_全链计算'!J63+1,0),IF('01_数值调参'!AM24&lt;0,'03_全链计算'!K63+1,0),IF('01_数值调参'!AM25&lt;0,'03_全链计算'!L63+1,0),IF('01_数值调参'!AM26&lt;0,'03_全链计算'!M63+1,0),IF('01_数值调参'!AM27&lt;0,'03_全链计算'!N63+1,0),IF('01_数值调参'!AM28&lt;0,'03_全链计算'!O63+1,0),IF('01_数值调参'!AM29&lt;0,'03_全链计算'!P63+1,0),IF('01_数值调参'!AM30&lt;0,'03_全链计算'!Q63+1,0),IF('01_数值调参'!AM31&lt;0,'03_全链计算'!R63+1,0),IF('01_数值调参'!AM32&lt;0,'03_全链计算'!S63+1,0),IF('01_数值调参'!AM33&lt;0,'03_全链计算'!T63+1,0),IF('01_数值调参'!AM34&lt;0,'03_全链计算'!U63+1,0),IF('01_数值调参'!AM35&lt;0,'03_全链计算'!V63+1,0),IF('01_数值调参'!AM36&lt;0,'03_全链计算'!W63+1,0),IF('01_数值调参'!AM37&lt;0,'03_全链计算'!X63+1,0),IF('01_数值调参'!AM38&lt;0,'03_全链计算'!Y63+1,0),IF('01_数值调参'!AM39&lt;0,'03_全链计算'!Z63+1,0),IF('01_数值调参'!AM40&lt;0,'03_全链计算'!AA63+1,0),IF('01_数值调参'!AM41&lt;0,'03_全链计算'!AB63+1,0),IF('01_数值调参'!AM42&lt;0,'03_全链计算'!AC63+1,0),IF('01_数值调参'!AM43&lt;0,'03_全链计算'!AD63+1,0),IF('01_数值调参'!AM44&lt;0,'03_全链计算'!AE63+1,0),IF('01_数值调参'!AM45&lt;0,'03_全链计算'!AF63+1,0),IF('01_数值调参'!AM46&lt;0,'03_全链计算'!AG63+1,0),IF('01_数值调参'!AM47&lt;0,'03_全链计算'!AH63+1,0),IF('01_数值调参'!AM48&lt;0,'03_全链计算'!AI63+1,0),IF('01_数值调参'!AM49&lt;0,'03_全链计算'!AJ63+1,0),IF('01_数值调参'!AM50&lt;0,'03_全链计算'!AK63+1,0),IF('01_数值调参'!AM51&lt;0,'03_全链计算'!AL63+1,0),IF('01_数值调参'!AM52&lt;0,'03_全链计算'!AM63+1,0))</x:f>
        <x:v>3</x:v>
      </x:c>
    </x:row>
    <x:row r="65" ht="22" customHeight="1">
      <x:c r="A65" s="9" t="n">
        <x:v>20</x:v>
      </x:c>
      <x:c r="B65" s="9"/>
      <x:c r="C65" s="9"/>
      <x:c r="D65" s="9"/>
      <x:c r="E65" s="9" t="n">
        <x:f>MAX(IF('01_数值调参'!E18&lt;0,'03_全链计算'!E64+1,0),IF('01_数值调参'!E19&lt;0,'03_全链计算'!F64+1,0),IF('01_数值调参'!E20&lt;0,'03_全链计算'!G64+1,0),IF('01_数值调参'!E21&lt;0,'03_全链计算'!H64+1,0),IF('01_数值调参'!E22&lt;0,'03_全链计算'!I64+1,0),IF('01_数值调参'!E23&lt;0,'03_全链计算'!J64+1,0),IF('01_数值调参'!E24&lt;0,'03_全链计算'!K64+1,0),IF('01_数值调参'!E25&lt;0,'03_全链计算'!L64+1,0),IF('01_数值调参'!E26&lt;0,'03_全链计算'!M64+1,0),IF('01_数值调参'!E27&lt;0,'03_全链计算'!N64+1,0),IF('01_数值调参'!E28&lt;0,'03_全链计算'!O64+1,0),IF('01_数值调参'!E29&lt;0,'03_全链计算'!P64+1,0),IF('01_数值调参'!E30&lt;0,'03_全链计算'!Q64+1,0),IF('01_数值调参'!E31&lt;0,'03_全链计算'!R64+1,0),IF('01_数值调参'!E32&lt;0,'03_全链计算'!S64+1,0),IF('01_数值调参'!E33&lt;0,'03_全链计算'!T64+1,0),IF('01_数值调参'!E34&lt;0,'03_全链计算'!U64+1,0),IF('01_数值调参'!E35&lt;0,'03_全链计算'!V64+1,0),IF('01_数值调参'!E36&lt;0,'03_全链计算'!W64+1,0),IF('01_数值调参'!E37&lt;0,'03_全链计算'!X64+1,0),IF('01_数值调参'!E38&lt;0,'03_全链计算'!Y64+1,0),IF('01_数值调参'!E39&lt;0,'03_全链计算'!Z64+1,0),IF('01_数值调参'!E40&lt;0,'03_全链计算'!AA64+1,0),IF('01_数值调参'!E41&lt;0,'03_全链计算'!AB64+1,0),IF('01_数值调参'!E42&lt;0,'03_全链计算'!AC64+1,0),IF('01_数值调参'!E43&lt;0,'03_全链计算'!AD64+1,0),IF('01_数值调参'!E44&lt;0,'03_全链计算'!AE64+1,0),IF('01_数值调参'!E45&lt;0,'03_全链计算'!AF64+1,0),IF('01_数值调参'!E46&lt;0,'03_全链计算'!AG64+1,0),IF('01_数值调参'!E47&lt;0,'03_全链计算'!AH64+1,0),IF('01_数值调参'!E48&lt;0,'03_全链计算'!AI64+1,0),IF('01_数值调参'!E49&lt;0,'03_全链计算'!AJ64+1,0),IF('01_数值调参'!E50&lt;0,'03_全链计算'!AK64+1,0),IF('01_数值调参'!E51&lt;0,'03_全链计算'!AL64+1,0),IF('01_数值调参'!E52&lt;0,'03_全链计算'!AM64+1,0))</x:f>
        <x:v>0</x:v>
      </x:c>
      <x:c r="F65" s="9" t="n">
        <x:f>MAX(IF('01_数值调参'!F18&lt;0,'03_全链计算'!E64+1,0),IF('01_数值调参'!F19&lt;0,'03_全链计算'!F64+1,0),IF('01_数值调参'!F20&lt;0,'03_全链计算'!G64+1,0),IF('01_数值调参'!F21&lt;0,'03_全链计算'!H64+1,0),IF('01_数值调参'!F22&lt;0,'03_全链计算'!I64+1,0),IF('01_数值调参'!F23&lt;0,'03_全链计算'!J64+1,0),IF('01_数值调参'!F24&lt;0,'03_全链计算'!K64+1,0),IF('01_数值调参'!F25&lt;0,'03_全链计算'!L64+1,0),IF('01_数值调参'!F26&lt;0,'03_全链计算'!M64+1,0),IF('01_数值调参'!F27&lt;0,'03_全链计算'!N64+1,0),IF('01_数值调参'!F28&lt;0,'03_全链计算'!O64+1,0),IF('01_数值调参'!F29&lt;0,'03_全链计算'!P64+1,0),IF('01_数值调参'!F30&lt;0,'03_全链计算'!Q64+1,0),IF('01_数值调参'!F31&lt;0,'03_全链计算'!R64+1,0),IF('01_数值调参'!F32&lt;0,'03_全链计算'!S64+1,0),IF('01_数值调参'!F33&lt;0,'03_全链计算'!T64+1,0),IF('01_数值调参'!F34&lt;0,'03_全链计算'!U64+1,0),IF('01_数值调参'!F35&lt;0,'03_全链计算'!V64+1,0),IF('01_数值调参'!F36&lt;0,'03_全链计算'!W64+1,0),IF('01_数值调参'!F37&lt;0,'03_全链计算'!X64+1,0),IF('01_数值调参'!F38&lt;0,'03_全链计算'!Y64+1,0),IF('01_数值调参'!F39&lt;0,'03_全链计算'!Z64+1,0),IF('01_数值调参'!F40&lt;0,'03_全链计算'!AA64+1,0),IF('01_数值调参'!F41&lt;0,'03_全链计算'!AB64+1,0),IF('01_数值调参'!F42&lt;0,'03_全链计算'!AC64+1,0),IF('01_数值调参'!F43&lt;0,'03_全链计算'!AD64+1,0),IF('01_数值调参'!F44&lt;0,'03_全链计算'!AE64+1,0),IF('01_数值调参'!F45&lt;0,'03_全链计算'!AF64+1,0),IF('01_数值调参'!F46&lt;0,'03_全链计算'!AG64+1,0),IF('01_数值调参'!F47&lt;0,'03_全链计算'!AH64+1,0),IF('01_数值调参'!F48&lt;0,'03_全链计算'!AI64+1,0),IF('01_数值调参'!F49&lt;0,'03_全链计算'!AJ64+1,0),IF('01_数值调参'!F50&lt;0,'03_全链计算'!AK64+1,0),IF('01_数值调参'!F51&lt;0,'03_全链计算'!AL64+1,0),IF('01_数值调参'!F52&lt;0,'03_全链计算'!AM64+1,0))</x:f>
        <x:v>0</x:v>
      </x:c>
      <x:c r="G65" s="9" t="n">
        <x:f>MAX(IF('01_数值调参'!G18&lt;0,'03_全链计算'!E64+1,0),IF('01_数值调参'!G19&lt;0,'03_全链计算'!F64+1,0),IF('01_数值调参'!G20&lt;0,'03_全链计算'!G64+1,0),IF('01_数值调参'!G21&lt;0,'03_全链计算'!H64+1,0),IF('01_数值调参'!G22&lt;0,'03_全链计算'!I64+1,0),IF('01_数值调参'!G23&lt;0,'03_全链计算'!J64+1,0),IF('01_数值调参'!G24&lt;0,'03_全链计算'!K64+1,0),IF('01_数值调参'!G25&lt;0,'03_全链计算'!L64+1,0),IF('01_数值调参'!G26&lt;0,'03_全链计算'!M64+1,0),IF('01_数值调参'!G27&lt;0,'03_全链计算'!N64+1,0),IF('01_数值调参'!G28&lt;0,'03_全链计算'!O64+1,0),IF('01_数值调参'!G29&lt;0,'03_全链计算'!P64+1,0),IF('01_数值调参'!G30&lt;0,'03_全链计算'!Q64+1,0),IF('01_数值调参'!G31&lt;0,'03_全链计算'!R64+1,0),IF('01_数值调参'!G32&lt;0,'03_全链计算'!S64+1,0),IF('01_数值调参'!G33&lt;0,'03_全链计算'!T64+1,0),IF('01_数值调参'!G34&lt;0,'03_全链计算'!U64+1,0),IF('01_数值调参'!G35&lt;0,'03_全链计算'!V64+1,0),IF('01_数值调参'!G36&lt;0,'03_全链计算'!W64+1,0),IF('01_数值调参'!G37&lt;0,'03_全链计算'!X64+1,0),IF('01_数值调参'!G38&lt;0,'03_全链计算'!Y64+1,0),IF('01_数值调参'!G39&lt;0,'03_全链计算'!Z64+1,0),IF('01_数值调参'!G40&lt;0,'03_全链计算'!AA64+1,0),IF('01_数值调参'!G41&lt;0,'03_全链计算'!AB64+1,0),IF('01_数值调参'!G42&lt;0,'03_全链计算'!AC64+1,0),IF('01_数值调参'!G43&lt;0,'03_全链计算'!AD64+1,0),IF('01_数值调参'!G44&lt;0,'03_全链计算'!AE64+1,0),IF('01_数值调参'!G45&lt;0,'03_全链计算'!AF64+1,0),IF('01_数值调参'!G46&lt;0,'03_全链计算'!AG64+1,0),IF('01_数值调参'!G47&lt;0,'03_全链计算'!AH64+1,0),IF('01_数值调参'!G48&lt;0,'03_全链计算'!AI64+1,0),IF('01_数值调参'!G49&lt;0,'03_全链计算'!AJ64+1,0),IF('01_数值调参'!G50&lt;0,'03_全链计算'!AK64+1,0),IF('01_数值调参'!G51&lt;0,'03_全链计算'!AL64+1,0),IF('01_数值调参'!G52&lt;0,'03_全链计算'!AM64+1,0))</x:f>
        <x:v>0</x:v>
      </x:c>
      <x:c r="H65" s="9" t="n">
        <x:f>MAX(IF('01_数值调参'!H18&lt;0,'03_全链计算'!E64+1,0),IF('01_数值调参'!H19&lt;0,'03_全链计算'!F64+1,0),IF('01_数值调参'!H20&lt;0,'03_全链计算'!G64+1,0),IF('01_数值调参'!H21&lt;0,'03_全链计算'!H64+1,0),IF('01_数值调参'!H22&lt;0,'03_全链计算'!I64+1,0),IF('01_数值调参'!H23&lt;0,'03_全链计算'!J64+1,0),IF('01_数值调参'!H24&lt;0,'03_全链计算'!K64+1,0),IF('01_数值调参'!H25&lt;0,'03_全链计算'!L64+1,0),IF('01_数值调参'!H26&lt;0,'03_全链计算'!M64+1,0),IF('01_数值调参'!H27&lt;0,'03_全链计算'!N64+1,0),IF('01_数值调参'!H28&lt;0,'03_全链计算'!O64+1,0),IF('01_数值调参'!H29&lt;0,'03_全链计算'!P64+1,0),IF('01_数值调参'!H30&lt;0,'03_全链计算'!Q64+1,0),IF('01_数值调参'!H31&lt;0,'03_全链计算'!R64+1,0),IF('01_数值调参'!H32&lt;0,'03_全链计算'!S64+1,0),IF('01_数值调参'!H33&lt;0,'03_全链计算'!T64+1,0),IF('01_数值调参'!H34&lt;0,'03_全链计算'!U64+1,0),IF('01_数值调参'!H35&lt;0,'03_全链计算'!V64+1,0),IF('01_数值调参'!H36&lt;0,'03_全链计算'!W64+1,0),IF('01_数值调参'!H37&lt;0,'03_全链计算'!X64+1,0),IF('01_数值调参'!H38&lt;0,'03_全链计算'!Y64+1,0),IF('01_数值调参'!H39&lt;0,'03_全链计算'!Z64+1,0),IF('01_数值调参'!H40&lt;0,'03_全链计算'!AA64+1,0),IF('01_数值调参'!H41&lt;0,'03_全链计算'!AB64+1,0),IF('01_数值调参'!H42&lt;0,'03_全链计算'!AC64+1,0),IF('01_数值调参'!H43&lt;0,'03_全链计算'!AD64+1,0),IF('01_数值调参'!H44&lt;0,'03_全链计算'!AE64+1,0),IF('01_数值调参'!H45&lt;0,'03_全链计算'!AF64+1,0),IF('01_数值调参'!H46&lt;0,'03_全链计算'!AG64+1,0),IF('01_数值调参'!H47&lt;0,'03_全链计算'!AH64+1,0),IF('01_数值调参'!H48&lt;0,'03_全链计算'!AI64+1,0),IF('01_数值调参'!H49&lt;0,'03_全链计算'!AJ64+1,0),IF('01_数值调参'!H50&lt;0,'03_全链计算'!AK64+1,0),IF('01_数值调参'!H51&lt;0,'03_全链计算'!AL64+1,0),IF('01_数值调参'!H52&lt;0,'03_全链计算'!AM64+1,0))</x:f>
        <x:v>0</x:v>
      </x:c>
      <x:c r="I65" s="9" t="n">
        <x:f>MAX(IF('01_数值调参'!I18&lt;0,'03_全链计算'!E64+1,0),IF('01_数值调参'!I19&lt;0,'03_全链计算'!F64+1,0),IF('01_数值调参'!I20&lt;0,'03_全链计算'!G64+1,0),IF('01_数值调参'!I21&lt;0,'03_全链计算'!H64+1,0),IF('01_数值调参'!I22&lt;0,'03_全链计算'!I64+1,0),IF('01_数值调参'!I23&lt;0,'03_全链计算'!J64+1,0),IF('01_数值调参'!I24&lt;0,'03_全链计算'!K64+1,0),IF('01_数值调参'!I25&lt;0,'03_全链计算'!L64+1,0),IF('01_数值调参'!I26&lt;0,'03_全链计算'!M64+1,0),IF('01_数值调参'!I27&lt;0,'03_全链计算'!N64+1,0),IF('01_数值调参'!I28&lt;0,'03_全链计算'!O64+1,0),IF('01_数值调参'!I29&lt;0,'03_全链计算'!P64+1,0),IF('01_数值调参'!I30&lt;0,'03_全链计算'!Q64+1,0),IF('01_数值调参'!I31&lt;0,'03_全链计算'!R64+1,0),IF('01_数值调参'!I32&lt;0,'03_全链计算'!S64+1,0),IF('01_数值调参'!I33&lt;0,'03_全链计算'!T64+1,0),IF('01_数值调参'!I34&lt;0,'03_全链计算'!U64+1,0),IF('01_数值调参'!I35&lt;0,'03_全链计算'!V64+1,0),IF('01_数值调参'!I36&lt;0,'03_全链计算'!W64+1,0),IF('01_数值调参'!I37&lt;0,'03_全链计算'!X64+1,0),IF('01_数值调参'!I38&lt;0,'03_全链计算'!Y64+1,0),IF('01_数值调参'!I39&lt;0,'03_全链计算'!Z64+1,0),IF('01_数值调参'!I40&lt;0,'03_全链计算'!AA64+1,0),IF('01_数值调参'!I41&lt;0,'03_全链计算'!AB64+1,0),IF('01_数值调参'!I42&lt;0,'03_全链计算'!AC64+1,0),IF('01_数值调参'!I43&lt;0,'03_全链计算'!AD64+1,0),IF('01_数值调参'!I44&lt;0,'03_全链计算'!AE64+1,0),IF('01_数值调参'!I45&lt;0,'03_全链计算'!AF64+1,0),IF('01_数值调参'!I46&lt;0,'03_全链计算'!AG64+1,0),IF('01_数值调参'!I47&lt;0,'03_全链计算'!AH64+1,0),IF('01_数值调参'!I48&lt;0,'03_全链计算'!AI64+1,0),IF('01_数值调参'!I49&lt;0,'03_全链计算'!AJ64+1,0),IF('01_数值调参'!I50&lt;0,'03_全链计算'!AK64+1,0),IF('01_数值调参'!I51&lt;0,'03_全链计算'!AL64+1,0),IF('01_数值调参'!I52&lt;0,'03_全链计算'!AM64+1,0))</x:f>
        <x:v>0</x:v>
      </x:c>
      <x:c r="J65" s="9" t="n">
        <x:f>MAX(IF('01_数值调参'!J18&lt;0,'03_全链计算'!E64+1,0),IF('01_数值调参'!J19&lt;0,'03_全链计算'!F64+1,0),IF('01_数值调参'!J20&lt;0,'03_全链计算'!G64+1,0),IF('01_数值调参'!J21&lt;0,'03_全链计算'!H64+1,0),IF('01_数值调参'!J22&lt;0,'03_全链计算'!I64+1,0),IF('01_数值调参'!J23&lt;0,'03_全链计算'!J64+1,0),IF('01_数值调参'!J24&lt;0,'03_全链计算'!K64+1,0),IF('01_数值调参'!J25&lt;0,'03_全链计算'!L64+1,0),IF('01_数值调参'!J26&lt;0,'03_全链计算'!M64+1,0),IF('01_数值调参'!J27&lt;0,'03_全链计算'!N64+1,0),IF('01_数值调参'!J28&lt;0,'03_全链计算'!O64+1,0),IF('01_数值调参'!J29&lt;0,'03_全链计算'!P64+1,0),IF('01_数值调参'!J30&lt;0,'03_全链计算'!Q64+1,0),IF('01_数值调参'!J31&lt;0,'03_全链计算'!R64+1,0),IF('01_数值调参'!J32&lt;0,'03_全链计算'!S64+1,0),IF('01_数值调参'!J33&lt;0,'03_全链计算'!T64+1,0),IF('01_数值调参'!J34&lt;0,'03_全链计算'!U64+1,0),IF('01_数值调参'!J35&lt;0,'03_全链计算'!V64+1,0),IF('01_数值调参'!J36&lt;0,'03_全链计算'!W64+1,0),IF('01_数值调参'!J37&lt;0,'03_全链计算'!X64+1,0),IF('01_数值调参'!J38&lt;0,'03_全链计算'!Y64+1,0),IF('01_数值调参'!J39&lt;0,'03_全链计算'!Z64+1,0),IF('01_数值调参'!J40&lt;0,'03_全链计算'!AA64+1,0),IF('01_数值调参'!J41&lt;0,'03_全链计算'!AB64+1,0),IF('01_数值调参'!J42&lt;0,'03_全链计算'!AC64+1,0),IF('01_数值调参'!J43&lt;0,'03_全链计算'!AD64+1,0),IF('01_数值调参'!J44&lt;0,'03_全链计算'!AE64+1,0),IF('01_数值调参'!J45&lt;0,'03_全链计算'!AF64+1,0),IF('01_数值调参'!J46&lt;0,'03_全链计算'!AG64+1,0),IF('01_数值调参'!J47&lt;0,'03_全链计算'!AH64+1,0),IF('01_数值调参'!J48&lt;0,'03_全链计算'!AI64+1,0),IF('01_数值调参'!J49&lt;0,'03_全链计算'!AJ64+1,0),IF('01_数值调参'!J50&lt;0,'03_全链计算'!AK64+1,0),IF('01_数值调参'!J51&lt;0,'03_全链计算'!AL64+1,0),IF('01_数值调参'!J52&lt;0,'03_全链计算'!AM64+1,0))</x:f>
        <x:v>0</x:v>
      </x:c>
      <x:c r="K65" s="9" t="n">
        <x:f>MAX(IF('01_数值调参'!K18&lt;0,'03_全链计算'!E64+1,0),IF('01_数值调参'!K19&lt;0,'03_全链计算'!F64+1,0),IF('01_数值调参'!K20&lt;0,'03_全链计算'!G64+1,0),IF('01_数值调参'!K21&lt;0,'03_全链计算'!H64+1,0),IF('01_数值调参'!K22&lt;0,'03_全链计算'!I64+1,0),IF('01_数值调参'!K23&lt;0,'03_全链计算'!J64+1,0),IF('01_数值调参'!K24&lt;0,'03_全链计算'!K64+1,0),IF('01_数值调参'!K25&lt;0,'03_全链计算'!L64+1,0),IF('01_数值调参'!K26&lt;0,'03_全链计算'!M64+1,0),IF('01_数值调参'!K27&lt;0,'03_全链计算'!N64+1,0),IF('01_数值调参'!K28&lt;0,'03_全链计算'!O64+1,0),IF('01_数值调参'!K29&lt;0,'03_全链计算'!P64+1,0),IF('01_数值调参'!K30&lt;0,'03_全链计算'!Q64+1,0),IF('01_数值调参'!K31&lt;0,'03_全链计算'!R64+1,0),IF('01_数值调参'!K32&lt;0,'03_全链计算'!S64+1,0),IF('01_数值调参'!K33&lt;0,'03_全链计算'!T64+1,0),IF('01_数值调参'!K34&lt;0,'03_全链计算'!U64+1,0),IF('01_数值调参'!K35&lt;0,'03_全链计算'!V64+1,0),IF('01_数值调参'!K36&lt;0,'03_全链计算'!W64+1,0),IF('01_数值调参'!K37&lt;0,'03_全链计算'!X64+1,0),IF('01_数值调参'!K38&lt;0,'03_全链计算'!Y64+1,0),IF('01_数值调参'!K39&lt;0,'03_全链计算'!Z64+1,0),IF('01_数值调参'!K40&lt;0,'03_全链计算'!AA64+1,0),IF('01_数值调参'!K41&lt;0,'03_全链计算'!AB64+1,0),IF('01_数值调参'!K42&lt;0,'03_全链计算'!AC64+1,0),IF('01_数值调参'!K43&lt;0,'03_全链计算'!AD64+1,0),IF('01_数值调参'!K44&lt;0,'03_全链计算'!AE64+1,0),IF('01_数值调参'!K45&lt;0,'03_全链计算'!AF64+1,0),IF('01_数值调参'!K46&lt;0,'03_全链计算'!AG64+1,0),IF('01_数值调参'!K47&lt;0,'03_全链计算'!AH64+1,0),IF('01_数值调参'!K48&lt;0,'03_全链计算'!AI64+1,0),IF('01_数值调参'!K49&lt;0,'03_全链计算'!AJ64+1,0),IF('01_数值调参'!K50&lt;0,'03_全链计算'!AK64+1,0),IF('01_数值调参'!K51&lt;0,'03_全链计算'!AL64+1,0),IF('01_数值调参'!K52&lt;0,'03_全链计算'!AM64+1,0))</x:f>
        <x:v>0</x:v>
      </x:c>
      <x:c r="L65" s="9" t="n">
        <x:f>MAX(IF('01_数值调参'!L18&lt;0,'03_全链计算'!E64+1,0),IF('01_数值调参'!L19&lt;0,'03_全链计算'!F64+1,0),IF('01_数值调参'!L20&lt;0,'03_全链计算'!G64+1,0),IF('01_数值调参'!L21&lt;0,'03_全链计算'!H64+1,0),IF('01_数值调参'!L22&lt;0,'03_全链计算'!I64+1,0),IF('01_数值调参'!L23&lt;0,'03_全链计算'!J64+1,0),IF('01_数值调参'!L24&lt;0,'03_全链计算'!K64+1,0),IF('01_数值调参'!L25&lt;0,'03_全链计算'!L64+1,0),IF('01_数值调参'!L26&lt;0,'03_全链计算'!M64+1,0),IF('01_数值调参'!L27&lt;0,'03_全链计算'!N64+1,0),IF('01_数值调参'!L28&lt;0,'03_全链计算'!O64+1,0),IF('01_数值调参'!L29&lt;0,'03_全链计算'!P64+1,0),IF('01_数值调参'!L30&lt;0,'03_全链计算'!Q64+1,0),IF('01_数值调参'!L31&lt;0,'03_全链计算'!R64+1,0),IF('01_数值调参'!L32&lt;0,'03_全链计算'!S64+1,0),IF('01_数值调参'!L33&lt;0,'03_全链计算'!T64+1,0),IF('01_数值调参'!L34&lt;0,'03_全链计算'!U64+1,0),IF('01_数值调参'!L35&lt;0,'03_全链计算'!V64+1,0),IF('01_数值调参'!L36&lt;0,'03_全链计算'!W64+1,0),IF('01_数值调参'!L37&lt;0,'03_全链计算'!X64+1,0),IF('01_数值调参'!L38&lt;0,'03_全链计算'!Y64+1,0),IF('01_数值调参'!L39&lt;0,'03_全链计算'!Z64+1,0),IF('01_数值调参'!L40&lt;0,'03_全链计算'!AA64+1,0),IF('01_数值调参'!L41&lt;0,'03_全链计算'!AB64+1,0),IF('01_数值调参'!L42&lt;0,'03_全链计算'!AC64+1,0),IF('01_数值调参'!L43&lt;0,'03_全链计算'!AD64+1,0),IF('01_数值调参'!L44&lt;0,'03_全链计算'!AE64+1,0),IF('01_数值调参'!L45&lt;0,'03_全链计算'!AF64+1,0),IF('01_数值调参'!L46&lt;0,'03_全链计算'!AG64+1,0),IF('01_数值调参'!L47&lt;0,'03_全链计算'!AH64+1,0),IF('01_数值调参'!L48&lt;0,'03_全链计算'!AI64+1,0),IF('01_数值调参'!L49&lt;0,'03_全链计算'!AJ64+1,0),IF('01_数值调参'!L50&lt;0,'03_全链计算'!AK64+1,0),IF('01_数值调参'!L51&lt;0,'03_全链计算'!AL64+1,0),IF('01_数值调参'!L52&lt;0,'03_全链计算'!AM64+1,0))</x:f>
        <x:v>0</x:v>
      </x:c>
      <x:c r="M65" s="9" t="n">
        <x:f>MAX(IF('01_数值调参'!M18&lt;0,'03_全链计算'!E64+1,0),IF('01_数值调参'!M19&lt;0,'03_全链计算'!F64+1,0),IF('01_数值调参'!M20&lt;0,'03_全链计算'!G64+1,0),IF('01_数值调参'!M21&lt;0,'03_全链计算'!H64+1,0),IF('01_数值调参'!M22&lt;0,'03_全链计算'!I64+1,0),IF('01_数值调参'!M23&lt;0,'03_全链计算'!J64+1,0),IF('01_数值调参'!M24&lt;0,'03_全链计算'!K64+1,0),IF('01_数值调参'!M25&lt;0,'03_全链计算'!L64+1,0),IF('01_数值调参'!M26&lt;0,'03_全链计算'!M64+1,0),IF('01_数值调参'!M27&lt;0,'03_全链计算'!N64+1,0),IF('01_数值调参'!M28&lt;0,'03_全链计算'!O64+1,0),IF('01_数值调参'!M29&lt;0,'03_全链计算'!P64+1,0),IF('01_数值调参'!M30&lt;0,'03_全链计算'!Q64+1,0),IF('01_数值调参'!M31&lt;0,'03_全链计算'!R64+1,0),IF('01_数值调参'!M32&lt;0,'03_全链计算'!S64+1,0),IF('01_数值调参'!M33&lt;0,'03_全链计算'!T64+1,0),IF('01_数值调参'!M34&lt;0,'03_全链计算'!U64+1,0),IF('01_数值调参'!M35&lt;0,'03_全链计算'!V64+1,0),IF('01_数值调参'!M36&lt;0,'03_全链计算'!W64+1,0),IF('01_数值调参'!M37&lt;0,'03_全链计算'!X64+1,0),IF('01_数值调参'!M38&lt;0,'03_全链计算'!Y64+1,0),IF('01_数值调参'!M39&lt;0,'03_全链计算'!Z64+1,0),IF('01_数值调参'!M40&lt;0,'03_全链计算'!AA64+1,0),IF('01_数值调参'!M41&lt;0,'03_全链计算'!AB64+1,0),IF('01_数值调参'!M42&lt;0,'03_全链计算'!AC64+1,0),IF('01_数值调参'!M43&lt;0,'03_全链计算'!AD64+1,0),IF('01_数值调参'!M44&lt;0,'03_全链计算'!AE64+1,0),IF('01_数值调参'!M45&lt;0,'03_全链计算'!AF64+1,0),IF('01_数值调参'!M46&lt;0,'03_全链计算'!AG64+1,0),IF('01_数值调参'!M47&lt;0,'03_全链计算'!AH64+1,0),IF('01_数值调参'!M48&lt;0,'03_全链计算'!AI64+1,0),IF('01_数值调参'!M49&lt;0,'03_全链计算'!AJ64+1,0),IF('01_数值调参'!M50&lt;0,'03_全链计算'!AK64+1,0),IF('01_数值调参'!M51&lt;0,'03_全链计算'!AL64+1,0),IF('01_数值调参'!M52&lt;0,'03_全链计算'!AM64+1,0))</x:f>
        <x:v>0</x:v>
      </x:c>
      <x:c r="N65" s="9" t="n">
        <x:f>MAX(IF('01_数值调参'!N18&lt;0,'03_全链计算'!E64+1,0),IF('01_数值调参'!N19&lt;0,'03_全链计算'!F64+1,0),IF('01_数值调参'!N20&lt;0,'03_全链计算'!G64+1,0),IF('01_数值调参'!N21&lt;0,'03_全链计算'!H64+1,0),IF('01_数值调参'!N22&lt;0,'03_全链计算'!I64+1,0),IF('01_数值调参'!N23&lt;0,'03_全链计算'!J64+1,0),IF('01_数值调参'!N24&lt;0,'03_全链计算'!K64+1,0),IF('01_数值调参'!N25&lt;0,'03_全链计算'!L64+1,0),IF('01_数值调参'!N26&lt;0,'03_全链计算'!M64+1,0),IF('01_数值调参'!N27&lt;0,'03_全链计算'!N64+1,0),IF('01_数值调参'!N28&lt;0,'03_全链计算'!O64+1,0),IF('01_数值调参'!N29&lt;0,'03_全链计算'!P64+1,0),IF('01_数值调参'!N30&lt;0,'03_全链计算'!Q64+1,0),IF('01_数值调参'!N31&lt;0,'03_全链计算'!R64+1,0),IF('01_数值调参'!N32&lt;0,'03_全链计算'!S64+1,0),IF('01_数值调参'!N33&lt;0,'03_全链计算'!T64+1,0),IF('01_数值调参'!N34&lt;0,'03_全链计算'!U64+1,0),IF('01_数值调参'!N35&lt;0,'03_全链计算'!V64+1,0),IF('01_数值调参'!N36&lt;0,'03_全链计算'!W64+1,0),IF('01_数值调参'!N37&lt;0,'03_全链计算'!X64+1,0),IF('01_数值调参'!N38&lt;0,'03_全链计算'!Y64+1,0),IF('01_数值调参'!N39&lt;0,'03_全链计算'!Z64+1,0),IF('01_数值调参'!N40&lt;0,'03_全链计算'!AA64+1,0),IF('01_数值调参'!N41&lt;0,'03_全链计算'!AB64+1,0),IF('01_数值调参'!N42&lt;0,'03_全链计算'!AC64+1,0),IF('01_数值调参'!N43&lt;0,'03_全链计算'!AD64+1,0),IF('01_数值调参'!N44&lt;0,'03_全链计算'!AE64+1,0),IF('01_数值调参'!N45&lt;0,'03_全链计算'!AF64+1,0),IF('01_数值调参'!N46&lt;0,'03_全链计算'!AG64+1,0),IF('01_数值调参'!N47&lt;0,'03_全链计算'!AH64+1,0),IF('01_数值调参'!N48&lt;0,'03_全链计算'!AI64+1,0),IF('01_数值调参'!N49&lt;0,'03_全链计算'!AJ64+1,0),IF('01_数值调参'!N50&lt;0,'03_全链计算'!AK64+1,0),IF('01_数值调参'!N51&lt;0,'03_全链计算'!AL64+1,0),IF('01_数值调参'!N52&lt;0,'03_全链计算'!AM64+1,0))</x:f>
        <x:v>1</x:v>
      </x:c>
      <x:c r="O65" s="9" t="n">
        <x:f>MAX(IF('01_数值调参'!O18&lt;0,'03_全链计算'!E64+1,0),IF('01_数值调参'!O19&lt;0,'03_全链计算'!F64+1,0),IF('01_数值调参'!O20&lt;0,'03_全链计算'!G64+1,0),IF('01_数值调参'!O21&lt;0,'03_全链计算'!H64+1,0),IF('01_数值调参'!O22&lt;0,'03_全链计算'!I64+1,0),IF('01_数值调参'!O23&lt;0,'03_全链计算'!J64+1,0),IF('01_数值调参'!O24&lt;0,'03_全链计算'!K64+1,0),IF('01_数值调参'!O25&lt;0,'03_全链计算'!L64+1,0),IF('01_数值调参'!O26&lt;0,'03_全链计算'!M64+1,0),IF('01_数值调参'!O27&lt;0,'03_全链计算'!N64+1,0),IF('01_数值调参'!O28&lt;0,'03_全链计算'!O64+1,0),IF('01_数值调参'!O29&lt;0,'03_全链计算'!P64+1,0),IF('01_数值调参'!O30&lt;0,'03_全链计算'!Q64+1,0),IF('01_数值调参'!O31&lt;0,'03_全链计算'!R64+1,0),IF('01_数值调参'!O32&lt;0,'03_全链计算'!S64+1,0),IF('01_数值调参'!O33&lt;0,'03_全链计算'!T64+1,0),IF('01_数值调参'!O34&lt;0,'03_全链计算'!U64+1,0),IF('01_数值调参'!O35&lt;0,'03_全链计算'!V64+1,0),IF('01_数值调参'!O36&lt;0,'03_全链计算'!W64+1,0),IF('01_数值调参'!O37&lt;0,'03_全链计算'!X64+1,0),IF('01_数值调参'!O38&lt;0,'03_全链计算'!Y64+1,0),IF('01_数值调参'!O39&lt;0,'03_全链计算'!Z64+1,0),IF('01_数值调参'!O40&lt;0,'03_全链计算'!AA64+1,0),IF('01_数值调参'!O41&lt;0,'03_全链计算'!AB64+1,0),IF('01_数值调参'!O42&lt;0,'03_全链计算'!AC64+1,0),IF('01_数值调参'!O43&lt;0,'03_全链计算'!AD64+1,0),IF('01_数值调参'!O44&lt;0,'03_全链计算'!AE64+1,0),IF('01_数值调参'!O45&lt;0,'03_全链计算'!AF64+1,0),IF('01_数值调参'!O46&lt;0,'03_全链计算'!AG64+1,0),IF('01_数值调参'!O47&lt;0,'03_全链计算'!AH64+1,0),IF('01_数值调参'!O48&lt;0,'03_全链计算'!AI64+1,0),IF('01_数值调参'!O49&lt;0,'03_全链计算'!AJ64+1,0),IF('01_数值调参'!O50&lt;0,'03_全链计算'!AK64+1,0),IF('01_数值调参'!O51&lt;0,'03_全链计算'!AL64+1,0),IF('01_数值调参'!O52&lt;0,'03_全链计算'!AM64+1,0))</x:f>
        <x:v>1</x:v>
      </x:c>
      <x:c r="P65" s="9" t="n">
        <x:f>MAX(IF('01_数值调参'!P18&lt;0,'03_全链计算'!E64+1,0),IF('01_数值调参'!P19&lt;0,'03_全链计算'!F64+1,0),IF('01_数值调参'!P20&lt;0,'03_全链计算'!G64+1,0),IF('01_数值调参'!P21&lt;0,'03_全链计算'!H64+1,0),IF('01_数值调参'!P22&lt;0,'03_全链计算'!I64+1,0),IF('01_数值调参'!P23&lt;0,'03_全链计算'!J64+1,0),IF('01_数值调参'!P24&lt;0,'03_全链计算'!K64+1,0),IF('01_数值调参'!P25&lt;0,'03_全链计算'!L64+1,0),IF('01_数值调参'!P26&lt;0,'03_全链计算'!M64+1,0),IF('01_数值调参'!P27&lt;0,'03_全链计算'!N64+1,0),IF('01_数值调参'!P28&lt;0,'03_全链计算'!O64+1,0),IF('01_数值调参'!P29&lt;0,'03_全链计算'!P64+1,0),IF('01_数值调参'!P30&lt;0,'03_全链计算'!Q64+1,0),IF('01_数值调参'!P31&lt;0,'03_全链计算'!R64+1,0),IF('01_数值调参'!P32&lt;0,'03_全链计算'!S64+1,0),IF('01_数值调参'!P33&lt;0,'03_全链计算'!T64+1,0),IF('01_数值调参'!P34&lt;0,'03_全链计算'!U64+1,0),IF('01_数值调参'!P35&lt;0,'03_全链计算'!V64+1,0),IF('01_数值调参'!P36&lt;0,'03_全链计算'!W64+1,0),IF('01_数值调参'!P37&lt;0,'03_全链计算'!X64+1,0),IF('01_数值调参'!P38&lt;0,'03_全链计算'!Y64+1,0),IF('01_数值调参'!P39&lt;0,'03_全链计算'!Z64+1,0),IF('01_数值调参'!P40&lt;0,'03_全链计算'!AA64+1,0),IF('01_数值调参'!P41&lt;0,'03_全链计算'!AB64+1,0),IF('01_数值调参'!P42&lt;0,'03_全链计算'!AC64+1,0),IF('01_数值调参'!P43&lt;0,'03_全链计算'!AD64+1,0),IF('01_数值调参'!P44&lt;0,'03_全链计算'!AE64+1,0),IF('01_数值调参'!P45&lt;0,'03_全链计算'!AF64+1,0),IF('01_数值调参'!P46&lt;0,'03_全链计算'!AG64+1,0),IF('01_数值调参'!P47&lt;0,'03_全链计算'!AH64+1,0),IF('01_数值调参'!P48&lt;0,'03_全链计算'!AI64+1,0),IF('01_数值调参'!P49&lt;0,'03_全链计算'!AJ64+1,0),IF('01_数值调参'!P50&lt;0,'03_全链计算'!AK64+1,0),IF('01_数值调参'!P51&lt;0,'03_全链计算'!AL64+1,0),IF('01_数值调参'!P52&lt;0,'03_全链计算'!AM64+1,0))</x:f>
        <x:v>1</x:v>
      </x:c>
      <x:c r="Q65" s="9" t="n">
        <x:f>MAX(IF('01_数值调参'!Q18&lt;0,'03_全链计算'!E64+1,0),IF('01_数值调参'!Q19&lt;0,'03_全链计算'!F64+1,0),IF('01_数值调参'!Q20&lt;0,'03_全链计算'!G64+1,0),IF('01_数值调参'!Q21&lt;0,'03_全链计算'!H64+1,0),IF('01_数值调参'!Q22&lt;0,'03_全链计算'!I64+1,0),IF('01_数值调参'!Q23&lt;0,'03_全链计算'!J64+1,0),IF('01_数值调参'!Q24&lt;0,'03_全链计算'!K64+1,0),IF('01_数值调参'!Q25&lt;0,'03_全链计算'!L64+1,0),IF('01_数值调参'!Q26&lt;0,'03_全链计算'!M64+1,0),IF('01_数值调参'!Q27&lt;0,'03_全链计算'!N64+1,0),IF('01_数值调参'!Q28&lt;0,'03_全链计算'!O64+1,0),IF('01_数值调参'!Q29&lt;0,'03_全链计算'!P64+1,0),IF('01_数值调参'!Q30&lt;0,'03_全链计算'!Q64+1,0),IF('01_数值调参'!Q31&lt;0,'03_全链计算'!R64+1,0),IF('01_数值调参'!Q32&lt;0,'03_全链计算'!S64+1,0),IF('01_数值调参'!Q33&lt;0,'03_全链计算'!T64+1,0),IF('01_数值调参'!Q34&lt;0,'03_全链计算'!U64+1,0),IF('01_数值调参'!Q35&lt;0,'03_全链计算'!V64+1,0),IF('01_数值调参'!Q36&lt;0,'03_全链计算'!W64+1,0),IF('01_数值调参'!Q37&lt;0,'03_全链计算'!X64+1,0),IF('01_数值调参'!Q38&lt;0,'03_全链计算'!Y64+1,0),IF('01_数值调参'!Q39&lt;0,'03_全链计算'!Z64+1,0),IF('01_数值调参'!Q40&lt;0,'03_全链计算'!AA64+1,0),IF('01_数值调参'!Q41&lt;0,'03_全链计算'!AB64+1,0),IF('01_数值调参'!Q42&lt;0,'03_全链计算'!AC64+1,0),IF('01_数值调参'!Q43&lt;0,'03_全链计算'!AD64+1,0),IF('01_数值调参'!Q44&lt;0,'03_全链计算'!AE64+1,0),IF('01_数值调参'!Q45&lt;0,'03_全链计算'!AF64+1,0),IF('01_数值调参'!Q46&lt;0,'03_全链计算'!AG64+1,0),IF('01_数值调参'!Q47&lt;0,'03_全链计算'!AH64+1,0),IF('01_数值调参'!Q48&lt;0,'03_全链计算'!AI64+1,0),IF('01_数值调参'!Q49&lt;0,'03_全链计算'!AJ64+1,0),IF('01_数值调参'!Q50&lt;0,'03_全链计算'!AK64+1,0),IF('01_数值调参'!Q51&lt;0,'03_全链计算'!AL64+1,0),IF('01_数值调参'!Q52&lt;0,'03_全链计算'!AM64+1,0))</x:f>
        <x:v>1</x:v>
      </x:c>
      <x:c r="R65" s="9" t="n">
        <x:f>MAX(IF('01_数值调参'!R18&lt;0,'03_全链计算'!E64+1,0),IF('01_数值调参'!R19&lt;0,'03_全链计算'!F64+1,0),IF('01_数值调参'!R20&lt;0,'03_全链计算'!G64+1,0),IF('01_数值调参'!R21&lt;0,'03_全链计算'!H64+1,0),IF('01_数值调参'!R22&lt;0,'03_全链计算'!I64+1,0),IF('01_数值调参'!R23&lt;0,'03_全链计算'!J64+1,0),IF('01_数值调参'!R24&lt;0,'03_全链计算'!K64+1,0),IF('01_数值调参'!R25&lt;0,'03_全链计算'!L64+1,0),IF('01_数值调参'!R26&lt;0,'03_全链计算'!M64+1,0),IF('01_数值调参'!R27&lt;0,'03_全链计算'!N64+1,0),IF('01_数值调参'!R28&lt;0,'03_全链计算'!O64+1,0),IF('01_数值调参'!R29&lt;0,'03_全链计算'!P64+1,0),IF('01_数值调参'!R30&lt;0,'03_全链计算'!Q64+1,0),IF('01_数值调参'!R31&lt;0,'03_全链计算'!R64+1,0),IF('01_数值调参'!R32&lt;0,'03_全链计算'!S64+1,0),IF('01_数值调参'!R33&lt;0,'03_全链计算'!T64+1,0),IF('01_数值调参'!R34&lt;0,'03_全链计算'!U64+1,0),IF('01_数值调参'!R35&lt;0,'03_全链计算'!V64+1,0),IF('01_数值调参'!R36&lt;0,'03_全链计算'!W64+1,0),IF('01_数值调参'!R37&lt;0,'03_全链计算'!X64+1,0),IF('01_数值调参'!R38&lt;0,'03_全链计算'!Y64+1,0),IF('01_数值调参'!R39&lt;0,'03_全链计算'!Z64+1,0),IF('01_数值调参'!R40&lt;0,'03_全链计算'!AA64+1,0),IF('01_数值调参'!R41&lt;0,'03_全链计算'!AB64+1,0),IF('01_数值调参'!R42&lt;0,'03_全链计算'!AC64+1,0),IF('01_数值调参'!R43&lt;0,'03_全链计算'!AD64+1,0),IF('01_数值调参'!R44&lt;0,'03_全链计算'!AE64+1,0),IF('01_数值调参'!R45&lt;0,'03_全链计算'!AF64+1,0),IF('01_数值调参'!R46&lt;0,'03_全链计算'!AG64+1,0),IF('01_数值调参'!R47&lt;0,'03_全链计算'!AH64+1,0),IF('01_数值调参'!R48&lt;0,'03_全链计算'!AI64+1,0),IF('01_数值调参'!R49&lt;0,'03_全链计算'!AJ64+1,0),IF('01_数值调参'!R50&lt;0,'03_全链计算'!AK64+1,0),IF('01_数值调参'!R51&lt;0,'03_全链计算'!AL64+1,0),IF('01_数值调参'!R52&lt;0,'03_全链计算'!AM64+1,0))</x:f>
        <x:v>1</x:v>
      </x:c>
      <x:c r="S65" s="9" t="n">
        <x:f>MAX(IF('01_数值调参'!S18&lt;0,'03_全链计算'!E64+1,0),IF('01_数值调参'!S19&lt;0,'03_全链计算'!F64+1,0),IF('01_数值调参'!S20&lt;0,'03_全链计算'!G64+1,0),IF('01_数值调参'!S21&lt;0,'03_全链计算'!H64+1,0),IF('01_数值调参'!S22&lt;0,'03_全链计算'!I64+1,0),IF('01_数值调参'!S23&lt;0,'03_全链计算'!J64+1,0),IF('01_数值调参'!S24&lt;0,'03_全链计算'!K64+1,0),IF('01_数值调参'!S25&lt;0,'03_全链计算'!L64+1,0),IF('01_数值调参'!S26&lt;0,'03_全链计算'!M64+1,0),IF('01_数值调参'!S27&lt;0,'03_全链计算'!N64+1,0),IF('01_数值调参'!S28&lt;0,'03_全链计算'!O64+1,0),IF('01_数值调参'!S29&lt;0,'03_全链计算'!P64+1,0),IF('01_数值调参'!S30&lt;0,'03_全链计算'!Q64+1,0),IF('01_数值调参'!S31&lt;0,'03_全链计算'!R64+1,0),IF('01_数值调参'!S32&lt;0,'03_全链计算'!S64+1,0),IF('01_数值调参'!S33&lt;0,'03_全链计算'!T64+1,0),IF('01_数值调参'!S34&lt;0,'03_全链计算'!U64+1,0),IF('01_数值调参'!S35&lt;0,'03_全链计算'!V64+1,0),IF('01_数值调参'!S36&lt;0,'03_全链计算'!W64+1,0),IF('01_数值调参'!S37&lt;0,'03_全链计算'!X64+1,0),IF('01_数值调参'!S38&lt;0,'03_全链计算'!Y64+1,0),IF('01_数值调参'!S39&lt;0,'03_全链计算'!Z64+1,0),IF('01_数值调参'!S40&lt;0,'03_全链计算'!AA64+1,0),IF('01_数值调参'!S41&lt;0,'03_全链计算'!AB64+1,0),IF('01_数值调参'!S42&lt;0,'03_全链计算'!AC64+1,0),IF('01_数值调参'!S43&lt;0,'03_全链计算'!AD64+1,0),IF('01_数值调参'!S44&lt;0,'03_全链计算'!AE64+1,0),IF('01_数值调参'!S45&lt;0,'03_全链计算'!AF64+1,0),IF('01_数值调参'!S46&lt;0,'03_全链计算'!AG64+1,0),IF('01_数值调参'!S47&lt;0,'03_全链计算'!AH64+1,0),IF('01_数值调参'!S48&lt;0,'03_全链计算'!AI64+1,0),IF('01_数值调参'!S49&lt;0,'03_全链计算'!AJ64+1,0),IF('01_数值调参'!S50&lt;0,'03_全链计算'!AK64+1,0),IF('01_数值调参'!S51&lt;0,'03_全链计算'!AL64+1,0),IF('01_数值调参'!S52&lt;0,'03_全链计算'!AM64+1,0))</x:f>
        <x:v>1</x:v>
      </x:c>
      <x:c r="T65" s="9" t="n">
        <x:f>MAX(IF('01_数值调参'!T18&lt;0,'03_全链计算'!E64+1,0),IF('01_数值调参'!T19&lt;0,'03_全链计算'!F64+1,0),IF('01_数值调参'!T20&lt;0,'03_全链计算'!G64+1,0),IF('01_数值调参'!T21&lt;0,'03_全链计算'!H64+1,0),IF('01_数值调参'!T22&lt;0,'03_全链计算'!I64+1,0),IF('01_数值调参'!T23&lt;0,'03_全链计算'!J64+1,0),IF('01_数值调参'!T24&lt;0,'03_全链计算'!K64+1,0),IF('01_数值调参'!T25&lt;0,'03_全链计算'!L64+1,0),IF('01_数值调参'!T26&lt;0,'03_全链计算'!M64+1,0),IF('01_数值调参'!T27&lt;0,'03_全链计算'!N64+1,0),IF('01_数值调参'!T28&lt;0,'03_全链计算'!O64+1,0),IF('01_数值调参'!T29&lt;0,'03_全链计算'!P64+1,0),IF('01_数值调参'!T30&lt;0,'03_全链计算'!Q64+1,0),IF('01_数值调参'!T31&lt;0,'03_全链计算'!R64+1,0),IF('01_数值调参'!T32&lt;0,'03_全链计算'!S64+1,0),IF('01_数值调参'!T33&lt;0,'03_全链计算'!T64+1,0),IF('01_数值调参'!T34&lt;0,'03_全链计算'!U64+1,0),IF('01_数值调参'!T35&lt;0,'03_全链计算'!V64+1,0),IF('01_数值调参'!T36&lt;0,'03_全链计算'!W64+1,0),IF('01_数值调参'!T37&lt;0,'03_全链计算'!X64+1,0),IF('01_数值调参'!T38&lt;0,'03_全链计算'!Y64+1,0),IF('01_数值调参'!T39&lt;0,'03_全链计算'!Z64+1,0),IF('01_数值调参'!T40&lt;0,'03_全链计算'!AA64+1,0),IF('01_数值调参'!T41&lt;0,'03_全链计算'!AB64+1,0),IF('01_数值调参'!T42&lt;0,'03_全链计算'!AC64+1,0),IF('01_数值调参'!T43&lt;0,'03_全链计算'!AD64+1,0),IF('01_数值调参'!T44&lt;0,'03_全链计算'!AE64+1,0),IF('01_数值调参'!T45&lt;0,'03_全链计算'!AF64+1,0),IF('01_数值调参'!T46&lt;0,'03_全链计算'!AG64+1,0),IF('01_数值调参'!T47&lt;0,'03_全链计算'!AH64+1,0),IF('01_数值调参'!T48&lt;0,'03_全链计算'!AI64+1,0),IF('01_数值调参'!T49&lt;0,'03_全链计算'!AJ64+1,0),IF('01_数值调参'!T50&lt;0,'03_全链计算'!AK64+1,0),IF('01_数值调参'!T51&lt;0,'03_全链计算'!AL64+1,0),IF('01_数值调参'!T52&lt;0,'03_全链计算'!AM64+1,0))</x:f>
        <x:v>1</x:v>
      </x:c>
      <x:c r="U65" s="9" t="n">
        <x:f>MAX(IF('01_数值调参'!U18&lt;0,'03_全链计算'!E64+1,0),IF('01_数值调参'!U19&lt;0,'03_全链计算'!F64+1,0),IF('01_数值调参'!U20&lt;0,'03_全链计算'!G64+1,0),IF('01_数值调参'!U21&lt;0,'03_全链计算'!H64+1,0),IF('01_数值调参'!U22&lt;0,'03_全链计算'!I64+1,0),IF('01_数值调参'!U23&lt;0,'03_全链计算'!J64+1,0),IF('01_数值调参'!U24&lt;0,'03_全链计算'!K64+1,0),IF('01_数值调参'!U25&lt;0,'03_全链计算'!L64+1,0),IF('01_数值调参'!U26&lt;0,'03_全链计算'!M64+1,0),IF('01_数值调参'!U27&lt;0,'03_全链计算'!N64+1,0),IF('01_数值调参'!U28&lt;0,'03_全链计算'!O64+1,0),IF('01_数值调参'!U29&lt;0,'03_全链计算'!P64+1,0),IF('01_数值调参'!U30&lt;0,'03_全链计算'!Q64+1,0),IF('01_数值调参'!U31&lt;0,'03_全链计算'!R64+1,0),IF('01_数值调参'!U32&lt;0,'03_全链计算'!S64+1,0),IF('01_数值调参'!U33&lt;0,'03_全链计算'!T64+1,0),IF('01_数值调参'!U34&lt;0,'03_全链计算'!U64+1,0),IF('01_数值调参'!U35&lt;0,'03_全链计算'!V64+1,0),IF('01_数值调参'!U36&lt;0,'03_全链计算'!W64+1,0),IF('01_数值调参'!U37&lt;0,'03_全链计算'!X64+1,0),IF('01_数值调参'!U38&lt;0,'03_全链计算'!Y64+1,0),IF('01_数值调参'!U39&lt;0,'03_全链计算'!Z64+1,0),IF('01_数值调参'!U40&lt;0,'03_全链计算'!AA64+1,0),IF('01_数值调参'!U41&lt;0,'03_全链计算'!AB64+1,0),IF('01_数值调参'!U42&lt;0,'03_全链计算'!AC64+1,0),IF('01_数值调参'!U43&lt;0,'03_全链计算'!AD64+1,0),IF('01_数值调参'!U44&lt;0,'03_全链计算'!AE64+1,0),IF('01_数值调参'!U45&lt;0,'03_全链计算'!AF64+1,0),IF('01_数值调参'!U46&lt;0,'03_全链计算'!AG64+1,0),IF('01_数值调参'!U47&lt;0,'03_全链计算'!AH64+1,0),IF('01_数值调参'!U48&lt;0,'03_全链计算'!AI64+1,0),IF('01_数值调参'!U49&lt;0,'03_全链计算'!AJ64+1,0),IF('01_数值调参'!U50&lt;0,'03_全链计算'!AK64+1,0),IF('01_数值调参'!U51&lt;0,'03_全链计算'!AL64+1,0),IF('01_数值调参'!U52&lt;0,'03_全链计算'!AM64+1,0))</x:f>
        <x:v>1</x:v>
      </x:c>
      <x:c r="V65" s="9" t="n">
        <x:f>MAX(IF('01_数值调参'!V18&lt;0,'03_全链计算'!E64+1,0),IF('01_数值调参'!V19&lt;0,'03_全链计算'!F64+1,0),IF('01_数值调参'!V20&lt;0,'03_全链计算'!G64+1,0),IF('01_数值调参'!V21&lt;0,'03_全链计算'!H64+1,0),IF('01_数值调参'!V22&lt;0,'03_全链计算'!I64+1,0),IF('01_数值调参'!V23&lt;0,'03_全链计算'!J64+1,0),IF('01_数值调参'!V24&lt;0,'03_全链计算'!K64+1,0),IF('01_数值调参'!V25&lt;0,'03_全链计算'!L64+1,0),IF('01_数值调参'!V26&lt;0,'03_全链计算'!M64+1,0),IF('01_数值调参'!V27&lt;0,'03_全链计算'!N64+1,0),IF('01_数值调参'!V28&lt;0,'03_全链计算'!O64+1,0),IF('01_数值调参'!V29&lt;0,'03_全链计算'!P64+1,0),IF('01_数值调参'!V30&lt;0,'03_全链计算'!Q64+1,0),IF('01_数值调参'!V31&lt;0,'03_全链计算'!R64+1,0),IF('01_数值调参'!V32&lt;0,'03_全链计算'!S64+1,0),IF('01_数值调参'!V33&lt;0,'03_全链计算'!T64+1,0),IF('01_数值调参'!V34&lt;0,'03_全链计算'!U64+1,0),IF('01_数值调参'!V35&lt;0,'03_全链计算'!V64+1,0),IF('01_数值调参'!V36&lt;0,'03_全链计算'!W64+1,0),IF('01_数值调参'!V37&lt;0,'03_全链计算'!X64+1,0),IF('01_数值调参'!V38&lt;0,'03_全链计算'!Y64+1,0),IF('01_数值调参'!V39&lt;0,'03_全链计算'!Z64+1,0),IF('01_数值调参'!V40&lt;0,'03_全链计算'!AA64+1,0),IF('01_数值调参'!V41&lt;0,'03_全链计算'!AB64+1,0),IF('01_数值调参'!V42&lt;0,'03_全链计算'!AC64+1,0),IF('01_数值调参'!V43&lt;0,'03_全链计算'!AD64+1,0),IF('01_数值调参'!V44&lt;0,'03_全链计算'!AE64+1,0),IF('01_数值调参'!V45&lt;0,'03_全链计算'!AF64+1,0),IF('01_数值调参'!V46&lt;0,'03_全链计算'!AG64+1,0),IF('01_数值调参'!V47&lt;0,'03_全链计算'!AH64+1,0),IF('01_数值调参'!V48&lt;0,'03_全链计算'!AI64+1,0),IF('01_数值调参'!V49&lt;0,'03_全链计算'!AJ64+1,0),IF('01_数值调参'!V50&lt;0,'03_全链计算'!AK64+1,0),IF('01_数值调参'!V51&lt;0,'03_全链计算'!AL64+1,0),IF('01_数值调参'!V52&lt;0,'03_全链计算'!AM64+1,0))</x:f>
        <x:v>1</x:v>
      </x:c>
      <x:c r="W65" s="9" t="n">
        <x:f>MAX(IF('01_数值调参'!W18&lt;0,'03_全链计算'!E64+1,0),IF('01_数值调参'!W19&lt;0,'03_全链计算'!F64+1,0),IF('01_数值调参'!W20&lt;0,'03_全链计算'!G64+1,0),IF('01_数值调参'!W21&lt;0,'03_全链计算'!H64+1,0),IF('01_数值调参'!W22&lt;0,'03_全链计算'!I64+1,0),IF('01_数值调参'!W23&lt;0,'03_全链计算'!J64+1,0),IF('01_数值调参'!W24&lt;0,'03_全链计算'!K64+1,0),IF('01_数值调参'!W25&lt;0,'03_全链计算'!L64+1,0),IF('01_数值调参'!W26&lt;0,'03_全链计算'!M64+1,0),IF('01_数值调参'!W27&lt;0,'03_全链计算'!N64+1,0),IF('01_数值调参'!W28&lt;0,'03_全链计算'!O64+1,0),IF('01_数值调参'!W29&lt;0,'03_全链计算'!P64+1,0),IF('01_数值调参'!W30&lt;0,'03_全链计算'!Q64+1,0),IF('01_数值调参'!W31&lt;0,'03_全链计算'!R64+1,0),IF('01_数值调参'!W32&lt;0,'03_全链计算'!S64+1,0),IF('01_数值调参'!W33&lt;0,'03_全链计算'!T64+1,0),IF('01_数值调参'!W34&lt;0,'03_全链计算'!U64+1,0),IF('01_数值调参'!W35&lt;0,'03_全链计算'!V64+1,0),IF('01_数值调参'!W36&lt;0,'03_全链计算'!W64+1,0),IF('01_数值调参'!W37&lt;0,'03_全链计算'!X64+1,0),IF('01_数值调参'!W38&lt;0,'03_全链计算'!Y64+1,0),IF('01_数值调参'!W39&lt;0,'03_全链计算'!Z64+1,0),IF('01_数值调参'!W40&lt;0,'03_全链计算'!AA64+1,0),IF('01_数值调参'!W41&lt;0,'03_全链计算'!AB64+1,0),IF('01_数值调参'!W42&lt;0,'03_全链计算'!AC64+1,0),IF('01_数值调参'!W43&lt;0,'03_全链计算'!AD64+1,0),IF('01_数值调参'!W44&lt;0,'03_全链计算'!AE64+1,0),IF('01_数值调参'!W45&lt;0,'03_全链计算'!AF64+1,0),IF('01_数值调参'!W46&lt;0,'03_全链计算'!AG64+1,0),IF('01_数值调参'!W47&lt;0,'03_全链计算'!AH64+1,0),IF('01_数值调参'!W48&lt;0,'03_全链计算'!AI64+1,0),IF('01_数值调参'!W49&lt;0,'03_全链计算'!AJ64+1,0),IF('01_数值调参'!W50&lt;0,'03_全链计算'!AK64+1,0),IF('01_数值调参'!W51&lt;0,'03_全链计算'!AL64+1,0),IF('01_数值调参'!W52&lt;0,'03_全链计算'!AM64+1,0))</x:f>
        <x:v>1</x:v>
      </x:c>
      <x:c r="X65" s="9" t="n">
        <x:f>MAX(IF('01_数值调参'!X18&lt;0,'03_全链计算'!E64+1,0),IF('01_数值调参'!X19&lt;0,'03_全链计算'!F64+1,0),IF('01_数值调参'!X20&lt;0,'03_全链计算'!G64+1,0),IF('01_数值调参'!X21&lt;0,'03_全链计算'!H64+1,0),IF('01_数值调参'!X22&lt;0,'03_全链计算'!I64+1,0),IF('01_数值调参'!X23&lt;0,'03_全链计算'!J64+1,0),IF('01_数值调参'!X24&lt;0,'03_全链计算'!K64+1,0),IF('01_数值调参'!X25&lt;0,'03_全链计算'!L64+1,0),IF('01_数值调参'!X26&lt;0,'03_全链计算'!M64+1,0),IF('01_数值调参'!X27&lt;0,'03_全链计算'!N64+1,0),IF('01_数值调参'!X28&lt;0,'03_全链计算'!O64+1,0),IF('01_数值调参'!X29&lt;0,'03_全链计算'!P64+1,0),IF('01_数值调参'!X30&lt;0,'03_全链计算'!Q64+1,0),IF('01_数值调参'!X31&lt;0,'03_全链计算'!R64+1,0),IF('01_数值调参'!X32&lt;0,'03_全链计算'!S64+1,0),IF('01_数值调参'!X33&lt;0,'03_全链计算'!T64+1,0),IF('01_数值调参'!X34&lt;0,'03_全链计算'!U64+1,0),IF('01_数值调参'!X35&lt;0,'03_全链计算'!V64+1,0),IF('01_数值调参'!X36&lt;0,'03_全链计算'!W64+1,0),IF('01_数值调参'!X37&lt;0,'03_全链计算'!X64+1,0),IF('01_数值调参'!X38&lt;0,'03_全链计算'!Y64+1,0),IF('01_数值调参'!X39&lt;0,'03_全链计算'!Z64+1,0),IF('01_数值调参'!X40&lt;0,'03_全链计算'!AA64+1,0),IF('01_数值调参'!X41&lt;0,'03_全链计算'!AB64+1,0),IF('01_数值调参'!X42&lt;0,'03_全链计算'!AC64+1,0),IF('01_数值调参'!X43&lt;0,'03_全链计算'!AD64+1,0),IF('01_数值调参'!X44&lt;0,'03_全链计算'!AE64+1,0),IF('01_数值调参'!X45&lt;0,'03_全链计算'!AF64+1,0),IF('01_数值调参'!X46&lt;0,'03_全链计算'!AG64+1,0),IF('01_数值调参'!X47&lt;0,'03_全链计算'!AH64+1,0),IF('01_数值调参'!X48&lt;0,'03_全链计算'!AI64+1,0),IF('01_数值调参'!X49&lt;0,'03_全链计算'!AJ64+1,0),IF('01_数值调参'!X50&lt;0,'03_全链计算'!AK64+1,0),IF('01_数值调参'!X51&lt;0,'03_全链计算'!AL64+1,0),IF('01_数值调参'!X52&lt;0,'03_全链计算'!AM64+1,0))</x:f>
        <x:v>2</x:v>
      </x:c>
      <x:c r="Y65" s="9" t="n">
        <x:f>MAX(IF('01_数值调参'!Y18&lt;0,'03_全链计算'!E64+1,0),IF('01_数值调参'!Y19&lt;0,'03_全链计算'!F64+1,0),IF('01_数值调参'!Y20&lt;0,'03_全链计算'!G64+1,0),IF('01_数值调参'!Y21&lt;0,'03_全链计算'!H64+1,0),IF('01_数值调参'!Y22&lt;0,'03_全链计算'!I64+1,0),IF('01_数值调参'!Y23&lt;0,'03_全链计算'!J64+1,0),IF('01_数值调参'!Y24&lt;0,'03_全链计算'!K64+1,0),IF('01_数值调参'!Y25&lt;0,'03_全链计算'!L64+1,0),IF('01_数值调参'!Y26&lt;0,'03_全链计算'!M64+1,0),IF('01_数值调参'!Y27&lt;0,'03_全链计算'!N64+1,0),IF('01_数值调参'!Y28&lt;0,'03_全链计算'!O64+1,0),IF('01_数值调参'!Y29&lt;0,'03_全链计算'!P64+1,0),IF('01_数值调参'!Y30&lt;0,'03_全链计算'!Q64+1,0),IF('01_数值调参'!Y31&lt;0,'03_全链计算'!R64+1,0),IF('01_数值调参'!Y32&lt;0,'03_全链计算'!S64+1,0),IF('01_数值调参'!Y33&lt;0,'03_全链计算'!T64+1,0),IF('01_数值调参'!Y34&lt;0,'03_全链计算'!U64+1,0),IF('01_数值调参'!Y35&lt;0,'03_全链计算'!V64+1,0),IF('01_数值调参'!Y36&lt;0,'03_全链计算'!W64+1,0),IF('01_数值调参'!Y37&lt;0,'03_全链计算'!X64+1,0),IF('01_数值调参'!Y38&lt;0,'03_全链计算'!Y64+1,0),IF('01_数值调参'!Y39&lt;0,'03_全链计算'!Z64+1,0),IF('01_数值调参'!Y40&lt;0,'03_全链计算'!AA64+1,0),IF('01_数值调参'!Y41&lt;0,'03_全链计算'!AB64+1,0),IF('01_数值调参'!Y42&lt;0,'03_全链计算'!AC64+1,0),IF('01_数值调参'!Y43&lt;0,'03_全链计算'!AD64+1,0),IF('01_数值调参'!Y44&lt;0,'03_全链计算'!AE64+1,0),IF('01_数值调参'!Y45&lt;0,'03_全链计算'!AF64+1,0),IF('01_数值调参'!Y46&lt;0,'03_全链计算'!AG64+1,0),IF('01_数值调参'!Y47&lt;0,'03_全链计算'!AH64+1,0),IF('01_数值调参'!Y48&lt;0,'03_全链计算'!AI64+1,0),IF('01_数值调参'!Y49&lt;0,'03_全链计算'!AJ64+1,0),IF('01_数值调参'!Y50&lt;0,'03_全链计算'!AK64+1,0),IF('01_数值调参'!Y51&lt;0,'03_全链计算'!AL64+1,0),IF('01_数值调参'!Y52&lt;0,'03_全链计算'!AM64+1,0))</x:f>
        <x:v>2</x:v>
      </x:c>
      <x:c r="Z65" s="9" t="n">
        <x:f>MAX(IF('01_数值调参'!Z18&lt;0,'03_全链计算'!E64+1,0),IF('01_数值调参'!Z19&lt;0,'03_全链计算'!F64+1,0),IF('01_数值调参'!Z20&lt;0,'03_全链计算'!G64+1,0),IF('01_数值调参'!Z21&lt;0,'03_全链计算'!H64+1,0),IF('01_数值调参'!Z22&lt;0,'03_全链计算'!I64+1,0),IF('01_数值调参'!Z23&lt;0,'03_全链计算'!J64+1,0),IF('01_数值调参'!Z24&lt;0,'03_全链计算'!K64+1,0),IF('01_数值调参'!Z25&lt;0,'03_全链计算'!L64+1,0),IF('01_数值调参'!Z26&lt;0,'03_全链计算'!M64+1,0),IF('01_数值调参'!Z27&lt;0,'03_全链计算'!N64+1,0),IF('01_数值调参'!Z28&lt;0,'03_全链计算'!O64+1,0),IF('01_数值调参'!Z29&lt;0,'03_全链计算'!P64+1,0),IF('01_数值调参'!Z30&lt;0,'03_全链计算'!Q64+1,0),IF('01_数值调参'!Z31&lt;0,'03_全链计算'!R64+1,0),IF('01_数值调参'!Z32&lt;0,'03_全链计算'!S64+1,0),IF('01_数值调参'!Z33&lt;0,'03_全链计算'!T64+1,0),IF('01_数值调参'!Z34&lt;0,'03_全链计算'!U64+1,0),IF('01_数值调参'!Z35&lt;0,'03_全链计算'!V64+1,0),IF('01_数值调参'!Z36&lt;0,'03_全链计算'!W64+1,0),IF('01_数值调参'!Z37&lt;0,'03_全链计算'!X64+1,0),IF('01_数值调参'!Z38&lt;0,'03_全链计算'!Y64+1,0),IF('01_数值调参'!Z39&lt;0,'03_全链计算'!Z64+1,0),IF('01_数值调参'!Z40&lt;0,'03_全链计算'!AA64+1,0),IF('01_数值调参'!Z41&lt;0,'03_全链计算'!AB64+1,0),IF('01_数值调参'!Z42&lt;0,'03_全链计算'!AC64+1,0),IF('01_数值调参'!Z43&lt;0,'03_全链计算'!AD64+1,0),IF('01_数值调参'!Z44&lt;0,'03_全链计算'!AE64+1,0),IF('01_数值调参'!Z45&lt;0,'03_全链计算'!AF64+1,0),IF('01_数值调参'!Z46&lt;0,'03_全链计算'!AG64+1,0),IF('01_数值调参'!Z47&lt;0,'03_全链计算'!AH64+1,0),IF('01_数值调参'!Z48&lt;0,'03_全链计算'!AI64+1,0),IF('01_数值调参'!Z49&lt;0,'03_全链计算'!AJ64+1,0),IF('01_数值调参'!Z50&lt;0,'03_全链计算'!AK64+1,0),IF('01_数值调参'!Z51&lt;0,'03_全链计算'!AL64+1,0),IF('01_数值调参'!Z52&lt;0,'03_全链计算'!AM64+1,0))</x:f>
        <x:v>2</x:v>
      </x:c>
      <x:c r="AA65" s="9" t="n">
        <x:f>MAX(IF('01_数值调参'!AA18&lt;0,'03_全链计算'!E64+1,0),IF('01_数值调参'!AA19&lt;0,'03_全链计算'!F64+1,0),IF('01_数值调参'!AA20&lt;0,'03_全链计算'!G64+1,0),IF('01_数值调参'!AA21&lt;0,'03_全链计算'!H64+1,0),IF('01_数值调参'!AA22&lt;0,'03_全链计算'!I64+1,0),IF('01_数值调参'!AA23&lt;0,'03_全链计算'!J64+1,0),IF('01_数值调参'!AA24&lt;0,'03_全链计算'!K64+1,0),IF('01_数值调参'!AA25&lt;0,'03_全链计算'!L64+1,0),IF('01_数值调参'!AA26&lt;0,'03_全链计算'!M64+1,0),IF('01_数值调参'!AA27&lt;0,'03_全链计算'!N64+1,0),IF('01_数值调参'!AA28&lt;0,'03_全链计算'!O64+1,0),IF('01_数值调参'!AA29&lt;0,'03_全链计算'!P64+1,0),IF('01_数值调参'!AA30&lt;0,'03_全链计算'!Q64+1,0),IF('01_数值调参'!AA31&lt;0,'03_全链计算'!R64+1,0),IF('01_数值调参'!AA32&lt;0,'03_全链计算'!S64+1,0),IF('01_数值调参'!AA33&lt;0,'03_全链计算'!T64+1,0),IF('01_数值调参'!AA34&lt;0,'03_全链计算'!U64+1,0),IF('01_数值调参'!AA35&lt;0,'03_全链计算'!V64+1,0),IF('01_数值调参'!AA36&lt;0,'03_全链计算'!W64+1,0),IF('01_数值调参'!AA37&lt;0,'03_全链计算'!X64+1,0),IF('01_数值调参'!AA38&lt;0,'03_全链计算'!Y64+1,0),IF('01_数值调参'!AA39&lt;0,'03_全链计算'!Z64+1,0),IF('01_数值调参'!AA40&lt;0,'03_全链计算'!AA64+1,0),IF('01_数值调参'!AA41&lt;0,'03_全链计算'!AB64+1,0),IF('01_数值调参'!AA42&lt;0,'03_全链计算'!AC64+1,0),IF('01_数值调参'!AA43&lt;0,'03_全链计算'!AD64+1,0),IF('01_数值调参'!AA44&lt;0,'03_全链计算'!AE64+1,0),IF('01_数值调参'!AA45&lt;0,'03_全链计算'!AF64+1,0),IF('01_数值调参'!AA46&lt;0,'03_全链计算'!AG64+1,0),IF('01_数值调参'!AA47&lt;0,'03_全链计算'!AH64+1,0),IF('01_数值调参'!AA48&lt;0,'03_全链计算'!AI64+1,0),IF('01_数值调参'!AA49&lt;0,'03_全链计算'!AJ64+1,0),IF('01_数值调参'!AA50&lt;0,'03_全链计算'!AK64+1,0),IF('01_数值调参'!AA51&lt;0,'03_全链计算'!AL64+1,0),IF('01_数值调参'!AA52&lt;0,'03_全链计算'!AM64+1,0))</x:f>
        <x:v>2</x:v>
      </x:c>
      <x:c r="AB65" s="9" t="n">
        <x:f>MAX(IF('01_数值调参'!AB18&lt;0,'03_全链计算'!E64+1,0),IF('01_数值调参'!AB19&lt;0,'03_全链计算'!F64+1,0),IF('01_数值调参'!AB20&lt;0,'03_全链计算'!G64+1,0),IF('01_数值调参'!AB21&lt;0,'03_全链计算'!H64+1,0),IF('01_数值调参'!AB22&lt;0,'03_全链计算'!I64+1,0),IF('01_数值调参'!AB23&lt;0,'03_全链计算'!J64+1,0),IF('01_数值调参'!AB24&lt;0,'03_全链计算'!K64+1,0),IF('01_数值调参'!AB25&lt;0,'03_全链计算'!L64+1,0),IF('01_数值调参'!AB26&lt;0,'03_全链计算'!M64+1,0),IF('01_数值调参'!AB27&lt;0,'03_全链计算'!N64+1,0),IF('01_数值调参'!AB28&lt;0,'03_全链计算'!O64+1,0),IF('01_数值调参'!AB29&lt;0,'03_全链计算'!P64+1,0),IF('01_数值调参'!AB30&lt;0,'03_全链计算'!Q64+1,0),IF('01_数值调参'!AB31&lt;0,'03_全链计算'!R64+1,0),IF('01_数值调参'!AB32&lt;0,'03_全链计算'!S64+1,0),IF('01_数值调参'!AB33&lt;0,'03_全链计算'!T64+1,0),IF('01_数值调参'!AB34&lt;0,'03_全链计算'!U64+1,0),IF('01_数值调参'!AB35&lt;0,'03_全链计算'!V64+1,0),IF('01_数值调参'!AB36&lt;0,'03_全链计算'!W64+1,0),IF('01_数值调参'!AB37&lt;0,'03_全链计算'!X64+1,0),IF('01_数值调参'!AB38&lt;0,'03_全链计算'!Y64+1,0),IF('01_数值调参'!AB39&lt;0,'03_全链计算'!Z64+1,0),IF('01_数值调参'!AB40&lt;0,'03_全链计算'!AA64+1,0),IF('01_数值调参'!AB41&lt;0,'03_全链计算'!AB64+1,0),IF('01_数值调参'!AB42&lt;0,'03_全链计算'!AC64+1,0),IF('01_数值调参'!AB43&lt;0,'03_全链计算'!AD64+1,0),IF('01_数值调参'!AB44&lt;0,'03_全链计算'!AE64+1,0),IF('01_数值调参'!AB45&lt;0,'03_全链计算'!AF64+1,0),IF('01_数值调参'!AB46&lt;0,'03_全链计算'!AG64+1,0),IF('01_数值调参'!AB47&lt;0,'03_全链计算'!AH64+1,0),IF('01_数值调参'!AB48&lt;0,'03_全链计算'!AI64+1,0),IF('01_数值调参'!AB49&lt;0,'03_全链计算'!AJ64+1,0),IF('01_数值调参'!AB50&lt;0,'03_全链计算'!AK64+1,0),IF('01_数值调参'!AB51&lt;0,'03_全链计算'!AL64+1,0),IF('01_数值调参'!AB52&lt;0,'03_全链计算'!AM64+1,0))</x:f>
        <x:v>2</x:v>
      </x:c>
      <x:c r="AC65" s="9" t="n">
        <x:f>MAX(IF('01_数值调参'!AC18&lt;0,'03_全链计算'!E64+1,0),IF('01_数值调参'!AC19&lt;0,'03_全链计算'!F64+1,0),IF('01_数值调参'!AC20&lt;0,'03_全链计算'!G64+1,0),IF('01_数值调参'!AC21&lt;0,'03_全链计算'!H64+1,0),IF('01_数值调参'!AC22&lt;0,'03_全链计算'!I64+1,0),IF('01_数值调参'!AC23&lt;0,'03_全链计算'!J64+1,0),IF('01_数值调参'!AC24&lt;0,'03_全链计算'!K64+1,0),IF('01_数值调参'!AC25&lt;0,'03_全链计算'!L64+1,0),IF('01_数值调参'!AC26&lt;0,'03_全链计算'!M64+1,0),IF('01_数值调参'!AC27&lt;0,'03_全链计算'!N64+1,0),IF('01_数值调参'!AC28&lt;0,'03_全链计算'!O64+1,0),IF('01_数值调参'!AC29&lt;0,'03_全链计算'!P64+1,0),IF('01_数值调参'!AC30&lt;0,'03_全链计算'!Q64+1,0),IF('01_数值调参'!AC31&lt;0,'03_全链计算'!R64+1,0),IF('01_数值调参'!AC32&lt;0,'03_全链计算'!S64+1,0),IF('01_数值调参'!AC33&lt;0,'03_全链计算'!T64+1,0),IF('01_数值调参'!AC34&lt;0,'03_全链计算'!U64+1,0),IF('01_数值调参'!AC35&lt;0,'03_全链计算'!V64+1,0),IF('01_数值调参'!AC36&lt;0,'03_全链计算'!W64+1,0),IF('01_数值调参'!AC37&lt;0,'03_全链计算'!X64+1,0),IF('01_数值调参'!AC38&lt;0,'03_全链计算'!Y64+1,0),IF('01_数值调参'!AC39&lt;0,'03_全链计算'!Z64+1,0),IF('01_数值调参'!AC40&lt;0,'03_全链计算'!AA64+1,0),IF('01_数值调参'!AC41&lt;0,'03_全链计算'!AB64+1,0),IF('01_数值调参'!AC42&lt;0,'03_全链计算'!AC64+1,0),IF('01_数值调参'!AC43&lt;0,'03_全链计算'!AD64+1,0),IF('01_数值调参'!AC44&lt;0,'03_全链计算'!AE64+1,0),IF('01_数值调参'!AC45&lt;0,'03_全链计算'!AF64+1,0),IF('01_数值调参'!AC46&lt;0,'03_全链计算'!AG64+1,0),IF('01_数值调参'!AC47&lt;0,'03_全链计算'!AH64+1,0),IF('01_数值调参'!AC48&lt;0,'03_全链计算'!AI64+1,0),IF('01_数值调参'!AC49&lt;0,'03_全链计算'!AJ64+1,0),IF('01_数值调参'!AC50&lt;0,'03_全链计算'!AK64+1,0),IF('01_数值调参'!AC51&lt;0,'03_全链计算'!AL64+1,0),IF('01_数值调参'!AC52&lt;0,'03_全链计算'!AM64+1,0))</x:f>
        <x:v>2</x:v>
      </x:c>
      <x:c r="AD65" s="9" t="n">
        <x:f>MAX(IF('01_数值调参'!AD18&lt;0,'03_全链计算'!E64+1,0),IF('01_数值调参'!AD19&lt;0,'03_全链计算'!F64+1,0),IF('01_数值调参'!AD20&lt;0,'03_全链计算'!G64+1,0),IF('01_数值调参'!AD21&lt;0,'03_全链计算'!H64+1,0),IF('01_数值调参'!AD22&lt;0,'03_全链计算'!I64+1,0),IF('01_数值调参'!AD23&lt;0,'03_全链计算'!J64+1,0),IF('01_数值调参'!AD24&lt;0,'03_全链计算'!K64+1,0),IF('01_数值调参'!AD25&lt;0,'03_全链计算'!L64+1,0),IF('01_数值调参'!AD26&lt;0,'03_全链计算'!M64+1,0),IF('01_数值调参'!AD27&lt;0,'03_全链计算'!N64+1,0),IF('01_数值调参'!AD28&lt;0,'03_全链计算'!O64+1,0),IF('01_数值调参'!AD29&lt;0,'03_全链计算'!P64+1,0),IF('01_数值调参'!AD30&lt;0,'03_全链计算'!Q64+1,0),IF('01_数值调参'!AD31&lt;0,'03_全链计算'!R64+1,0),IF('01_数值调参'!AD32&lt;0,'03_全链计算'!S64+1,0),IF('01_数值调参'!AD33&lt;0,'03_全链计算'!T64+1,0),IF('01_数值调参'!AD34&lt;0,'03_全链计算'!U64+1,0),IF('01_数值调参'!AD35&lt;0,'03_全链计算'!V64+1,0),IF('01_数值调参'!AD36&lt;0,'03_全链计算'!W64+1,0),IF('01_数值调参'!AD37&lt;0,'03_全链计算'!X64+1,0),IF('01_数值调参'!AD38&lt;0,'03_全链计算'!Y64+1,0),IF('01_数值调参'!AD39&lt;0,'03_全链计算'!Z64+1,0),IF('01_数值调参'!AD40&lt;0,'03_全链计算'!AA64+1,0),IF('01_数值调参'!AD41&lt;0,'03_全链计算'!AB64+1,0),IF('01_数值调参'!AD42&lt;0,'03_全链计算'!AC64+1,0),IF('01_数值调参'!AD43&lt;0,'03_全链计算'!AD64+1,0),IF('01_数值调参'!AD44&lt;0,'03_全链计算'!AE64+1,0),IF('01_数值调参'!AD45&lt;0,'03_全链计算'!AF64+1,0),IF('01_数值调参'!AD46&lt;0,'03_全链计算'!AG64+1,0),IF('01_数值调参'!AD47&lt;0,'03_全链计算'!AH64+1,0),IF('01_数值调参'!AD48&lt;0,'03_全链计算'!AI64+1,0),IF('01_数值调参'!AD49&lt;0,'03_全链计算'!AJ64+1,0),IF('01_数值调参'!AD50&lt;0,'03_全链计算'!AK64+1,0),IF('01_数值调参'!AD51&lt;0,'03_全链计算'!AL64+1,0),IF('01_数值调参'!AD52&lt;0,'03_全链计算'!AM64+1,0))</x:f>
        <x:v>1</x:v>
      </x:c>
      <x:c r="AE65" s="9" t="n">
        <x:f>MAX(IF('01_数值调参'!AE18&lt;0,'03_全链计算'!E64+1,0),IF('01_数值调参'!AE19&lt;0,'03_全链计算'!F64+1,0),IF('01_数值调参'!AE20&lt;0,'03_全链计算'!G64+1,0),IF('01_数值调参'!AE21&lt;0,'03_全链计算'!H64+1,0),IF('01_数值调参'!AE22&lt;0,'03_全链计算'!I64+1,0),IF('01_数值调参'!AE23&lt;0,'03_全链计算'!J64+1,0),IF('01_数值调参'!AE24&lt;0,'03_全链计算'!K64+1,0),IF('01_数值调参'!AE25&lt;0,'03_全链计算'!L64+1,0),IF('01_数值调参'!AE26&lt;0,'03_全链计算'!M64+1,0),IF('01_数值调参'!AE27&lt;0,'03_全链计算'!N64+1,0),IF('01_数值调参'!AE28&lt;0,'03_全链计算'!O64+1,0),IF('01_数值调参'!AE29&lt;0,'03_全链计算'!P64+1,0),IF('01_数值调参'!AE30&lt;0,'03_全链计算'!Q64+1,0),IF('01_数值调参'!AE31&lt;0,'03_全链计算'!R64+1,0),IF('01_数值调参'!AE32&lt;0,'03_全链计算'!S64+1,0),IF('01_数值调参'!AE33&lt;0,'03_全链计算'!T64+1,0),IF('01_数值调参'!AE34&lt;0,'03_全链计算'!U64+1,0),IF('01_数值调参'!AE35&lt;0,'03_全链计算'!V64+1,0),IF('01_数值调参'!AE36&lt;0,'03_全链计算'!W64+1,0),IF('01_数值调参'!AE37&lt;0,'03_全链计算'!X64+1,0),IF('01_数值调参'!AE38&lt;0,'03_全链计算'!Y64+1,0),IF('01_数值调参'!AE39&lt;0,'03_全链计算'!Z64+1,0),IF('01_数值调参'!AE40&lt;0,'03_全链计算'!AA64+1,0),IF('01_数值调参'!AE41&lt;0,'03_全链计算'!AB64+1,0),IF('01_数值调参'!AE42&lt;0,'03_全链计算'!AC64+1,0),IF('01_数值调参'!AE43&lt;0,'03_全链计算'!AD64+1,0),IF('01_数值调参'!AE44&lt;0,'03_全链计算'!AE64+1,0),IF('01_数值调参'!AE45&lt;0,'03_全链计算'!AF64+1,0),IF('01_数值调参'!AE46&lt;0,'03_全链计算'!AG64+1,0),IF('01_数值调参'!AE47&lt;0,'03_全链计算'!AH64+1,0),IF('01_数值调参'!AE48&lt;0,'03_全链计算'!AI64+1,0),IF('01_数值调参'!AE49&lt;0,'03_全链计算'!AJ64+1,0),IF('01_数值调参'!AE50&lt;0,'03_全链计算'!AK64+1,0),IF('01_数值调参'!AE51&lt;0,'03_全链计算'!AL64+1,0),IF('01_数值调参'!AE52&lt;0,'03_全链计算'!AM64+1,0))</x:f>
        <x:v>1</x:v>
      </x:c>
      <x:c r="AF65" s="9" t="n">
        <x:f>MAX(IF('01_数值调参'!AF18&lt;0,'03_全链计算'!E64+1,0),IF('01_数值调参'!AF19&lt;0,'03_全链计算'!F64+1,0),IF('01_数值调参'!AF20&lt;0,'03_全链计算'!G64+1,0),IF('01_数值调参'!AF21&lt;0,'03_全链计算'!H64+1,0),IF('01_数值调参'!AF22&lt;0,'03_全链计算'!I64+1,0),IF('01_数值调参'!AF23&lt;0,'03_全链计算'!J64+1,0),IF('01_数值调参'!AF24&lt;0,'03_全链计算'!K64+1,0),IF('01_数值调参'!AF25&lt;0,'03_全链计算'!L64+1,0),IF('01_数值调参'!AF26&lt;0,'03_全链计算'!M64+1,0),IF('01_数值调参'!AF27&lt;0,'03_全链计算'!N64+1,0),IF('01_数值调参'!AF28&lt;0,'03_全链计算'!O64+1,0),IF('01_数值调参'!AF29&lt;0,'03_全链计算'!P64+1,0),IF('01_数值调参'!AF30&lt;0,'03_全链计算'!Q64+1,0),IF('01_数值调参'!AF31&lt;0,'03_全链计算'!R64+1,0),IF('01_数值调参'!AF32&lt;0,'03_全链计算'!S64+1,0),IF('01_数值调参'!AF33&lt;0,'03_全链计算'!T64+1,0),IF('01_数值调参'!AF34&lt;0,'03_全链计算'!U64+1,0),IF('01_数值调参'!AF35&lt;0,'03_全链计算'!V64+1,0),IF('01_数值调参'!AF36&lt;0,'03_全链计算'!W64+1,0),IF('01_数值调参'!AF37&lt;0,'03_全链计算'!X64+1,0),IF('01_数值调参'!AF38&lt;0,'03_全链计算'!Y64+1,0),IF('01_数值调参'!AF39&lt;0,'03_全链计算'!Z64+1,0),IF('01_数值调参'!AF40&lt;0,'03_全链计算'!AA64+1,0),IF('01_数值调参'!AF41&lt;0,'03_全链计算'!AB64+1,0),IF('01_数值调参'!AF42&lt;0,'03_全链计算'!AC64+1,0),IF('01_数值调参'!AF43&lt;0,'03_全链计算'!AD64+1,0),IF('01_数值调参'!AF44&lt;0,'03_全链计算'!AE64+1,0),IF('01_数值调参'!AF45&lt;0,'03_全链计算'!AF64+1,0),IF('01_数值调参'!AF46&lt;0,'03_全链计算'!AG64+1,0),IF('01_数值调参'!AF47&lt;0,'03_全链计算'!AH64+1,0),IF('01_数值调参'!AF48&lt;0,'03_全链计算'!AI64+1,0),IF('01_数值调参'!AF49&lt;0,'03_全链计算'!AJ64+1,0),IF('01_数值调参'!AF50&lt;0,'03_全链计算'!AK64+1,0),IF('01_数值调参'!AF51&lt;0,'03_全链计算'!AL64+1,0),IF('01_数值调参'!AF52&lt;0,'03_全链计算'!AM64+1,0))</x:f>
        <x:v>1</x:v>
      </x:c>
      <x:c r="AG65" s="9" t="n">
        <x:f>MAX(IF('01_数值调参'!AG18&lt;0,'03_全链计算'!E64+1,0),IF('01_数值调参'!AG19&lt;0,'03_全链计算'!F64+1,0),IF('01_数值调参'!AG20&lt;0,'03_全链计算'!G64+1,0),IF('01_数值调参'!AG21&lt;0,'03_全链计算'!H64+1,0),IF('01_数值调参'!AG22&lt;0,'03_全链计算'!I64+1,0),IF('01_数值调参'!AG23&lt;0,'03_全链计算'!J64+1,0),IF('01_数值调参'!AG24&lt;0,'03_全链计算'!K64+1,0),IF('01_数值调参'!AG25&lt;0,'03_全链计算'!L64+1,0),IF('01_数值调参'!AG26&lt;0,'03_全链计算'!M64+1,0),IF('01_数值调参'!AG27&lt;0,'03_全链计算'!N64+1,0),IF('01_数值调参'!AG28&lt;0,'03_全链计算'!O64+1,0),IF('01_数值调参'!AG29&lt;0,'03_全链计算'!P64+1,0),IF('01_数值调参'!AG30&lt;0,'03_全链计算'!Q64+1,0),IF('01_数值调参'!AG31&lt;0,'03_全链计算'!R64+1,0),IF('01_数值调参'!AG32&lt;0,'03_全链计算'!S64+1,0),IF('01_数值调参'!AG33&lt;0,'03_全链计算'!T64+1,0),IF('01_数值调参'!AG34&lt;0,'03_全链计算'!U64+1,0),IF('01_数值调参'!AG35&lt;0,'03_全链计算'!V64+1,0),IF('01_数值调参'!AG36&lt;0,'03_全链计算'!W64+1,0),IF('01_数值调参'!AG37&lt;0,'03_全链计算'!X64+1,0),IF('01_数值调参'!AG38&lt;0,'03_全链计算'!Y64+1,0),IF('01_数值调参'!AG39&lt;0,'03_全链计算'!Z64+1,0),IF('01_数值调参'!AG40&lt;0,'03_全链计算'!AA64+1,0),IF('01_数值调参'!AG41&lt;0,'03_全链计算'!AB64+1,0),IF('01_数值调参'!AG42&lt;0,'03_全链计算'!AC64+1,0),IF('01_数值调参'!AG43&lt;0,'03_全链计算'!AD64+1,0),IF('01_数值调参'!AG44&lt;0,'03_全链计算'!AE64+1,0),IF('01_数值调参'!AG45&lt;0,'03_全链计算'!AF64+1,0),IF('01_数值调参'!AG46&lt;0,'03_全链计算'!AG64+1,0),IF('01_数值调参'!AG47&lt;0,'03_全链计算'!AH64+1,0),IF('01_数值调参'!AG48&lt;0,'03_全链计算'!AI64+1,0),IF('01_数值调参'!AG49&lt;0,'03_全链计算'!AJ64+1,0),IF('01_数值调参'!AG50&lt;0,'03_全链计算'!AK64+1,0),IF('01_数值调参'!AG51&lt;0,'03_全链计算'!AL64+1,0),IF('01_数值调参'!AG52&lt;0,'03_全链计算'!AM64+1,0))</x:f>
        <x:v>1</x:v>
      </x:c>
      <x:c r="AH65" s="9" t="n">
        <x:f>MAX(IF('01_数值调参'!AH18&lt;0,'03_全链计算'!E64+1,0),IF('01_数值调参'!AH19&lt;0,'03_全链计算'!F64+1,0),IF('01_数值调参'!AH20&lt;0,'03_全链计算'!G64+1,0),IF('01_数值调参'!AH21&lt;0,'03_全链计算'!H64+1,0),IF('01_数值调参'!AH22&lt;0,'03_全链计算'!I64+1,0),IF('01_数值调参'!AH23&lt;0,'03_全链计算'!J64+1,0),IF('01_数值调参'!AH24&lt;0,'03_全链计算'!K64+1,0),IF('01_数值调参'!AH25&lt;0,'03_全链计算'!L64+1,0),IF('01_数值调参'!AH26&lt;0,'03_全链计算'!M64+1,0),IF('01_数值调参'!AH27&lt;0,'03_全链计算'!N64+1,0),IF('01_数值调参'!AH28&lt;0,'03_全链计算'!O64+1,0),IF('01_数值调参'!AH29&lt;0,'03_全链计算'!P64+1,0),IF('01_数值调参'!AH30&lt;0,'03_全链计算'!Q64+1,0),IF('01_数值调参'!AH31&lt;0,'03_全链计算'!R64+1,0),IF('01_数值调参'!AH32&lt;0,'03_全链计算'!S64+1,0),IF('01_数值调参'!AH33&lt;0,'03_全链计算'!T64+1,0),IF('01_数值调参'!AH34&lt;0,'03_全链计算'!U64+1,0),IF('01_数值调参'!AH35&lt;0,'03_全链计算'!V64+1,0),IF('01_数值调参'!AH36&lt;0,'03_全链计算'!W64+1,0),IF('01_数值调参'!AH37&lt;0,'03_全链计算'!X64+1,0),IF('01_数值调参'!AH38&lt;0,'03_全链计算'!Y64+1,0),IF('01_数值调参'!AH39&lt;0,'03_全链计算'!Z64+1,0),IF('01_数值调参'!AH40&lt;0,'03_全链计算'!AA64+1,0),IF('01_数值调参'!AH41&lt;0,'03_全链计算'!AB64+1,0),IF('01_数值调参'!AH42&lt;0,'03_全链计算'!AC64+1,0),IF('01_数值调参'!AH43&lt;0,'03_全链计算'!AD64+1,0),IF('01_数值调参'!AH44&lt;0,'03_全链计算'!AE64+1,0),IF('01_数值调参'!AH45&lt;0,'03_全链计算'!AF64+1,0),IF('01_数值调参'!AH46&lt;0,'03_全链计算'!AG64+1,0),IF('01_数值调参'!AH47&lt;0,'03_全链计算'!AH64+1,0),IF('01_数值调参'!AH48&lt;0,'03_全链计算'!AI64+1,0),IF('01_数值调参'!AH49&lt;0,'03_全链计算'!AJ64+1,0),IF('01_数值调参'!AH50&lt;0,'03_全链计算'!AK64+1,0),IF('01_数值调参'!AH51&lt;0,'03_全链计算'!AL64+1,0),IF('01_数值调参'!AH52&lt;0,'03_全链计算'!AM64+1,0))</x:f>
        <x:v>2</x:v>
      </x:c>
      <x:c r="AI65" s="9" t="n">
        <x:f>MAX(IF('01_数值调参'!AI18&lt;0,'03_全链计算'!E64+1,0),IF('01_数值调参'!AI19&lt;0,'03_全链计算'!F64+1,0),IF('01_数值调参'!AI20&lt;0,'03_全链计算'!G64+1,0),IF('01_数值调参'!AI21&lt;0,'03_全链计算'!H64+1,0),IF('01_数值调参'!AI22&lt;0,'03_全链计算'!I64+1,0),IF('01_数值调参'!AI23&lt;0,'03_全链计算'!J64+1,0),IF('01_数值调参'!AI24&lt;0,'03_全链计算'!K64+1,0),IF('01_数值调参'!AI25&lt;0,'03_全链计算'!L64+1,0),IF('01_数值调参'!AI26&lt;0,'03_全链计算'!M64+1,0),IF('01_数值调参'!AI27&lt;0,'03_全链计算'!N64+1,0),IF('01_数值调参'!AI28&lt;0,'03_全链计算'!O64+1,0),IF('01_数值调参'!AI29&lt;0,'03_全链计算'!P64+1,0),IF('01_数值调参'!AI30&lt;0,'03_全链计算'!Q64+1,0),IF('01_数值调参'!AI31&lt;0,'03_全链计算'!R64+1,0),IF('01_数值调参'!AI32&lt;0,'03_全链计算'!S64+1,0),IF('01_数值调参'!AI33&lt;0,'03_全链计算'!T64+1,0),IF('01_数值调参'!AI34&lt;0,'03_全链计算'!U64+1,0),IF('01_数值调参'!AI35&lt;0,'03_全链计算'!V64+1,0),IF('01_数值调参'!AI36&lt;0,'03_全链计算'!W64+1,0),IF('01_数值调参'!AI37&lt;0,'03_全链计算'!X64+1,0),IF('01_数值调参'!AI38&lt;0,'03_全链计算'!Y64+1,0),IF('01_数值调参'!AI39&lt;0,'03_全链计算'!Z64+1,0),IF('01_数值调参'!AI40&lt;0,'03_全链计算'!AA64+1,0),IF('01_数值调参'!AI41&lt;0,'03_全链计算'!AB64+1,0),IF('01_数值调参'!AI42&lt;0,'03_全链计算'!AC64+1,0),IF('01_数值调参'!AI43&lt;0,'03_全链计算'!AD64+1,0),IF('01_数值调参'!AI44&lt;0,'03_全链计算'!AE64+1,0),IF('01_数值调参'!AI45&lt;0,'03_全链计算'!AF64+1,0),IF('01_数值调参'!AI46&lt;0,'03_全链计算'!AG64+1,0),IF('01_数值调参'!AI47&lt;0,'03_全链计算'!AH64+1,0),IF('01_数值调参'!AI48&lt;0,'03_全链计算'!AI64+1,0),IF('01_数值调参'!AI49&lt;0,'03_全链计算'!AJ64+1,0),IF('01_数值调参'!AI50&lt;0,'03_全链计算'!AK64+1,0),IF('01_数值调参'!AI51&lt;0,'03_全链计算'!AL64+1,0),IF('01_数值调参'!AI52&lt;0,'03_全链计算'!AM64+1,0))</x:f>
        <x:v>2</x:v>
      </x:c>
      <x:c r="AJ65" s="9" t="n">
        <x:f>MAX(IF('01_数值调参'!AJ18&lt;0,'03_全链计算'!E64+1,0),IF('01_数值调参'!AJ19&lt;0,'03_全链计算'!F64+1,0),IF('01_数值调参'!AJ20&lt;0,'03_全链计算'!G64+1,0),IF('01_数值调参'!AJ21&lt;0,'03_全链计算'!H64+1,0),IF('01_数值调参'!AJ22&lt;0,'03_全链计算'!I64+1,0),IF('01_数值调参'!AJ23&lt;0,'03_全链计算'!J64+1,0),IF('01_数值调参'!AJ24&lt;0,'03_全链计算'!K64+1,0),IF('01_数值调参'!AJ25&lt;0,'03_全链计算'!L64+1,0),IF('01_数值调参'!AJ26&lt;0,'03_全链计算'!M64+1,0),IF('01_数值调参'!AJ27&lt;0,'03_全链计算'!N64+1,0),IF('01_数值调参'!AJ28&lt;0,'03_全链计算'!O64+1,0),IF('01_数值调参'!AJ29&lt;0,'03_全链计算'!P64+1,0),IF('01_数值调参'!AJ30&lt;0,'03_全链计算'!Q64+1,0),IF('01_数值调参'!AJ31&lt;0,'03_全链计算'!R64+1,0),IF('01_数值调参'!AJ32&lt;0,'03_全链计算'!S64+1,0),IF('01_数值调参'!AJ33&lt;0,'03_全链计算'!T64+1,0),IF('01_数值调参'!AJ34&lt;0,'03_全链计算'!U64+1,0),IF('01_数值调参'!AJ35&lt;0,'03_全链计算'!V64+1,0),IF('01_数值调参'!AJ36&lt;0,'03_全链计算'!W64+1,0),IF('01_数值调参'!AJ37&lt;0,'03_全链计算'!X64+1,0),IF('01_数值调参'!AJ38&lt;0,'03_全链计算'!Y64+1,0),IF('01_数值调参'!AJ39&lt;0,'03_全链计算'!Z64+1,0),IF('01_数值调参'!AJ40&lt;0,'03_全链计算'!AA64+1,0),IF('01_数值调参'!AJ41&lt;0,'03_全链计算'!AB64+1,0),IF('01_数值调参'!AJ42&lt;0,'03_全链计算'!AC64+1,0),IF('01_数值调参'!AJ43&lt;0,'03_全链计算'!AD64+1,0),IF('01_数值调参'!AJ44&lt;0,'03_全链计算'!AE64+1,0),IF('01_数值调参'!AJ45&lt;0,'03_全链计算'!AF64+1,0),IF('01_数值调参'!AJ46&lt;0,'03_全链计算'!AG64+1,0),IF('01_数值调参'!AJ47&lt;0,'03_全链计算'!AH64+1,0),IF('01_数值调参'!AJ48&lt;0,'03_全链计算'!AI64+1,0),IF('01_数值调参'!AJ49&lt;0,'03_全链计算'!AJ64+1,0),IF('01_数值调参'!AJ50&lt;0,'03_全链计算'!AK64+1,0),IF('01_数值调参'!AJ51&lt;0,'03_全链计算'!AL64+1,0),IF('01_数值调参'!AJ52&lt;0,'03_全链计算'!AM64+1,0))</x:f>
        <x:v>2</x:v>
      </x:c>
      <x:c r="AK65" s="9" t="n">
        <x:f>MAX(IF('01_数值调参'!AK18&lt;0,'03_全链计算'!E64+1,0),IF('01_数值调参'!AK19&lt;0,'03_全链计算'!F64+1,0),IF('01_数值调参'!AK20&lt;0,'03_全链计算'!G64+1,0),IF('01_数值调参'!AK21&lt;0,'03_全链计算'!H64+1,0),IF('01_数值调参'!AK22&lt;0,'03_全链计算'!I64+1,0),IF('01_数值调参'!AK23&lt;0,'03_全链计算'!J64+1,0),IF('01_数值调参'!AK24&lt;0,'03_全链计算'!K64+1,0),IF('01_数值调参'!AK25&lt;0,'03_全链计算'!L64+1,0),IF('01_数值调参'!AK26&lt;0,'03_全链计算'!M64+1,0),IF('01_数值调参'!AK27&lt;0,'03_全链计算'!N64+1,0),IF('01_数值调参'!AK28&lt;0,'03_全链计算'!O64+1,0),IF('01_数值调参'!AK29&lt;0,'03_全链计算'!P64+1,0),IF('01_数值调参'!AK30&lt;0,'03_全链计算'!Q64+1,0),IF('01_数值调参'!AK31&lt;0,'03_全链计算'!R64+1,0),IF('01_数值调参'!AK32&lt;0,'03_全链计算'!S64+1,0),IF('01_数值调参'!AK33&lt;0,'03_全链计算'!T64+1,0),IF('01_数值调参'!AK34&lt;0,'03_全链计算'!U64+1,0),IF('01_数值调参'!AK35&lt;0,'03_全链计算'!V64+1,0),IF('01_数值调参'!AK36&lt;0,'03_全链计算'!W64+1,0),IF('01_数值调参'!AK37&lt;0,'03_全链计算'!X64+1,0),IF('01_数值调参'!AK38&lt;0,'03_全链计算'!Y64+1,0),IF('01_数值调参'!AK39&lt;0,'03_全链计算'!Z64+1,0),IF('01_数值调参'!AK40&lt;0,'03_全链计算'!AA64+1,0),IF('01_数值调参'!AK41&lt;0,'03_全链计算'!AB64+1,0),IF('01_数值调参'!AK42&lt;0,'03_全链计算'!AC64+1,0),IF('01_数值调参'!AK43&lt;0,'03_全链计算'!AD64+1,0),IF('01_数值调参'!AK44&lt;0,'03_全链计算'!AE64+1,0),IF('01_数值调参'!AK45&lt;0,'03_全链计算'!AF64+1,0),IF('01_数值调参'!AK46&lt;0,'03_全链计算'!AG64+1,0),IF('01_数值调参'!AK47&lt;0,'03_全链计算'!AH64+1,0),IF('01_数值调参'!AK48&lt;0,'03_全链计算'!AI64+1,0),IF('01_数值调参'!AK49&lt;0,'03_全链计算'!AJ64+1,0),IF('01_数值调参'!AK50&lt;0,'03_全链计算'!AK64+1,0),IF('01_数值调参'!AK51&lt;0,'03_全链计算'!AL64+1,0),IF('01_数值调参'!AK52&lt;0,'03_全链计算'!AM64+1,0))</x:f>
        <x:v>2</x:v>
      </x:c>
      <x:c r="AL65" s="9" t="n">
        <x:f>MAX(IF('01_数值调参'!AL18&lt;0,'03_全链计算'!E64+1,0),IF('01_数值调参'!AL19&lt;0,'03_全链计算'!F64+1,0),IF('01_数值调参'!AL20&lt;0,'03_全链计算'!G64+1,0),IF('01_数值调参'!AL21&lt;0,'03_全链计算'!H64+1,0),IF('01_数值调参'!AL22&lt;0,'03_全链计算'!I64+1,0),IF('01_数值调参'!AL23&lt;0,'03_全链计算'!J64+1,0),IF('01_数值调参'!AL24&lt;0,'03_全链计算'!K64+1,0),IF('01_数值调参'!AL25&lt;0,'03_全链计算'!L64+1,0),IF('01_数值调参'!AL26&lt;0,'03_全链计算'!M64+1,0),IF('01_数值调参'!AL27&lt;0,'03_全链计算'!N64+1,0),IF('01_数值调参'!AL28&lt;0,'03_全链计算'!O64+1,0),IF('01_数值调参'!AL29&lt;0,'03_全链计算'!P64+1,0),IF('01_数值调参'!AL30&lt;0,'03_全链计算'!Q64+1,0),IF('01_数值调参'!AL31&lt;0,'03_全链计算'!R64+1,0),IF('01_数值调参'!AL32&lt;0,'03_全链计算'!S64+1,0),IF('01_数值调参'!AL33&lt;0,'03_全链计算'!T64+1,0),IF('01_数值调参'!AL34&lt;0,'03_全链计算'!U64+1,0),IF('01_数值调参'!AL35&lt;0,'03_全链计算'!V64+1,0),IF('01_数值调参'!AL36&lt;0,'03_全链计算'!W64+1,0),IF('01_数值调参'!AL37&lt;0,'03_全链计算'!X64+1,0),IF('01_数值调参'!AL38&lt;0,'03_全链计算'!Y64+1,0),IF('01_数值调参'!AL39&lt;0,'03_全链计算'!Z64+1,0),IF('01_数值调参'!AL40&lt;0,'03_全链计算'!AA64+1,0),IF('01_数值调参'!AL41&lt;0,'03_全链计算'!AB64+1,0),IF('01_数值调参'!AL42&lt;0,'03_全链计算'!AC64+1,0),IF('01_数值调参'!AL43&lt;0,'03_全链计算'!AD64+1,0),IF('01_数值调参'!AL44&lt;0,'03_全链计算'!AE64+1,0),IF('01_数值调参'!AL45&lt;0,'03_全链计算'!AF64+1,0),IF('01_数值调参'!AL46&lt;0,'03_全链计算'!AG64+1,0),IF('01_数值调参'!AL47&lt;0,'03_全链计算'!AH64+1,0),IF('01_数值调参'!AL48&lt;0,'03_全链计算'!AI64+1,0),IF('01_数值调参'!AL49&lt;0,'03_全链计算'!AJ64+1,0),IF('01_数值调参'!AL50&lt;0,'03_全链计算'!AK64+1,0),IF('01_数值调参'!AL51&lt;0,'03_全链计算'!AL64+1,0),IF('01_数值调参'!AL52&lt;0,'03_全链计算'!AM64+1,0))</x:f>
        <x:v>3</x:v>
      </x:c>
      <x:c r="AM65" s="9" t="n">
        <x:f>MAX(IF('01_数值调参'!AM18&lt;0,'03_全链计算'!E64+1,0),IF('01_数值调参'!AM19&lt;0,'03_全链计算'!F64+1,0),IF('01_数值调参'!AM20&lt;0,'03_全链计算'!G64+1,0),IF('01_数值调参'!AM21&lt;0,'03_全链计算'!H64+1,0),IF('01_数值调参'!AM22&lt;0,'03_全链计算'!I64+1,0),IF('01_数值调参'!AM23&lt;0,'03_全链计算'!J64+1,0),IF('01_数值调参'!AM24&lt;0,'03_全链计算'!K64+1,0),IF('01_数值调参'!AM25&lt;0,'03_全链计算'!L64+1,0),IF('01_数值调参'!AM26&lt;0,'03_全链计算'!M64+1,0),IF('01_数值调参'!AM27&lt;0,'03_全链计算'!N64+1,0),IF('01_数值调参'!AM28&lt;0,'03_全链计算'!O64+1,0),IF('01_数值调参'!AM29&lt;0,'03_全链计算'!P64+1,0),IF('01_数值调参'!AM30&lt;0,'03_全链计算'!Q64+1,0),IF('01_数值调参'!AM31&lt;0,'03_全链计算'!R64+1,0),IF('01_数值调参'!AM32&lt;0,'03_全链计算'!S64+1,0),IF('01_数值调参'!AM33&lt;0,'03_全链计算'!T64+1,0),IF('01_数值调参'!AM34&lt;0,'03_全链计算'!U64+1,0),IF('01_数值调参'!AM35&lt;0,'03_全链计算'!V64+1,0),IF('01_数值调参'!AM36&lt;0,'03_全链计算'!W64+1,0),IF('01_数值调参'!AM37&lt;0,'03_全链计算'!X64+1,0),IF('01_数值调参'!AM38&lt;0,'03_全链计算'!Y64+1,0),IF('01_数值调参'!AM39&lt;0,'03_全链计算'!Z64+1,0),IF('01_数值调参'!AM40&lt;0,'03_全链计算'!AA64+1,0),IF('01_数值调参'!AM41&lt;0,'03_全链计算'!AB64+1,0),IF('01_数值调参'!AM42&lt;0,'03_全链计算'!AC64+1,0),IF('01_数值调参'!AM43&lt;0,'03_全链计算'!AD64+1,0),IF('01_数值调参'!AM44&lt;0,'03_全链计算'!AE64+1,0),IF('01_数值调参'!AM45&lt;0,'03_全链计算'!AF64+1,0),IF('01_数值调参'!AM46&lt;0,'03_全链计算'!AG64+1,0),IF('01_数值调参'!AM47&lt;0,'03_全链计算'!AH64+1,0),IF('01_数值调参'!AM48&lt;0,'03_全链计算'!AI64+1,0),IF('01_数值调参'!AM49&lt;0,'03_全链计算'!AJ64+1,0),IF('01_数值调参'!AM50&lt;0,'03_全链计算'!AK64+1,0),IF('01_数值调参'!AM51&lt;0,'03_全链计算'!AL64+1,0),IF('01_数值调参'!AM52&lt;0,'03_全链计算'!AM64+1,0))</x:f>
        <x:v>3</x:v>
      </x:c>
    </x:row>
    <x:row r="66" ht="22" customHeight="1">
      <x:c r="A66" s="9" t="n">
        <x:v>21</x:v>
      </x:c>
      <x:c r="B66" s="9"/>
      <x:c r="C66" s="9"/>
      <x:c r="D66" s="9"/>
      <x:c r="E66" s="9" t="n">
        <x:f>MAX(IF('01_数值调参'!E18&lt;0,'03_全链计算'!E65+1,0),IF('01_数值调参'!E19&lt;0,'03_全链计算'!F65+1,0),IF('01_数值调参'!E20&lt;0,'03_全链计算'!G65+1,0),IF('01_数值调参'!E21&lt;0,'03_全链计算'!H65+1,0),IF('01_数值调参'!E22&lt;0,'03_全链计算'!I65+1,0),IF('01_数值调参'!E23&lt;0,'03_全链计算'!J65+1,0),IF('01_数值调参'!E24&lt;0,'03_全链计算'!K65+1,0),IF('01_数值调参'!E25&lt;0,'03_全链计算'!L65+1,0),IF('01_数值调参'!E26&lt;0,'03_全链计算'!M65+1,0),IF('01_数值调参'!E27&lt;0,'03_全链计算'!N65+1,0),IF('01_数值调参'!E28&lt;0,'03_全链计算'!O65+1,0),IF('01_数值调参'!E29&lt;0,'03_全链计算'!P65+1,0),IF('01_数值调参'!E30&lt;0,'03_全链计算'!Q65+1,0),IF('01_数值调参'!E31&lt;0,'03_全链计算'!R65+1,0),IF('01_数值调参'!E32&lt;0,'03_全链计算'!S65+1,0),IF('01_数值调参'!E33&lt;0,'03_全链计算'!T65+1,0),IF('01_数值调参'!E34&lt;0,'03_全链计算'!U65+1,0),IF('01_数值调参'!E35&lt;0,'03_全链计算'!V65+1,0),IF('01_数值调参'!E36&lt;0,'03_全链计算'!W65+1,0),IF('01_数值调参'!E37&lt;0,'03_全链计算'!X65+1,0),IF('01_数值调参'!E38&lt;0,'03_全链计算'!Y65+1,0),IF('01_数值调参'!E39&lt;0,'03_全链计算'!Z65+1,0),IF('01_数值调参'!E40&lt;0,'03_全链计算'!AA65+1,0),IF('01_数值调参'!E41&lt;0,'03_全链计算'!AB65+1,0),IF('01_数值调参'!E42&lt;0,'03_全链计算'!AC65+1,0),IF('01_数值调参'!E43&lt;0,'03_全链计算'!AD65+1,0),IF('01_数值调参'!E44&lt;0,'03_全链计算'!AE65+1,0),IF('01_数值调参'!E45&lt;0,'03_全链计算'!AF65+1,0),IF('01_数值调参'!E46&lt;0,'03_全链计算'!AG65+1,0),IF('01_数值调参'!E47&lt;0,'03_全链计算'!AH65+1,0),IF('01_数值调参'!E48&lt;0,'03_全链计算'!AI65+1,0),IF('01_数值调参'!E49&lt;0,'03_全链计算'!AJ65+1,0),IF('01_数值调参'!E50&lt;0,'03_全链计算'!AK65+1,0),IF('01_数值调参'!E51&lt;0,'03_全链计算'!AL65+1,0),IF('01_数值调参'!E52&lt;0,'03_全链计算'!AM65+1,0))</x:f>
        <x:v>0</x:v>
      </x:c>
      <x:c r="F66" s="9" t="n">
        <x:f>MAX(IF('01_数值调参'!F18&lt;0,'03_全链计算'!E65+1,0),IF('01_数值调参'!F19&lt;0,'03_全链计算'!F65+1,0),IF('01_数值调参'!F20&lt;0,'03_全链计算'!G65+1,0),IF('01_数值调参'!F21&lt;0,'03_全链计算'!H65+1,0),IF('01_数值调参'!F22&lt;0,'03_全链计算'!I65+1,0),IF('01_数值调参'!F23&lt;0,'03_全链计算'!J65+1,0),IF('01_数值调参'!F24&lt;0,'03_全链计算'!K65+1,0),IF('01_数值调参'!F25&lt;0,'03_全链计算'!L65+1,0),IF('01_数值调参'!F26&lt;0,'03_全链计算'!M65+1,0),IF('01_数值调参'!F27&lt;0,'03_全链计算'!N65+1,0),IF('01_数值调参'!F28&lt;0,'03_全链计算'!O65+1,0),IF('01_数值调参'!F29&lt;0,'03_全链计算'!P65+1,0),IF('01_数值调参'!F30&lt;0,'03_全链计算'!Q65+1,0),IF('01_数值调参'!F31&lt;0,'03_全链计算'!R65+1,0),IF('01_数值调参'!F32&lt;0,'03_全链计算'!S65+1,0),IF('01_数值调参'!F33&lt;0,'03_全链计算'!T65+1,0),IF('01_数值调参'!F34&lt;0,'03_全链计算'!U65+1,0),IF('01_数值调参'!F35&lt;0,'03_全链计算'!V65+1,0),IF('01_数值调参'!F36&lt;0,'03_全链计算'!W65+1,0),IF('01_数值调参'!F37&lt;0,'03_全链计算'!X65+1,0),IF('01_数值调参'!F38&lt;0,'03_全链计算'!Y65+1,0),IF('01_数值调参'!F39&lt;0,'03_全链计算'!Z65+1,0),IF('01_数值调参'!F40&lt;0,'03_全链计算'!AA65+1,0),IF('01_数值调参'!F41&lt;0,'03_全链计算'!AB65+1,0),IF('01_数值调参'!F42&lt;0,'03_全链计算'!AC65+1,0),IF('01_数值调参'!F43&lt;0,'03_全链计算'!AD65+1,0),IF('01_数值调参'!F44&lt;0,'03_全链计算'!AE65+1,0),IF('01_数值调参'!F45&lt;0,'03_全链计算'!AF65+1,0),IF('01_数值调参'!F46&lt;0,'03_全链计算'!AG65+1,0),IF('01_数值调参'!F47&lt;0,'03_全链计算'!AH65+1,0),IF('01_数值调参'!F48&lt;0,'03_全链计算'!AI65+1,0),IF('01_数值调参'!F49&lt;0,'03_全链计算'!AJ65+1,0),IF('01_数值调参'!F50&lt;0,'03_全链计算'!AK65+1,0),IF('01_数值调参'!F51&lt;0,'03_全链计算'!AL65+1,0),IF('01_数值调参'!F52&lt;0,'03_全链计算'!AM65+1,0))</x:f>
        <x:v>0</x:v>
      </x:c>
      <x:c r="G66" s="9" t="n">
        <x:f>MAX(IF('01_数值调参'!G18&lt;0,'03_全链计算'!E65+1,0),IF('01_数值调参'!G19&lt;0,'03_全链计算'!F65+1,0),IF('01_数值调参'!G20&lt;0,'03_全链计算'!G65+1,0),IF('01_数值调参'!G21&lt;0,'03_全链计算'!H65+1,0),IF('01_数值调参'!G22&lt;0,'03_全链计算'!I65+1,0),IF('01_数值调参'!G23&lt;0,'03_全链计算'!J65+1,0),IF('01_数值调参'!G24&lt;0,'03_全链计算'!K65+1,0),IF('01_数值调参'!G25&lt;0,'03_全链计算'!L65+1,0),IF('01_数值调参'!G26&lt;0,'03_全链计算'!M65+1,0),IF('01_数值调参'!G27&lt;0,'03_全链计算'!N65+1,0),IF('01_数值调参'!G28&lt;0,'03_全链计算'!O65+1,0),IF('01_数值调参'!G29&lt;0,'03_全链计算'!P65+1,0),IF('01_数值调参'!G30&lt;0,'03_全链计算'!Q65+1,0),IF('01_数值调参'!G31&lt;0,'03_全链计算'!R65+1,0),IF('01_数值调参'!G32&lt;0,'03_全链计算'!S65+1,0),IF('01_数值调参'!G33&lt;0,'03_全链计算'!T65+1,0),IF('01_数值调参'!G34&lt;0,'03_全链计算'!U65+1,0),IF('01_数值调参'!G35&lt;0,'03_全链计算'!V65+1,0),IF('01_数值调参'!G36&lt;0,'03_全链计算'!W65+1,0),IF('01_数值调参'!G37&lt;0,'03_全链计算'!X65+1,0),IF('01_数值调参'!G38&lt;0,'03_全链计算'!Y65+1,0),IF('01_数值调参'!G39&lt;0,'03_全链计算'!Z65+1,0),IF('01_数值调参'!G40&lt;0,'03_全链计算'!AA65+1,0),IF('01_数值调参'!G41&lt;0,'03_全链计算'!AB65+1,0),IF('01_数值调参'!G42&lt;0,'03_全链计算'!AC65+1,0),IF('01_数值调参'!G43&lt;0,'03_全链计算'!AD65+1,0),IF('01_数值调参'!G44&lt;0,'03_全链计算'!AE65+1,0),IF('01_数值调参'!G45&lt;0,'03_全链计算'!AF65+1,0),IF('01_数值调参'!G46&lt;0,'03_全链计算'!AG65+1,0),IF('01_数值调参'!G47&lt;0,'03_全链计算'!AH65+1,0),IF('01_数值调参'!G48&lt;0,'03_全链计算'!AI65+1,0),IF('01_数值调参'!G49&lt;0,'03_全链计算'!AJ65+1,0),IF('01_数值调参'!G50&lt;0,'03_全链计算'!AK65+1,0),IF('01_数值调参'!G51&lt;0,'03_全链计算'!AL65+1,0),IF('01_数值调参'!G52&lt;0,'03_全链计算'!AM65+1,0))</x:f>
        <x:v>0</x:v>
      </x:c>
      <x:c r="H66" s="9" t="n">
        <x:f>MAX(IF('01_数值调参'!H18&lt;0,'03_全链计算'!E65+1,0),IF('01_数值调参'!H19&lt;0,'03_全链计算'!F65+1,0),IF('01_数值调参'!H20&lt;0,'03_全链计算'!G65+1,0),IF('01_数值调参'!H21&lt;0,'03_全链计算'!H65+1,0),IF('01_数值调参'!H22&lt;0,'03_全链计算'!I65+1,0),IF('01_数值调参'!H23&lt;0,'03_全链计算'!J65+1,0),IF('01_数值调参'!H24&lt;0,'03_全链计算'!K65+1,0),IF('01_数值调参'!H25&lt;0,'03_全链计算'!L65+1,0),IF('01_数值调参'!H26&lt;0,'03_全链计算'!M65+1,0),IF('01_数值调参'!H27&lt;0,'03_全链计算'!N65+1,0),IF('01_数值调参'!H28&lt;0,'03_全链计算'!O65+1,0),IF('01_数值调参'!H29&lt;0,'03_全链计算'!P65+1,0),IF('01_数值调参'!H30&lt;0,'03_全链计算'!Q65+1,0),IF('01_数值调参'!H31&lt;0,'03_全链计算'!R65+1,0),IF('01_数值调参'!H32&lt;0,'03_全链计算'!S65+1,0),IF('01_数值调参'!H33&lt;0,'03_全链计算'!T65+1,0),IF('01_数值调参'!H34&lt;0,'03_全链计算'!U65+1,0),IF('01_数值调参'!H35&lt;0,'03_全链计算'!V65+1,0),IF('01_数值调参'!H36&lt;0,'03_全链计算'!W65+1,0),IF('01_数值调参'!H37&lt;0,'03_全链计算'!X65+1,0),IF('01_数值调参'!H38&lt;0,'03_全链计算'!Y65+1,0),IF('01_数值调参'!H39&lt;0,'03_全链计算'!Z65+1,0),IF('01_数值调参'!H40&lt;0,'03_全链计算'!AA65+1,0),IF('01_数值调参'!H41&lt;0,'03_全链计算'!AB65+1,0),IF('01_数值调参'!H42&lt;0,'03_全链计算'!AC65+1,0),IF('01_数值调参'!H43&lt;0,'03_全链计算'!AD65+1,0),IF('01_数值调参'!H44&lt;0,'03_全链计算'!AE65+1,0),IF('01_数值调参'!H45&lt;0,'03_全链计算'!AF65+1,0),IF('01_数值调参'!H46&lt;0,'03_全链计算'!AG65+1,0),IF('01_数值调参'!H47&lt;0,'03_全链计算'!AH65+1,0),IF('01_数值调参'!H48&lt;0,'03_全链计算'!AI65+1,0),IF('01_数值调参'!H49&lt;0,'03_全链计算'!AJ65+1,0),IF('01_数值调参'!H50&lt;0,'03_全链计算'!AK65+1,0),IF('01_数值调参'!H51&lt;0,'03_全链计算'!AL65+1,0),IF('01_数值调参'!H52&lt;0,'03_全链计算'!AM65+1,0))</x:f>
        <x:v>0</x:v>
      </x:c>
      <x:c r="I66" s="9" t="n">
        <x:f>MAX(IF('01_数值调参'!I18&lt;0,'03_全链计算'!E65+1,0),IF('01_数值调参'!I19&lt;0,'03_全链计算'!F65+1,0),IF('01_数值调参'!I20&lt;0,'03_全链计算'!G65+1,0),IF('01_数值调参'!I21&lt;0,'03_全链计算'!H65+1,0),IF('01_数值调参'!I22&lt;0,'03_全链计算'!I65+1,0),IF('01_数值调参'!I23&lt;0,'03_全链计算'!J65+1,0),IF('01_数值调参'!I24&lt;0,'03_全链计算'!K65+1,0),IF('01_数值调参'!I25&lt;0,'03_全链计算'!L65+1,0),IF('01_数值调参'!I26&lt;0,'03_全链计算'!M65+1,0),IF('01_数值调参'!I27&lt;0,'03_全链计算'!N65+1,0),IF('01_数值调参'!I28&lt;0,'03_全链计算'!O65+1,0),IF('01_数值调参'!I29&lt;0,'03_全链计算'!P65+1,0),IF('01_数值调参'!I30&lt;0,'03_全链计算'!Q65+1,0),IF('01_数值调参'!I31&lt;0,'03_全链计算'!R65+1,0),IF('01_数值调参'!I32&lt;0,'03_全链计算'!S65+1,0),IF('01_数值调参'!I33&lt;0,'03_全链计算'!T65+1,0),IF('01_数值调参'!I34&lt;0,'03_全链计算'!U65+1,0),IF('01_数值调参'!I35&lt;0,'03_全链计算'!V65+1,0),IF('01_数值调参'!I36&lt;0,'03_全链计算'!W65+1,0),IF('01_数值调参'!I37&lt;0,'03_全链计算'!X65+1,0),IF('01_数值调参'!I38&lt;0,'03_全链计算'!Y65+1,0),IF('01_数值调参'!I39&lt;0,'03_全链计算'!Z65+1,0),IF('01_数值调参'!I40&lt;0,'03_全链计算'!AA65+1,0),IF('01_数值调参'!I41&lt;0,'03_全链计算'!AB65+1,0),IF('01_数值调参'!I42&lt;0,'03_全链计算'!AC65+1,0),IF('01_数值调参'!I43&lt;0,'03_全链计算'!AD65+1,0),IF('01_数值调参'!I44&lt;0,'03_全链计算'!AE65+1,0),IF('01_数值调参'!I45&lt;0,'03_全链计算'!AF65+1,0),IF('01_数值调参'!I46&lt;0,'03_全链计算'!AG65+1,0),IF('01_数值调参'!I47&lt;0,'03_全链计算'!AH65+1,0),IF('01_数值调参'!I48&lt;0,'03_全链计算'!AI65+1,0),IF('01_数值调参'!I49&lt;0,'03_全链计算'!AJ65+1,0),IF('01_数值调参'!I50&lt;0,'03_全链计算'!AK65+1,0),IF('01_数值调参'!I51&lt;0,'03_全链计算'!AL65+1,0),IF('01_数值调参'!I52&lt;0,'03_全链计算'!AM65+1,0))</x:f>
        <x:v>0</x:v>
      </x:c>
      <x:c r="J66" s="9" t="n">
        <x:f>MAX(IF('01_数值调参'!J18&lt;0,'03_全链计算'!E65+1,0),IF('01_数值调参'!J19&lt;0,'03_全链计算'!F65+1,0),IF('01_数值调参'!J20&lt;0,'03_全链计算'!G65+1,0),IF('01_数值调参'!J21&lt;0,'03_全链计算'!H65+1,0),IF('01_数值调参'!J22&lt;0,'03_全链计算'!I65+1,0),IF('01_数值调参'!J23&lt;0,'03_全链计算'!J65+1,0),IF('01_数值调参'!J24&lt;0,'03_全链计算'!K65+1,0),IF('01_数值调参'!J25&lt;0,'03_全链计算'!L65+1,0),IF('01_数值调参'!J26&lt;0,'03_全链计算'!M65+1,0),IF('01_数值调参'!J27&lt;0,'03_全链计算'!N65+1,0),IF('01_数值调参'!J28&lt;0,'03_全链计算'!O65+1,0),IF('01_数值调参'!J29&lt;0,'03_全链计算'!P65+1,0),IF('01_数值调参'!J30&lt;0,'03_全链计算'!Q65+1,0),IF('01_数值调参'!J31&lt;0,'03_全链计算'!R65+1,0),IF('01_数值调参'!J32&lt;0,'03_全链计算'!S65+1,0),IF('01_数值调参'!J33&lt;0,'03_全链计算'!T65+1,0),IF('01_数值调参'!J34&lt;0,'03_全链计算'!U65+1,0),IF('01_数值调参'!J35&lt;0,'03_全链计算'!V65+1,0),IF('01_数值调参'!J36&lt;0,'03_全链计算'!W65+1,0),IF('01_数值调参'!J37&lt;0,'03_全链计算'!X65+1,0),IF('01_数值调参'!J38&lt;0,'03_全链计算'!Y65+1,0),IF('01_数值调参'!J39&lt;0,'03_全链计算'!Z65+1,0),IF('01_数值调参'!J40&lt;0,'03_全链计算'!AA65+1,0),IF('01_数值调参'!J41&lt;0,'03_全链计算'!AB65+1,0),IF('01_数值调参'!J42&lt;0,'03_全链计算'!AC65+1,0),IF('01_数值调参'!J43&lt;0,'03_全链计算'!AD65+1,0),IF('01_数值调参'!J44&lt;0,'03_全链计算'!AE65+1,0),IF('01_数值调参'!J45&lt;0,'03_全链计算'!AF65+1,0),IF('01_数值调参'!J46&lt;0,'03_全链计算'!AG65+1,0),IF('01_数值调参'!J47&lt;0,'03_全链计算'!AH65+1,0),IF('01_数值调参'!J48&lt;0,'03_全链计算'!AI65+1,0),IF('01_数值调参'!J49&lt;0,'03_全链计算'!AJ65+1,0),IF('01_数值调参'!J50&lt;0,'03_全链计算'!AK65+1,0),IF('01_数值调参'!J51&lt;0,'03_全链计算'!AL65+1,0),IF('01_数值调参'!J52&lt;0,'03_全链计算'!AM65+1,0))</x:f>
        <x:v>0</x:v>
      </x:c>
      <x:c r="K66" s="9" t="n">
        <x:f>MAX(IF('01_数值调参'!K18&lt;0,'03_全链计算'!E65+1,0),IF('01_数值调参'!K19&lt;0,'03_全链计算'!F65+1,0),IF('01_数值调参'!K20&lt;0,'03_全链计算'!G65+1,0),IF('01_数值调参'!K21&lt;0,'03_全链计算'!H65+1,0),IF('01_数值调参'!K22&lt;0,'03_全链计算'!I65+1,0),IF('01_数值调参'!K23&lt;0,'03_全链计算'!J65+1,0),IF('01_数值调参'!K24&lt;0,'03_全链计算'!K65+1,0),IF('01_数值调参'!K25&lt;0,'03_全链计算'!L65+1,0),IF('01_数值调参'!K26&lt;0,'03_全链计算'!M65+1,0),IF('01_数值调参'!K27&lt;0,'03_全链计算'!N65+1,0),IF('01_数值调参'!K28&lt;0,'03_全链计算'!O65+1,0),IF('01_数值调参'!K29&lt;0,'03_全链计算'!P65+1,0),IF('01_数值调参'!K30&lt;0,'03_全链计算'!Q65+1,0),IF('01_数值调参'!K31&lt;0,'03_全链计算'!R65+1,0),IF('01_数值调参'!K32&lt;0,'03_全链计算'!S65+1,0),IF('01_数值调参'!K33&lt;0,'03_全链计算'!T65+1,0),IF('01_数值调参'!K34&lt;0,'03_全链计算'!U65+1,0),IF('01_数值调参'!K35&lt;0,'03_全链计算'!V65+1,0),IF('01_数值调参'!K36&lt;0,'03_全链计算'!W65+1,0),IF('01_数值调参'!K37&lt;0,'03_全链计算'!X65+1,0),IF('01_数值调参'!K38&lt;0,'03_全链计算'!Y65+1,0),IF('01_数值调参'!K39&lt;0,'03_全链计算'!Z65+1,0),IF('01_数值调参'!K40&lt;0,'03_全链计算'!AA65+1,0),IF('01_数值调参'!K41&lt;0,'03_全链计算'!AB65+1,0),IF('01_数值调参'!K42&lt;0,'03_全链计算'!AC65+1,0),IF('01_数值调参'!K43&lt;0,'03_全链计算'!AD65+1,0),IF('01_数值调参'!K44&lt;0,'03_全链计算'!AE65+1,0),IF('01_数值调参'!K45&lt;0,'03_全链计算'!AF65+1,0),IF('01_数值调参'!K46&lt;0,'03_全链计算'!AG65+1,0),IF('01_数值调参'!K47&lt;0,'03_全链计算'!AH65+1,0),IF('01_数值调参'!K48&lt;0,'03_全链计算'!AI65+1,0),IF('01_数值调参'!K49&lt;0,'03_全链计算'!AJ65+1,0),IF('01_数值调参'!K50&lt;0,'03_全链计算'!AK65+1,0),IF('01_数值调参'!K51&lt;0,'03_全链计算'!AL65+1,0),IF('01_数值调参'!K52&lt;0,'03_全链计算'!AM65+1,0))</x:f>
        <x:v>0</x:v>
      </x:c>
      <x:c r="L66" s="9" t="n">
        <x:f>MAX(IF('01_数值调参'!L18&lt;0,'03_全链计算'!E65+1,0),IF('01_数值调参'!L19&lt;0,'03_全链计算'!F65+1,0),IF('01_数值调参'!L20&lt;0,'03_全链计算'!G65+1,0),IF('01_数值调参'!L21&lt;0,'03_全链计算'!H65+1,0),IF('01_数值调参'!L22&lt;0,'03_全链计算'!I65+1,0),IF('01_数值调参'!L23&lt;0,'03_全链计算'!J65+1,0),IF('01_数值调参'!L24&lt;0,'03_全链计算'!K65+1,0),IF('01_数值调参'!L25&lt;0,'03_全链计算'!L65+1,0),IF('01_数值调参'!L26&lt;0,'03_全链计算'!M65+1,0),IF('01_数值调参'!L27&lt;0,'03_全链计算'!N65+1,0),IF('01_数值调参'!L28&lt;0,'03_全链计算'!O65+1,0),IF('01_数值调参'!L29&lt;0,'03_全链计算'!P65+1,0),IF('01_数值调参'!L30&lt;0,'03_全链计算'!Q65+1,0),IF('01_数值调参'!L31&lt;0,'03_全链计算'!R65+1,0),IF('01_数值调参'!L32&lt;0,'03_全链计算'!S65+1,0),IF('01_数值调参'!L33&lt;0,'03_全链计算'!T65+1,0),IF('01_数值调参'!L34&lt;0,'03_全链计算'!U65+1,0),IF('01_数值调参'!L35&lt;0,'03_全链计算'!V65+1,0),IF('01_数值调参'!L36&lt;0,'03_全链计算'!W65+1,0),IF('01_数值调参'!L37&lt;0,'03_全链计算'!X65+1,0),IF('01_数值调参'!L38&lt;0,'03_全链计算'!Y65+1,0),IF('01_数值调参'!L39&lt;0,'03_全链计算'!Z65+1,0),IF('01_数值调参'!L40&lt;0,'03_全链计算'!AA65+1,0),IF('01_数值调参'!L41&lt;0,'03_全链计算'!AB65+1,0),IF('01_数值调参'!L42&lt;0,'03_全链计算'!AC65+1,0),IF('01_数值调参'!L43&lt;0,'03_全链计算'!AD65+1,0),IF('01_数值调参'!L44&lt;0,'03_全链计算'!AE65+1,0),IF('01_数值调参'!L45&lt;0,'03_全链计算'!AF65+1,0),IF('01_数值调参'!L46&lt;0,'03_全链计算'!AG65+1,0),IF('01_数值调参'!L47&lt;0,'03_全链计算'!AH65+1,0),IF('01_数值调参'!L48&lt;0,'03_全链计算'!AI65+1,0),IF('01_数值调参'!L49&lt;0,'03_全链计算'!AJ65+1,0),IF('01_数值调参'!L50&lt;0,'03_全链计算'!AK65+1,0),IF('01_数值调参'!L51&lt;0,'03_全链计算'!AL65+1,0),IF('01_数值调参'!L52&lt;0,'03_全链计算'!AM65+1,0))</x:f>
        <x:v>0</x:v>
      </x:c>
      <x:c r="M66" s="9" t="n">
        <x:f>MAX(IF('01_数值调参'!M18&lt;0,'03_全链计算'!E65+1,0),IF('01_数值调参'!M19&lt;0,'03_全链计算'!F65+1,0),IF('01_数值调参'!M20&lt;0,'03_全链计算'!G65+1,0),IF('01_数值调参'!M21&lt;0,'03_全链计算'!H65+1,0),IF('01_数值调参'!M22&lt;0,'03_全链计算'!I65+1,0),IF('01_数值调参'!M23&lt;0,'03_全链计算'!J65+1,0),IF('01_数值调参'!M24&lt;0,'03_全链计算'!K65+1,0),IF('01_数值调参'!M25&lt;0,'03_全链计算'!L65+1,0),IF('01_数值调参'!M26&lt;0,'03_全链计算'!M65+1,0),IF('01_数值调参'!M27&lt;0,'03_全链计算'!N65+1,0),IF('01_数值调参'!M28&lt;0,'03_全链计算'!O65+1,0),IF('01_数值调参'!M29&lt;0,'03_全链计算'!P65+1,0),IF('01_数值调参'!M30&lt;0,'03_全链计算'!Q65+1,0),IF('01_数值调参'!M31&lt;0,'03_全链计算'!R65+1,0),IF('01_数值调参'!M32&lt;0,'03_全链计算'!S65+1,0),IF('01_数值调参'!M33&lt;0,'03_全链计算'!T65+1,0),IF('01_数值调参'!M34&lt;0,'03_全链计算'!U65+1,0),IF('01_数值调参'!M35&lt;0,'03_全链计算'!V65+1,0),IF('01_数值调参'!M36&lt;0,'03_全链计算'!W65+1,0),IF('01_数值调参'!M37&lt;0,'03_全链计算'!X65+1,0),IF('01_数值调参'!M38&lt;0,'03_全链计算'!Y65+1,0),IF('01_数值调参'!M39&lt;0,'03_全链计算'!Z65+1,0),IF('01_数值调参'!M40&lt;0,'03_全链计算'!AA65+1,0),IF('01_数值调参'!M41&lt;0,'03_全链计算'!AB65+1,0),IF('01_数值调参'!M42&lt;0,'03_全链计算'!AC65+1,0),IF('01_数值调参'!M43&lt;0,'03_全链计算'!AD65+1,0),IF('01_数值调参'!M44&lt;0,'03_全链计算'!AE65+1,0),IF('01_数值调参'!M45&lt;0,'03_全链计算'!AF65+1,0),IF('01_数值调参'!M46&lt;0,'03_全链计算'!AG65+1,0),IF('01_数值调参'!M47&lt;0,'03_全链计算'!AH65+1,0),IF('01_数值调参'!M48&lt;0,'03_全链计算'!AI65+1,0),IF('01_数值调参'!M49&lt;0,'03_全链计算'!AJ65+1,0),IF('01_数值调参'!M50&lt;0,'03_全链计算'!AK65+1,0),IF('01_数值调参'!M51&lt;0,'03_全链计算'!AL65+1,0),IF('01_数值调参'!M52&lt;0,'03_全链计算'!AM65+1,0))</x:f>
        <x:v>0</x:v>
      </x:c>
      <x:c r="N66" s="9" t="n">
        <x:f>MAX(IF('01_数值调参'!N18&lt;0,'03_全链计算'!E65+1,0),IF('01_数值调参'!N19&lt;0,'03_全链计算'!F65+1,0),IF('01_数值调参'!N20&lt;0,'03_全链计算'!G65+1,0),IF('01_数值调参'!N21&lt;0,'03_全链计算'!H65+1,0),IF('01_数值调参'!N22&lt;0,'03_全链计算'!I65+1,0),IF('01_数值调参'!N23&lt;0,'03_全链计算'!J65+1,0),IF('01_数值调参'!N24&lt;0,'03_全链计算'!K65+1,0),IF('01_数值调参'!N25&lt;0,'03_全链计算'!L65+1,0),IF('01_数值调参'!N26&lt;0,'03_全链计算'!M65+1,0),IF('01_数值调参'!N27&lt;0,'03_全链计算'!N65+1,0),IF('01_数值调参'!N28&lt;0,'03_全链计算'!O65+1,0),IF('01_数值调参'!N29&lt;0,'03_全链计算'!P65+1,0),IF('01_数值调参'!N30&lt;0,'03_全链计算'!Q65+1,0),IF('01_数值调参'!N31&lt;0,'03_全链计算'!R65+1,0),IF('01_数值调参'!N32&lt;0,'03_全链计算'!S65+1,0),IF('01_数值调参'!N33&lt;0,'03_全链计算'!T65+1,0),IF('01_数值调参'!N34&lt;0,'03_全链计算'!U65+1,0),IF('01_数值调参'!N35&lt;0,'03_全链计算'!V65+1,0),IF('01_数值调参'!N36&lt;0,'03_全链计算'!W65+1,0),IF('01_数值调参'!N37&lt;0,'03_全链计算'!X65+1,0),IF('01_数值调参'!N38&lt;0,'03_全链计算'!Y65+1,0),IF('01_数值调参'!N39&lt;0,'03_全链计算'!Z65+1,0),IF('01_数值调参'!N40&lt;0,'03_全链计算'!AA65+1,0),IF('01_数值调参'!N41&lt;0,'03_全链计算'!AB65+1,0),IF('01_数值调参'!N42&lt;0,'03_全链计算'!AC65+1,0),IF('01_数值调参'!N43&lt;0,'03_全链计算'!AD65+1,0),IF('01_数值调参'!N44&lt;0,'03_全链计算'!AE65+1,0),IF('01_数值调参'!N45&lt;0,'03_全链计算'!AF65+1,0),IF('01_数值调参'!N46&lt;0,'03_全链计算'!AG65+1,0),IF('01_数值调参'!N47&lt;0,'03_全链计算'!AH65+1,0),IF('01_数值调参'!N48&lt;0,'03_全链计算'!AI65+1,0),IF('01_数值调参'!N49&lt;0,'03_全链计算'!AJ65+1,0),IF('01_数值调参'!N50&lt;0,'03_全链计算'!AK65+1,0),IF('01_数值调参'!N51&lt;0,'03_全链计算'!AL65+1,0),IF('01_数值调参'!N52&lt;0,'03_全链计算'!AM65+1,0))</x:f>
        <x:v>1</x:v>
      </x:c>
      <x:c r="O66" s="9" t="n">
        <x:f>MAX(IF('01_数值调参'!O18&lt;0,'03_全链计算'!E65+1,0),IF('01_数值调参'!O19&lt;0,'03_全链计算'!F65+1,0),IF('01_数值调参'!O20&lt;0,'03_全链计算'!G65+1,0),IF('01_数值调参'!O21&lt;0,'03_全链计算'!H65+1,0),IF('01_数值调参'!O22&lt;0,'03_全链计算'!I65+1,0),IF('01_数值调参'!O23&lt;0,'03_全链计算'!J65+1,0),IF('01_数值调参'!O24&lt;0,'03_全链计算'!K65+1,0),IF('01_数值调参'!O25&lt;0,'03_全链计算'!L65+1,0),IF('01_数值调参'!O26&lt;0,'03_全链计算'!M65+1,0),IF('01_数值调参'!O27&lt;0,'03_全链计算'!N65+1,0),IF('01_数值调参'!O28&lt;0,'03_全链计算'!O65+1,0),IF('01_数值调参'!O29&lt;0,'03_全链计算'!P65+1,0),IF('01_数值调参'!O30&lt;0,'03_全链计算'!Q65+1,0),IF('01_数值调参'!O31&lt;0,'03_全链计算'!R65+1,0),IF('01_数值调参'!O32&lt;0,'03_全链计算'!S65+1,0),IF('01_数值调参'!O33&lt;0,'03_全链计算'!T65+1,0),IF('01_数值调参'!O34&lt;0,'03_全链计算'!U65+1,0),IF('01_数值调参'!O35&lt;0,'03_全链计算'!V65+1,0),IF('01_数值调参'!O36&lt;0,'03_全链计算'!W65+1,0),IF('01_数值调参'!O37&lt;0,'03_全链计算'!X65+1,0),IF('01_数值调参'!O38&lt;0,'03_全链计算'!Y65+1,0),IF('01_数值调参'!O39&lt;0,'03_全链计算'!Z65+1,0),IF('01_数值调参'!O40&lt;0,'03_全链计算'!AA65+1,0),IF('01_数值调参'!O41&lt;0,'03_全链计算'!AB65+1,0),IF('01_数值调参'!O42&lt;0,'03_全链计算'!AC65+1,0),IF('01_数值调参'!O43&lt;0,'03_全链计算'!AD65+1,0),IF('01_数值调参'!O44&lt;0,'03_全链计算'!AE65+1,0),IF('01_数值调参'!O45&lt;0,'03_全链计算'!AF65+1,0),IF('01_数值调参'!O46&lt;0,'03_全链计算'!AG65+1,0),IF('01_数值调参'!O47&lt;0,'03_全链计算'!AH65+1,0),IF('01_数值调参'!O48&lt;0,'03_全链计算'!AI65+1,0),IF('01_数值调参'!O49&lt;0,'03_全链计算'!AJ65+1,0),IF('01_数值调参'!O50&lt;0,'03_全链计算'!AK65+1,0),IF('01_数值调参'!O51&lt;0,'03_全链计算'!AL65+1,0),IF('01_数值调参'!O52&lt;0,'03_全链计算'!AM65+1,0))</x:f>
        <x:v>1</x:v>
      </x:c>
      <x:c r="P66" s="9" t="n">
        <x:f>MAX(IF('01_数值调参'!P18&lt;0,'03_全链计算'!E65+1,0),IF('01_数值调参'!P19&lt;0,'03_全链计算'!F65+1,0),IF('01_数值调参'!P20&lt;0,'03_全链计算'!G65+1,0),IF('01_数值调参'!P21&lt;0,'03_全链计算'!H65+1,0),IF('01_数值调参'!P22&lt;0,'03_全链计算'!I65+1,0),IF('01_数值调参'!P23&lt;0,'03_全链计算'!J65+1,0),IF('01_数值调参'!P24&lt;0,'03_全链计算'!K65+1,0),IF('01_数值调参'!P25&lt;0,'03_全链计算'!L65+1,0),IF('01_数值调参'!P26&lt;0,'03_全链计算'!M65+1,0),IF('01_数值调参'!P27&lt;0,'03_全链计算'!N65+1,0),IF('01_数值调参'!P28&lt;0,'03_全链计算'!O65+1,0),IF('01_数值调参'!P29&lt;0,'03_全链计算'!P65+1,0),IF('01_数值调参'!P30&lt;0,'03_全链计算'!Q65+1,0),IF('01_数值调参'!P31&lt;0,'03_全链计算'!R65+1,0),IF('01_数值调参'!P32&lt;0,'03_全链计算'!S65+1,0),IF('01_数值调参'!P33&lt;0,'03_全链计算'!T65+1,0),IF('01_数值调参'!P34&lt;0,'03_全链计算'!U65+1,0),IF('01_数值调参'!P35&lt;0,'03_全链计算'!V65+1,0),IF('01_数值调参'!P36&lt;0,'03_全链计算'!W65+1,0),IF('01_数值调参'!P37&lt;0,'03_全链计算'!X65+1,0),IF('01_数值调参'!P38&lt;0,'03_全链计算'!Y65+1,0),IF('01_数值调参'!P39&lt;0,'03_全链计算'!Z65+1,0),IF('01_数值调参'!P40&lt;0,'03_全链计算'!AA65+1,0),IF('01_数值调参'!P41&lt;0,'03_全链计算'!AB65+1,0),IF('01_数值调参'!P42&lt;0,'03_全链计算'!AC65+1,0),IF('01_数值调参'!P43&lt;0,'03_全链计算'!AD65+1,0),IF('01_数值调参'!P44&lt;0,'03_全链计算'!AE65+1,0),IF('01_数值调参'!P45&lt;0,'03_全链计算'!AF65+1,0),IF('01_数值调参'!P46&lt;0,'03_全链计算'!AG65+1,0),IF('01_数值调参'!P47&lt;0,'03_全链计算'!AH65+1,0),IF('01_数值调参'!P48&lt;0,'03_全链计算'!AI65+1,0),IF('01_数值调参'!P49&lt;0,'03_全链计算'!AJ65+1,0),IF('01_数值调参'!P50&lt;0,'03_全链计算'!AK65+1,0),IF('01_数值调参'!P51&lt;0,'03_全链计算'!AL65+1,0),IF('01_数值调参'!P52&lt;0,'03_全链计算'!AM65+1,0))</x:f>
        <x:v>1</x:v>
      </x:c>
      <x:c r="Q66" s="9" t="n">
        <x:f>MAX(IF('01_数值调参'!Q18&lt;0,'03_全链计算'!E65+1,0),IF('01_数值调参'!Q19&lt;0,'03_全链计算'!F65+1,0),IF('01_数值调参'!Q20&lt;0,'03_全链计算'!G65+1,0),IF('01_数值调参'!Q21&lt;0,'03_全链计算'!H65+1,0),IF('01_数值调参'!Q22&lt;0,'03_全链计算'!I65+1,0),IF('01_数值调参'!Q23&lt;0,'03_全链计算'!J65+1,0),IF('01_数值调参'!Q24&lt;0,'03_全链计算'!K65+1,0),IF('01_数值调参'!Q25&lt;0,'03_全链计算'!L65+1,0),IF('01_数值调参'!Q26&lt;0,'03_全链计算'!M65+1,0),IF('01_数值调参'!Q27&lt;0,'03_全链计算'!N65+1,0),IF('01_数值调参'!Q28&lt;0,'03_全链计算'!O65+1,0),IF('01_数值调参'!Q29&lt;0,'03_全链计算'!P65+1,0),IF('01_数值调参'!Q30&lt;0,'03_全链计算'!Q65+1,0),IF('01_数值调参'!Q31&lt;0,'03_全链计算'!R65+1,0),IF('01_数值调参'!Q32&lt;0,'03_全链计算'!S65+1,0),IF('01_数值调参'!Q33&lt;0,'03_全链计算'!T65+1,0),IF('01_数值调参'!Q34&lt;0,'03_全链计算'!U65+1,0),IF('01_数值调参'!Q35&lt;0,'03_全链计算'!V65+1,0),IF('01_数值调参'!Q36&lt;0,'03_全链计算'!W65+1,0),IF('01_数值调参'!Q37&lt;0,'03_全链计算'!X65+1,0),IF('01_数值调参'!Q38&lt;0,'03_全链计算'!Y65+1,0),IF('01_数值调参'!Q39&lt;0,'03_全链计算'!Z65+1,0),IF('01_数值调参'!Q40&lt;0,'03_全链计算'!AA65+1,0),IF('01_数值调参'!Q41&lt;0,'03_全链计算'!AB65+1,0),IF('01_数值调参'!Q42&lt;0,'03_全链计算'!AC65+1,0),IF('01_数值调参'!Q43&lt;0,'03_全链计算'!AD65+1,0),IF('01_数值调参'!Q44&lt;0,'03_全链计算'!AE65+1,0),IF('01_数值调参'!Q45&lt;0,'03_全链计算'!AF65+1,0),IF('01_数值调参'!Q46&lt;0,'03_全链计算'!AG65+1,0),IF('01_数值调参'!Q47&lt;0,'03_全链计算'!AH65+1,0),IF('01_数值调参'!Q48&lt;0,'03_全链计算'!AI65+1,0),IF('01_数值调参'!Q49&lt;0,'03_全链计算'!AJ65+1,0),IF('01_数值调参'!Q50&lt;0,'03_全链计算'!AK65+1,0),IF('01_数值调参'!Q51&lt;0,'03_全链计算'!AL65+1,0),IF('01_数值调参'!Q52&lt;0,'03_全链计算'!AM65+1,0))</x:f>
        <x:v>1</x:v>
      </x:c>
      <x:c r="R66" s="9" t="n">
        <x:f>MAX(IF('01_数值调参'!R18&lt;0,'03_全链计算'!E65+1,0),IF('01_数值调参'!R19&lt;0,'03_全链计算'!F65+1,0),IF('01_数值调参'!R20&lt;0,'03_全链计算'!G65+1,0),IF('01_数值调参'!R21&lt;0,'03_全链计算'!H65+1,0),IF('01_数值调参'!R22&lt;0,'03_全链计算'!I65+1,0),IF('01_数值调参'!R23&lt;0,'03_全链计算'!J65+1,0),IF('01_数值调参'!R24&lt;0,'03_全链计算'!K65+1,0),IF('01_数值调参'!R25&lt;0,'03_全链计算'!L65+1,0),IF('01_数值调参'!R26&lt;0,'03_全链计算'!M65+1,0),IF('01_数值调参'!R27&lt;0,'03_全链计算'!N65+1,0),IF('01_数值调参'!R28&lt;0,'03_全链计算'!O65+1,0),IF('01_数值调参'!R29&lt;0,'03_全链计算'!P65+1,0),IF('01_数值调参'!R30&lt;0,'03_全链计算'!Q65+1,0),IF('01_数值调参'!R31&lt;0,'03_全链计算'!R65+1,0),IF('01_数值调参'!R32&lt;0,'03_全链计算'!S65+1,0),IF('01_数值调参'!R33&lt;0,'03_全链计算'!T65+1,0),IF('01_数值调参'!R34&lt;0,'03_全链计算'!U65+1,0),IF('01_数值调参'!R35&lt;0,'03_全链计算'!V65+1,0),IF('01_数值调参'!R36&lt;0,'03_全链计算'!W65+1,0),IF('01_数值调参'!R37&lt;0,'03_全链计算'!X65+1,0),IF('01_数值调参'!R38&lt;0,'03_全链计算'!Y65+1,0),IF('01_数值调参'!R39&lt;0,'03_全链计算'!Z65+1,0),IF('01_数值调参'!R40&lt;0,'03_全链计算'!AA65+1,0),IF('01_数值调参'!R41&lt;0,'03_全链计算'!AB65+1,0),IF('01_数值调参'!R42&lt;0,'03_全链计算'!AC65+1,0),IF('01_数值调参'!R43&lt;0,'03_全链计算'!AD65+1,0),IF('01_数值调参'!R44&lt;0,'03_全链计算'!AE65+1,0),IF('01_数值调参'!R45&lt;0,'03_全链计算'!AF65+1,0),IF('01_数值调参'!R46&lt;0,'03_全链计算'!AG65+1,0),IF('01_数值调参'!R47&lt;0,'03_全链计算'!AH65+1,0),IF('01_数值调参'!R48&lt;0,'03_全链计算'!AI65+1,0),IF('01_数值调参'!R49&lt;0,'03_全链计算'!AJ65+1,0),IF('01_数值调参'!R50&lt;0,'03_全链计算'!AK65+1,0),IF('01_数值调参'!R51&lt;0,'03_全链计算'!AL65+1,0),IF('01_数值调参'!R52&lt;0,'03_全链计算'!AM65+1,0))</x:f>
        <x:v>1</x:v>
      </x:c>
      <x:c r="S66" s="9" t="n">
        <x:f>MAX(IF('01_数值调参'!S18&lt;0,'03_全链计算'!E65+1,0),IF('01_数值调参'!S19&lt;0,'03_全链计算'!F65+1,0),IF('01_数值调参'!S20&lt;0,'03_全链计算'!G65+1,0),IF('01_数值调参'!S21&lt;0,'03_全链计算'!H65+1,0),IF('01_数值调参'!S22&lt;0,'03_全链计算'!I65+1,0),IF('01_数值调参'!S23&lt;0,'03_全链计算'!J65+1,0),IF('01_数值调参'!S24&lt;0,'03_全链计算'!K65+1,0),IF('01_数值调参'!S25&lt;0,'03_全链计算'!L65+1,0),IF('01_数值调参'!S26&lt;0,'03_全链计算'!M65+1,0),IF('01_数值调参'!S27&lt;0,'03_全链计算'!N65+1,0),IF('01_数值调参'!S28&lt;0,'03_全链计算'!O65+1,0),IF('01_数值调参'!S29&lt;0,'03_全链计算'!P65+1,0),IF('01_数值调参'!S30&lt;0,'03_全链计算'!Q65+1,0),IF('01_数值调参'!S31&lt;0,'03_全链计算'!R65+1,0),IF('01_数值调参'!S32&lt;0,'03_全链计算'!S65+1,0),IF('01_数值调参'!S33&lt;0,'03_全链计算'!T65+1,0),IF('01_数值调参'!S34&lt;0,'03_全链计算'!U65+1,0),IF('01_数值调参'!S35&lt;0,'03_全链计算'!V65+1,0),IF('01_数值调参'!S36&lt;0,'03_全链计算'!W65+1,0),IF('01_数值调参'!S37&lt;0,'03_全链计算'!X65+1,0),IF('01_数值调参'!S38&lt;0,'03_全链计算'!Y65+1,0),IF('01_数值调参'!S39&lt;0,'03_全链计算'!Z65+1,0),IF('01_数值调参'!S40&lt;0,'03_全链计算'!AA65+1,0),IF('01_数值调参'!S41&lt;0,'03_全链计算'!AB65+1,0),IF('01_数值调参'!S42&lt;0,'03_全链计算'!AC65+1,0),IF('01_数值调参'!S43&lt;0,'03_全链计算'!AD65+1,0),IF('01_数值调参'!S44&lt;0,'03_全链计算'!AE65+1,0),IF('01_数值调参'!S45&lt;0,'03_全链计算'!AF65+1,0),IF('01_数值调参'!S46&lt;0,'03_全链计算'!AG65+1,0),IF('01_数值调参'!S47&lt;0,'03_全链计算'!AH65+1,0),IF('01_数值调参'!S48&lt;0,'03_全链计算'!AI65+1,0),IF('01_数值调参'!S49&lt;0,'03_全链计算'!AJ65+1,0),IF('01_数值调参'!S50&lt;0,'03_全链计算'!AK65+1,0),IF('01_数值调参'!S51&lt;0,'03_全链计算'!AL65+1,0),IF('01_数值调参'!S52&lt;0,'03_全链计算'!AM65+1,0))</x:f>
        <x:v>1</x:v>
      </x:c>
      <x:c r="T66" s="9" t="n">
        <x:f>MAX(IF('01_数值调参'!T18&lt;0,'03_全链计算'!E65+1,0),IF('01_数值调参'!T19&lt;0,'03_全链计算'!F65+1,0),IF('01_数值调参'!T20&lt;0,'03_全链计算'!G65+1,0),IF('01_数值调参'!T21&lt;0,'03_全链计算'!H65+1,0),IF('01_数值调参'!T22&lt;0,'03_全链计算'!I65+1,0),IF('01_数值调参'!T23&lt;0,'03_全链计算'!J65+1,0),IF('01_数值调参'!T24&lt;0,'03_全链计算'!K65+1,0),IF('01_数值调参'!T25&lt;0,'03_全链计算'!L65+1,0),IF('01_数值调参'!T26&lt;0,'03_全链计算'!M65+1,0),IF('01_数值调参'!T27&lt;0,'03_全链计算'!N65+1,0),IF('01_数值调参'!T28&lt;0,'03_全链计算'!O65+1,0),IF('01_数值调参'!T29&lt;0,'03_全链计算'!P65+1,0),IF('01_数值调参'!T30&lt;0,'03_全链计算'!Q65+1,0),IF('01_数值调参'!T31&lt;0,'03_全链计算'!R65+1,0),IF('01_数值调参'!T32&lt;0,'03_全链计算'!S65+1,0),IF('01_数值调参'!T33&lt;0,'03_全链计算'!T65+1,0),IF('01_数值调参'!T34&lt;0,'03_全链计算'!U65+1,0),IF('01_数值调参'!T35&lt;0,'03_全链计算'!V65+1,0),IF('01_数值调参'!T36&lt;0,'03_全链计算'!W65+1,0),IF('01_数值调参'!T37&lt;0,'03_全链计算'!X65+1,0),IF('01_数值调参'!T38&lt;0,'03_全链计算'!Y65+1,0),IF('01_数值调参'!T39&lt;0,'03_全链计算'!Z65+1,0),IF('01_数值调参'!T40&lt;0,'03_全链计算'!AA65+1,0),IF('01_数值调参'!T41&lt;0,'03_全链计算'!AB65+1,0),IF('01_数值调参'!T42&lt;0,'03_全链计算'!AC65+1,0),IF('01_数值调参'!T43&lt;0,'03_全链计算'!AD65+1,0),IF('01_数值调参'!T44&lt;0,'03_全链计算'!AE65+1,0),IF('01_数值调参'!T45&lt;0,'03_全链计算'!AF65+1,0),IF('01_数值调参'!T46&lt;0,'03_全链计算'!AG65+1,0),IF('01_数值调参'!T47&lt;0,'03_全链计算'!AH65+1,0),IF('01_数值调参'!T48&lt;0,'03_全链计算'!AI65+1,0),IF('01_数值调参'!T49&lt;0,'03_全链计算'!AJ65+1,0),IF('01_数值调参'!T50&lt;0,'03_全链计算'!AK65+1,0),IF('01_数值调参'!T51&lt;0,'03_全链计算'!AL65+1,0),IF('01_数值调参'!T52&lt;0,'03_全链计算'!AM65+1,0))</x:f>
        <x:v>1</x:v>
      </x:c>
      <x:c r="U66" s="9" t="n">
        <x:f>MAX(IF('01_数值调参'!U18&lt;0,'03_全链计算'!E65+1,0),IF('01_数值调参'!U19&lt;0,'03_全链计算'!F65+1,0),IF('01_数值调参'!U20&lt;0,'03_全链计算'!G65+1,0),IF('01_数值调参'!U21&lt;0,'03_全链计算'!H65+1,0),IF('01_数值调参'!U22&lt;0,'03_全链计算'!I65+1,0),IF('01_数值调参'!U23&lt;0,'03_全链计算'!J65+1,0),IF('01_数值调参'!U24&lt;0,'03_全链计算'!K65+1,0),IF('01_数值调参'!U25&lt;0,'03_全链计算'!L65+1,0),IF('01_数值调参'!U26&lt;0,'03_全链计算'!M65+1,0),IF('01_数值调参'!U27&lt;0,'03_全链计算'!N65+1,0),IF('01_数值调参'!U28&lt;0,'03_全链计算'!O65+1,0),IF('01_数值调参'!U29&lt;0,'03_全链计算'!P65+1,0),IF('01_数值调参'!U30&lt;0,'03_全链计算'!Q65+1,0),IF('01_数值调参'!U31&lt;0,'03_全链计算'!R65+1,0),IF('01_数值调参'!U32&lt;0,'03_全链计算'!S65+1,0),IF('01_数值调参'!U33&lt;0,'03_全链计算'!T65+1,0),IF('01_数值调参'!U34&lt;0,'03_全链计算'!U65+1,0),IF('01_数值调参'!U35&lt;0,'03_全链计算'!V65+1,0),IF('01_数值调参'!U36&lt;0,'03_全链计算'!W65+1,0),IF('01_数值调参'!U37&lt;0,'03_全链计算'!X65+1,0),IF('01_数值调参'!U38&lt;0,'03_全链计算'!Y65+1,0),IF('01_数值调参'!U39&lt;0,'03_全链计算'!Z65+1,0),IF('01_数值调参'!U40&lt;0,'03_全链计算'!AA65+1,0),IF('01_数值调参'!U41&lt;0,'03_全链计算'!AB65+1,0),IF('01_数值调参'!U42&lt;0,'03_全链计算'!AC65+1,0),IF('01_数值调参'!U43&lt;0,'03_全链计算'!AD65+1,0),IF('01_数值调参'!U44&lt;0,'03_全链计算'!AE65+1,0),IF('01_数值调参'!U45&lt;0,'03_全链计算'!AF65+1,0),IF('01_数值调参'!U46&lt;0,'03_全链计算'!AG65+1,0),IF('01_数值调参'!U47&lt;0,'03_全链计算'!AH65+1,0),IF('01_数值调参'!U48&lt;0,'03_全链计算'!AI65+1,0),IF('01_数值调参'!U49&lt;0,'03_全链计算'!AJ65+1,0),IF('01_数值调参'!U50&lt;0,'03_全链计算'!AK65+1,0),IF('01_数值调参'!U51&lt;0,'03_全链计算'!AL65+1,0),IF('01_数值调参'!U52&lt;0,'03_全链计算'!AM65+1,0))</x:f>
        <x:v>1</x:v>
      </x:c>
      <x:c r="V66" s="9" t="n">
        <x:f>MAX(IF('01_数值调参'!V18&lt;0,'03_全链计算'!E65+1,0),IF('01_数值调参'!V19&lt;0,'03_全链计算'!F65+1,0),IF('01_数值调参'!V20&lt;0,'03_全链计算'!G65+1,0),IF('01_数值调参'!V21&lt;0,'03_全链计算'!H65+1,0),IF('01_数值调参'!V22&lt;0,'03_全链计算'!I65+1,0),IF('01_数值调参'!V23&lt;0,'03_全链计算'!J65+1,0),IF('01_数值调参'!V24&lt;0,'03_全链计算'!K65+1,0),IF('01_数值调参'!V25&lt;0,'03_全链计算'!L65+1,0),IF('01_数值调参'!V26&lt;0,'03_全链计算'!M65+1,0),IF('01_数值调参'!V27&lt;0,'03_全链计算'!N65+1,0),IF('01_数值调参'!V28&lt;0,'03_全链计算'!O65+1,0),IF('01_数值调参'!V29&lt;0,'03_全链计算'!P65+1,0),IF('01_数值调参'!V30&lt;0,'03_全链计算'!Q65+1,0),IF('01_数值调参'!V31&lt;0,'03_全链计算'!R65+1,0),IF('01_数值调参'!V32&lt;0,'03_全链计算'!S65+1,0),IF('01_数值调参'!V33&lt;0,'03_全链计算'!T65+1,0),IF('01_数值调参'!V34&lt;0,'03_全链计算'!U65+1,0),IF('01_数值调参'!V35&lt;0,'03_全链计算'!V65+1,0),IF('01_数值调参'!V36&lt;0,'03_全链计算'!W65+1,0),IF('01_数值调参'!V37&lt;0,'03_全链计算'!X65+1,0),IF('01_数值调参'!V38&lt;0,'03_全链计算'!Y65+1,0),IF('01_数值调参'!V39&lt;0,'03_全链计算'!Z65+1,0),IF('01_数值调参'!V40&lt;0,'03_全链计算'!AA65+1,0),IF('01_数值调参'!V41&lt;0,'03_全链计算'!AB65+1,0),IF('01_数值调参'!V42&lt;0,'03_全链计算'!AC65+1,0),IF('01_数值调参'!V43&lt;0,'03_全链计算'!AD65+1,0),IF('01_数值调参'!V44&lt;0,'03_全链计算'!AE65+1,0),IF('01_数值调参'!V45&lt;0,'03_全链计算'!AF65+1,0),IF('01_数值调参'!V46&lt;0,'03_全链计算'!AG65+1,0),IF('01_数值调参'!V47&lt;0,'03_全链计算'!AH65+1,0),IF('01_数值调参'!V48&lt;0,'03_全链计算'!AI65+1,0),IF('01_数值调参'!V49&lt;0,'03_全链计算'!AJ65+1,0),IF('01_数值调参'!V50&lt;0,'03_全链计算'!AK65+1,0),IF('01_数值调参'!V51&lt;0,'03_全链计算'!AL65+1,0),IF('01_数值调参'!V52&lt;0,'03_全链计算'!AM65+1,0))</x:f>
        <x:v>1</x:v>
      </x:c>
      <x:c r="W66" s="9" t="n">
        <x:f>MAX(IF('01_数值调参'!W18&lt;0,'03_全链计算'!E65+1,0),IF('01_数值调参'!W19&lt;0,'03_全链计算'!F65+1,0),IF('01_数值调参'!W20&lt;0,'03_全链计算'!G65+1,0),IF('01_数值调参'!W21&lt;0,'03_全链计算'!H65+1,0),IF('01_数值调参'!W22&lt;0,'03_全链计算'!I65+1,0),IF('01_数值调参'!W23&lt;0,'03_全链计算'!J65+1,0),IF('01_数值调参'!W24&lt;0,'03_全链计算'!K65+1,0),IF('01_数值调参'!W25&lt;0,'03_全链计算'!L65+1,0),IF('01_数值调参'!W26&lt;0,'03_全链计算'!M65+1,0),IF('01_数值调参'!W27&lt;0,'03_全链计算'!N65+1,0),IF('01_数值调参'!W28&lt;0,'03_全链计算'!O65+1,0),IF('01_数值调参'!W29&lt;0,'03_全链计算'!P65+1,0),IF('01_数值调参'!W30&lt;0,'03_全链计算'!Q65+1,0),IF('01_数值调参'!W31&lt;0,'03_全链计算'!R65+1,0),IF('01_数值调参'!W32&lt;0,'03_全链计算'!S65+1,0),IF('01_数值调参'!W33&lt;0,'03_全链计算'!T65+1,0),IF('01_数值调参'!W34&lt;0,'03_全链计算'!U65+1,0),IF('01_数值调参'!W35&lt;0,'03_全链计算'!V65+1,0),IF('01_数值调参'!W36&lt;0,'03_全链计算'!W65+1,0),IF('01_数值调参'!W37&lt;0,'03_全链计算'!X65+1,0),IF('01_数值调参'!W38&lt;0,'03_全链计算'!Y65+1,0),IF('01_数值调参'!W39&lt;0,'03_全链计算'!Z65+1,0),IF('01_数值调参'!W40&lt;0,'03_全链计算'!AA65+1,0),IF('01_数值调参'!W41&lt;0,'03_全链计算'!AB65+1,0),IF('01_数值调参'!W42&lt;0,'03_全链计算'!AC65+1,0),IF('01_数值调参'!W43&lt;0,'03_全链计算'!AD65+1,0),IF('01_数值调参'!W44&lt;0,'03_全链计算'!AE65+1,0),IF('01_数值调参'!W45&lt;0,'03_全链计算'!AF65+1,0),IF('01_数值调参'!W46&lt;0,'03_全链计算'!AG65+1,0),IF('01_数值调参'!W47&lt;0,'03_全链计算'!AH65+1,0),IF('01_数值调参'!W48&lt;0,'03_全链计算'!AI65+1,0),IF('01_数值调参'!W49&lt;0,'03_全链计算'!AJ65+1,0),IF('01_数值调参'!W50&lt;0,'03_全链计算'!AK65+1,0),IF('01_数值调参'!W51&lt;0,'03_全链计算'!AL65+1,0),IF('01_数值调参'!W52&lt;0,'03_全链计算'!AM65+1,0))</x:f>
        <x:v>1</x:v>
      </x:c>
      <x:c r="X66" s="9" t="n">
        <x:f>MAX(IF('01_数值调参'!X18&lt;0,'03_全链计算'!E65+1,0),IF('01_数值调参'!X19&lt;0,'03_全链计算'!F65+1,0),IF('01_数值调参'!X20&lt;0,'03_全链计算'!G65+1,0),IF('01_数值调参'!X21&lt;0,'03_全链计算'!H65+1,0),IF('01_数值调参'!X22&lt;0,'03_全链计算'!I65+1,0),IF('01_数值调参'!X23&lt;0,'03_全链计算'!J65+1,0),IF('01_数值调参'!X24&lt;0,'03_全链计算'!K65+1,0),IF('01_数值调参'!X25&lt;0,'03_全链计算'!L65+1,0),IF('01_数值调参'!X26&lt;0,'03_全链计算'!M65+1,0),IF('01_数值调参'!X27&lt;0,'03_全链计算'!N65+1,0),IF('01_数值调参'!X28&lt;0,'03_全链计算'!O65+1,0),IF('01_数值调参'!X29&lt;0,'03_全链计算'!P65+1,0),IF('01_数值调参'!X30&lt;0,'03_全链计算'!Q65+1,0),IF('01_数值调参'!X31&lt;0,'03_全链计算'!R65+1,0),IF('01_数值调参'!X32&lt;0,'03_全链计算'!S65+1,0),IF('01_数值调参'!X33&lt;0,'03_全链计算'!T65+1,0),IF('01_数值调参'!X34&lt;0,'03_全链计算'!U65+1,0),IF('01_数值调参'!X35&lt;0,'03_全链计算'!V65+1,0),IF('01_数值调参'!X36&lt;0,'03_全链计算'!W65+1,0),IF('01_数值调参'!X37&lt;0,'03_全链计算'!X65+1,0),IF('01_数值调参'!X38&lt;0,'03_全链计算'!Y65+1,0),IF('01_数值调参'!X39&lt;0,'03_全链计算'!Z65+1,0),IF('01_数值调参'!X40&lt;0,'03_全链计算'!AA65+1,0),IF('01_数值调参'!X41&lt;0,'03_全链计算'!AB65+1,0),IF('01_数值调参'!X42&lt;0,'03_全链计算'!AC65+1,0),IF('01_数值调参'!X43&lt;0,'03_全链计算'!AD65+1,0),IF('01_数值调参'!X44&lt;0,'03_全链计算'!AE65+1,0),IF('01_数值调参'!X45&lt;0,'03_全链计算'!AF65+1,0),IF('01_数值调参'!X46&lt;0,'03_全链计算'!AG65+1,0),IF('01_数值调参'!X47&lt;0,'03_全链计算'!AH65+1,0),IF('01_数值调参'!X48&lt;0,'03_全链计算'!AI65+1,0),IF('01_数值调参'!X49&lt;0,'03_全链计算'!AJ65+1,0),IF('01_数值调参'!X50&lt;0,'03_全链计算'!AK65+1,0),IF('01_数值调参'!X51&lt;0,'03_全链计算'!AL65+1,0),IF('01_数值调参'!X52&lt;0,'03_全链计算'!AM65+1,0))</x:f>
        <x:v>2</x:v>
      </x:c>
      <x:c r="Y66" s="9" t="n">
        <x:f>MAX(IF('01_数值调参'!Y18&lt;0,'03_全链计算'!E65+1,0),IF('01_数值调参'!Y19&lt;0,'03_全链计算'!F65+1,0),IF('01_数值调参'!Y20&lt;0,'03_全链计算'!G65+1,0),IF('01_数值调参'!Y21&lt;0,'03_全链计算'!H65+1,0),IF('01_数值调参'!Y22&lt;0,'03_全链计算'!I65+1,0),IF('01_数值调参'!Y23&lt;0,'03_全链计算'!J65+1,0),IF('01_数值调参'!Y24&lt;0,'03_全链计算'!K65+1,0),IF('01_数值调参'!Y25&lt;0,'03_全链计算'!L65+1,0),IF('01_数值调参'!Y26&lt;0,'03_全链计算'!M65+1,0),IF('01_数值调参'!Y27&lt;0,'03_全链计算'!N65+1,0),IF('01_数值调参'!Y28&lt;0,'03_全链计算'!O65+1,0),IF('01_数值调参'!Y29&lt;0,'03_全链计算'!P65+1,0),IF('01_数值调参'!Y30&lt;0,'03_全链计算'!Q65+1,0),IF('01_数值调参'!Y31&lt;0,'03_全链计算'!R65+1,0),IF('01_数值调参'!Y32&lt;0,'03_全链计算'!S65+1,0),IF('01_数值调参'!Y33&lt;0,'03_全链计算'!T65+1,0),IF('01_数值调参'!Y34&lt;0,'03_全链计算'!U65+1,0),IF('01_数值调参'!Y35&lt;0,'03_全链计算'!V65+1,0),IF('01_数值调参'!Y36&lt;0,'03_全链计算'!W65+1,0),IF('01_数值调参'!Y37&lt;0,'03_全链计算'!X65+1,0),IF('01_数值调参'!Y38&lt;0,'03_全链计算'!Y65+1,0),IF('01_数值调参'!Y39&lt;0,'03_全链计算'!Z65+1,0),IF('01_数值调参'!Y40&lt;0,'03_全链计算'!AA65+1,0),IF('01_数值调参'!Y41&lt;0,'03_全链计算'!AB65+1,0),IF('01_数值调参'!Y42&lt;0,'03_全链计算'!AC65+1,0),IF('01_数值调参'!Y43&lt;0,'03_全链计算'!AD65+1,0),IF('01_数值调参'!Y44&lt;0,'03_全链计算'!AE65+1,0),IF('01_数值调参'!Y45&lt;0,'03_全链计算'!AF65+1,0),IF('01_数值调参'!Y46&lt;0,'03_全链计算'!AG65+1,0),IF('01_数值调参'!Y47&lt;0,'03_全链计算'!AH65+1,0),IF('01_数值调参'!Y48&lt;0,'03_全链计算'!AI65+1,0),IF('01_数值调参'!Y49&lt;0,'03_全链计算'!AJ65+1,0),IF('01_数值调参'!Y50&lt;0,'03_全链计算'!AK65+1,0),IF('01_数值调参'!Y51&lt;0,'03_全链计算'!AL65+1,0),IF('01_数值调参'!Y52&lt;0,'03_全链计算'!AM65+1,0))</x:f>
        <x:v>2</x:v>
      </x:c>
      <x:c r="Z66" s="9" t="n">
        <x:f>MAX(IF('01_数值调参'!Z18&lt;0,'03_全链计算'!E65+1,0),IF('01_数值调参'!Z19&lt;0,'03_全链计算'!F65+1,0),IF('01_数值调参'!Z20&lt;0,'03_全链计算'!G65+1,0),IF('01_数值调参'!Z21&lt;0,'03_全链计算'!H65+1,0),IF('01_数值调参'!Z22&lt;0,'03_全链计算'!I65+1,0),IF('01_数值调参'!Z23&lt;0,'03_全链计算'!J65+1,0),IF('01_数值调参'!Z24&lt;0,'03_全链计算'!K65+1,0),IF('01_数值调参'!Z25&lt;0,'03_全链计算'!L65+1,0),IF('01_数值调参'!Z26&lt;0,'03_全链计算'!M65+1,0),IF('01_数值调参'!Z27&lt;0,'03_全链计算'!N65+1,0),IF('01_数值调参'!Z28&lt;0,'03_全链计算'!O65+1,0),IF('01_数值调参'!Z29&lt;0,'03_全链计算'!P65+1,0),IF('01_数值调参'!Z30&lt;0,'03_全链计算'!Q65+1,0),IF('01_数值调参'!Z31&lt;0,'03_全链计算'!R65+1,0),IF('01_数值调参'!Z32&lt;0,'03_全链计算'!S65+1,0),IF('01_数值调参'!Z33&lt;0,'03_全链计算'!T65+1,0),IF('01_数值调参'!Z34&lt;0,'03_全链计算'!U65+1,0),IF('01_数值调参'!Z35&lt;0,'03_全链计算'!V65+1,0),IF('01_数值调参'!Z36&lt;0,'03_全链计算'!W65+1,0),IF('01_数值调参'!Z37&lt;0,'03_全链计算'!X65+1,0),IF('01_数值调参'!Z38&lt;0,'03_全链计算'!Y65+1,0),IF('01_数值调参'!Z39&lt;0,'03_全链计算'!Z65+1,0),IF('01_数值调参'!Z40&lt;0,'03_全链计算'!AA65+1,0),IF('01_数值调参'!Z41&lt;0,'03_全链计算'!AB65+1,0),IF('01_数值调参'!Z42&lt;0,'03_全链计算'!AC65+1,0),IF('01_数值调参'!Z43&lt;0,'03_全链计算'!AD65+1,0),IF('01_数值调参'!Z44&lt;0,'03_全链计算'!AE65+1,0),IF('01_数值调参'!Z45&lt;0,'03_全链计算'!AF65+1,0),IF('01_数值调参'!Z46&lt;0,'03_全链计算'!AG65+1,0),IF('01_数值调参'!Z47&lt;0,'03_全链计算'!AH65+1,0),IF('01_数值调参'!Z48&lt;0,'03_全链计算'!AI65+1,0),IF('01_数值调参'!Z49&lt;0,'03_全链计算'!AJ65+1,0),IF('01_数值调参'!Z50&lt;0,'03_全链计算'!AK65+1,0),IF('01_数值调参'!Z51&lt;0,'03_全链计算'!AL65+1,0),IF('01_数值调参'!Z52&lt;0,'03_全链计算'!AM65+1,0))</x:f>
        <x:v>2</x:v>
      </x:c>
      <x:c r="AA66" s="9" t="n">
        <x:f>MAX(IF('01_数值调参'!AA18&lt;0,'03_全链计算'!E65+1,0),IF('01_数值调参'!AA19&lt;0,'03_全链计算'!F65+1,0),IF('01_数值调参'!AA20&lt;0,'03_全链计算'!G65+1,0),IF('01_数值调参'!AA21&lt;0,'03_全链计算'!H65+1,0),IF('01_数值调参'!AA22&lt;0,'03_全链计算'!I65+1,0),IF('01_数值调参'!AA23&lt;0,'03_全链计算'!J65+1,0),IF('01_数值调参'!AA24&lt;0,'03_全链计算'!K65+1,0),IF('01_数值调参'!AA25&lt;0,'03_全链计算'!L65+1,0),IF('01_数值调参'!AA26&lt;0,'03_全链计算'!M65+1,0),IF('01_数值调参'!AA27&lt;0,'03_全链计算'!N65+1,0),IF('01_数值调参'!AA28&lt;0,'03_全链计算'!O65+1,0),IF('01_数值调参'!AA29&lt;0,'03_全链计算'!P65+1,0),IF('01_数值调参'!AA30&lt;0,'03_全链计算'!Q65+1,0),IF('01_数值调参'!AA31&lt;0,'03_全链计算'!R65+1,0),IF('01_数值调参'!AA32&lt;0,'03_全链计算'!S65+1,0),IF('01_数值调参'!AA33&lt;0,'03_全链计算'!T65+1,0),IF('01_数值调参'!AA34&lt;0,'03_全链计算'!U65+1,0),IF('01_数值调参'!AA35&lt;0,'03_全链计算'!V65+1,0),IF('01_数值调参'!AA36&lt;0,'03_全链计算'!W65+1,0),IF('01_数值调参'!AA37&lt;0,'03_全链计算'!X65+1,0),IF('01_数值调参'!AA38&lt;0,'03_全链计算'!Y65+1,0),IF('01_数值调参'!AA39&lt;0,'03_全链计算'!Z65+1,0),IF('01_数值调参'!AA40&lt;0,'03_全链计算'!AA65+1,0),IF('01_数值调参'!AA41&lt;0,'03_全链计算'!AB65+1,0),IF('01_数值调参'!AA42&lt;0,'03_全链计算'!AC65+1,0),IF('01_数值调参'!AA43&lt;0,'03_全链计算'!AD65+1,0),IF('01_数值调参'!AA44&lt;0,'03_全链计算'!AE65+1,0),IF('01_数值调参'!AA45&lt;0,'03_全链计算'!AF65+1,0),IF('01_数值调参'!AA46&lt;0,'03_全链计算'!AG65+1,0),IF('01_数值调参'!AA47&lt;0,'03_全链计算'!AH65+1,0),IF('01_数值调参'!AA48&lt;0,'03_全链计算'!AI65+1,0),IF('01_数值调参'!AA49&lt;0,'03_全链计算'!AJ65+1,0),IF('01_数值调参'!AA50&lt;0,'03_全链计算'!AK65+1,0),IF('01_数值调参'!AA51&lt;0,'03_全链计算'!AL65+1,0),IF('01_数值调参'!AA52&lt;0,'03_全链计算'!AM65+1,0))</x:f>
        <x:v>2</x:v>
      </x:c>
      <x:c r="AB66" s="9" t="n">
        <x:f>MAX(IF('01_数值调参'!AB18&lt;0,'03_全链计算'!E65+1,0),IF('01_数值调参'!AB19&lt;0,'03_全链计算'!F65+1,0),IF('01_数值调参'!AB20&lt;0,'03_全链计算'!G65+1,0),IF('01_数值调参'!AB21&lt;0,'03_全链计算'!H65+1,0),IF('01_数值调参'!AB22&lt;0,'03_全链计算'!I65+1,0),IF('01_数值调参'!AB23&lt;0,'03_全链计算'!J65+1,0),IF('01_数值调参'!AB24&lt;0,'03_全链计算'!K65+1,0),IF('01_数值调参'!AB25&lt;0,'03_全链计算'!L65+1,0),IF('01_数值调参'!AB26&lt;0,'03_全链计算'!M65+1,0),IF('01_数值调参'!AB27&lt;0,'03_全链计算'!N65+1,0),IF('01_数值调参'!AB28&lt;0,'03_全链计算'!O65+1,0),IF('01_数值调参'!AB29&lt;0,'03_全链计算'!P65+1,0),IF('01_数值调参'!AB30&lt;0,'03_全链计算'!Q65+1,0),IF('01_数值调参'!AB31&lt;0,'03_全链计算'!R65+1,0),IF('01_数值调参'!AB32&lt;0,'03_全链计算'!S65+1,0),IF('01_数值调参'!AB33&lt;0,'03_全链计算'!T65+1,0),IF('01_数值调参'!AB34&lt;0,'03_全链计算'!U65+1,0),IF('01_数值调参'!AB35&lt;0,'03_全链计算'!V65+1,0),IF('01_数值调参'!AB36&lt;0,'03_全链计算'!W65+1,0),IF('01_数值调参'!AB37&lt;0,'03_全链计算'!X65+1,0),IF('01_数值调参'!AB38&lt;0,'03_全链计算'!Y65+1,0),IF('01_数值调参'!AB39&lt;0,'03_全链计算'!Z65+1,0),IF('01_数值调参'!AB40&lt;0,'03_全链计算'!AA65+1,0),IF('01_数值调参'!AB41&lt;0,'03_全链计算'!AB65+1,0),IF('01_数值调参'!AB42&lt;0,'03_全链计算'!AC65+1,0),IF('01_数值调参'!AB43&lt;0,'03_全链计算'!AD65+1,0),IF('01_数值调参'!AB44&lt;0,'03_全链计算'!AE65+1,0),IF('01_数值调参'!AB45&lt;0,'03_全链计算'!AF65+1,0),IF('01_数值调参'!AB46&lt;0,'03_全链计算'!AG65+1,0),IF('01_数值调参'!AB47&lt;0,'03_全链计算'!AH65+1,0),IF('01_数值调参'!AB48&lt;0,'03_全链计算'!AI65+1,0),IF('01_数值调参'!AB49&lt;0,'03_全链计算'!AJ65+1,0),IF('01_数值调参'!AB50&lt;0,'03_全链计算'!AK65+1,0),IF('01_数值调参'!AB51&lt;0,'03_全链计算'!AL65+1,0),IF('01_数值调参'!AB52&lt;0,'03_全链计算'!AM65+1,0))</x:f>
        <x:v>2</x:v>
      </x:c>
      <x:c r="AC66" s="9" t="n">
        <x:f>MAX(IF('01_数值调参'!AC18&lt;0,'03_全链计算'!E65+1,0),IF('01_数值调参'!AC19&lt;0,'03_全链计算'!F65+1,0),IF('01_数值调参'!AC20&lt;0,'03_全链计算'!G65+1,0),IF('01_数值调参'!AC21&lt;0,'03_全链计算'!H65+1,0),IF('01_数值调参'!AC22&lt;0,'03_全链计算'!I65+1,0),IF('01_数值调参'!AC23&lt;0,'03_全链计算'!J65+1,0),IF('01_数值调参'!AC24&lt;0,'03_全链计算'!K65+1,0),IF('01_数值调参'!AC25&lt;0,'03_全链计算'!L65+1,0),IF('01_数值调参'!AC26&lt;0,'03_全链计算'!M65+1,0),IF('01_数值调参'!AC27&lt;0,'03_全链计算'!N65+1,0),IF('01_数值调参'!AC28&lt;0,'03_全链计算'!O65+1,0),IF('01_数值调参'!AC29&lt;0,'03_全链计算'!P65+1,0),IF('01_数值调参'!AC30&lt;0,'03_全链计算'!Q65+1,0),IF('01_数值调参'!AC31&lt;0,'03_全链计算'!R65+1,0),IF('01_数值调参'!AC32&lt;0,'03_全链计算'!S65+1,0),IF('01_数值调参'!AC33&lt;0,'03_全链计算'!T65+1,0),IF('01_数值调参'!AC34&lt;0,'03_全链计算'!U65+1,0),IF('01_数值调参'!AC35&lt;0,'03_全链计算'!V65+1,0),IF('01_数值调参'!AC36&lt;0,'03_全链计算'!W65+1,0),IF('01_数值调参'!AC37&lt;0,'03_全链计算'!X65+1,0),IF('01_数值调参'!AC38&lt;0,'03_全链计算'!Y65+1,0),IF('01_数值调参'!AC39&lt;0,'03_全链计算'!Z65+1,0),IF('01_数值调参'!AC40&lt;0,'03_全链计算'!AA65+1,0),IF('01_数值调参'!AC41&lt;0,'03_全链计算'!AB65+1,0),IF('01_数值调参'!AC42&lt;0,'03_全链计算'!AC65+1,0),IF('01_数值调参'!AC43&lt;0,'03_全链计算'!AD65+1,0),IF('01_数值调参'!AC44&lt;0,'03_全链计算'!AE65+1,0),IF('01_数值调参'!AC45&lt;0,'03_全链计算'!AF65+1,0),IF('01_数值调参'!AC46&lt;0,'03_全链计算'!AG65+1,0),IF('01_数值调参'!AC47&lt;0,'03_全链计算'!AH65+1,0),IF('01_数值调参'!AC48&lt;0,'03_全链计算'!AI65+1,0),IF('01_数值调参'!AC49&lt;0,'03_全链计算'!AJ65+1,0),IF('01_数值调参'!AC50&lt;0,'03_全链计算'!AK65+1,0),IF('01_数值调参'!AC51&lt;0,'03_全链计算'!AL65+1,0),IF('01_数值调参'!AC52&lt;0,'03_全链计算'!AM65+1,0))</x:f>
        <x:v>2</x:v>
      </x:c>
      <x:c r="AD66" s="9" t="n">
        <x:f>MAX(IF('01_数值调参'!AD18&lt;0,'03_全链计算'!E65+1,0),IF('01_数值调参'!AD19&lt;0,'03_全链计算'!F65+1,0),IF('01_数值调参'!AD20&lt;0,'03_全链计算'!G65+1,0),IF('01_数值调参'!AD21&lt;0,'03_全链计算'!H65+1,0),IF('01_数值调参'!AD22&lt;0,'03_全链计算'!I65+1,0),IF('01_数值调参'!AD23&lt;0,'03_全链计算'!J65+1,0),IF('01_数值调参'!AD24&lt;0,'03_全链计算'!K65+1,0),IF('01_数值调参'!AD25&lt;0,'03_全链计算'!L65+1,0),IF('01_数值调参'!AD26&lt;0,'03_全链计算'!M65+1,0),IF('01_数值调参'!AD27&lt;0,'03_全链计算'!N65+1,0),IF('01_数值调参'!AD28&lt;0,'03_全链计算'!O65+1,0),IF('01_数值调参'!AD29&lt;0,'03_全链计算'!P65+1,0),IF('01_数值调参'!AD30&lt;0,'03_全链计算'!Q65+1,0),IF('01_数值调参'!AD31&lt;0,'03_全链计算'!R65+1,0),IF('01_数值调参'!AD32&lt;0,'03_全链计算'!S65+1,0),IF('01_数值调参'!AD33&lt;0,'03_全链计算'!T65+1,0),IF('01_数值调参'!AD34&lt;0,'03_全链计算'!U65+1,0),IF('01_数值调参'!AD35&lt;0,'03_全链计算'!V65+1,0),IF('01_数值调参'!AD36&lt;0,'03_全链计算'!W65+1,0),IF('01_数值调参'!AD37&lt;0,'03_全链计算'!X65+1,0),IF('01_数值调参'!AD38&lt;0,'03_全链计算'!Y65+1,0),IF('01_数值调参'!AD39&lt;0,'03_全链计算'!Z65+1,0),IF('01_数值调参'!AD40&lt;0,'03_全链计算'!AA65+1,0),IF('01_数值调参'!AD41&lt;0,'03_全链计算'!AB65+1,0),IF('01_数值调参'!AD42&lt;0,'03_全链计算'!AC65+1,0),IF('01_数值调参'!AD43&lt;0,'03_全链计算'!AD65+1,0),IF('01_数值调参'!AD44&lt;0,'03_全链计算'!AE65+1,0),IF('01_数值调参'!AD45&lt;0,'03_全链计算'!AF65+1,0),IF('01_数值调参'!AD46&lt;0,'03_全链计算'!AG65+1,0),IF('01_数值调参'!AD47&lt;0,'03_全链计算'!AH65+1,0),IF('01_数值调参'!AD48&lt;0,'03_全链计算'!AI65+1,0),IF('01_数值调参'!AD49&lt;0,'03_全链计算'!AJ65+1,0),IF('01_数值调参'!AD50&lt;0,'03_全链计算'!AK65+1,0),IF('01_数值调参'!AD51&lt;0,'03_全链计算'!AL65+1,0),IF('01_数值调参'!AD52&lt;0,'03_全链计算'!AM65+1,0))</x:f>
        <x:v>1</x:v>
      </x:c>
      <x:c r="AE66" s="9" t="n">
        <x:f>MAX(IF('01_数值调参'!AE18&lt;0,'03_全链计算'!E65+1,0),IF('01_数值调参'!AE19&lt;0,'03_全链计算'!F65+1,0),IF('01_数值调参'!AE20&lt;0,'03_全链计算'!G65+1,0),IF('01_数值调参'!AE21&lt;0,'03_全链计算'!H65+1,0),IF('01_数值调参'!AE22&lt;0,'03_全链计算'!I65+1,0),IF('01_数值调参'!AE23&lt;0,'03_全链计算'!J65+1,0),IF('01_数值调参'!AE24&lt;0,'03_全链计算'!K65+1,0),IF('01_数值调参'!AE25&lt;0,'03_全链计算'!L65+1,0),IF('01_数值调参'!AE26&lt;0,'03_全链计算'!M65+1,0),IF('01_数值调参'!AE27&lt;0,'03_全链计算'!N65+1,0),IF('01_数值调参'!AE28&lt;0,'03_全链计算'!O65+1,0),IF('01_数值调参'!AE29&lt;0,'03_全链计算'!P65+1,0),IF('01_数值调参'!AE30&lt;0,'03_全链计算'!Q65+1,0),IF('01_数值调参'!AE31&lt;0,'03_全链计算'!R65+1,0),IF('01_数值调参'!AE32&lt;0,'03_全链计算'!S65+1,0),IF('01_数值调参'!AE33&lt;0,'03_全链计算'!T65+1,0),IF('01_数值调参'!AE34&lt;0,'03_全链计算'!U65+1,0),IF('01_数值调参'!AE35&lt;0,'03_全链计算'!V65+1,0),IF('01_数值调参'!AE36&lt;0,'03_全链计算'!W65+1,0),IF('01_数值调参'!AE37&lt;0,'03_全链计算'!X65+1,0),IF('01_数值调参'!AE38&lt;0,'03_全链计算'!Y65+1,0),IF('01_数值调参'!AE39&lt;0,'03_全链计算'!Z65+1,0),IF('01_数值调参'!AE40&lt;0,'03_全链计算'!AA65+1,0),IF('01_数值调参'!AE41&lt;0,'03_全链计算'!AB65+1,0),IF('01_数值调参'!AE42&lt;0,'03_全链计算'!AC65+1,0),IF('01_数值调参'!AE43&lt;0,'03_全链计算'!AD65+1,0),IF('01_数值调参'!AE44&lt;0,'03_全链计算'!AE65+1,0),IF('01_数值调参'!AE45&lt;0,'03_全链计算'!AF65+1,0),IF('01_数值调参'!AE46&lt;0,'03_全链计算'!AG65+1,0),IF('01_数值调参'!AE47&lt;0,'03_全链计算'!AH65+1,0),IF('01_数值调参'!AE48&lt;0,'03_全链计算'!AI65+1,0),IF('01_数值调参'!AE49&lt;0,'03_全链计算'!AJ65+1,0),IF('01_数值调参'!AE50&lt;0,'03_全链计算'!AK65+1,0),IF('01_数值调参'!AE51&lt;0,'03_全链计算'!AL65+1,0),IF('01_数值调参'!AE52&lt;0,'03_全链计算'!AM65+1,0))</x:f>
        <x:v>1</x:v>
      </x:c>
      <x:c r="AF66" s="9" t="n">
        <x:f>MAX(IF('01_数值调参'!AF18&lt;0,'03_全链计算'!E65+1,0),IF('01_数值调参'!AF19&lt;0,'03_全链计算'!F65+1,0),IF('01_数值调参'!AF20&lt;0,'03_全链计算'!G65+1,0),IF('01_数值调参'!AF21&lt;0,'03_全链计算'!H65+1,0),IF('01_数值调参'!AF22&lt;0,'03_全链计算'!I65+1,0),IF('01_数值调参'!AF23&lt;0,'03_全链计算'!J65+1,0),IF('01_数值调参'!AF24&lt;0,'03_全链计算'!K65+1,0),IF('01_数值调参'!AF25&lt;0,'03_全链计算'!L65+1,0),IF('01_数值调参'!AF26&lt;0,'03_全链计算'!M65+1,0),IF('01_数值调参'!AF27&lt;0,'03_全链计算'!N65+1,0),IF('01_数值调参'!AF28&lt;0,'03_全链计算'!O65+1,0),IF('01_数值调参'!AF29&lt;0,'03_全链计算'!P65+1,0),IF('01_数值调参'!AF30&lt;0,'03_全链计算'!Q65+1,0),IF('01_数值调参'!AF31&lt;0,'03_全链计算'!R65+1,0),IF('01_数值调参'!AF32&lt;0,'03_全链计算'!S65+1,0),IF('01_数值调参'!AF33&lt;0,'03_全链计算'!T65+1,0),IF('01_数值调参'!AF34&lt;0,'03_全链计算'!U65+1,0),IF('01_数值调参'!AF35&lt;0,'03_全链计算'!V65+1,0),IF('01_数值调参'!AF36&lt;0,'03_全链计算'!W65+1,0),IF('01_数值调参'!AF37&lt;0,'03_全链计算'!X65+1,0),IF('01_数值调参'!AF38&lt;0,'03_全链计算'!Y65+1,0),IF('01_数值调参'!AF39&lt;0,'03_全链计算'!Z65+1,0),IF('01_数值调参'!AF40&lt;0,'03_全链计算'!AA65+1,0),IF('01_数值调参'!AF41&lt;0,'03_全链计算'!AB65+1,0),IF('01_数值调参'!AF42&lt;0,'03_全链计算'!AC65+1,0),IF('01_数值调参'!AF43&lt;0,'03_全链计算'!AD65+1,0),IF('01_数值调参'!AF44&lt;0,'03_全链计算'!AE65+1,0),IF('01_数值调参'!AF45&lt;0,'03_全链计算'!AF65+1,0),IF('01_数值调参'!AF46&lt;0,'03_全链计算'!AG65+1,0),IF('01_数值调参'!AF47&lt;0,'03_全链计算'!AH65+1,0),IF('01_数值调参'!AF48&lt;0,'03_全链计算'!AI65+1,0),IF('01_数值调参'!AF49&lt;0,'03_全链计算'!AJ65+1,0),IF('01_数值调参'!AF50&lt;0,'03_全链计算'!AK65+1,0),IF('01_数值调参'!AF51&lt;0,'03_全链计算'!AL65+1,0),IF('01_数值调参'!AF52&lt;0,'03_全链计算'!AM65+1,0))</x:f>
        <x:v>1</x:v>
      </x:c>
      <x:c r="AG66" s="9" t="n">
        <x:f>MAX(IF('01_数值调参'!AG18&lt;0,'03_全链计算'!E65+1,0),IF('01_数值调参'!AG19&lt;0,'03_全链计算'!F65+1,0),IF('01_数值调参'!AG20&lt;0,'03_全链计算'!G65+1,0),IF('01_数值调参'!AG21&lt;0,'03_全链计算'!H65+1,0),IF('01_数值调参'!AG22&lt;0,'03_全链计算'!I65+1,0),IF('01_数值调参'!AG23&lt;0,'03_全链计算'!J65+1,0),IF('01_数值调参'!AG24&lt;0,'03_全链计算'!K65+1,0),IF('01_数值调参'!AG25&lt;0,'03_全链计算'!L65+1,0),IF('01_数值调参'!AG26&lt;0,'03_全链计算'!M65+1,0),IF('01_数值调参'!AG27&lt;0,'03_全链计算'!N65+1,0),IF('01_数值调参'!AG28&lt;0,'03_全链计算'!O65+1,0),IF('01_数值调参'!AG29&lt;0,'03_全链计算'!P65+1,0),IF('01_数值调参'!AG30&lt;0,'03_全链计算'!Q65+1,0),IF('01_数值调参'!AG31&lt;0,'03_全链计算'!R65+1,0),IF('01_数值调参'!AG32&lt;0,'03_全链计算'!S65+1,0),IF('01_数值调参'!AG33&lt;0,'03_全链计算'!T65+1,0),IF('01_数值调参'!AG34&lt;0,'03_全链计算'!U65+1,0),IF('01_数值调参'!AG35&lt;0,'03_全链计算'!V65+1,0),IF('01_数值调参'!AG36&lt;0,'03_全链计算'!W65+1,0),IF('01_数值调参'!AG37&lt;0,'03_全链计算'!X65+1,0),IF('01_数值调参'!AG38&lt;0,'03_全链计算'!Y65+1,0),IF('01_数值调参'!AG39&lt;0,'03_全链计算'!Z65+1,0),IF('01_数值调参'!AG40&lt;0,'03_全链计算'!AA65+1,0),IF('01_数值调参'!AG41&lt;0,'03_全链计算'!AB65+1,0),IF('01_数值调参'!AG42&lt;0,'03_全链计算'!AC65+1,0),IF('01_数值调参'!AG43&lt;0,'03_全链计算'!AD65+1,0),IF('01_数值调参'!AG44&lt;0,'03_全链计算'!AE65+1,0),IF('01_数值调参'!AG45&lt;0,'03_全链计算'!AF65+1,0),IF('01_数值调参'!AG46&lt;0,'03_全链计算'!AG65+1,0),IF('01_数值调参'!AG47&lt;0,'03_全链计算'!AH65+1,0),IF('01_数值调参'!AG48&lt;0,'03_全链计算'!AI65+1,0),IF('01_数值调参'!AG49&lt;0,'03_全链计算'!AJ65+1,0),IF('01_数值调参'!AG50&lt;0,'03_全链计算'!AK65+1,0),IF('01_数值调参'!AG51&lt;0,'03_全链计算'!AL65+1,0),IF('01_数值调参'!AG52&lt;0,'03_全链计算'!AM65+1,0))</x:f>
        <x:v>1</x:v>
      </x:c>
      <x:c r="AH66" s="9" t="n">
        <x:f>MAX(IF('01_数值调参'!AH18&lt;0,'03_全链计算'!E65+1,0),IF('01_数值调参'!AH19&lt;0,'03_全链计算'!F65+1,0),IF('01_数值调参'!AH20&lt;0,'03_全链计算'!G65+1,0),IF('01_数值调参'!AH21&lt;0,'03_全链计算'!H65+1,0),IF('01_数值调参'!AH22&lt;0,'03_全链计算'!I65+1,0),IF('01_数值调参'!AH23&lt;0,'03_全链计算'!J65+1,0),IF('01_数值调参'!AH24&lt;0,'03_全链计算'!K65+1,0),IF('01_数值调参'!AH25&lt;0,'03_全链计算'!L65+1,0),IF('01_数值调参'!AH26&lt;0,'03_全链计算'!M65+1,0),IF('01_数值调参'!AH27&lt;0,'03_全链计算'!N65+1,0),IF('01_数值调参'!AH28&lt;0,'03_全链计算'!O65+1,0),IF('01_数值调参'!AH29&lt;0,'03_全链计算'!P65+1,0),IF('01_数值调参'!AH30&lt;0,'03_全链计算'!Q65+1,0),IF('01_数值调参'!AH31&lt;0,'03_全链计算'!R65+1,0),IF('01_数值调参'!AH32&lt;0,'03_全链计算'!S65+1,0),IF('01_数值调参'!AH33&lt;0,'03_全链计算'!T65+1,0),IF('01_数值调参'!AH34&lt;0,'03_全链计算'!U65+1,0),IF('01_数值调参'!AH35&lt;0,'03_全链计算'!V65+1,0),IF('01_数值调参'!AH36&lt;0,'03_全链计算'!W65+1,0),IF('01_数值调参'!AH37&lt;0,'03_全链计算'!X65+1,0),IF('01_数值调参'!AH38&lt;0,'03_全链计算'!Y65+1,0),IF('01_数值调参'!AH39&lt;0,'03_全链计算'!Z65+1,0),IF('01_数值调参'!AH40&lt;0,'03_全链计算'!AA65+1,0),IF('01_数值调参'!AH41&lt;0,'03_全链计算'!AB65+1,0),IF('01_数值调参'!AH42&lt;0,'03_全链计算'!AC65+1,0),IF('01_数值调参'!AH43&lt;0,'03_全链计算'!AD65+1,0),IF('01_数值调参'!AH44&lt;0,'03_全链计算'!AE65+1,0),IF('01_数值调参'!AH45&lt;0,'03_全链计算'!AF65+1,0),IF('01_数值调参'!AH46&lt;0,'03_全链计算'!AG65+1,0),IF('01_数值调参'!AH47&lt;0,'03_全链计算'!AH65+1,0),IF('01_数值调参'!AH48&lt;0,'03_全链计算'!AI65+1,0),IF('01_数值调参'!AH49&lt;0,'03_全链计算'!AJ65+1,0),IF('01_数值调参'!AH50&lt;0,'03_全链计算'!AK65+1,0),IF('01_数值调参'!AH51&lt;0,'03_全链计算'!AL65+1,0),IF('01_数值调参'!AH52&lt;0,'03_全链计算'!AM65+1,0))</x:f>
        <x:v>2</x:v>
      </x:c>
      <x:c r="AI66" s="9" t="n">
        <x:f>MAX(IF('01_数值调参'!AI18&lt;0,'03_全链计算'!E65+1,0),IF('01_数值调参'!AI19&lt;0,'03_全链计算'!F65+1,0),IF('01_数值调参'!AI20&lt;0,'03_全链计算'!G65+1,0),IF('01_数值调参'!AI21&lt;0,'03_全链计算'!H65+1,0),IF('01_数值调参'!AI22&lt;0,'03_全链计算'!I65+1,0),IF('01_数值调参'!AI23&lt;0,'03_全链计算'!J65+1,0),IF('01_数值调参'!AI24&lt;0,'03_全链计算'!K65+1,0),IF('01_数值调参'!AI25&lt;0,'03_全链计算'!L65+1,0),IF('01_数值调参'!AI26&lt;0,'03_全链计算'!M65+1,0),IF('01_数值调参'!AI27&lt;0,'03_全链计算'!N65+1,0),IF('01_数值调参'!AI28&lt;0,'03_全链计算'!O65+1,0),IF('01_数值调参'!AI29&lt;0,'03_全链计算'!P65+1,0),IF('01_数值调参'!AI30&lt;0,'03_全链计算'!Q65+1,0),IF('01_数值调参'!AI31&lt;0,'03_全链计算'!R65+1,0),IF('01_数值调参'!AI32&lt;0,'03_全链计算'!S65+1,0),IF('01_数值调参'!AI33&lt;0,'03_全链计算'!T65+1,0),IF('01_数值调参'!AI34&lt;0,'03_全链计算'!U65+1,0),IF('01_数值调参'!AI35&lt;0,'03_全链计算'!V65+1,0),IF('01_数值调参'!AI36&lt;0,'03_全链计算'!W65+1,0),IF('01_数值调参'!AI37&lt;0,'03_全链计算'!X65+1,0),IF('01_数值调参'!AI38&lt;0,'03_全链计算'!Y65+1,0),IF('01_数值调参'!AI39&lt;0,'03_全链计算'!Z65+1,0),IF('01_数值调参'!AI40&lt;0,'03_全链计算'!AA65+1,0),IF('01_数值调参'!AI41&lt;0,'03_全链计算'!AB65+1,0),IF('01_数值调参'!AI42&lt;0,'03_全链计算'!AC65+1,0),IF('01_数值调参'!AI43&lt;0,'03_全链计算'!AD65+1,0),IF('01_数值调参'!AI44&lt;0,'03_全链计算'!AE65+1,0),IF('01_数值调参'!AI45&lt;0,'03_全链计算'!AF65+1,0),IF('01_数值调参'!AI46&lt;0,'03_全链计算'!AG65+1,0),IF('01_数值调参'!AI47&lt;0,'03_全链计算'!AH65+1,0),IF('01_数值调参'!AI48&lt;0,'03_全链计算'!AI65+1,0),IF('01_数值调参'!AI49&lt;0,'03_全链计算'!AJ65+1,0),IF('01_数值调参'!AI50&lt;0,'03_全链计算'!AK65+1,0),IF('01_数值调参'!AI51&lt;0,'03_全链计算'!AL65+1,0),IF('01_数值调参'!AI52&lt;0,'03_全链计算'!AM65+1,0))</x:f>
        <x:v>2</x:v>
      </x:c>
      <x:c r="AJ66" s="9" t="n">
        <x:f>MAX(IF('01_数值调参'!AJ18&lt;0,'03_全链计算'!E65+1,0),IF('01_数值调参'!AJ19&lt;0,'03_全链计算'!F65+1,0),IF('01_数值调参'!AJ20&lt;0,'03_全链计算'!G65+1,0),IF('01_数值调参'!AJ21&lt;0,'03_全链计算'!H65+1,0),IF('01_数值调参'!AJ22&lt;0,'03_全链计算'!I65+1,0),IF('01_数值调参'!AJ23&lt;0,'03_全链计算'!J65+1,0),IF('01_数值调参'!AJ24&lt;0,'03_全链计算'!K65+1,0),IF('01_数值调参'!AJ25&lt;0,'03_全链计算'!L65+1,0),IF('01_数值调参'!AJ26&lt;0,'03_全链计算'!M65+1,0),IF('01_数值调参'!AJ27&lt;0,'03_全链计算'!N65+1,0),IF('01_数值调参'!AJ28&lt;0,'03_全链计算'!O65+1,0),IF('01_数值调参'!AJ29&lt;0,'03_全链计算'!P65+1,0),IF('01_数值调参'!AJ30&lt;0,'03_全链计算'!Q65+1,0),IF('01_数值调参'!AJ31&lt;0,'03_全链计算'!R65+1,0),IF('01_数值调参'!AJ32&lt;0,'03_全链计算'!S65+1,0),IF('01_数值调参'!AJ33&lt;0,'03_全链计算'!T65+1,0),IF('01_数值调参'!AJ34&lt;0,'03_全链计算'!U65+1,0),IF('01_数值调参'!AJ35&lt;0,'03_全链计算'!V65+1,0),IF('01_数值调参'!AJ36&lt;0,'03_全链计算'!W65+1,0),IF('01_数值调参'!AJ37&lt;0,'03_全链计算'!X65+1,0),IF('01_数值调参'!AJ38&lt;0,'03_全链计算'!Y65+1,0),IF('01_数值调参'!AJ39&lt;0,'03_全链计算'!Z65+1,0),IF('01_数值调参'!AJ40&lt;0,'03_全链计算'!AA65+1,0),IF('01_数值调参'!AJ41&lt;0,'03_全链计算'!AB65+1,0),IF('01_数值调参'!AJ42&lt;0,'03_全链计算'!AC65+1,0),IF('01_数值调参'!AJ43&lt;0,'03_全链计算'!AD65+1,0),IF('01_数值调参'!AJ44&lt;0,'03_全链计算'!AE65+1,0),IF('01_数值调参'!AJ45&lt;0,'03_全链计算'!AF65+1,0),IF('01_数值调参'!AJ46&lt;0,'03_全链计算'!AG65+1,0),IF('01_数值调参'!AJ47&lt;0,'03_全链计算'!AH65+1,0),IF('01_数值调参'!AJ48&lt;0,'03_全链计算'!AI65+1,0),IF('01_数值调参'!AJ49&lt;0,'03_全链计算'!AJ65+1,0),IF('01_数值调参'!AJ50&lt;0,'03_全链计算'!AK65+1,0),IF('01_数值调参'!AJ51&lt;0,'03_全链计算'!AL65+1,0),IF('01_数值调参'!AJ52&lt;0,'03_全链计算'!AM65+1,0))</x:f>
        <x:v>2</x:v>
      </x:c>
      <x:c r="AK66" s="9" t="n">
        <x:f>MAX(IF('01_数值调参'!AK18&lt;0,'03_全链计算'!E65+1,0),IF('01_数值调参'!AK19&lt;0,'03_全链计算'!F65+1,0),IF('01_数值调参'!AK20&lt;0,'03_全链计算'!G65+1,0),IF('01_数值调参'!AK21&lt;0,'03_全链计算'!H65+1,0),IF('01_数值调参'!AK22&lt;0,'03_全链计算'!I65+1,0),IF('01_数值调参'!AK23&lt;0,'03_全链计算'!J65+1,0),IF('01_数值调参'!AK24&lt;0,'03_全链计算'!K65+1,0),IF('01_数值调参'!AK25&lt;0,'03_全链计算'!L65+1,0),IF('01_数值调参'!AK26&lt;0,'03_全链计算'!M65+1,0),IF('01_数值调参'!AK27&lt;0,'03_全链计算'!N65+1,0),IF('01_数值调参'!AK28&lt;0,'03_全链计算'!O65+1,0),IF('01_数值调参'!AK29&lt;0,'03_全链计算'!P65+1,0),IF('01_数值调参'!AK30&lt;0,'03_全链计算'!Q65+1,0),IF('01_数值调参'!AK31&lt;0,'03_全链计算'!R65+1,0),IF('01_数值调参'!AK32&lt;0,'03_全链计算'!S65+1,0),IF('01_数值调参'!AK33&lt;0,'03_全链计算'!T65+1,0),IF('01_数值调参'!AK34&lt;0,'03_全链计算'!U65+1,0),IF('01_数值调参'!AK35&lt;0,'03_全链计算'!V65+1,0),IF('01_数值调参'!AK36&lt;0,'03_全链计算'!W65+1,0),IF('01_数值调参'!AK37&lt;0,'03_全链计算'!X65+1,0),IF('01_数值调参'!AK38&lt;0,'03_全链计算'!Y65+1,0),IF('01_数值调参'!AK39&lt;0,'03_全链计算'!Z65+1,0),IF('01_数值调参'!AK40&lt;0,'03_全链计算'!AA65+1,0),IF('01_数值调参'!AK41&lt;0,'03_全链计算'!AB65+1,0),IF('01_数值调参'!AK42&lt;0,'03_全链计算'!AC65+1,0),IF('01_数值调参'!AK43&lt;0,'03_全链计算'!AD65+1,0),IF('01_数值调参'!AK44&lt;0,'03_全链计算'!AE65+1,0),IF('01_数值调参'!AK45&lt;0,'03_全链计算'!AF65+1,0),IF('01_数值调参'!AK46&lt;0,'03_全链计算'!AG65+1,0),IF('01_数值调参'!AK47&lt;0,'03_全链计算'!AH65+1,0),IF('01_数值调参'!AK48&lt;0,'03_全链计算'!AI65+1,0),IF('01_数值调参'!AK49&lt;0,'03_全链计算'!AJ65+1,0),IF('01_数值调参'!AK50&lt;0,'03_全链计算'!AK65+1,0),IF('01_数值调参'!AK51&lt;0,'03_全链计算'!AL65+1,0),IF('01_数值调参'!AK52&lt;0,'03_全链计算'!AM65+1,0))</x:f>
        <x:v>2</x:v>
      </x:c>
      <x:c r="AL66" s="9" t="n">
        <x:f>MAX(IF('01_数值调参'!AL18&lt;0,'03_全链计算'!E65+1,0),IF('01_数值调参'!AL19&lt;0,'03_全链计算'!F65+1,0),IF('01_数值调参'!AL20&lt;0,'03_全链计算'!G65+1,0),IF('01_数值调参'!AL21&lt;0,'03_全链计算'!H65+1,0),IF('01_数值调参'!AL22&lt;0,'03_全链计算'!I65+1,0),IF('01_数值调参'!AL23&lt;0,'03_全链计算'!J65+1,0),IF('01_数值调参'!AL24&lt;0,'03_全链计算'!K65+1,0),IF('01_数值调参'!AL25&lt;0,'03_全链计算'!L65+1,0),IF('01_数值调参'!AL26&lt;0,'03_全链计算'!M65+1,0),IF('01_数值调参'!AL27&lt;0,'03_全链计算'!N65+1,0),IF('01_数值调参'!AL28&lt;0,'03_全链计算'!O65+1,0),IF('01_数值调参'!AL29&lt;0,'03_全链计算'!P65+1,0),IF('01_数值调参'!AL30&lt;0,'03_全链计算'!Q65+1,0),IF('01_数值调参'!AL31&lt;0,'03_全链计算'!R65+1,0),IF('01_数值调参'!AL32&lt;0,'03_全链计算'!S65+1,0),IF('01_数值调参'!AL33&lt;0,'03_全链计算'!T65+1,0),IF('01_数值调参'!AL34&lt;0,'03_全链计算'!U65+1,0),IF('01_数值调参'!AL35&lt;0,'03_全链计算'!V65+1,0),IF('01_数值调参'!AL36&lt;0,'03_全链计算'!W65+1,0),IF('01_数值调参'!AL37&lt;0,'03_全链计算'!X65+1,0),IF('01_数值调参'!AL38&lt;0,'03_全链计算'!Y65+1,0),IF('01_数值调参'!AL39&lt;0,'03_全链计算'!Z65+1,0),IF('01_数值调参'!AL40&lt;0,'03_全链计算'!AA65+1,0),IF('01_数值调参'!AL41&lt;0,'03_全链计算'!AB65+1,0),IF('01_数值调参'!AL42&lt;0,'03_全链计算'!AC65+1,0),IF('01_数值调参'!AL43&lt;0,'03_全链计算'!AD65+1,0),IF('01_数值调参'!AL44&lt;0,'03_全链计算'!AE65+1,0),IF('01_数值调参'!AL45&lt;0,'03_全链计算'!AF65+1,0),IF('01_数值调参'!AL46&lt;0,'03_全链计算'!AG65+1,0),IF('01_数值调参'!AL47&lt;0,'03_全链计算'!AH65+1,0),IF('01_数值调参'!AL48&lt;0,'03_全链计算'!AI65+1,0),IF('01_数值调参'!AL49&lt;0,'03_全链计算'!AJ65+1,0),IF('01_数值调参'!AL50&lt;0,'03_全链计算'!AK65+1,0),IF('01_数值调参'!AL51&lt;0,'03_全链计算'!AL65+1,0),IF('01_数值调参'!AL52&lt;0,'03_全链计算'!AM65+1,0))</x:f>
        <x:v>3</x:v>
      </x:c>
      <x:c r="AM66" s="9" t="n">
        <x:f>MAX(IF('01_数值调参'!AM18&lt;0,'03_全链计算'!E65+1,0),IF('01_数值调参'!AM19&lt;0,'03_全链计算'!F65+1,0),IF('01_数值调参'!AM20&lt;0,'03_全链计算'!G65+1,0),IF('01_数值调参'!AM21&lt;0,'03_全链计算'!H65+1,0),IF('01_数值调参'!AM22&lt;0,'03_全链计算'!I65+1,0),IF('01_数值调参'!AM23&lt;0,'03_全链计算'!J65+1,0),IF('01_数值调参'!AM24&lt;0,'03_全链计算'!K65+1,0),IF('01_数值调参'!AM25&lt;0,'03_全链计算'!L65+1,0),IF('01_数值调参'!AM26&lt;0,'03_全链计算'!M65+1,0),IF('01_数值调参'!AM27&lt;0,'03_全链计算'!N65+1,0),IF('01_数值调参'!AM28&lt;0,'03_全链计算'!O65+1,0),IF('01_数值调参'!AM29&lt;0,'03_全链计算'!P65+1,0),IF('01_数值调参'!AM30&lt;0,'03_全链计算'!Q65+1,0),IF('01_数值调参'!AM31&lt;0,'03_全链计算'!R65+1,0),IF('01_数值调参'!AM32&lt;0,'03_全链计算'!S65+1,0),IF('01_数值调参'!AM33&lt;0,'03_全链计算'!T65+1,0),IF('01_数值调参'!AM34&lt;0,'03_全链计算'!U65+1,0),IF('01_数值调参'!AM35&lt;0,'03_全链计算'!V65+1,0),IF('01_数值调参'!AM36&lt;0,'03_全链计算'!W65+1,0),IF('01_数值调参'!AM37&lt;0,'03_全链计算'!X65+1,0),IF('01_数值调参'!AM38&lt;0,'03_全链计算'!Y65+1,0),IF('01_数值调参'!AM39&lt;0,'03_全链计算'!Z65+1,0),IF('01_数值调参'!AM40&lt;0,'03_全链计算'!AA65+1,0),IF('01_数值调参'!AM41&lt;0,'03_全链计算'!AB65+1,0),IF('01_数值调参'!AM42&lt;0,'03_全链计算'!AC65+1,0),IF('01_数值调参'!AM43&lt;0,'03_全链计算'!AD65+1,0),IF('01_数值调参'!AM44&lt;0,'03_全链计算'!AE65+1,0),IF('01_数值调参'!AM45&lt;0,'03_全链计算'!AF65+1,0),IF('01_数值调参'!AM46&lt;0,'03_全链计算'!AG65+1,0),IF('01_数值调参'!AM47&lt;0,'03_全链计算'!AH65+1,0),IF('01_数值调参'!AM48&lt;0,'03_全链计算'!AI65+1,0),IF('01_数值调参'!AM49&lt;0,'03_全链计算'!AJ65+1,0),IF('01_数值调参'!AM50&lt;0,'03_全链计算'!AK65+1,0),IF('01_数值调参'!AM51&lt;0,'03_全链计算'!AL65+1,0),IF('01_数值调参'!AM52&lt;0,'03_全链计算'!AM65+1,0))</x:f>
        <x:v>3</x:v>
      </x:c>
    </x:row>
    <x:row r="67" ht="22" customHeight="1">
      <x:c r="A67" s="9" t="n">
        <x:v>22</x:v>
      </x:c>
      <x:c r="B67" s="9"/>
      <x:c r="C67" s="9"/>
      <x:c r="D67" s="9"/>
      <x:c r="E67" s="9" t="n">
        <x:f>MAX(IF('01_数值调参'!E18&lt;0,'03_全链计算'!E66+1,0),IF('01_数值调参'!E19&lt;0,'03_全链计算'!F66+1,0),IF('01_数值调参'!E20&lt;0,'03_全链计算'!G66+1,0),IF('01_数值调参'!E21&lt;0,'03_全链计算'!H66+1,0),IF('01_数值调参'!E22&lt;0,'03_全链计算'!I66+1,0),IF('01_数值调参'!E23&lt;0,'03_全链计算'!J66+1,0),IF('01_数值调参'!E24&lt;0,'03_全链计算'!K66+1,0),IF('01_数值调参'!E25&lt;0,'03_全链计算'!L66+1,0),IF('01_数值调参'!E26&lt;0,'03_全链计算'!M66+1,0),IF('01_数值调参'!E27&lt;0,'03_全链计算'!N66+1,0),IF('01_数值调参'!E28&lt;0,'03_全链计算'!O66+1,0),IF('01_数值调参'!E29&lt;0,'03_全链计算'!P66+1,0),IF('01_数值调参'!E30&lt;0,'03_全链计算'!Q66+1,0),IF('01_数值调参'!E31&lt;0,'03_全链计算'!R66+1,0),IF('01_数值调参'!E32&lt;0,'03_全链计算'!S66+1,0),IF('01_数值调参'!E33&lt;0,'03_全链计算'!T66+1,0),IF('01_数值调参'!E34&lt;0,'03_全链计算'!U66+1,0),IF('01_数值调参'!E35&lt;0,'03_全链计算'!V66+1,0),IF('01_数值调参'!E36&lt;0,'03_全链计算'!W66+1,0),IF('01_数值调参'!E37&lt;0,'03_全链计算'!X66+1,0),IF('01_数值调参'!E38&lt;0,'03_全链计算'!Y66+1,0),IF('01_数值调参'!E39&lt;0,'03_全链计算'!Z66+1,0),IF('01_数值调参'!E40&lt;0,'03_全链计算'!AA66+1,0),IF('01_数值调参'!E41&lt;0,'03_全链计算'!AB66+1,0),IF('01_数值调参'!E42&lt;0,'03_全链计算'!AC66+1,0),IF('01_数值调参'!E43&lt;0,'03_全链计算'!AD66+1,0),IF('01_数值调参'!E44&lt;0,'03_全链计算'!AE66+1,0),IF('01_数值调参'!E45&lt;0,'03_全链计算'!AF66+1,0),IF('01_数值调参'!E46&lt;0,'03_全链计算'!AG66+1,0),IF('01_数值调参'!E47&lt;0,'03_全链计算'!AH66+1,0),IF('01_数值调参'!E48&lt;0,'03_全链计算'!AI66+1,0),IF('01_数值调参'!E49&lt;0,'03_全链计算'!AJ66+1,0),IF('01_数值调参'!E50&lt;0,'03_全链计算'!AK66+1,0),IF('01_数值调参'!E51&lt;0,'03_全链计算'!AL66+1,0),IF('01_数值调参'!E52&lt;0,'03_全链计算'!AM66+1,0))</x:f>
        <x:v>0</x:v>
      </x:c>
      <x:c r="F67" s="9" t="n">
        <x:f>MAX(IF('01_数值调参'!F18&lt;0,'03_全链计算'!E66+1,0),IF('01_数值调参'!F19&lt;0,'03_全链计算'!F66+1,0),IF('01_数值调参'!F20&lt;0,'03_全链计算'!G66+1,0),IF('01_数值调参'!F21&lt;0,'03_全链计算'!H66+1,0),IF('01_数值调参'!F22&lt;0,'03_全链计算'!I66+1,0),IF('01_数值调参'!F23&lt;0,'03_全链计算'!J66+1,0),IF('01_数值调参'!F24&lt;0,'03_全链计算'!K66+1,0),IF('01_数值调参'!F25&lt;0,'03_全链计算'!L66+1,0),IF('01_数值调参'!F26&lt;0,'03_全链计算'!M66+1,0),IF('01_数值调参'!F27&lt;0,'03_全链计算'!N66+1,0),IF('01_数值调参'!F28&lt;0,'03_全链计算'!O66+1,0),IF('01_数值调参'!F29&lt;0,'03_全链计算'!P66+1,0),IF('01_数值调参'!F30&lt;0,'03_全链计算'!Q66+1,0),IF('01_数值调参'!F31&lt;0,'03_全链计算'!R66+1,0),IF('01_数值调参'!F32&lt;0,'03_全链计算'!S66+1,0),IF('01_数值调参'!F33&lt;0,'03_全链计算'!T66+1,0),IF('01_数值调参'!F34&lt;0,'03_全链计算'!U66+1,0),IF('01_数值调参'!F35&lt;0,'03_全链计算'!V66+1,0),IF('01_数值调参'!F36&lt;0,'03_全链计算'!W66+1,0),IF('01_数值调参'!F37&lt;0,'03_全链计算'!X66+1,0),IF('01_数值调参'!F38&lt;0,'03_全链计算'!Y66+1,0),IF('01_数值调参'!F39&lt;0,'03_全链计算'!Z66+1,0),IF('01_数值调参'!F40&lt;0,'03_全链计算'!AA66+1,0),IF('01_数值调参'!F41&lt;0,'03_全链计算'!AB66+1,0),IF('01_数值调参'!F42&lt;0,'03_全链计算'!AC66+1,0),IF('01_数值调参'!F43&lt;0,'03_全链计算'!AD66+1,0),IF('01_数值调参'!F44&lt;0,'03_全链计算'!AE66+1,0),IF('01_数值调参'!F45&lt;0,'03_全链计算'!AF66+1,0),IF('01_数值调参'!F46&lt;0,'03_全链计算'!AG66+1,0),IF('01_数值调参'!F47&lt;0,'03_全链计算'!AH66+1,0),IF('01_数值调参'!F48&lt;0,'03_全链计算'!AI66+1,0),IF('01_数值调参'!F49&lt;0,'03_全链计算'!AJ66+1,0),IF('01_数值调参'!F50&lt;0,'03_全链计算'!AK66+1,0),IF('01_数值调参'!F51&lt;0,'03_全链计算'!AL66+1,0),IF('01_数值调参'!F52&lt;0,'03_全链计算'!AM66+1,0))</x:f>
        <x:v>0</x:v>
      </x:c>
      <x:c r="G67" s="9" t="n">
        <x:f>MAX(IF('01_数值调参'!G18&lt;0,'03_全链计算'!E66+1,0),IF('01_数值调参'!G19&lt;0,'03_全链计算'!F66+1,0),IF('01_数值调参'!G20&lt;0,'03_全链计算'!G66+1,0),IF('01_数值调参'!G21&lt;0,'03_全链计算'!H66+1,0),IF('01_数值调参'!G22&lt;0,'03_全链计算'!I66+1,0),IF('01_数值调参'!G23&lt;0,'03_全链计算'!J66+1,0),IF('01_数值调参'!G24&lt;0,'03_全链计算'!K66+1,0),IF('01_数值调参'!G25&lt;0,'03_全链计算'!L66+1,0),IF('01_数值调参'!G26&lt;0,'03_全链计算'!M66+1,0),IF('01_数值调参'!G27&lt;0,'03_全链计算'!N66+1,0),IF('01_数值调参'!G28&lt;0,'03_全链计算'!O66+1,0),IF('01_数值调参'!G29&lt;0,'03_全链计算'!P66+1,0),IF('01_数值调参'!G30&lt;0,'03_全链计算'!Q66+1,0),IF('01_数值调参'!G31&lt;0,'03_全链计算'!R66+1,0),IF('01_数值调参'!G32&lt;0,'03_全链计算'!S66+1,0),IF('01_数值调参'!G33&lt;0,'03_全链计算'!T66+1,0),IF('01_数值调参'!G34&lt;0,'03_全链计算'!U66+1,0),IF('01_数值调参'!G35&lt;0,'03_全链计算'!V66+1,0),IF('01_数值调参'!G36&lt;0,'03_全链计算'!W66+1,0),IF('01_数值调参'!G37&lt;0,'03_全链计算'!X66+1,0),IF('01_数值调参'!G38&lt;0,'03_全链计算'!Y66+1,0),IF('01_数值调参'!G39&lt;0,'03_全链计算'!Z66+1,0),IF('01_数值调参'!G40&lt;0,'03_全链计算'!AA66+1,0),IF('01_数值调参'!G41&lt;0,'03_全链计算'!AB66+1,0),IF('01_数值调参'!G42&lt;0,'03_全链计算'!AC66+1,0),IF('01_数值调参'!G43&lt;0,'03_全链计算'!AD66+1,0),IF('01_数值调参'!G44&lt;0,'03_全链计算'!AE66+1,0),IF('01_数值调参'!G45&lt;0,'03_全链计算'!AF66+1,0),IF('01_数值调参'!G46&lt;0,'03_全链计算'!AG66+1,0),IF('01_数值调参'!G47&lt;0,'03_全链计算'!AH66+1,0),IF('01_数值调参'!G48&lt;0,'03_全链计算'!AI66+1,0),IF('01_数值调参'!G49&lt;0,'03_全链计算'!AJ66+1,0),IF('01_数值调参'!G50&lt;0,'03_全链计算'!AK66+1,0),IF('01_数值调参'!G51&lt;0,'03_全链计算'!AL66+1,0),IF('01_数值调参'!G52&lt;0,'03_全链计算'!AM66+1,0))</x:f>
        <x:v>0</x:v>
      </x:c>
      <x:c r="H67" s="9" t="n">
        <x:f>MAX(IF('01_数值调参'!H18&lt;0,'03_全链计算'!E66+1,0),IF('01_数值调参'!H19&lt;0,'03_全链计算'!F66+1,0),IF('01_数值调参'!H20&lt;0,'03_全链计算'!G66+1,0),IF('01_数值调参'!H21&lt;0,'03_全链计算'!H66+1,0),IF('01_数值调参'!H22&lt;0,'03_全链计算'!I66+1,0),IF('01_数值调参'!H23&lt;0,'03_全链计算'!J66+1,0),IF('01_数值调参'!H24&lt;0,'03_全链计算'!K66+1,0),IF('01_数值调参'!H25&lt;0,'03_全链计算'!L66+1,0),IF('01_数值调参'!H26&lt;0,'03_全链计算'!M66+1,0),IF('01_数值调参'!H27&lt;0,'03_全链计算'!N66+1,0),IF('01_数值调参'!H28&lt;0,'03_全链计算'!O66+1,0),IF('01_数值调参'!H29&lt;0,'03_全链计算'!P66+1,0),IF('01_数值调参'!H30&lt;0,'03_全链计算'!Q66+1,0),IF('01_数值调参'!H31&lt;0,'03_全链计算'!R66+1,0),IF('01_数值调参'!H32&lt;0,'03_全链计算'!S66+1,0),IF('01_数值调参'!H33&lt;0,'03_全链计算'!T66+1,0),IF('01_数值调参'!H34&lt;0,'03_全链计算'!U66+1,0),IF('01_数值调参'!H35&lt;0,'03_全链计算'!V66+1,0),IF('01_数值调参'!H36&lt;0,'03_全链计算'!W66+1,0),IF('01_数值调参'!H37&lt;0,'03_全链计算'!X66+1,0),IF('01_数值调参'!H38&lt;0,'03_全链计算'!Y66+1,0),IF('01_数值调参'!H39&lt;0,'03_全链计算'!Z66+1,0),IF('01_数值调参'!H40&lt;0,'03_全链计算'!AA66+1,0),IF('01_数值调参'!H41&lt;0,'03_全链计算'!AB66+1,0),IF('01_数值调参'!H42&lt;0,'03_全链计算'!AC66+1,0),IF('01_数值调参'!H43&lt;0,'03_全链计算'!AD66+1,0),IF('01_数值调参'!H44&lt;0,'03_全链计算'!AE66+1,0),IF('01_数值调参'!H45&lt;0,'03_全链计算'!AF66+1,0),IF('01_数值调参'!H46&lt;0,'03_全链计算'!AG66+1,0),IF('01_数值调参'!H47&lt;0,'03_全链计算'!AH66+1,0),IF('01_数值调参'!H48&lt;0,'03_全链计算'!AI66+1,0),IF('01_数值调参'!H49&lt;0,'03_全链计算'!AJ66+1,0),IF('01_数值调参'!H50&lt;0,'03_全链计算'!AK66+1,0),IF('01_数值调参'!H51&lt;0,'03_全链计算'!AL66+1,0),IF('01_数值调参'!H52&lt;0,'03_全链计算'!AM66+1,0))</x:f>
        <x:v>0</x:v>
      </x:c>
      <x:c r="I67" s="9" t="n">
        <x:f>MAX(IF('01_数值调参'!I18&lt;0,'03_全链计算'!E66+1,0),IF('01_数值调参'!I19&lt;0,'03_全链计算'!F66+1,0),IF('01_数值调参'!I20&lt;0,'03_全链计算'!G66+1,0),IF('01_数值调参'!I21&lt;0,'03_全链计算'!H66+1,0),IF('01_数值调参'!I22&lt;0,'03_全链计算'!I66+1,0),IF('01_数值调参'!I23&lt;0,'03_全链计算'!J66+1,0),IF('01_数值调参'!I24&lt;0,'03_全链计算'!K66+1,0),IF('01_数值调参'!I25&lt;0,'03_全链计算'!L66+1,0),IF('01_数值调参'!I26&lt;0,'03_全链计算'!M66+1,0),IF('01_数值调参'!I27&lt;0,'03_全链计算'!N66+1,0),IF('01_数值调参'!I28&lt;0,'03_全链计算'!O66+1,0),IF('01_数值调参'!I29&lt;0,'03_全链计算'!P66+1,0),IF('01_数值调参'!I30&lt;0,'03_全链计算'!Q66+1,0),IF('01_数值调参'!I31&lt;0,'03_全链计算'!R66+1,0),IF('01_数值调参'!I32&lt;0,'03_全链计算'!S66+1,0),IF('01_数值调参'!I33&lt;0,'03_全链计算'!T66+1,0),IF('01_数值调参'!I34&lt;0,'03_全链计算'!U66+1,0),IF('01_数值调参'!I35&lt;0,'03_全链计算'!V66+1,0),IF('01_数值调参'!I36&lt;0,'03_全链计算'!W66+1,0),IF('01_数值调参'!I37&lt;0,'03_全链计算'!X66+1,0),IF('01_数值调参'!I38&lt;0,'03_全链计算'!Y66+1,0),IF('01_数值调参'!I39&lt;0,'03_全链计算'!Z66+1,0),IF('01_数值调参'!I40&lt;0,'03_全链计算'!AA66+1,0),IF('01_数值调参'!I41&lt;0,'03_全链计算'!AB66+1,0),IF('01_数值调参'!I42&lt;0,'03_全链计算'!AC66+1,0),IF('01_数值调参'!I43&lt;0,'03_全链计算'!AD66+1,0),IF('01_数值调参'!I44&lt;0,'03_全链计算'!AE66+1,0),IF('01_数值调参'!I45&lt;0,'03_全链计算'!AF66+1,0),IF('01_数值调参'!I46&lt;0,'03_全链计算'!AG66+1,0),IF('01_数值调参'!I47&lt;0,'03_全链计算'!AH66+1,0),IF('01_数值调参'!I48&lt;0,'03_全链计算'!AI66+1,0),IF('01_数值调参'!I49&lt;0,'03_全链计算'!AJ66+1,0),IF('01_数值调参'!I50&lt;0,'03_全链计算'!AK66+1,0),IF('01_数值调参'!I51&lt;0,'03_全链计算'!AL66+1,0),IF('01_数值调参'!I52&lt;0,'03_全链计算'!AM66+1,0))</x:f>
        <x:v>0</x:v>
      </x:c>
      <x:c r="J67" s="9" t="n">
        <x:f>MAX(IF('01_数值调参'!J18&lt;0,'03_全链计算'!E66+1,0),IF('01_数值调参'!J19&lt;0,'03_全链计算'!F66+1,0),IF('01_数值调参'!J20&lt;0,'03_全链计算'!G66+1,0),IF('01_数值调参'!J21&lt;0,'03_全链计算'!H66+1,0),IF('01_数值调参'!J22&lt;0,'03_全链计算'!I66+1,0),IF('01_数值调参'!J23&lt;0,'03_全链计算'!J66+1,0),IF('01_数值调参'!J24&lt;0,'03_全链计算'!K66+1,0),IF('01_数值调参'!J25&lt;0,'03_全链计算'!L66+1,0),IF('01_数值调参'!J26&lt;0,'03_全链计算'!M66+1,0),IF('01_数值调参'!J27&lt;0,'03_全链计算'!N66+1,0),IF('01_数值调参'!J28&lt;0,'03_全链计算'!O66+1,0),IF('01_数值调参'!J29&lt;0,'03_全链计算'!P66+1,0),IF('01_数值调参'!J30&lt;0,'03_全链计算'!Q66+1,0),IF('01_数值调参'!J31&lt;0,'03_全链计算'!R66+1,0),IF('01_数值调参'!J32&lt;0,'03_全链计算'!S66+1,0),IF('01_数值调参'!J33&lt;0,'03_全链计算'!T66+1,0),IF('01_数值调参'!J34&lt;0,'03_全链计算'!U66+1,0),IF('01_数值调参'!J35&lt;0,'03_全链计算'!V66+1,0),IF('01_数值调参'!J36&lt;0,'03_全链计算'!W66+1,0),IF('01_数值调参'!J37&lt;0,'03_全链计算'!X66+1,0),IF('01_数值调参'!J38&lt;0,'03_全链计算'!Y66+1,0),IF('01_数值调参'!J39&lt;0,'03_全链计算'!Z66+1,0),IF('01_数值调参'!J40&lt;0,'03_全链计算'!AA66+1,0),IF('01_数值调参'!J41&lt;0,'03_全链计算'!AB66+1,0),IF('01_数值调参'!J42&lt;0,'03_全链计算'!AC66+1,0),IF('01_数值调参'!J43&lt;0,'03_全链计算'!AD66+1,0),IF('01_数值调参'!J44&lt;0,'03_全链计算'!AE66+1,0),IF('01_数值调参'!J45&lt;0,'03_全链计算'!AF66+1,0),IF('01_数值调参'!J46&lt;0,'03_全链计算'!AG66+1,0),IF('01_数值调参'!J47&lt;0,'03_全链计算'!AH66+1,0),IF('01_数值调参'!J48&lt;0,'03_全链计算'!AI66+1,0),IF('01_数值调参'!J49&lt;0,'03_全链计算'!AJ66+1,0),IF('01_数值调参'!J50&lt;0,'03_全链计算'!AK66+1,0),IF('01_数值调参'!J51&lt;0,'03_全链计算'!AL66+1,0),IF('01_数值调参'!J52&lt;0,'03_全链计算'!AM66+1,0))</x:f>
        <x:v>0</x:v>
      </x:c>
      <x:c r="K67" s="9" t="n">
        <x:f>MAX(IF('01_数值调参'!K18&lt;0,'03_全链计算'!E66+1,0),IF('01_数值调参'!K19&lt;0,'03_全链计算'!F66+1,0),IF('01_数值调参'!K20&lt;0,'03_全链计算'!G66+1,0),IF('01_数值调参'!K21&lt;0,'03_全链计算'!H66+1,0),IF('01_数值调参'!K22&lt;0,'03_全链计算'!I66+1,0),IF('01_数值调参'!K23&lt;0,'03_全链计算'!J66+1,0),IF('01_数值调参'!K24&lt;0,'03_全链计算'!K66+1,0),IF('01_数值调参'!K25&lt;0,'03_全链计算'!L66+1,0),IF('01_数值调参'!K26&lt;0,'03_全链计算'!M66+1,0),IF('01_数值调参'!K27&lt;0,'03_全链计算'!N66+1,0),IF('01_数值调参'!K28&lt;0,'03_全链计算'!O66+1,0),IF('01_数值调参'!K29&lt;0,'03_全链计算'!P66+1,0),IF('01_数值调参'!K30&lt;0,'03_全链计算'!Q66+1,0),IF('01_数值调参'!K31&lt;0,'03_全链计算'!R66+1,0),IF('01_数值调参'!K32&lt;0,'03_全链计算'!S66+1,0),IF('01_数值调参'!K33&lt;0,'03_全链计算'!T66+1,0),IF('01_数值调参'!K34&lt;0,'03_全链计算'!U66+1,0),IF('01_数值调参'!K35&lt;0,'03_全链计算'!V66+1,0),IF('01_数值调参'!K36&lt;0,'03_全链计算'!W66+1,0),IF('01_数值调参'!K37&lt;0,'03_全链计算'!X66+1,0),IF('01_数值调参'!K38&lt;0,'03_全链计算'!Y66+1,0),IF('01_数值调参'!K39&lt;0,'03_全链计算'!Z66+1,0),IF('01_数值调参'!K40&lt;0,'03_全链计算'!AA66+1,0),IF('01_数值调参'!K41&lt;0,'03_全链计算'!AB66+1,0),IF('01_数值调参'!K42&lt;0,'03_全链计算'!AC66+1,0),IF('01_数值调参'!K43&lt;0,'03_全链计算'!AD66+1,0),IF('01_数值调参'!K44&lt;0,'03_全链计算'!AE66+1,0),IF('01_数值调参'!K45&lt;0,'03_全链计算'!AF66+1,0),IF('01_数值调参'!K46&lt;0,'03_全链计算'!AG66+1,0),IF('01_数值调参'!K47&lt;0,'03_全链计算'!AH66+1,0),IF('01_数值调参'!K48&lt;0,'03_全链计算'!AI66+1,0),IF('01_数值调参'!K49&lt;0,'03_全链计算'!AJ66+1,0),IF('01_数值调参'!K50&lt;0,'03_全链计算'!AK66+1,0),IF('01_数值调参'!K51&lt;0,'03_全链计算'!AL66+1,0),IF('01_数值调参'!K52&lt;0,'03_全链计算'!AM66+1,0))</x:f>
        <x:v>0</x:v>
      </x:c>
      <x:c r="L67" s="9" t="n">
        <x:f>MAX(IF('01_数值调参'!L18&lt;0,'03_全链计算'!E66+1,0),IF('01_数值调参'!L19&lt;0,'03_全链计算'!F66+1,0),IF('01_数值调参'!L20&lt;0,'03_全链计算'!G66+1,0),IF('01_数值调参'!L21&lt;0,'03_全链计算'!H66+1,0),IF('01_数值调参'!L22&lt;0,'03_全链计算'!I66+1,0),IF('01_数值调参'!L23&lt;0,'03_全链计算'!J66+1,0),IF('01_数值调参'!L24&lt;0,'03_全链计算'!K66+1,0),IF('01_数值调参'!L25&lt;0,'03_全链计算'!L66+1,0),IF('01_数值调参'!L26&lt;0,'03_全链计算'!M66+1,0),IF('01_数值调参'!L27&lt;0,'03_全链计算'!N66+1,0),IF('01_数值调参'!L28&lt;0,'03_全链计算'!O66+1,0),IF('01_数值调参'!L29&lt;0,'03_全链计算'!P66+1,0),IF('01_数值调参'!L30&lt;0,'03_全链计算'!Q66+1,0),IF('01_数值调参'!L31&lt;0,'03_全链计算'!R66+1,0),IF('01_数值调参'!L32&lt;0,'03_全链计算'!S66+1,0),IF('01_数值调参'!L33&lt;0,'03_全链计算'!T66+1,0),IF('01_数值调参'!L34&lt;0,'03_全链计算'!U66+1,0),IF('01_数值调参'!L35&lt;0,'03_全链计算'!V66+1,0),IF('01_数值调参'!L36&lt;0,'03_全链计算'!W66+1,0),IF('01_数值调参'!L37&lt;0,'03_全链计算'!X66+1,0),IF('01_数值调参'!L38&lt;0,'03_全链计算'!Y66+1,0),IF('01_数值调参'!L39&lt;0,'03_全链计算'!Z66+1,0),IF('01_数值调参'!L40&lt;0,'03_全链计算'!AA66+1,0),IF('01_数值调参'!L41&lt;0,'03_全链计算'!AB66+1,0),IF('01_数值调参'!L42&lt;0,'03_全链计算'!AC66+1,0),IF('01_数值调参'!L43&lt;0,'03_全链计算'!AD66+1,0),IF('01_数值调参'!L44&lt;0,'03_全链计算'!AE66+1,0),IF('01_数值调参'!L45&lt;0,'03_全链计算'!AF66+1,0),IF('01_数值调参'!L46&lt;0,'03_全链计算'!AG66+1,0),IF('01_数值调参'!L47&lt;0,'03_全链计算'!AH66+1,0),IF('01_数值调参'!L48&lt;0,'03_全链计算'!AI66+1,0),IF('01_数值调参'!L49&lt;0,'03_全链计算'!AJ66+1,0),IF('01_数值调参'!L50&lt;0,'03_全链计算'!AK66+1,0),IF('01_数值调参'!L51&lt;0,'03_全链计算'!AL66+1,0),IF('01_数值调参'!L52&lt;0,'03_全链计算'!AM66+1,0))</x:f>
        <x:v>0</x:v>
      </x:c>
      <x:c r="M67" s="9" t="n">
        <x:f>MAX(IF('01_数值调参'!M18&lt;0,'03_全链计算'!E66+1,0),IF('01_数值调参'!M19&lt;0,'03_全链计算'!F66+1,0),IF('01_数值调参'!M20&lt;0,'03_全链计算'!G66+1,0),IF('01_数值调参'!M21&lt;0,'03_全链计算'!H66+1,0),IF('01_数值调参'!M22&lt;0,'03_全链计算'!I66+1,0),IF('01_数值调参'!M23&lt;0,'03_全链计算'!J66+1,0),IF('01_数值调参'!M24&lt;0,'03_全链计算'!K66+1,0),IF('01_数值调参'!M25&lt;0,'03_全链计算'!L66+1,0),IF('01_数值调参'!M26&lt;0,'03_全链计算'!M66+1,0),IF('01_数值调参'!M27&lt;0,'03_全链计算'!N66+1,0),IF('01_数值调参'!M28&lt;0,'03_全链计算'!O66+1,0),IF('01_数值调参'!M29&lt;0,'03_全链计算'!P66+1,0),IF('01_数值调参'!M30&lt;0,'03_全链计算'!Q66+1,0),IF('01_数值调参'!M31&lt;0,'03_全链计算'!R66+1,0),IF('01_数值调参'!M32&lt;0,'03_全链计算'!S66+1,0),IF('01_数值调参'!M33&lt;0,'03_全链计算'!T66+1,0),IF('01_数值调参'!M34&lt;0,'03_全链计算'!U66+1,0),IF('01_数值调参'!M35&lt;0,'03_全链计算'!V66+1,0),IF('01_数值调参'!M36&lt;0,'03_全链计算'!W66+1,0),IF('01_数值调参'!M37&lt;0,'03_全链计算'!X66+1,0),IF('01_数值调参'!M38&lt;0,'03_全链计算'!Y66+1,0),IF('01_数值调参'!M39&lt;0,'03_全链计算'!Z66+1,0),IF('01_数值调参'!M40&lt;0,'03_全链计算'!AA66+1,0),IF('01_数值调参'!M41&lt;0,'03_全链计算'!AB66+1,0),IF('01_数值调参'!M42&lt;0,'03_全链计算'!AC66+1,0),IF('01_数值调参'!M43&lt;0,'03_全链计算'!AD66+1,0),IF('01_数值调参'!M44&lt;0,'03_全链计算'!AE66+1,0),IF('01_数值调参'!M45&lt;0,'03_全链计算'!AF66+1,0),IF('01_数值调参'!M46&lt;0,'03_全链计算'!AG66+1,0),IF('01_数值调参'!M47&lt;0,'03_全链计算'!AH66+1,0),IF('01_数值调参'!M48&lt;0,'03_全链计算'!AI66+1,0),IF('01_数值调参'!M49&lt;0,'03_全链计算'!AJ66+1,0),IF('01_数值调参'!M50&lt;0,'03_全链计算'!AK66+1,0),IF('01_数值调参'!M51&lt;0,'03_全链计算'!AL66+1,0),IF('01_数值调参'!M52&lt;0,'03_全链计算'!AM66+1,0))</x:f>
        <x:v>0</x:v>
      </x:c>
      <x:c r="N67" s="9" t="n">
        <x:f>MAX(IF('01_数值调参'!N18&lt;0,'03_全链计算'!E66+1,0),IF('01_数值调参'!N19&lt;0,'03_全链计算'!F66+1,0),IF('01_数值调参'!N20&lt;0,'03_全链计算'!G66+1,0),IF('01_数值调参'!N21&lt;0,'03_全链计算'!H66+1,0),IF('01_数值调参'!N22&lt;0,'03_全链计算'!I66+1,0),IF('01_数值调参'!N23&lt;0,'03_全链计算'!J66+1,0),IF('01_数值调参'!N24&lt;0,'03_全链计算'!K66+1,0),IF('01_数值调参'!N25&lt;0,'03_全链计算'!L66+1,0),IF('01_数值调参'!N26&lt;0,'03_全链计算'!M66+1,0),IF('01_数值调参'!N27&lt;0,'03_全链计算'!N66+1,0),IF('01_数值调参'!N28&lt;0,'03_全链计算'!O66+1,0),IF('01_数值调参'!N29&lt;0,'03_全链计算'!P66+1,0),IF('01_数值调参'!N30&lt;0,'03_全链计算'!Q66+1,0),IF('01_数值调参'!N31&lt;0,'03_全链计算'!R66+1,0),IF('01_数值调参'!N32&lt;0,'03_全链计算'!S66+1,0),IF('01_数值调参'!N33&lt;0,'03_全链计算'!T66+1,0),IF('01_数值调参'!N34&lt;0,'03_全链计算'!U66+1,0),IF('01_数值调参'!N35&lt;0,'03_全链计算'!V66+1,0),IF('01_数值调参'!N36&lt;0,'03_全链计算'!W66+1,0),IF('01_数值调参'!N37&lt;0,'03_全链计算'!X66+1,0),IF('01_数值调参'!N38&lt;0,'03_全链计算'!Y66+1,0),IF('01_数值调参'!N39&lt;0,'03_全链计算'!Z66+1,0),IF('01_数值调参'!N40&lt;0,'03_全链计算'!AA66+1,0),IF('01_数值调参'!N41&lt;0,'03_全链计算'!AB66+1,0),IF('01_数值调参'!N42&lt;0,'03_全链计算'!AC66+1,0),IF('01_数值调参'!N43&lt;0,'03_全链计算'!AD66+1,0),IF('01_数值调参'!N44&lt;0,'03_全链计算'!AE66+1,0),IF('01_数值调参'!N45&lt;0,'03_全链计算'!AF66+1,0),IF('01_数值调参'!N46&lt;0,'03_全链计算'!AG66+1,0),IF('01_数值调参'!N47&lt;0,'03_全链计算'!AH66+1,0),IF('01_数值调参'!N48&lt;0,'03_全链计算'!AI66+1,0),IF('01_数值调参'!N49&lt;0,'03_全链计算'!AJ66+1,0),IF('01_数值调参'!N50&lt;0,'03_全链计算'!AK66+1,0),IF('01_数值调参'!N51&lt;0,'03_全链计算'!AL66+1,0),IF('01_数值调参'!N52&lt;0,'03_全链计算'!AM66+1,0))</x:f>
        <x:v>1</x:v>
      </x:c>
      <x:c r="O67" s="9" t="n">
        <x:f>MAX(IF('01_数值调参'!O18&lt;0,'03_全链计算'!E66+1,0),IF('01_数值调参'!O19&lt;0,'03_全链计算'!F66+1,0),IF('01_数值调参'!O20&lt;0,'03_全链计算'!G66+1,0),IF('01_数值调参'!O21&lt;0,'03_全链计算'!H66+1,0),IF('01_数值调参'!O22&lt;0,'03_全链计算'!I66+1,0),IF('01_数值调参'!O23&lt;0,'03_全链计算'!J66+1,0),IF('01_数值调参'!O24&lt;0,'03_全链计算'!K66+1,0),IF('01_数值调参'!O25&lt;0,'03_全链计算'!L66+1,0),IF('01_数值调参'!O26&lt;0,'03_全链计算'!M66+1,0),IF('01_数值调参'!O27&lt;0,'03_全链计算'!N66+1,0),IF('01_数值调参'!O28&lt;0,'03_全链计算'!O66+1,0),IF('01_数值调参'!O29&lt;0,'03_全链计算'!P66+1,0),IF('01_数值调参'!O30&lt;0,'03_全链计算'!Q66+1,0),IF('01_数值调参'!O31&lt;0,'03_全链计算'!R66+1,0),IF('01_数值调参'!O32&lt;0,'03_全链计算'!S66+1,0),IF('01_数值调参'!O33&lt;0,'03_全链计算'!T66+1,0),IF('01_数值调参'!O34&lt;0,'03_全链计算'!U66+1,0),IF('01_数值调参'!O35&lt;0,'03_全链计算'!V66+1,0),IF('01_数值调参'!O36&lt;0,'03_全链计算'!W66+1,0),IF('01_数值调参'!O37&lt;0,'03_全链计算'!X66+1,0),IF('01_数值调参'!O38&lt;0,'03_全链计算'!Y66+1,0),IF('01_数值调参'!O39&lt;0,'03_全链计算'!Z66+1,0),IF('01_数值调参'!O40&lt;0,'03_全链计算'!AA66+1,0),IF('01_数值调参'!O41&lt;0,'03_全链计算'!AB66+1,0),IF('01_数值调参'!O42&lt;0,'03_全链计算'!AC66+1,0),IF('01_数值调参'!O43&lt;0,'03_全链计算'!AD66+1,0),IF('01_数值调参'!O44&lt;0,'03_全链计算'!AE66+1,0),IF('01_数值调参'!O45&lt;0,'03_全链计算'!AF66+1,0),IF('01_数值调参'!O46&lt;0,'03_全链计算'!AG66+1,0),IF('01_数值调参'!O47&lt;0,'03_全链计算'!AH66+1,0),IF('01_数值调参'!O48&lt;0,'03_全链计算'!AI66+1,0),IF('01_数值调参'!O49&lt;0,'03_全链计算'!AJ66+1,0),IF('01_数值调参'!O50&lt;0,'03_全链计算'!AK66+1,0),IF('01_数值调参'!O51&lt;0,'03_全链计算'!AL66+1,0),IF('01_数值调参'!O52&lt;0,'03_全链计算'!AM66+1,0))</x:f>
        <x:v>1</x:v>
      </x:c>
      <x:c r="P67" s="9" t="n">
        <x:f>MAX(IF('01_数值调参'!P18&lt;0,'03_全链计算'!E66+1,0),IF('01_数值调参'!P19&lt;0,'03_全链计算'!F66+1,0),IF('01_数值调参'!P20&lt;0,'03_全链计算'!G66+1,0),IF('01_数值调参'!P21&lt;0,'03_全链计算'!H66+1,0),IF('01_数值调参'!P22&lt;0,'03_全链计算'!I66+1,0),IF('01_数值调参'!P23&lt;0,'03_全链计算'!J66+1,0),IF('01_数值调参'!P24&lt;0,'03_全链计算'!K66+1,0),IF('01_数值调参'!P25&lt;0,'03_全链计算'!L66+1,0),IF('01_数值调参'!P26&lt;0,'03_全链计算'!M66+1,0),IF('01_数值调参'!P27&lt;0,'03_全链计算'!N66+1,0),IF('01_数值调参'!P28&lt;0,'03_全链计算'!O66+1,0),IF('01_数值调参'!P29&lt;0,'03_全链计算'!P66+1,0),IF('01_数值调参'!P30&lt;0,'03_全链计算'!Q66+1,0),IF('01_数值调参'!P31&lt;0,'03_全链计算'!R66+1,0),IF('01_数值调参'!P32&lt;0,'03_全链计算'!S66+1,0),IF('01_数值调参'!P33&lt;0,'03_全链计算'!T66+1,0),IF('01_数值调参'!P34&lt;0,'03_全链计算'!U66+1,0),IF('01_数值调参'!P35&lt;0,'03_全链计算'!V66+1,0),IF('01_数值调参'!P36&lt;0,'03_全链计算'!W66+1,0),IF('01_数值调参'!P37&lt;0,'03_全链计算'!X66+1,0),IF('01_数值调参'!P38&lt;0,'03_全链计算'!Y66+1,0),IF('01_数值调参'!P39&lt;0,'03_全链计算'!Z66+1,0),IF('01_数值调参'!P40&lt;0,'03_全链计算'!AA66+1,0),IF('01_数值调参'!P41&lt;0,'03_全链计算'!AB66+1,0),IF('01_数值调参'!P42&lt;0,'03_全链计算'!AC66+1,0),IF('01_数值调参'!P43&lt;0,'03_全链计算'!AD66+1,0),IF('01_数值调参'!P44&lt;0,'03_全链计算'!AE66+1,0),IF('01_数值调参'!P45&lt;0,'03_全链计算'!AF66+1,0),IF('01_数值调参'!P46&lt;0,'03_全链计算'!AG66+1,0),IF('01_数值调参'!P47&lt;0,'03_全链计算'!AH66+1,0),IF('01_数值调参'!P48&lt;0,'03_全链计算'!AI66+1,0),IF('01_数值调参'!P49&lt;0,'03_全链计算'!AJ66+1,0),IF('01_数值调参'!P50&lt;0,'03_全链计算'!AK66+1,0),IF('01_数值调参'!P51&lt;0,'03_全链计算'!AL66+1,0),IF('01_数值调参'!P52&lt;0,'03_全链计算'!AM66+1,0))</x:f>
        <x:v>1</x:v>
      </x:c>
      <x:c r="Q67" s="9" t="n">
        <x:f>MAX(IF('01_数值调参'!Q18&lt;0,'03_全链计算'!E66+1,0),IF('01_数值调参'!Q19&lt;0,'03_全链计算'!F66+1,0),IF('01_数值调参'!Q20&lt;0,'03_全链计算'!G66+1,0),IF('01_数值调参'!Q21&lt;0,'03_全链计算'!H66+1,0),IF('01_数值调参'!Q22&lt;0,'03_全链计算'!I66+1,0),IF('01_数值调参'!Q23&lt;0,'03_全链计算'!J66+1,0),IF('01_数值调参'!Q24&lt;0,'03_全链计算'!K66+1,0),IF('01_数值调参'!Q25&lt;0,'03_全链计算'!L66+1,0),IF('01_数值调参'!Q26&lt;0,'03_全链计算'!M66+1,0),IF('01_数值调参'!Q27&lt;0,'03_全链计算'!N66+1,0),IF('01_数值调参'!Q28&lt;0,'03_全链计算'!O66+1,0),IF('01_数值调参'!Q29&lt;0,'03_全链计算'!P66+1,0),IF('01_数值调参'!Q30&lt;0,'03_全链计算'!Q66+1,0),IF('01_数值调参'!Q31&lt;0,'03_全链计算'!R66+1,0),IF('01_数值调参'!Q32&lt;0,'03_全链计算'!S66+1,0),IF('01_数值调参'!Q33&lt;0,'03_全链计算'!T66+1,0),IF('01_数值调参'!Q34&lt;0,'03_全链计算'!U66+1,0),IF('01_数值调参'!Q35&lt;0,'03_全链计算'!V66+1,0),IF('01_数值调参'!Q36&lt;0,'03_全链计算'!W66+1,0),IF('01_数值调参'!Q37&lt;0,'03_全链计算'!X66+1,0),IF('01_数值调参'!Q38&lt;0,'03_全链计算'!Y66+1,0),IF('01_数值调参'!Q39&lt;0,'03_全链计算'!Z66+1,0),IF('01_数值调参'!Q40&lt;0,'03_全链计算'!AA66+1,0),IF('01_数值调参'!Q41&lt;0,'03_全链计算'!AB66+1,0),IF('01_数值调参'!Q42&lt;0,'03_全链计算'!AC66+1,0),IF('01_数值调参'!Q43&lt;0,'03_全链计算'!AD66+1,0),IF('01_数值调参'!Q44&lt;0,'03_全链计算'!AE66+1,0),IF('01_数值调参'!Q45&lt;0,'03_全链计算'!AF66+1,0),IF('01_数值调参'!Q46&lt;0,'03_全链计算'!AG66+1,0),IF('01_数值调参'!Q47&lt;0,'03_全链计算'!AH66+1,0),IF('01_数值调参'!Q48&lt;0,'03_全链计算'!AI66+1,0),IF('01_数值调参'!Q49&lt;0,'03_全链计算'!AJ66+1,0),IF('01_数值调参'!Q50&lt;0,'03_全链计算'!AK66+1,0),IF('01_数值调参'!Q51&lt;0,'03_全链计算'!AL66+1,0),IF('01_数值调参'!Q52&lt;0,'03_全链计算'!AM66+1,0))</x:f>
        <x:v>1</x:v>
      </x:c>
      <x:c r="R67" s="9" t="n">
        <x:f>MAX(IF('01_数值调参'!R18&lt;0,'03_全链计算'!E66+1,0),IF('01_数值调参'!R19&lt;0,'03_全链计算'!F66+1,0),IF('01_数值调参'!R20&lt;0,'03_全链计算'!G66+1,0),IF('01_数值调参'!R21&lt;0,'03_全链计算'!H66+1,0),IF('01_数值调参'!R22&lt;0,'03_全链计算'!I66+1,0),IF('01_数值调参'!R23&lt;0,'03_全链计算'!J66+1,0),IF('01_数值调参'!R24&lt;0,'03_全链计算'!K66+1,0),IF('01_数值调参'!R25&lt;0,'03_全链计算'!L66+1,0),IF('01_数值调参'!R26&lt;0,'03_全链计算'!M66+1,0),IF('01_数值调参'!R27&lt;0,'03_全链计算'!N66+1,0),IF('01_数值调参'!R28&lt;0,'03_全链计算'!O66+1,0),IF('01_数值调参'!R29&lt;0,'03_全链计算'!P66+1,0),IF('01_数值调参'!R30&lt;0,'03_全链计算'!Q66+1,0),IF('01_数值调参'!R31&lt;0,'03_全链计算'!R66+1,0),IF('01_数值调参'!R32&lt;0,'03_全链计算'!S66+1,0),IF('01_数值调参'!R33&lt;0,'03_全链计算'!T66+1,0),IF('01_数值调参'!R34&lt;0,'03_全链计算'!U66+1,0),IF('01_数值调参'!R35&lt;0,'03_全链计算'!V66+1,0),IF('01_数值调参'!R36&lt;0,'03_全链计算'!W66+1,0),IF('01_数值调参'!R37&lt;0,'03_全链计算'!X66+1,0),IF('01_数值调参'!R38&lt;0,'03_全链计算'!Y66+1,0),IF('01_数值调参'!R39&lt;0,'03_全链计算'!Z66+1,0),IF('01_数值调参'!R40&lt;0,'03_全链计算'!AA66+1,0),IF('01_数值调参'!R41&lt;0,'03_全链计算'!AB66+1,0),IF('01_数值调参'!R42&lt;0,'03_全链计算'!AC66+1,0),IF('01_数值调参'!R43&lt;0,'03_全链计算'!AD66+1,0),IF('01_数值调参'!R44&lt;0,'03_全链计算'!AE66+1,0),IF('01_数值调参'!R45&lt;0,'03_全链计算'!AF66+1,0),IF('01_数值调参'!R46&lt;0,'03_全链计算'!AG66+1,0),IF('01_数值调参'!R47&lt;0,'03_全链计算'!AH66+1,0),IF('01_数值调参'!R48&lt;0,'03_全链计算'!AI66+1,0),IF('01_数值调参'!R49&lt;0,'03_全链计算'!AJ66+1,0),IF('01_数值调参'!R50&lt;0,'03_全链计算'!AK66+1,0),IF('01_数值调参'!R51&lt;0,'03_全链计算'!AL66+1,0),IF('01_数值调参'!R52&lt;0,'03_全链计算'!AM66+1,0))</x:f>
        <x:v>1</x:v>
      </x:c>
      <x:c r="S67" s="9" t="n">
        <x:f>MAX(IF('01_数值调参'!S18&lt;0,'03_全链计算'!E66+1,0),IF('01_数值调参'!S19&lt;0,'03_全链计算'!F66+1,0),IF('01_数值调参'!S20&lt;0,'03_全链计算'!G66+1,0),IF('01_数值调参'!S21&lt;0,'03_全链计算'!H66+1,0),IF('01_数值调参'!S22&lt;0,'03_全链计算'!I66+1,0),IF('01_数值调参'!S23&lt;0,'03_全链计算'!J66+1,0),IF('01_数值调参'!S24&lt;0,'03_全链计算'!K66+1,0),IF('01_数值调参'!S25&lt;0,'03_全链计算'!L66+1,0),IF('01_数值调参'!S26&lt;0,'03_全链计算'!M66+1,0),IF('01_数值调参'!S27&lt;0,'03_全链计算'!N66+1,0),IF('01_数值调参'!S28&lt;0,'03_全链计算'!O66+1,0),IF('01_数值调参'!S29&lt;0,'03_全链计算'!P66+1,0),IF('01_数值调参'!S30&lt;0,'03_全链计算'!Q66+1,0),IF('01_数值调参'!S31&lt;0,'03_全链计算'!R66+1,0),IF('01_数值调参'!S32&lt;0,'03_全链计算'!S66+1,0),IF('01_数值调参'!S33&lt;0,'03_全链计算'!T66+1,0),IF('01_数值调参'!S34&lt;0,'03_全链计算'!U66+1,0),IF('01_数值调参'!S35&lt;0,'03_全链计算'!V66+1,0),IF('01_数值调参'!S36&lt;0,'03_全链计算'!W66+1,0),IF('01_数值调参'!S37&lt;0,'03_全链计算'!X66+1,0),IF('01_数值调参'!S38&lt;0,'03_全链计算'!Y66+1,0),IF('01_数值调参'!S39&lt;0,'03_全链计算'!Z66+1,0),IF('01_数值调参'!S40&lt;0,'03_全链计算'!AA66+1,0),IF('01_数值调参'!S41&lt;0,'03_全链计算'!AB66+1,0),IF('01_数值调参'!S42&lt;0,'03_全链计算'!AC66+1,0),IF('01_数值调参'!S43&lt;0,'03_全链计算'!AD66+1,0),IF('01_数值调参'!S44&lt;0,'03_全链计算'!AE66+1,0),IF('01_数值调参'!S45&lt;0,'03_全链计算'!AF66+1,0),IF('01_数值调参'!S46&lt;0,'03_全链计算'!AG66+1,0),IF('01_数值调参'!S47&lt;0,'03_全链计算'!AH66+1,0),IF('01_数值调参'!S48&lt;0,'03_全链计算'!AI66+1,0),IF('01_数值调参'!S49&lt;0,'03_全链计算'!AJ66+1,0),IF('01_数值调参'!S50&lt;0,'03_全链计算'!AK66+1,0),IF('01_数值调参'!S51&lt;0,'03_全链计算'!AL66+1,0),IF('01_数值调参'!S52&lt;0,'03_全链计算'!AM66+1,0))</x:f>
        <x:v>1</x:v>
      </x:c>
      <x:c r="T67" s="9" t="n">
        <x:f>MAX(IF('01_数值调参'!T18&lt;0,'03_全链计算'!E66+1,0),IF('01_数值调参'!T19&lt;0,'03_全链计算'!F66+1,0),IF('01_数值调参'!T20&lt;0,'03_全链计算'!G66+1,0),IF('01_数值调参'!T21&lt;0,'03_全链计算'!H66+1,0),IF('01_数值调参'!T22&lt;0,'03_全链计算'!I66+1,0),IF('01_数值调参'!T23&lt;0,'03_全链计算'!J66+1,0),IF('01_数值调参'!T24&lt;0,'03_全链计算'!K66+1,0),IF('01_数值调参'!T25&lt;0,'03_全链计算'!L66+1,0),IF('01_数值调参'!T26&lt;0,'03_全链计算'!M66+1,0),IF('01_数值调参'!T27&lt;0,'03_全链计算'!N66+1,0),IF('01_数值调参'!T28&lt;0,'03_全链计算'!O66+1,0),IF('01_数值调参'!T29&lt;0,'03_全链计算'!P66+1,0),IF('01_数值调参'!T30&lt;0,'03_全链计算'!Q66+1,0),IF('01_数值调参'!T31&lt;0,'03_全链计算'!R66+1,0),IF('01_数值调参'!T32&lt;0,'03_全链计算'!S66+1,0),IF('01_数值调参'!T33&lt;0,'03_全链计算'!T66+1,0),IF('01_数值调参'!T34&lt;0,'03_全链计算'!U66+1,0),IF('01_数值调参'!T35&lt;0,'03_全链计算'!V66+1,0),IF('01_数值调参'!T36&lt;0,'03_全链计算'!W66+1,0),IF('01_数值调参'!T37&lt;0,'03_全链计算'!X66+1,0),IF('01_数值调参'!T38&lt;0,'03_全链计算'!Y66+1,0),IF('01_数值调参'!T39&lt;0,'03_全链计算'!Z66+1,0),IF('01_数值调参'!T40&lt;0,'03_全链计算'!AA66+1,0),IF('01_数值调参'!T41&lt;0,'03_全链计算'!AB66+1,0),IF('01_数值调参'!T42&lt;0,'03_全链计算'!AC66+1,0),IF('01_数值调参'!T43&lt;0,'03_全链计算'!AD66+1,0),IF('01_数值调参'!T44&lt;0,'03_全链计算'!AE66+1,0),IF('01_数值调参'!T45&lt;0,'03_全链计算'!AF66+1,0),IF('01_数值调参'!T46&lt;0,'03_全链计算'!AG66+1,0),IF('01_数值调参'!T47&lt;0,'03_全链计算'!AH66+1,0),IF('01_数值调参'!T48&lt;0,'03_全链计算'!AI66+1,0),IF('01_数值调参'!T49&lt;0,'03_全链计算'!AJ66+1,0),IF('01_数值调参'!T50&lt;0,'03_全链计算'!AK66+1,0),IF('01_数值调参'!T51&lt;0,'03_全链计算'!AL66+1,0),IF('01_数值调参'!T52&lt;0,'03_全链计算'!AM66+1,0))</x:f>
        <x:v>1</x:v>
      </x:c>
      <x:c r="U67" s="9" t="n">
        <x:f>MAX(IF('01_数值调参'!U18&lt;0,'03_全链计算'!E66+1,0),IF('01_数值调参'!U19&lt;0,'03_全链计算'!F66+1,0),IF('01_数值调参'!U20&lt;0,'03_全链计算'!G66+1,0),IF('01_数值调参'!U21&lt;0,'03_全链计算'!H66+1,0),IF('01_数值调参'!U22&lt;0,'03_全链计算'!I66+1,0),IF('01_数值调参'!U23&lt;0,'03_全链计算'!J66+1,0),IF('01_数值调参'!U24&lt;0,'03_全链计算'!K66+1,0),IF('01_数值调参'!U25&lt;0,'03_全链计算'!L66+1,0),IF('01_数值调参'!U26&lt;0,'03_全链计算'!M66+1,0),IF('01_数值调参'!U27&lt;0,'03_全链计算'!N66+1,0),IF('01_数值调参'!U28&lt;0,'03_全链计算'!O66+1,0),IF('01_数值调参'!U29&lt;0,'03_全链计算'!P66+1,0),IF('01_数值调参'!U30&lt;0,'03_全链计算'!Q66+1,0),IF('01_数值调参'!U31&lt;0,'03_全链计算'!R66+1,0),IF('01_数值调参'!U32&lt;0,'03_全链计算'!S66+1,0),IF('01_数值调参'!U33&lt;0,'03_全链计算'!T66+1,0),IF('01_数值调参'!U34&lt;0,'03_全链计算'!U66+1,0),IF('01_数值调参'!U35&lt;0,'03_全链计算'!V66+1,0),IF('01_数值调参'!U36&lt;0,'03_全链计算'!W66+1,0),IF('01_数值调参'!U37&lt;0,'03_全链计算'!X66+1,0),IF('01_数值调参'!U38&lt;0,'03_全链计算'!Y66+1,0),IF('01_数值调参'!U39&lt;0,'03_全链计算'!Z66+1,0),IF('01_数值调参'!U40&lt;0,'03_全链计算'!AA66+1,0),IF('01_数值调参'!U41&lt;0,'03_全链计算'!AB66+1,0),IF('01_数值调参'!U42&lt;0,'03_全链计算'!AC66+1,0),IF('01_数值调参'!U43&lt;0,'03_全链计算'!AD66+1,0),IF('01_数值调参'!U44&lt;0,'03_全链计算'!AE66+1,0),IF('01_数值调参'!U45&lt;0,'03_全链计算'!AF66+1,0),IF('01_数值调参'!U46&lt;0,'03_全链计算'!AG66+1,0),IF('01_数值调参'!U47&lt;0,'03_全链计算'!AH66+1,0),IF('01_数值调参'!U48&lt;0,'03_全链计算'!AI66+1,0),IF('01_数值调参'!U49&lt;0,'03_全链计算'!AJ66+1,0),IF('01_数值调参'!U50&lt;0,'03_全链计算'!AK66+1,0),IF('01_数值调参'!U51&lt;0,'03_全链计算'!AL66+1,0),IF('01_数值调参'!U52&lt;0,'03_全链计算'!AM66+1,0))</x:f>
        <x:v>1</x:v>
      </x:c>
      <x:c r="V67" s="9" t="n">
        <x:f>MAX(IF('01_数值调参'!V18&lt;0,'03_全链计算'!E66+1,0),IF('01_数值调参'!V19&lt;0,'03_全链计算'!F66+1,0),IF('01_数值调参'!V20&lt;0,'03_全链计算'!G66+1,0),IF('01_数值调参'!V21&lt;0,'03_全链计算'!H66+1,0),IF('01_数值调参'!V22&lt;0,'03_全链计算'!I66+1,0),IF('01_数值调参'!V23&lt;0,'03_全链计算'!J66+1,0),IF('01_数值调参'!V24&lt;0,'03_全链计算'!K66+1,0),IF('01_数值调参'!V25&lt;0,'03_全链计算'!L66+1,0),IF('01_数值调参'!V26&lt;0,'03_全链计算'!M66+1,0),IF('01_数值调参'!V27&lt;0,'03_全链计算'!N66+1,0),IF('01_数值调参'!V28&lt;0,'03_全链计算'!O66+1,0),IF('01_数值调参'!V29&lt;0,'03_全链计算'!P66+1,0),IF('01_数值调参'!V30&lt;0,'03_全链计算'!Q66+1,0),IF('01_数值调参'!V31&lt;0,'03_全链计算'!R66+1,0),IF('01_数值调参'!V32&lt;0,'03_全链计算'!S66+1,0),IF('01_数值调参'!V33&lt;0,'03_全链计算'!T66+1,0),IF('01_数值调参'!V34&lt;0,'03_全链计算'!U66+1,0),IF('01_数值调参'!V35&lt;0,'03_全链计算'!V66+1,0),IF('01_数值调参'!V36&lt;0,'03_全链计算'!W66+1,0),IF('01_数值调参'!V37&lt;0,'03_全链计算'!X66+1,0),IF('01_数值调参'!V38&lt;0,'03_全链计算'!Y66+1,0),IF('01_数值调参'!V39&lt;0,'03_全链计算'!Z66+1,0),IF('01_数值调参'!V40&lt;0,'03_全链计算'!AA66+1,0),IF('01_数值调参'!V41&lt;0,'03_全链计算'!AB66+1,0),IF('01_数值调参'!V42&lt;0,'03_全链计算'!AC66+1,0),IF('01_数值调参'!V43&lt;0,'03_全链计算'!AD66+1,0),IF('01_数值调参'!V44&lt;0,'03_全链计算'!AE66+1,0),IF('01_数值调参'!V45&lt;0,'03_全链计算'!AF66+1,0),IF('01_数值调参'!V46&lt;0,'03_全链计算'!AG66+1,0),IF('01_数值调参'!V47&lt;0,'03_全链计算'!AH66+1,0),IF('01_数值调参'!V48&lt;0,'03_全链计算'!AI66+1,0),IF('01_数值调参'!V49&lt;0,'03_全链计算'!AJ66+1,0),IF('01_数值调参'!V50&lt;0,'03_全链计算'!AK66+1,0),IF('01_数值调参'!V51&lt;0,'03_全链计算'!AL66+1,0),IF('01_数值调参'!V52&lt;0,'03_全链计算'!AM66+1,0))</x:f>
        <x:v>1</x:v>
      </x:c>
      <x:c r="W67" s="9" t="n">
        <x:f>MAX(IF('01_数值调参'!W18&lt;0,'03_全链计算'!E66+1,0),IF('01_数值调参'!W19&lt;0,'03_全链计算'!F66+1,0),IF('01_数值调参'!W20&lt;0,'03_全链计算'!G66+1,0),IF('01_数值调参'!W21&lt;0,'03_全链计算'!H66+1,0),IF('01_数值调参'!W22&lt;0,'03_全链计算'!I66+1,0),IF('01_数值调参'!W23&lt;0,'03_全链计算'!J66+1,0),IF('01_数值调参'!W24&lt;0,'03_全链计算'!K66+1,0),IF('01_数值调参'!W25&lt;0,'03_全链计算'!L66+1,0),IF('01_数值调参'!W26&lt;0,'03_全链计算'!M66+1,0),IF('01_数值调参'!W27&lt;0,'03_全链计算'!N66+1,0),IF('01_数值调参'!W28&lt;0,'03_全链计算'!O66+1,0),IF('01_数值调参'!W29&lt;0,'03_全链计算'!P66+1,0),IF('01_数值调参'!W30&lt;0,'03_全链计算'!Q66+1,0),IF('01_数值调参'!W31&lt;0,'03_全链计算'!R66+1,0),IF('01_数值调参'!W32&lt;0,'03_全链计算'!S66+1,0),IF('01_数值调参'!W33&lt;0,'03_全链计算'!T66+1,0),IF('01_数值调参'!W34&lt;0,'03_全链计算'!U66+1,0),IF('01_数值调参'!W35&lt;0,'03_全链计算'!V66+1,0),IF('01_数值调参'!W36&lt;0,'03_全链计算'!W66+1,0),IF('01_数值调参'!W37&lt;0,'03_全链计算'!X66+1,0),IF('01_数值调参'!W38&lt;0,'03_全链计算'!Y66+1,0),IF('01_数值调参'!W39&lt;0,'03_全链计算'!Z66+1,0),IF('01_数值调参'!W40&lt;0,'03_全链计算'!AA66+1,0),IF('01_数值调参'!W41&lt;0,'03_全链计算'!AB66+1,0),IF('01_数值调参'!W42&lt;0,'03_全链计算'!AC66+1,0),IF('01_数值调参'!W43&lt;0,'03_全链计算'!AD66+1,0),IF('01_数值调参'!W44&lt;0,'03_全链计算'!AE66+1,0),IF('01_数值调参'!W45&lt;0,'03_全链计算'!AF66+1,0),IF('01_数值调参'!W46&lt;0,'03_全链计算'!AG66+1,0),IF('01_数值调参'!W47&lt;0,'03_全链计算'!AH66+1,0),IF('01_数值调参'!W48&lt;0,'03_全链计算'!AI66+1,0),IF('01_数值调参'!W49&lt;0,'03_全链计算'!AJ66+1,0),IF('01_数值调参'!W50&lt;0,'03_全链计算'!AK66+1,0),IF('01_数值调参'!W51&lt;0,'03_全链计算'!AL66+1,0),IF('01_数值调参'!W52&lt;0,'03_全链计算'!AM66+1,0))</x:f>
        <x:v>1</x:v>
      </x:c>
      <x:c r="X67" s="9" t="n">
        <x:f>MAX(IF('01_数值调参'!X18&lt;0,'03_全链计算'!E66+1,0),IF('01_数值调参'!X19&lt;0,'03_全链计算'!F66+1,0),IF('01_数值调参'!X20&lt;0,'03_全链计算'!G66+1,0),IF('01_数值调参'!X21&lt;0,'03_全链计算'!H66+1,0),IF('01_数值调参'!X22&lt;0,'03_全链计算'!I66+1,0),IF('01_数值调参'!X23&lt;0,'03_全链计算'!J66+1,0),IF('01_数值调参'!X24&lt;0,'03_全链计算'!K66+1,0),IF('01_数值调参'!X25&lt;0,'03_全链计算'!L66+1,0),IF('01_数值调参'!X26&lt;0,'03_全链计算'!M66+1,0),IF('01_数值调参'!X27&lt;0,'03_全链计算'!N66+1,0),IF('01_数值调参'!X28&lt;0,'03_全链计算'!O66+1,0),IF('01_数值调参'!X29&lt;0,'03_全链计算'!P66+1,0),IF('01_数值调参'!X30&lt;0,'03_全链计算'!Q66+1,0),IF('01_数值调参'!X31&lt;0,'03_全链计算'!R66+1,0),IF('01_数值调参'!X32&lt;0,'03_全链计算'!S66+1,0),IF('01_数值调参'!X33&lt;0,'03_全链计算'!T66+1,0),IF('01_数值调参'!X34&lt;0,'03_全链计算'!U66+1,0),IF('01_数值调参'!X35&lt;0,'03_全链计算'!V66+1,0),IF('01_数值调参'!X36&lt;0,'03_全链计算'!W66+1,0),IF('01_数值调参'!X37&lt;0,'03_全链计算'!X66+1,0),IF('01_数值调参'!X38&lt;0,'03_全链计算'!Y66+1,0),IF('01_数值调参'!X39&lt;0,'03_全链计算'!Z66+1,0),IF('01_数值调参'!X40&lt;0,'03_全链计算'!AA66+1,0),IF('01_数值调参'!X41&lt;0,'03_全链计算'!AB66+1,0),IF('01_数值调参'!X42&lt;0,'03_全链计算'!AC66+1,0),IF('01_数值调参'!X43&lt;0,'03_全链计算'!AD66+1,0),IF('01_数值调参'!X44&lt;0,'03_全链计算'!AE66+1,0),IF('01_数值调参'!X45&lt;0,'03_全链计算'!AF66+1,0),IF('01_数值调参'!X46&lt;0,'03_全链计算'!AG66+1,0),IF('01_数值调参'!X47&lt;0,'03_全链计算'!AH66+1,0),IF('01_数值调参'!X48&lt;0,'03_全链计算'!AI66+1,0),IF('01_数值调参'!X49&lt;0,'03_全链计算'!AJ66+1,0),IF('01_数值调参'!X50&lt;0,'03_全链计算'!AK66+1,0),IF('01_数值调参'!X51&lt;0,'03_全链计算'!AL66+1,0),IF('01_数值调参'!X52&lt;0,'03_全链计算'!AM66+1,0))</x:f>
        <x:v>2</x:v>
      </x:c>
      <x:c r="Y67" s="9" t="n">
        <x:f>MAX(IF('01_数值调参'!Y18&lt;0,'03_全链计算'!E66+1,0),IF('01_数值调参'!Y19&lt;0,'03_全链计算'!F66+1,0),IF('01_数值调参'!Y20&lt;0,'03_全链计算'!G66+1,0),IF('01_数值调参'!Y21&lt;0,'03_全链计算'!H66+1,0),IF('01_数值调参'!Y22&lt;0,'03_全链计算'!I66+1,0),IF('01_数值调参'!Y23&lt;0,'03_全链计算'!J66+1,0),IF('01_数值调参'!Y24&lt;0,'03_全链计算'!K66+1,0),IF('01_数值调参'!Y25&lt;0,'03_全链计算'!L66+1,0),IF('01_数值调参'!Y26&lt;0,'03_全链计算'!M66+1,0),IF('01_数值调参'!Y27&lt;0,'03_全链计算'!N66+1,0),IF('01_数值调参'!Y28&lt;0,'03_全链计算'!O66+1,0),IF('01_数值调参'!Y29&lt;0,'03_全链计算'!P66+1,0),IF('01_数值调参'!Y30&lt;0,'03_全链计算'!Q66+1,0),IF('01_数值调参'!Y31&lt;0,'03_全链计算'!R66+1,0),IF('01_数值调参'!Y32&lt;0,'03_全链计算'!S66+1,0),IF('01_数值调参'!Y33&lt;0,'03_全链计算'!T66+1,0),IF('01_数值调参'!Y34&lt;0,'03_全链计算'!U66+1,0),IF('01_数值调参'!Y35&lt;0,'03_全链计算'!V66+1,0),IF('01_数值调参'!Y36&lt;0,'03_全链计算'!W66+1,0),IF('01_数值调参'!Y37&lt;0,'03_全链计算'!X66+1,0),IF('01_数值调参'!Y38&lt;0,'03_全链计算'!Y66+1,0),IF('01_数值调参'!Y39&lt;0,'03_全链计算'!Z66+1,0),IF('01_数值调参'!Y40&lt;0,'03_全链计算'!AA66+1,0),IF('01_数值调参'!Y41&lt;0,'03_全链计算'!AB66+1,0),IF('01_数值调参'!Y42&lt;0,'03_全链计算'!AC66+1,0),IF('01_数值调参'!Y43&lt;0,'03_全链计算'!AD66+1,0),IF('01_数值调参'!Y44&lt;0,'03_全链计算'!AE66+1,0),IF('01_数值调参'!Y45&lt;0,'03_全链计算'!AF66+1,0),IF('01_数值调参'!Y46&lt;0,'03_全链计算'!AG66+1,0),IF('01_数值调参'!Y47&lt;0,'03_全链计算'!AH66+1,0),IF('01_数值调参'!Y48&lt;0,'03_全链计算'!AI66+1,0),IF('01_数值调参'!Y49&lt;0,'03_全链计算'!AJ66+1,0),IF('01_数值调参'!Y50&lt;0,'03_全链计算'!AK66+1,0),IF('01_数值调参'!Y51&lt;0,'03_全链计算'!AL66+1,0),IF('01_数值调参'!Y52&lt;0,'03_全链计算'!AM66+1,0))</x:f>
        <x:v>2</x:v>
      </x:c>
      <x:c r="Z67" s="9" t="n">
        <x:f>MAX(IF('01_数值调参'!Z18&lt;0,'03_全链计算'!E66+1,0),IF('01_数值调参'!Z19&lt;0,'03_全链计算'!F66+1,0),IF('01_数值调参'!Z20&lt;0,'03_全链计算'!G66+1,0),IF('01_数值调参'!Z21&lt;0,'03_全链计算'!H66+1,0),IF('01_数值调参'!Z22&lt;0,'03_全链计算'!I66+1,0),IF('01_数值调参'!Z23&lt;0,'03_全链计算'!J66+1,0),IF('01_数值调参'!Z24&lt;0,'03_全链计算'!K66+1,0),IF('01_数值调参'!Z25&lt;0,'03_全链计算'!L66+1,0),IF('01_数值调参'!Z26&lt;0,'03_全链计算'!M66+1,0),IF('01_数值调参'!Z27&lt;0,'03_全链计算'!N66+1,0),IF('01_数值调参'!Z28&lt;0,'03_全链计算'!O66+1,0),IF('01_数值调参'!Z29&lt;0,'03_全链计算'!P66+1,0),IF('01_数值调参'!Z30&lt;0,'03_全链计算'!Q66+1,0),IF('01_数值调参'!Z31&lt;0,'03_全链计算'!R66+1,0),IF('01_数值调参'!Z32&lt;0,'03_全链计算'!S66+1,0),IF('01_数值调参'!Z33&lt;0,'03_全链计算'!T66+1,0),IF('01_数值调参'!Z34&lt;0,'03_全链计算'!U66+1,0),IF('01_数值调参'!Z35&lt;0,'03_全链计算'!V66+1,0),IF('01_数值调参'!Z36&lt;0,'03_全链计算'!W66+1,0),IF('01_数值调参'!Z37&lt;0,'03_全链计算'!X66+1,0),IF('01_数值调参'!Z38&lt;0,'03_全链计算'!Y66+1,0),IF('01_数值调参'!Z39&lt;0,'03_全链计算'!Z66+1,0),IF('01_数值调参'!Z40&lt;0,'03_全链计算'!AA66+1,0),IF('01_数值调参'!Z41&lt;0,'03_全链计算'!AB66+1,0),IF('01_数值调参'!Z42&lt;0,'03_全链计算'!AC66+1,0),IF('01_数值调参'!Z43&lt;0,'03_全链计算'!AD66+1,0),IF('01_数值调参'!Z44&lt;0,'03_全链计算'!AE66+1,0),IF('01_数值调参'!Z45&lt;0,'03_全链计算'!AF66+1,0),IF('01_数值调参'!Z46&lt;0,'03_全链计算'!AG66+1,0),IF('01_数值调参'!Z47&lt;0,'03_全链计算'!AH66+1,0),IF('01_数值调参'!Z48&lt;0,'03_全链计算'!AI66+1,0),IF('01_数值调参'!Z49&lt;0,'03_全链计算'!AJ66+1,0),IF('01_数值调参'!Z50&lt;0,'03_全链计算'!AK66+1,0),IF('01_数值调参'!Z51&lt;0,'03_全链计算'!AL66+1,0),IF('01_数值调参'!Z52&lt;0,'03_全链计算'!AM66+1,0))</x:f>
        <x:v>2</x:v>
      </x:c>
      <x:c r="AA67" s="9" t="n">
        <x:f>MAX(IF('01_数值调参'!AA18&lt;0,'03_全链计算'!E66+1,0),IF('01_数值调参'!AA19&lt;0,'03_全链计算'!F66+1,0),IF('01_数值调参'!AA20&lt;0,'03_全链计算'!G66+1,0),IF('01_数值调参'!AA21&lt;0,'03_全链计算'!H66+1,0),IF('01_数值调参'!AA22&lt;0,'03_全链计算'!I66+1,0),IF('01_数值调参'!AA23&lt;0,'03_全链计算'!J66+1,0),IF('01_数值调参'!AA24&lt;0,'03_全链计算'!K66+1,0),IF('01_数值调参'!AA25&lt;0,'03_全链计算'!L66+1,0),IF('01_数值调参'!AA26&lt;0,'03_全链计算'!M66+1,0),IF('01_数值调参'!AA27&lt;0,'03_全链计算'!N66+1,0),IF('01_数值调参'!AA28&lt;0,'03_全链计算'!O66+1,0),IF('01_数值调参'!AA29&lt;0,'03_全链计算'!P66+1,0),IF('01_数值调参'!AA30&lt;0,'03_全链计算'!Q66+1,0),IF('01_数值调参'!AA31&lt;0,'03_全链计算'!R66+1,0),IF('01_数值调参'!AA32&lt;0,'03_全链计算'!S66+1,0),IF('01_数值调参'!AA33&lt;0,'03_全链计算'!T66+1,0),IF('01_数值调参'!AA34&lt;0,'03_全链计算'!U66+1,0),IF('01_数值调参'!AA35&lt;0,'03_全链计算'!V66+1,0),IF('01_数值调参'!AA36&lt;0,'03_全链计算'!W66+1,0),IF('01_数值调参'!AA37&lt;0,'03_全链计算'!X66+1,0),IF('01_数值调参'!AA38&lt;0,'03_全链计算'!Y66+1,0),IF('01_数值调参'!AA39&lt;0,'03_全链计算'!Z66+1,0),IF('01_数值调参'!AA40&lt;0,'03_全链计算'!AA66+1,0),IF('01_数值调参'!AA41&lt;0,'03_全链计算'!AB66+1,0),IF('01_数值调参'!AA42&lt;0,'03_全链计算'!AC66+1,0),IF('01_数值调参'!AA43&lt;0,'03_全链计算'!AD66+1,0),IF('01_数值调参'!AA44&lt;0,'03_全链计算'!AE66+1,0),IF('01_数值调参'!AA45&lt;0,'03_全链计算'!AF66+1,0),IF('01_数值调参'!AA46&lt;0,'03_全链计算'!AG66+1,0),IF('01_数值调参'!AA47&lt;0,'03_全链计算'!AH66+1,0),IF('01_数值调参'!AA48&lt;0,'03_全链计算'!AI66+1,0),IF('01_数值调参'!AA49&lt;0,'03_全链计算'!AJ66+1,0),IF('01_数值调参'!AA50&lt;0,'03_全链计算'!AK66+1,0),IF('01_数值调参'!AA51&lt;0,'03_全链计算'!AL66+1,0),IF('01_数值调参'!AA52&lt;0,'03_全链计算'!AM66+1,0))</x:f>
        <x:v>2</x:v>
      </x:c>
      <x:c r="AB67" s="9" t="n">
        <x:f>MAX(IF('01_数值调参'!AB18&lt;0,'03_全链计算'!E66+1,0),IF('01_数值调参'!AB19&lt;0,'03_全链计算'!F66+1,0),IF('01_数值调参'!AB20&lt;0,'03_全链计算'!G66+1,0),IF('01_数值调参'!AB21&lt;0,'03_全链计算'!H66+1,0),IF('01_数值调参'!AB22&lt;0,'03_全链计算'!I66+1,0),IF('01_数值调参'!AB23&lt;0,'03_全链计算'!J66+1,0),IF('01_数值调参'!AB24&lt;0,'03_全链计算'!K66+1,0),IF('01_数值调参'!AB25&lt;0,'03_全链计算'!L66+1,0),IF('01_数值调参'!AB26&lt;0,'03_全链计算'!M66+1,0),IF('01_数值调参'!AB27&lt;0,'03_全链计算'!N66+1,0),IF('01_数值调参'!AB28&lt;0,'03_全链计算'!O66+1,0),IF('01_数值调参'!AB29&lt;0,'03_全链计算'!P66+1,0),IF('01_数值调参'!AB30&lt;0,'03_全链计算'!Q66+1,0),IF('01_数值调参'!AB31&lt;0,'03_全链计算'!R66+1,0),IF('01_数值调参'!AB32&lt;0,'03_全链计算'!S66+1,0),IF('01_数值调参'!AB33&lt;0,'03_全链计算'!T66+1,0),IF('01_数值调参'!AB34&lt;0,'03_全链计算'!U66+1,0),IF('01_数值调参'!AB35&lt;0,'03_全链计算'!V66+1,0),IF('01_数值调参'!AB36&lt;0,'03_全链计算'!W66+1,0),IF('01_数值调参'!AB37&lt;0,'03_全链计算'!X66+1,0),IF('01_数值调参'!AB38&lt;0,'03_全链计算'!Y66+1,0),IF('01_数值调参'!AB39&lt;0,'03_全链计算'!Z66+1,0),IF('01_数值调参'!AB40&lt;0,'03_全链计算'!AA66+1,0),IF('01_数值调参'!AB41&lt;0,'03_全链计算'!AB66+1,0),IF('01_数值调参'!AB42&lt;0,'03_全链计算'!AC66+1,0),IF('01_数值调参'!AB43&lt;0,'03_全链计算'!AD66+1,0),IF('01_数值调参'!AB44&lt;0,'03_全链计算'!AE66+1,0),IF('01_数值调参'!AB45&lt;0,'03_全链计算'!AF66+1,0),IF('01_数值调参'!AB46&lt;0,'03_全链计算'!AG66+1,0),IF('01_数值调参'!AB47&lt;0,'03_全链计算'!AH66+1,0),IF('01_数值调参'!AB48&lt;0,'03_全链计算'!AI66+1,0),IF('01_数值调参'!AB49&lt;0,'03_全链计算'!AJ66+1,0),IF('01_数值调参'!AB50&lt;0,'03_全链计算'!AK66+1,0),IF('01_数值调参'!AB51&lt;0,'03_全链计算'!AL66+1,0),IF('01_数值调参'!AB52&lt;0,'03_全链计算'!AM66+1,0))</x:f>
        <x:v>2</x:v>
      </x:c>
      <x:c r="AC67" s="9" t="n">
        <x:f>MAX(IF('01_数值调参'!AC18&lt;0,'03_全链计算'!E66+1,0),IF('01_数值调参'!AC19&lt;0,'03_全链计算'!F66+1,0),IF('01_数值调参'!AC20&lt;0,'03_全链计算'!G66+1,0),IF('01_数值调参'!AC21&lt;0,'03_全链计算'!H66+1,0),IF('01_数值调参'!AC22&lt;0,'03_全链计算'!I66+1,0),IF('01_数值调参'!AC23&lt;0,'03_全链计算'!J66+1,0),IF('01_数值调参'!AC24&lt;0,'03_全链计算'!K66+1,0),IF('01_数值调参'!AC25&lt;0,'03_全链计算'!L66+1,0),IF('01_数值调参'!AC26&lt;0,'03_全链计算'!M66+1,0),IF('01_数值调参'!AC27&lt;0,'03_全链计算'!N66+1,0),IF('01_数值调参'!AC28&lt;0,'03_全链计算'!O66+1,0),IF('01_数值调参'!AC29&lt;0,'03_全链计算'!P66+1,0),IF('01_数值调参'!AC30&lt;0,'03_全链计算'!Q66+1,0),IF('01_数值调参'!AC31&lt;0,'03_全链计算'!R66+1,0),IF('01_数值调参'!AC32&lt;0,'03_全链计算'!S66+1,0),IF('01_数值调参'!AC33&lt;0,'03_全链计算'!T66+1,0),IF('01_数值调参'!AC34&lt;0,'03_全链计算'!U66+1,0),IF('01_数值调参'!AC35&lt;0,'03_全链计算'!V66+1,0),IF('01_数值调参'!AC36&lt;0,'03_全链计算'!W66+1,0),IF('01_数值调参'!AC37&lt;0,'03_全链计算'!X66+1,0),IF('01_数值调参'!AC38&lt;0,'03_全链计算'!Y66+1,0),IF('01_数值调参'!AC39&lt;0,'03_全链计算'!Z66+1,0),IF('01_数值调参'!AC40&lt;0,'03_全链计算'!AA66+1,0),IF('01_数值调参'!AC41&lt;0,'03_全链计算'!AB66+1,0),IF('01_数值调参'!AC42&lt;0,'03_全链计算'!AC66+1,0),IF('01_数值调参'!AC43&lt;0,'03_全链计算'!AD66+1,0),IF('01_数值调参'!AC44&lt;0,'03_全链计算'!AE66+1,0),IF('01_数值调参'!AC45&lt;0,'03_全链计算'!AF66+1,0),IF('01_数值调参'!AC46&lt;0,'03_全链计算'!AG66+1,0),IF('01_数值调参'!AC47&lt;0,'03_全链计算'!AH66+1,0),IF('01_数值调参'!AC48&lt;0,'03_全链计算'!AI66+1,0),IF('01_数值调参'!AC49&lt;0,'03_全链计算'!AJ66+1,0),IF('01_数值调参'!AC50&lt;0,'03_全链计算'!AK66+1,0),IF('01_数值调参'!AC51&lt;0,'03_全链计算'!AL66+1,0),IF('01_数值调参'!AC52&lt;0,'03_全链计算'!AM66+1,0))</x:f>
        <x:v>2</x:v>
      </x:c>
      <x:c r="AD67" s="9" t="n">
        <x:f>MAX(IF('01_数值调参'!AD18&lt;0,'03_全链计算'!E66+1,0),IF('01_数值调参'!AD19&lt;0,'03_全链计算'!F66+1,0),IF('01_数值调参'!AD20&lt;0,'03_全链计算'!G66+1,0),IF('01_数值调参'!AD21&lt;0,'03_全链计算'!H66+1,0),IF('01_数值调参'!AD22&lt;0,'03_全链计算'!I66+1,0),IF('01_数值调参'!AD23&lt;0,'03_全链计算'!J66+1,0),IF('01_数值调参'!AD24&lt;0,'03_全链计算'!K66+1,0),IF('01_数值调参'!AD25&lt;0,'03_全链计算'!L66+1,0),IF('01_数值调参'!AD26&lt;0,'03_全链计算'!M66+1,0),IF('01_数值调参'!AD27&lt;0,'03_全链计算'!N66+1,0),IF('01_数值调参'!AD28&lt;0,'03_全链计算'!O66+1,0),IF('01_数值调参'!AD29&lt;0,'03_全链计算'!P66+1,0),IF('01_数值调参'!AD30&lt;0,'03_全链计算'!Q66+1,0),IF('01_数值调参'!AD31&lt;0,'03_全链计算'!R66+1,0),IF('01_数值调参'!AD32&lt;0,'03_全链计算'!S66+1,0),IF('01_数值调参'!AD33&lt;0,'03_全链计算'!T66+1,0),IF('01_数值调参'!AD34&lt;0,'03_全链计算'!U66+1,0),IF('01_数值调参'!AD35&lt;0,'03_全链计算'!V66+1,0),IF('01_数值调参'!AD36&lt;0,'03_全链计算'!W66+1,0),IF('01_数值调参'!AD37&lt;0,'03_全链计算'!X66+1,0),IF('01_数值调参'!AD38&lt;0,'03_全链计算'!Y66+1,0),IF('01_数值调参'!AD39&lt;0,'03_全链计算'!Z66+1,0),IF('01_数值调参'!AD40&lt;0,'03_全链计算'!AA66+1,0),IF('01_数值调参'!AD41&lt;0,'03_全链计算'!AB66+1,0),IF('01_数值调参'!AD42&lt;0,'03_全链计算'!AC66+1,0),IF('01_数值调参'!AD43&lt;0,'03_全链计算'!AD66+1,0),IF('01_数值调参'!AD44&lt;0,'03_全链计算'!AE66+1,0),IF('01_数值调参'!AD45&lt;0,'03_全链计算'!AF66+1,0),IF('01_数值调参'!AD46&lt;0,'03_全链计算'!AG66+1,0),IF('01_数值调参'!AD47&lt;0,'03_全链计算'!AH66+1,0),IF('01_数值调参'!AD48&lt;0,'03_全链计算'!AI66+1,0),IF('01_数值调参'!AD49&lt;0,'03_全链计算'!AJ66+1,0),IF('01_数值调参'!AD50&lt;0,'03_全链计算'!AK66+1,0),IF('01_数值调参'!AD51&lt;0,'03_全链计算'!AL66+1,0),IF('01_数值调参'!AD52&lt;0,'03_全链计算'!AM66+1,0))</x:f>
        <x:v>1</x:v>
      </x:c>
      <x:c r="AE67" s="9" t="n">
        <x:f>MAX(IF('01_数值调参'!AE18&lt;0,'03_全链计算'!E66+1,0),IF('01_数值调参'!AE19&lt;0,'03_全链计算'!F66+1,0),IF('01_数值调参'!AE20&lt;0,'03_全链计算'!G66+1,0),IF('01_数值调参'!AE21&lt;0,'03_全链计算'!H66+1,0),IF('01_数值调参'!AE22&lt;0,'03_全链计算'!I66+1,0),IF('01_数值调参'!AE23&lt;0,'03_全链计算'!J66+1,0),IF('01_数值调参'!AE24&lt;0,'03_全链计算'!K66+1,0),IF('01_数值调参'!AE25&lt;0,'03_全链计算'!L66+1,0),IF('01_数值调参'!AE26&lt;0,'03_全链计算'!M66+1,0),IF('01_数值调参'!AE27&lt;0,'03_全链计算'!N66+1,0),IF('01_数值调参'!AE28&lt;0,'03_全链计算'!O66+1,0),IF('01_数值调参'!AE29&lt;0,'03_全链计算'!P66+1,0),IF('01_数值调参'!AE30&lt;0,'03_全链计算'!Q66+1,0),IF('01_数值调参'!AE31&lt;0,'03_全链计算'!R66+1,0),IF('01_数值调参'!AE32&lt;0,'03_全链计算'!S66+1,0),IF('01_数值调参'!AE33&lt;0,'03_全链计算'!T66+1,0),IF('01_数值调参'!AE34&lt;0,'03_全链计算'!U66+1,0),IF('01_数值调参'!AE35&lt;0,'03_全链计算'!V66+1,0),IF('01_数值调参'!AE36&lt;0,'03_全链计算'!W66+1,0),IF('01_数值调参'!AE37&lt;0,'03_全链计算'!X66+1,0),IF('01_数值调参'!AE38&lt;0,'03_全链计算'!Y66+1,0),IF('01_数值调参'!AE39&lt;0,'03_全链计算'!Z66+1,0),IF('01_数值调参'!AE40&lt;0,'03_全链计算'!AA66+1,0),IF('01_数值调参'!AE41&lt;0,'03_全链计算'!AB66+1,0),IF('01_数值调参'!AE42&lt;0,'03_全链计算'!AC66+1,0),IF('01_数值调参'!AE43&lt;0,'03_全链计算'!AD66+1,0),IF('01_数值调参'!AE44&lt;0,'03_全链计算'!AE66+1,0),IF('01_数值调参'!AE45&lt;0,'03_全链计算'!AF66+1,0),IF('01_数值调参'!AE46&lt;0,'03_全链计算'!AG66+1,0),IF('01_数值调参'!AE47&lt;0,'03_全链计算'!AH66+1,0),IF('01_数值调参'!AE48&lt;0,'03_全链计算'!AI66+1,0),IF('01_数值调参'!AE49&lt;0,'03_全链计算'!AJ66+1,0),IF('01_数值调参'!AE50&lt;0,'03_全链计算'!AK66+1,0),IF('01_数值调参'!AE51&lt;0,'03_全链计算'!AL66+1,0),IF('01_数值调参'!AE52&lt;0,'03_全链计算'!AM66+1,0))</x:f>
        <x:v>1</x:v>
      </x:c>
      <x:c r="AF67" s="9" t="n">
        <x:f>MAX(IF('01_数值调参'!AF18&lt;0,'03_全链计算'!E66+1,0),IF('01_数值调参'!AF19&lt;0,'03_全链计算'!F66+1,0),IF('01_数值调参'!AF20&lt;0,'03_全链计算'!G66+1,0),IF('01_数值调参'!AF21&lt;0,'03_全链计算'!H66+1,0),IF('01_数值调参'!AF22&lt;0,'03_全链计算'!I66+1,0),IF('01_数值调参'!AF23&lt;0,'03_全链计算'!J66+1,0),IF('01_数值调参'!AF24&lt;0,'03_全链计算'!K66+1,0),IF('01_数值调参'!AF25&lt;0,'03_全链计算'!L66+1,0),IF('01_数值调参'!AF26&lt;0,'03_全链计算'!M66+1,0),IF('01_数值调参'!AF27&lt;0,'03_全链计算'!N66+1,0),IF('01_数值调参'!AF28&lt;0,'03_全链计算'!O66+1,0),IF('01_数值调参'!AF29&lt;0,'03_全链计算'!P66+1,0),IF('01_数值调参'!AF30&lt;0,'03_全链计算'!Q66+1,0),IF('01_数值调参'!AF31&lt;0,'03_全链计算'!R66+1,0),IF('01_数值调参'!AF32&lt;0,'03_全链计算'!S66+1,0),IF('01_数值调参'!AF33&lt;0,'03_全链计算'!T66+1,0),IF('01_数值调参'!AF34&lt;0,'03_全链计算'!U66+1,0),IF('01_数值调参'!AF35&lt;0,'03_全链计算'!V66+1,0),IF('01_数值调参'!AF36&lt;0,'03_全链计算'!W66+1,0),IF('01_数值调参'!AF37&lt;0,'03_全链计算'!X66+1,0),IF('01_数值调参'!AF38&lt;0,'03_全链计算'!Y66+1,0),IF('01_数值调参'!AF39&lt;0,'03_全链计算'!Z66+1,0),IF('01_数值调参'!AF40&lt;0,'03_全链计算'!AA66+1,0),IF('01_数值调参'!AF41&lt;0,'03_全链计算'!AB66+1,0),IF('01_数值调参'!AF42&lt;0,'03_全链计算'!AC66+1,0),IF('01_数值调参'!AF43&lt;0,'03_全链计算'!AD66+1,0),IF('01_数值调参'!AF44&lt;0,'03_全链计算'!AE66+1,0),IF('01_数值调参'!AF45&lt;0,'03_全链计算'!AF66+1,0),IF('01_数值调参'!AF46&lt;0,'03_全链计算'!AG66+1,0),IF('01_数值调参'!AF47&lt;0,'03_全链计算'!AH66+1,0),IF('01_数值调参'!AF48&lt;0,'03_全链计算'!AI66+1,0),IF('01_数值调参'!AF49&lt;0,'03_全链计算'!AJ66+1,0),IF('01_数值调参'!AF50&lt;0,'03_全链计算'!AK66+1,0),IF('01_数值调参'!AF51&lt;0,'03_全链计算'!AL66+1,0),IF('01_数值调参'!AF52&lt;0,'03_全链计算'!AM66+1,0))</x:f>
        <x:v>1</x:v>
      </x:c>
      <x:c r="AG67" s="9" t="n">
        <x:f>MAX(IF('01_数值调参'!AG18&lt;0,'03_全链计算'!E66+1,0),IF('01_数值调参'!AG19&lt;0,'03_全链计算'!F66+1,0),IF('01_数值调参'!AG20&lt;0,'03_全链计算'!G66+1,0),IF('01_数值调参'!AG21&lt;0,'03_全链计算'!H66+1,0),IF('01_数值调参'!AG22&lt;0,'03_全链计算'!I66+1,0),IF('01_数值调参'!AG23&lt;0,'03_全链计算'!J66+1,0),IF('01_数值调参'!AG24&lt;0,'03_全链计算'!K66+1,0),IF('01_数值调参'!AG25&lt;0,'03_全链计算'!L66+1,0),IF('01_数值调参'!AG26&lt;0,'03_全链计算'!M66+1,0),IF('01_数值调参'!AG27&lt;0,'03_全链计算'!N66+1,0),IF('01_数值调参'!AG28&lt;0,'03_全链计算'!O66+1,0),IF('01_数值调参'!AG29&lt;0,'03_全链计算'!P66+1,0),IF('01_数值调参'!AG30&lt;0,'03_全链计算'!Q66+1,0),IF('01_数值调参'!AG31&lt;0,'03_全链计算'!R66+1,0),IF('01_数值调参'!AG32&lt;0,'03_全链计算'!S66+1,0),IF('01_数值调参'!AG33&lt;0,'03_全链计算'!T66+1,0),IF('01_数值调参'!AG34&lt;0,'03_全链计算'!U66+1,0),IF('01_数值调参'!AG35&lt;0,'03_全链计算'!V66+1,0),IF('01_数值调参'!AG36&lt;0,'03_全链计算'!W66+1,0),IF('01_数值调参'!AG37&lt;0,'03_全链计算'!X66+1,0),IF('01_数值调参'!AG38&lt;0,'03_全链计算'!Y66+1,0),IF('01_数值调参'!AG39&lt;0,'03_全链计算'!Z66+1,0),IF('01_数值调参'!AG40&lt;0,'03_全链计算'!AA66+1,0),IF('01_数值调参'!AG41&lt;0,'03_全链计算'!AB66+1,0),IF('01_数值调参'!AG42&lt;0,'03_全链计算'!AC66+1,0),IF('01_数值调参'!AG43&lt;0,'03_全链计算'!AD66+1,0),IF('01_数值调参'!AG44&lt;0,'03_全链计算'!AE66+1,0),IF('01_数值调参'!AG45&lt;0,'03_全链计算'!AF66+1,0),IF('01_数值调参'!AG46&lt;0,'03_全链计算'!AG66+1,0),IF('01_数值调参'!AG47&lt;0,'03_全链计算'!AH66+1,0),IF('01_数值调参'!AG48&lt;0,'03_全链计算'!AI66+1,0),IF('01_数值调参'!AG49&lt;0,'03_全链计算'!AJ66+1,0),IF('01_数值调参'!AG50&lt;0,'03_全链计算'!AK66+1,0),IF('01_数值调参'!AG51&lt;0,'03_全链计算'!AL66+1,0),IF('01_数值调参'!AG52&lt;0,'03_全链计算'!AM66+1,0))</x:f>
        <x:v>1</x:v>
      </x:c>
      <x:c r="AH67" s="9" t="n">
        <x:f>MAX(IF('01_数值调参'!AH18&lt;0,'03_全链计算'!E66+1,0),IF('01_数值调参'!AH19&lt;0,'03_全链计算'!F66+1,0),IF('01_数值调参'!AH20&lt;0,'03_全链计算'!G66+1,0),IF('01_数值调参'!AH21&lt;0,'03_全链计算'!H66+1,0),IF('01_数值调参'!AH22&lt;0,'03_全链计算'!I66+1,0),IF('01_数值调参'!AH23&lt;0,'03_全链计算'!J66+1,0),IF('01_数值调参'!AH24&lt;0,'03_全链计算'!K66+1,0),IF('01_数值调参'!AH25&lt;0,'03_全链计算'!L66+1,0),IF('01_数值调参'!AH26&lt;0,'03_全链计算'!M66+1,0),IF('01_数值调参'!AH27&lt;0,'03_全链计算'!N66+1,0),IF('01_数值调参'!AH28&lt;0,'03_全链计算'!O66+1,0),IF('01_数值调参'!AH29&lt;0,'03_全链计算'!P66+1,0),IF('01_数值调参'!AH30&lt;0,'03_全链计算'!Q66+1,0),IF('01_数值调参'!AH31&lt;0,'03_全链计算'!R66+1,0),IF('01_数值调参'!AH32&lt;0,'03_全链计算'!S66+1,0),IF('01_数值调参'!AH33&lt;0,'03_全链计算'!T66+1,0),IF('01_数值调参'!AH34&lt;0,'03_全链计算'!U66+1,0),IF('01_数值调参'!AH35&lt;0,'03_全链计算'!V66+1,0),IF('01_数值调参'!AH36&lt;0,'03_全链计算'!W66+1,0),IF('01_数值调参'!AH37&lt;0,'03_全链计算'!X66+1,0),IF('01_数值调参'!AH38&lt;0,'03_全链计算'!Y66+1,0),IF('01_数值调参'!AH39&lt;0,'03_全链计算'!Z66+1,0),IF('01_数值调参'!AH40&lt;0,'03_全链计算'!AA66+1,0),IF('01_数值调参'!AH41&lt;0,'03_全链计算'!AB66+1,0),IF('01_数值调参'!AH42&lt;0,'03_全链计算'!AC66+1,0),IF('01_数值调参'!AH43&lt;0,'03_全链计算'!AD66+1,0),IF('01_数值调参'!AH44&lt;0,'03_全链计算'!AE66+1,0),IF('01_数值调参'!AH45&lt;0,'03_全链计算'!AF66+1,0),IF('01_数值调参'!AH46&lt;0,'03_全链计算'!AG66+1,0),IF('01_数值调参'!AH47&lt;0,'03_全链计算'!AH66+1,0),IF('01_数值调参'!AH48&lt;0,'03_全链计算'!AI66+1,0),IF('01_数值调参'!AH49&lt;0,'03_全链计算'!AJ66+1,0),IF('01_数值调参'!AH50&lt;0,'03_全链计算'!AK66+1,0),IF('01_数值调参'!AH51&lt;0,'03_全链计算'!AL66+1,0),IF('01_数值调参'!AH52&lt;0,'03_全链计算'!AM66+1,0))</x:f>
        <x:v>2</x:v>
      </x:c>
      <x:c r="AI67" s="9" t="n">
        <x:f>MAX(IF('01_数值调参'!AI18&lt;0,'03_全链计算'!E66+1,0),IF('01_数值调参'!AI19&lt;0,'03_全链计算'!F66+1,0),IF('01_数值调参'!AI20&lt;0,'03_全链计算'!G66+1,0),IF('01_数值调参'!AI21&lt;0,'03_全链计算'!H66+1,0),IF('01_数值调参'!AI22&lt;0,'03_全链计算'!I66+1,0),IF('01_数值调参'!AI23&lt;0,'03_全链计算'!J66+1,0),IF('01_数值调参'!AI24&lt;0,'03_全链计算'!K66+1,0),IF('01_数值调参'!AI25&lt;0,'03_全链计算'!L66+1,0),IF('01_数值调参'!AI26&lt;0,'03_全链计算'!M66+1,0),IF('01_数值调参'!AI27&lt;0,'03_全链计算'!N66+1,0),IF('01_数值调参'!AI28&lt;0,'03_全链计算'!O66+1,0),IF('01_数值调参'!AI29&lt;0,'03_全链计算'!P66+1,0),IF('01_数值调参'!AI30&lt;0,'03_全链计算'!Q66+1,0),IF('01_数值调参'!AI31&lt;0,'03_全链计算'!R66+1,0),IF('01_数值调参'!AI32&lt;0,'03_全链计算'!S66+1,0),IF('01_数值调参'!AI33&lt;0,'03_全链计算'!T66+1,0),IF('01_数值调参'!AI34&lt;0,'03_全链计算'!U66+1,0),IF('01_数值调参'!AI35&lt;0,'03_全链计算'!V66+1,0),IF('01_数值调参'!AI36&lt;0,'03_全链计算'!W66+1,0),IF('01_数值调参'!AI37&lt;0,'03_全链计算'!X66+1,0),IF('01_数值调参'!AI38&lt;0,'03_全链计算'!Y66+1,0),IF('01_数值调参'!AI39&lt;0,'03_全链计算'!Z66+1,0),IF('01_数值调参'!AI40&lt;0,'03_全链计算'!AA66+1,0),IF('01_数值调参'!AI41&lt;0,'03_全链计算'!AB66+1,0),IF('01_数值调参'!AI42&lt;0,'03_全链计算'!AC66+1,0),IF('01_数值调参'!AI43&lt;0,'03_全链计算'!AD66+1,0),IF('01_数值调参'!AI44&lt;0,'03_全链计算'!AE66+1,0),IF('01_数值调参'!AI45&lt;0,'03_全链计算'!AF66+1,0),IF('01_数值调参'!AI46&lt;0,'03_全链计算'!AG66+1,0),IF('01_数值调参'!AI47&lt;0,'03_全链计算'!AH66+1,0),IF('01_数值调参'!AI48&lt;0,'03_全链计算'!AI66+1,0),IF('01_数值调参'!AI49&lt;0,'03_全链计算'!AJ66+1,0),IF('01_数值调参'!AI50&lt;0,'03_全链计算'!AK66+1,0),IF('01_数值调参'!AI51&lt;0,'03_全链计算'!AL66+1,0),IF('01_数值调参'!AI52&lt;0,'03_全链计算'!AM66+1,0))</x:f>
        <x:v>2</x:v>
      </x:c>
      <x:c r="AJ67" s="9" t="n">
        <x:f>MAX(IF('01_数值调参'!AJ18&lt;0,'03_全链计算'!E66+1,0),IF('01_数值调参'!AJ19&lt;0,'03_全链计算'!F66+1,0),IF('01_数值调参'!AJ20&lt;0,'03_全链计算'!G66+1,0),IF('01_数值调参'!AJ21&lt;0,'03_全链计算'!H66+1,0),IF('01_数值调参'!AJ22&lt;0,'03_全链计算'!I66+1,0),IF('01_数值调参'!AJ23&lt;0,'03_全链计算'!J66+1,0),IF('01_数值调参'!AJ24&lt;0,'03_全链计算'!K66+1,0),IF('01_数值调参'!AJ25&lt;0,'03_全链计算'!L66+1,0),IF('01_数值调参'!AJ26&lt;0,'03_全链计算'!M66+1,0),IF('01_数值调参'!AJ27&lt;0,'03_全链计算'!N66+1,0),IF('01_数值调参'!AJ28&lt;0,'03_全链计算'!O66+1,0),IF('01_数值调参'!AJ29&lt;0,'03_全链计算'!P66+1,0),IF('01_数值调参'!AJ30&lt;0,'03_全链计算'!Q66+1,0),IF('01_数值调参'!AJ31&lt;0,'03_全链计算'!R66+1,0),IF('01_数值调参'!AJ32&lt;0,'03_全链计算'!S66+1,0),IF('01_数值调参'!AJ33&lt;0,'03_全链计算'!T66+1,0),IF('01_数值调参'!AJ34&lt;0,'03_全链计算'!U66+1,0),IF('01_数值调参'!AJ35&lt;0,'03_全链计算'!V66+1,0),IF('01_数值调参'!AJ36&lt;0,'03_全链计算'!W66+1,0),IF('01_数值调参'!AJ37&lt;0,'03_全链计算'!X66+1,0),IF('01_数值调参'!AJ38&lt;0,'03_全链计算'!Y66+1,0),IF('01_数值调参'!AJ39&lt;0,'03_全链计算'!Z66+1,0),IF('01_数值调参'!AJ40&lt;0,'03_全链计算'!AA66+1,0),IF('01_数值调参'!AJ41&lt;0,'03_全链计算'!AB66+1,0),IF('01_数值调参'!AJ42&lt;0,'03_全链计算'!AC66+1,0),IF('01_数值调参'!AJ43&lt;0,'03_全链计算'!AD66+1,0),IF('01_数值调参'!AJ44&lt;0,'03_全链计算'!AE66+1,0),IF('01_数值调参'!AJ45&lt;0,'03_全链计算'!AF66+1,0),IF('01_数值调参'!AJ46&lt;0,'03_全链计算'!AG66+1,0),IF('01_数值调参'!AJ47&lt;0,'03_全链计算'!AH66+1,0),IF('01_数值调参'!AJ48&lt;0,'03_全链计算'!AI66+1,0),IF('01_数值调参'!AJ49&lt;0,'03_全链计算'!AJ66+1,0),IF('01_数值调参'!AJ50&lt;0,'03_全链计算'!AK66+1,0),IF('01_数值调参'!AJ51&lt;0,'03_全链计算'!AL66+1,0),IF('01_数值调参'!AJ52&lt;0,'03_全链计算'!AM66+1,0))</x:f>
        <x:v>2</x:v>
      </x:c>
      <x:c r="AK67" s="9" t="n">
        <x:f>MAX(IF('01_数值调参'!AK18&lt;0,'03_全链计算'!E66+1,0),IF('01_数值调参'!AK19&lt;0,'03_全链计算'!F66+1,0),IF('01_数值调参'!AK20&lt;0,'03_全链计算'!G66+1,0),IF('01_数值调参'!AK21&lt;0,'03_全链计算'!H66+1,0),IF('01_数值调参'!AK22&lt;0,'03_全链计算'!I66+1,0),IF('01_数值调参'!AK23&lt;0,'03_全链计算'!J66+1,0),IF('01_数值调参'!AK24&lt;0,'03_全链计算'!K66+1,0),IF('01_数值调参'!AK25&lt;0,'03_全链计算'!L66+1,0),IF('01_数值调参'!AK26&lt;0,'03_全链计算'!M66+1,0),IF('01_数值调参'!AK27&lt;0,'03_全链计算'!N66+1,0),IF('01_数值调参'!AK28&lt;0,'03_全链计算'!O66+1,0),IF('01_数值调参'!AK29&lt;0,'03_全链计算'!P66+1,0),IF('01_数值调参'!AK30&lt;0,'03_全链计算'!Q66+1,0),IF('01_数值调参'!AK31&lt;0,'03_全链计算'!R66+1,0),IF('01_数值调参'!AK32&lt;0,'03_全链计算'!S66+1,0),IF('01_数值调参'!AK33&lt;0,'03_全链计算'!T66+1,0),IF('01_数值调参'!AK34&lt;0,'03_全链计算'!U66+1,0),IF('01_数值调参'!AK35&lt;0,'03_全链计算'!V66+1,0),IF('01_数值调参'!AK36&lt;0,'03_全链计算'!W66+1,0),IF('01_数值调参'!AK37&lt;0,'03_全链计算'!X66+1,0),IF('01_数值调参'!AK38&lt;0,'03_全链计算'!Y66+1,0),IF('01_数值调参'!AK39&lt;0,'03_全链计算'!Z66+1,0),IF('01_数值调参'!AK40&lt;0,'03_全链计算'!AA66+1,0),IF('01_数值调参'!AK41&lt;0,'03_全链计算'!AB66+1,0),IF('01_数值调参'!AK42&lt;0,'03_全链计算'!AC66+1,0),IF('01_数值调参'!AK43&lt;0,'03_全链计算'!AD66+1,0),IF('01_数值调参'!AK44&lt;0,'03_全链计算'!AE66+1,0),IF('01_数值调参'!AK45&lt;0,'03_全链计算'!AF66+1,0),IF('01_数值调参'!AK46&lt;0,'03_全链计算'!AG66+1,0),IF('01_数值调参'!AK47&lt;0,'03_全链计算'!AH66+1,0),IF('01_数值调参'!AK48&lt;0,'03_全链计算'!AI66+1,0),IF('01_数值调参'!AK49&lt;0,'03_全链计算'!AJ66+1,0),IF('01_数值调参'!AK50&lt;0,'03_全链计算'!AK66+1,0),IF('01_数值调参'!AK51&lt;0,'03_全链计算'!AL66+1,0),IF('01_数值调参'!AK52&lt;0,'03_全链计算'!AM66+1,0))</x:f>
        <x:v>2</x:v>
      </x:c>
      <x:c r="AL67" s="9" t="n">
        <x:f>MAX(IF('01_数值调参'!AL18&lt;0,'03_全链计算'!E66+1,0),IF('01_数值调参'!AL19&lt;0,'03_全链计算'!F66+1,0),IF('01_数值调参'!AL20&lt;0,'03_全链计算'!G66+1,0),IF('01_数值调参'!AL21&lt;0,'03_全链计算'!H66+1,0),IF('01_数值调参'!AL22&lt;0,'03_全链计算'!I66+1,0),IF('01_数值调参'!AL23&lt;0,'03_全链计算'!J66+1,0),IF('01_数值调参'!AL24&lt;0,'03_全链计算'!K66+1,0),IF('01_数值调参'!AL25&lt;0,'03_全链计算'!L66+1,0),IF('01_数值调参'!AL26&lt;0,'03_全链计算'!M66+1,0),IF('01_数值调参'!AL27&lt;0,'03_全链计算'!N66+1,0),IF('01_数值调参'!AL28&lt;0,'03_全链计算'!O66+1,0),IF('01_数值调参'!AL29&lt;0,'03_全链计算'!P66+1,0),IF('01_数值调参'!AL30&lt;0,'03_全链计算'!Q66+1,0),IF('01_数值调参'!AL31&lt;0,'03_全链计算'!R66+1,0),IF('01_数值调参'!AL32&lt;0,'03_全链计算'!S66+1,0),IF('01_数值调参'!AL33&lt;0,'03_全链计算'!T66+1,0),IF('01_数值调参'!AL34&lt;0,'03_全链计算'!U66+1,0),IF('01_数值调参'!AL35&lt;0,'03_全链计算'!V66+1,0),IF('01_数值调参'!AL36&lt;0,'03_全链计算'!W66+1,0),IF('01_数值调参'!AL37&lt;0,'03_全链计算'!X66+1,0),IF('01_数值调参'!AL38&lt;0,'03_全链计算'!Y66+1,0),IF('01_数值调参'!AL39&lt;0,'03_全链计算'!Z66+1,0),IF('01_数值调参'!AL40&lt;0,'03_全链计算'!AA66+1,0),IF('01_数值调参'!AL41&lt;0,'03_全链计算'!AB66+1,0),IF('01_数值调参'!AL42&lt;0,'03_全链计算'!AC66+1,0),IF('01_数值调参'!AL43&lt;0,'03_全链计算'!AD66+1,0),IF('01_数值调参'!AL44&lt;0,'03_全链计算'!AE66+1,0),IF('01_数值调参'!AL45&lt;0,'03_全链计算'!AF66+1,0),IF('01_数值调参'!AL46&lt;0,'03_全链计算'!AG66+1,0),IF('01_数值调参'!AL47&lt;0,'03_全链计算'!AH66+1,0),IF('01_数值调参'!AL48&lt;0,'03_全链计算'!AI66+1,0),IF('01_数值调参'!AL49&lt;0,'03_全链计算'!AJ66+1,0),IF('01_数值调参'!AL50&lt;0,'03_全链计算'!AK66+1,0),IF('01_数值调参'!AL51&lt;0,'03_全链计算'!AL66+1,0),IF('01_数值调参'!AL52&lt;0,'03_全链计算'!AM66+1,0))</x:f>
        <x:v>3</x:v>
      </x:c>
      <x:c r="AM67" s="9" t="n">
        <x:f>MAX(IF('01_数值调参'!AM18&lt;0,'03_全链计算'!E66+1,0),IF('01_数值调参'!AM19&lt;0,'03_全链计算'!F66+1,0),IF('01_数值调参'!AM20&lt;0,'03_全链计算'!G66+1,0),IF('01_数值调参'!AM21&lt;0,'03_全链计算'!H66+1,0),IF('01_数值调参'!AM22&lt;0,'03_全链计算'!I66+1,0),IF('01_数值调参'!AM23&lt;0,'03_全链计算'!J66+1,0),IF('01_数值调参'!AM24&lt;0,'03_全链计算'!K66+1,0),IF('01_数值调参'!AM25&lt;0,'03_全链计算'!L66+1,0),IF('01_数值调参'!AM26&lt;0,'03_全链计算'!M66+1,0),IF('01_数值调参'!AM27&lt;0,'03_全链计算'!N66+1,0),IF('01_数值调参'!AM28&lt;0,'03_全链计算'!O66+1,0),IF('01_数值调参'!AM29&lt;0,'03_全链计算'!P66+1,0),IF('01_数值调参'!AM30&lt;0,'03_全链计算'!Q66+1,0),IF('01_数值调参'!AM31&lt;0,'03_全链计算'!R66+1,0),IF('01_数值调参'!AM32&lt;0,'03_全链计算'!S66+1,0),IF('01_数值调参'!AM33&lt;0,'03_全链计算'!T66+1,0),IF('01_数值调参'!AM34&lt;0,'03_全链计算'!U66+1,0),IF('01_数值调参'!AM35&lt;0,'03_全链计算'!V66+1,0),IF('01_数值调参'!AM36&lt;0,'03_全链计算'!W66+1,0),IF('01_数值调参'!AM37&lt;0,'03_全链计算'!X66+1,0),IF('01_数值调参'!AM38&lt;0,'03_全链计算'!Y66+1,0),IF('01_数值调参'!AM39&lt;0,'03_全链计算'!Z66+1,0),IF('01_数值调参'!AM40&lt;0,'03_全链计算'!AA66+1,0),IF('01_数值调参'!AM41&lt;0,'03_全链计算'!AB66+1,0),IF('01_数值调参'!AM42&lt;0,'03_全链计算'!AC66+1,0),IF('01_数值调参'!AM43&lt;0,'03_全链计算'!AD66+1,0),IF('01_数值调参'!AM44&lt;0,'03_全链计算'!AE66+1,0),IF('01_数值调参'!AM45&lt;0,'03_全链计算'!AF66+1,0),IF('01_数值调参'!AM46&lt;0,'03_全链计算'!AG66+1,0),IF('01_数值调参'!AM47&lt;0,'03_全链计算'!AH66+1,0),IF('01_数值调参'!AM48&lt;0,'03_全链计算'!AI66+1,0),IF('01_数值调参'!AM49&lt;0,'03_全链计算'!AJ66+1,0),IF('01_数值调参'!AM50&lt;0,'03_全链计算'!AK66+1,0),IF('01_数值调参'!AM51&lt;0,'03_全链计算'!AL66+1,0),IF('01_数值调参'!AM52&lt;0,'03_全链计算'!AM66+1,0))</x:f>
        <x:v>3</x:v>
      </x:c>
    </x:row>
    <x:row r="68" ht="22" customHeight="1">
      <x:c r="A68" s="9" t="n">
        <x:v>23</x:v>
      </x:c>
      <x:c r="B68" s="9"/>
      <x:c r="C68" s="9"/>
      <x:c r="D68" s="9"/>
      <x:c r="E68" s="9" t="n">
        <x:f>MAX(IF('01_数值调参'!E18&lt;0,'03_全链计算'!E67+1,0),IF('01_数值调参'!E19&lt;0,'03_全链计算'!F67+1,0),IF('01_数值调参'!E20&lt;0,'03_全链计算'!G67+1,0),IF('01_数值调参'!E21&lt;0,'03_全链计算'!H67+1,0),IF('01_数值调参'!E22&lt;0,'03_全链计算'!I67+1,0),IF('01_数值调参'!E23&lt;0,'03_全链计算'!J67+1,0),IF('01_数值调参'!E24&lt;0,'03_全链计算'!K67+1,0),IF('01_数值调参'!E25&lt;0,'03_全链计算'!L67+1,0),IF('01_数值调参'!E26&lt;0,'03_全链计算'!M67+1,0),IF('01_数值调参'!E27&lt;0,'03_全链计算'!N67+1,0),IF('01_数值调参'!E28&lt;0,'03_全链计算'!O67+1,0),IF('01_数值调参'!E29&lt;0,'03_全链计算'!P67+1,0),IF('01_数值调参'!E30&lt;0,'03_全链计算'!Q67+1,0),IF('01_数值调参'!E31&lt;0,'03_全链计算'!R67+1,0),IF('01_数值调参'!E32&lt;0,'03_全链计算'!S67+1,0),IF('01_数值调参'!E33&lt;0,'03_全链计算'!T67+1,0),IF('01_数值调参'!E34&lt;0,'03_全链计算'!U67+1,0),IF('01_数值调参'!E35&lt;0,'03_全链计算'!V67+1,0),IF('01_数值调参'!E36&lt;0,'03_全链计算'!W67+1,0),IF('01_数值调参'!E37&lt;0,'03_全链计算'!X67+1,0),IF('01_数值调参'!E38&lt;0,'03_全链计算'!Y67+1,0),IF('01_数值调参'!E39&lt;0,'03_全链计算'!Z67+1,0),IF('01_数值调参'!E40&lt;0,'03_全链计算'!AA67+1,0),IF('01_数值调参'!E41&lt;0,'03_全链计算'!AB67+1,0),IF('01_数值调参'!E42&lt;0,'03_全链计算'!AC67+1,0),IF('01_数值调参'!E43&lt;0,'03_全链计算'!AD67+1,0),IF('01_数值调参'!E44&lt;0,'03_全链计算'!AE67+1,0),IF('01_数值调参'!E45&lt;0,'03_全链计算'!AF67+1,0),IF('01_数值调参'!E46&lt;0,'03_全链计算'!AG67+1,0),IF('01_数值调参'!E47&lt;0,'03_全链计算'!AH67+1,0),IF('01_数值调参'!E48&lt;0,'03_全链计算'!AI67+1,0),IF('01_数值调参'!E49&lt;0,'03_全链计算'!AJ67+1,0),IF('01_数值调参'!E50&lt;0,'03_全链计算'!AK67+1,0),IF('01_数值调参'!E51&lt;0,'03_全链计算'!AL67+1,0),IF('01_数值调参'!E52&lt;0,'03_全链计算'!AM67+1,0))</x:f>
        <x:v>0</x:v>
      </x:c>
      <x:c r="F68" s="9" t="n">
        <x:f>MAX(IF('01_数值调参'!F18&lt;0,'03_全链计算'!E67+1,0),IF('01_数值调参'!F19&lt;0,'03_全链计算'!F67+1,0),IF('01_数值调参'!F20&lt;0,'03_全链计算'!G67+1,0),IF('01_数值调参'!F21&lt;0,'03_全链计算'!H67+1,0),IF('01_数值调参'!F22&lt;0,'03_全链计算'!I67+1,0),IF('01_数值调参'!F23&lt;0,'03_全链计算'!J67+1,0),IF('01_数值调参'!F24&lt;0,'03_全链计算'!K67+1,0),IF('01_数值调参'!F25&lt;0,'03_全链计算'!L67+1,0),IF('01_数值调参'!F26&lt;0,'03_全链计算'!M67+1,0),IF('01_数值调参'!F27&lt;0,'03_全链计算'!N67+1,0),IF('01_数值调参'!F28&lt;0,'03_全链计算'!O67+1,0),IF('01_数值调参'!F29&lt;0,'03_全链计算'!P67+1,0),IF('01_数值调参'!F30&lt;0,'03_全链计算'!Q67+1,0),IF('01_数值调参'!F31&lt;0,'03_全链计算'!R67+1,0),IF('01_数值调参'!F32&lt;0,'03_全链计算'!S67+1,0),IF('01_数值调参'!F33&lt;0,'03_全链计算'!T67+1,0),IF('01_数值调参'!F34&lt;0,'03_全链计算'!U67+1,0),IF('01_数值调参'!F35&lt;0,'03_全链计算'!V67+1,0),IF('01_数值调参'!F36&lt;0,'03_全链计算'!W67+1,0),IF('01_数值调参'!F37&lt;0,'03_全链计算'!X67+1,0),IF('01_数值调参'!F38&lt;0,'03_全链计算'!Y67+1,0),IF('01_数值调参'!F39&lt;0,'03_全链计算'!Z67+1,0),IF('01_数值调参'!F40&lt;0,'03_全链计算'!AA67+1,0),IF('01_数值调参'!F41&lt;0,'03_全链计算'!AB67+1,0),IF('01_数值调参'!F42&lt;0,'03_全链计算'!AC67+1,0),IF('01_数值调参'!F43&lt;0,'03_全链计算'!AD67+1,0),IF('01_数值调参'!F44&lt;0,'03_全链计算'!AE67+1,0),IF('01_数值调参'!F45&lt;0,'03_全链计算'!AF67+1,0),IF('01_数值调参'!F46&lt;0,'03_全链计算'!AG67+1,0),IF('01_数值调参'!F47&lt;0,'03_全链计算'!AH67+1,0),IF('01_数值调参'!F48&lt;0,'03_全链计算'!AI67+1,0),IF('01_数值调参'!F49&lt;0,'03_全链计算'!AJ67+1,0),IF('01_数值调参'!F50&lt;0,'03_全链计算'!AK67+1,0),IF('01_数值调参'!F51&lt;0,'03_全链计算'!AL67+1,0),IF('01_数值调参'!F52&lt;0,'03_全链计算'!AM67+1,0))</x:f>
        <x:v>0</x:v>
      </x:c>
      <x:c r="G68" s="9" t="n">
        <x:f>MAX(IF('01_数值调参'!G18&lt;0,'03_全链计算'!E67+1,0),IF('01_数值调参'!G19&lt;0,'03_全链计算'!F67+1,0),IF('01_数值调参'!G20&lt;0,'03_全链计算'!G67+1,0),IF('01_数值调参'!G21&lt;0,'03_全链计算'!H67+1,0),IF('01_数值调参'!G22&lt;0,'03_全链计算'!I67+1,0),IF('01_数值调参'!G23&lt;0,'03_全链计算'!J67+1,0),IF('01_数值调参'!G24&lt;0,'03_全链计算'!K67+1,0),IF('01_数值调参'!G25&lt;0,'03_全链计算'!L67+1,0),IF('01_数值调参'!G26&lt;0,'03_全链计算'!M67+1,0),IF('01_数值调参'!G27&lt;0,'03_全链计算'!N67+1,0),IF('01_数值调参'!G28&lt;0,'03_全链计算'!O67+1,0),IF('01_数值调参'!G29&lt;0,'03_全链计算'!P67+1,0),IF('01_数值调参'!G30&lt;0,'03_全链计算'!Q67+1,0),IF('01_数值调参'!G31&lt;0,'03_全链计算'!R67+1,0),IF('01_数值调参'!G32&lt;0,'03_全链计算'!S67+1,0),IF('01_数值调参'!G33&lt;0,'03_全链计算'!T67+1,0),IF('01_数值调参'!G34&lt;0,'03_全链计算'!U67+1,0),IF('01_数值调参'!G35&lt;0,'03_全链计算'!V67+1,0),IF('01_数值调参'!G36&lt;0,'03_全链计算'!W67+1,0),IF('01_数值调参'!G37&lt;0,'03_全链计算'!X67+1,0),IF('01_数值调参'!G38&lt;0,'03_全链计算'!Y67+1,0),IF('01_数值调参'!G39&lt;0,'03_全链计算'!Z67+1,0),IF('01_数值调参'!G40&lt;0,'03_全链计算'!AA67+1,0),IF('01_数值调参'!G41&lt;0,'03_全链计算'!AB67+1,0),IF('01_数值调参'!G42&lt;0,'03_全链计算'!AC67+1,0),IF('01_数值调参'!G43&lt;0,'03_全链计算'!AD67+1,0),IF('01_数值调参'!G44&lt;0,'03_全链计算'!AE67+1,0),IF('01_数值调参'!G45&lt;0,'03_全链计算'!AF67+1,0),IF('01_数值调参'!G46&lt;0,'03_全链计算'!AG67+1,0),IF('01_数值调参'!G47&lt;0,'03_全链计算'!AH67+1,0),IF('01_数值调参'!G48&lt;0,'03_全链计算'!AI67+1,0),IF('01_数值调参'!G49&lt;0,'03_全链计算'!AJ67+1,0),IF('01_数值调参'!G50&lt;0,'03_全链计算'!AK67+1,0),IF('01_数值调参'!G51&lt;0,'03_全链计算'!AL67+1,0),IF('01_数值调参'!G52&lt;0,'03_全链计算'!AM67+1,0))</x:f>
        <x:v>0</x:v>
      </x:c>
      <x:c r="H68" s="9" t="n">
        <x:f>MAX(IF('01_数值调参'!H18&lt;0,'03_全链计算'!E67+1,0),IF('01_数值调参'!H19&lt;0,'03_全链计算'!F67+1,0),IF('01_数值调参'!H20&lt;0,'03_全链计算'!G67+1,0),IF('01_数值调参'!H21&lt;0,'03_全链计算'!H67+1,0),IF('01_数值调参'!H22&lt;0,'03_全链计算'!I67+1,0),IF('01_数值调参'!H23&lt;0,'03_全链计算'!J67+1,0),IF('01_数值调参'!H24&lt;0,'03_全链计算'!K67+1,0),IF('01_数值调参'!H25&lt;0,'03_全链计算'!L67+1,0),IF('01_数值调参'!H26&lt;0,'03_全链计算'!M67+1,0),IF('01_数值调参'!H27&lt;0,'03_全链计算'!N67+1,0),IF('01_数值调参'!H28&lt;0,'03_全链计算'!O67+1,0),IF('01_数值调参'!H29&lt;0,'03_全链计算'!P67+1,0),IF('01_数值调参'!H30&lt;0,'03_全链计算'!Q67+1,0),IF('01_数值调参'!H31&lt;0,'03_全链计算'!R67+1,0),IF('01_数值调参'!H32&lt;0,'03_全链计算'!S67+1,0),IF('01_数值调参'!H33&lt;0,'03_全链计算'!T67+1,0),IF('01_数值调参'!H34&lt;0,'03_全链计算'!U67+1,0),IF('01_数值调参'!H35&lt;0,'03_全链计算'!V67+1,0),IF('01_数值调参'!H36&lt;0,'03_全链计算'!W67+1,0),IF('01_数值调参'!H37&lt;0,'03_全链计算'!X67+1,0),IF('01_数值调参'!H38&lt;0,'03_全链计算'!Y67+1,0),IF('01_数值调参'!H39&lt;0,'03_全链计算'!Z67+1,0),IF('01_数值调参'!H40&lt;0,'03_全链计算'!AA67+1,0),IF('01_数值调参'!H41&lt;0,'03_全链计算'!AB67+1,0),IF('01_数值调参'!H42&lt;0,'03_全链计算'!AC67+1,0),IF('01_数值调参'!H43&lt;0,'03_全链计算'!AD67+1,0),IF('01_数值调参'!H44&lt;0,'03_全链计算'!AE67+1,0),IF('01_数值调参'!H45&lt;0,'03_全链计算'!AF67+1,0),IF('01_数值调参'!H46&lt;0,'03_全链计算'!AG67+1,0),IF('01_数值调参'!H47&lt;0,'03_全链计算'!AH67+1,0),IF('01_数值调参'!H48&lt;0,'03_全链计算'!AI67+1,0),IF('01_数值调参'!H49&lt;0,'03_全链计算'!AJ67+1,0),IF('01_数值调参'!H50&lt;0,'03_全链计算'!AK67+1,0),IF('01_数值调参'!H51&lt;0,'03_全链计算'!AL67+1,0),IF('01_数值调参'!H52&lt;0,'03_全链计算'!AM67+1,0))</x:f>
        <x:v>0</x:v>
      </x:c>
      <x:c r="I68" s="9" t="n">
        <x:f>MAX(IF('01_数值调参'!I18&lt;0,'03_全链计算'!E67+1,0),IF('01_数值调参'!I19&lt;0,'03_全链计算'!F67+1,0),IF('01_数值调参'!I20&lt;0,'03_全链计算'!G67+1,0),IF('01_数值调参'!I21&lt;0,'03_全链计算'!H67+1,0),IF('01_数值调参'!I22&lt;0,'03_全链计算'!I67+1,0),IF('01_数值调参'!I23&lt;0,'03_全链计算'!J67+1,0),IF('01_数值调参'!I24&lt;0,'03_全链计算'!K67+1,0),IF('01_数值调参'!I25&lt;0,'03_全链计算'!L67+1,0),IF('01_数值调参'!I26&lt;0,'03_全链计算'!M67+1,0),IF('01_数值调参'!I27&lt;0,'03_全链计算'!N67+1,0),IF('01_数值调参'!I28&lt;0,'03_全链计算'!O67+1,0),IF('01_数值调参'!I29&lt;0,'03_全链计算'!P67+1,0),IF('01_数值调参'!I30&lt;0,'03_全链计算'!Q67+1,0),IF('01_数值调参'!I31&lt;0,'03_全链计算'!R67+1,0),IF('01_数值调参'!I32&lt;0,'03_全链计算'!S67+1,0),IF('01_数值调参'!I33&lt;0,'03_全链计算'!T67+1,0),IF('01_数值调参'!I34&lt;0,'03_全链计算'!U67+1,0),IF('01_数值调参'!I35&lt;0,'03_全链计算'!V67+1,0),IF('01_数值调参'!I36&lt;0,'03_全链计算'!W67+1,0),IF('01_数值调参'!I37&lt;0,'03_全链计算'!X67+1,0),IF('01_数值调参'!I38&lt;0,'03_全链计算'!Y67+1,0),IF('01_数值调参'!I39&lt;0,'03_全链计算'!Z67+1,0),IF('01_数值调参'!I40&lt;0,'03_全链计算'!AA67+1,0),IF('01_数值调参'!I41&lt;0,'03_全链计算'!AB67+1,0),IF('01_数值调参'!I42&lt;0,'03_全链计算'!AC67+1,0),IF('01_数值调参'!I43&lt;0,'03_全链计算'!AD67+1,0),IF('01_数值调参'!I44&lt;0,'03_全链计算'!AE67+1,0),IF('01_数值调参'!I45&lt;0,'03_全链计算'!AF67+1,0),IF('01_数值调参'!I46&lt;0,'03_全链计算'!AG67+1,0),IF('01_数值调参'!I47&lt;0,'03_全链计算'!AH67+1,0),IF('01_数值调参'!I48&lt;0,'03_全链计算'!AI67+1,0),IF('01_数值调参'!I49&lt;0,'03_全链计算'!AJ67+1,0),IF('01_数值调参'!I50&lt;0,'03_全链计算'!AK67+1,0),IF('01_数值调参'!I51&lt;0,'03_全链计算'!AL67+1,0),IF('01_数值调参'!I52&lt;0,'03_全链计算'!AM67+1,0))</x:f>
        <x:v>0</x:v>
      </x:c>
      <x:c r="J68" s="9" t="n">
        <x:f>MAX(IF('01_数值调参'!J18&lt;0,'03_全链计算'!E67+1,0),IF('01_数值调参'!J19&lt;0,'03_全链计算'!F67+1,0),IF('01_数值调参'!J20&lt;0,'03_全链计算'!G67+1,0),IF('01_数值调参'!J21&lt;0,'03_全链计算'!H67+1,0),IF('01_数值调参'!J22&lt;0,'03_全链计算'!I67+1,0),IF('01_数值调参'!J23&lt;0,'03_全链计算'!J67+1,0),IF('01_数值调参'!J24&lt;0,'03_全链计算'!K67+1,0),IF('01_数值调参'!J25&lt;0,'03_全链计算'!L67+1,0),IF('01_数值调参'!J26&lt;0,'03_全链计算'!M67+1,0),IF('01_数值调参'!J27&lt;0,'03_全链计算'!N67+1,0),IF('01_数值调参'!J28&lt;0,'03_全链计算'!O67+1,0),IF('01_数值调参'!J29&lt;0,'03_全链计算'!P67+1,0),IF('01_数值调参'!J30&lt;0,'03_全链计算'!Q67+1,0),IF('01_数值调参'!J31&lt;0,'03_全链计算'!R67+1,0),IF('01_数值调参'!J32&lt;0,'03_全链计算'!S67+1,0),IF('01_数值调参'!J33&lt;0,'03_全链计算'!T67+1,0),IF('01_数值调参'!J34&lt;0,'03_全链计算'!U67+1,0),IF('01_数值调参'!J35&lt;0,'03_全链计算'!V67+1,0),IF('01_数值调参'!J36&lt;0,'03_全链计算'!W67+1,0),IF('01_数值调参'!J37&lt;0,'03_全链计算'!X67+1,0),IF('01_数值调参'!J38&lt;0,'03_全链计算'!Y67+1,0),IF('01_数值调参'!J39&lt;0,'03_全链计算'!Z67+1,0),IF('01_数值调参'!J40&lt;0,'03_全链计算'!AA67+1,0),IF('01_数值调参'!J41&lt;0,'03_全链计算'!AB67+1,0),IF('01_数值调参'!J42&lt;0,'03_全链计算'!AC67+1,0),IF('01_数值调参'!J43&lt;0,'03_全链计算'!AD67+1,0),IF('01_数值调参'!J44&lt;0,'03_全链计算'!AE67+1,0),IF('01_数值调参'!J45&lt;0,'03_全链计算'!AF67+1,0),IF('01_数值调参'!J46&lt;0,'03_全链计算'!AG67+1,0),IF('01_数值调参'!J47&lt;0,'03_全链计算'!AH67+1,0),IF('01_数值调参'!J48&lt;0,'03_全链计算'!AI67+1,0),IF('01_数值调参'!J49&lt;0,'03_全链计算'!AJ67+1,0),IF('01_数值调参'!J50&lt;0,'03_全链计算'!AK67+1,0),IF('01_数值调参'!J51&lt;0,'03_全链计算'!AL67+1,0),IF('01_数值调参'!J52&lt;0,'03_全链计算'!AM67+1,0))</x:f>
        <x:v>0</x:v>
      </x:c>
      <x:c r="K68" s="9" t="n">
        <x:f>MAX(IF('01_数值调参'!K18&lt;0,'03_全链计算'!E67+1,0),IF('01_数值调参'!K19&lt;0,'03_全链计算'!F67+1,0),IF('01_数值调参'!K20&lt;0,'03_全链计算'!G67+1,0),IF('01_数值调参'!K21&lt;0,'03_全链计算'!H67+1,0),IF('01_数值调参'!K22&lt;0,'03_全链计算'!I67+1,0),IF('01_数值调参'!K23&lt;0,'03_全链计算'!J67+1,0),IF('01_数值调参'!K24&lt;0,'03_全链计算'!K67+1,0),IF('01_数值调参'!K25&lt;0,'03_全链计算'!L67+1,0),IF('01_数值调参'!K26&lt;0,'03_全链计算'!M67+1,0),IF('01_数值调参'!K27&lt;0,'03_全链计算'!N67+1,0),IF('01_数值调参'!K28&lt;0,'03_全链计算'!O67+1,0),IF('01_数值调参'!K29&lt;0,'03_全链计算'!P67+1,0),IF('01_数值调参'!K30&lt;0,'03_全链计算'!Q67+1,0),IF('01_数值调参'!K31&lt;0,'03_全链计算'!R67+1,0),IF('01_数值调参'!K32&lt;0,'03_全链计算'!S67+1,0),IF('01_数值调参'!K33&lt;0,'03_全链计算'!T67+1,0),IF('01_数值调参'!K34&lt;0,'03_全链计算'!U67+1,0),IF('01_数值调参'!K35&lt;0,'03_全链计算'!V67+1,0),IF('01_数值调参'!K36&lt;0,'03_全链计算'!W67+1,0),IF('01_数值调参'!K37&lt;0,'03_全链计算'!X67+1,0),IF('01_数值调参'!K38&lt;0,'03_全链计算'!Y67+1,0),IF('01_数值调参'!K39&lt;0,'03_全链计算'!Z67+1,0),IF('01_数值调参'!K40&lt;0,'03_全链计算'!AA67+1,0),IF('01_数值调参'!K41&lt;0,'03_全链计算'!AB67+1,0),IF('01_数值调参'!K42&lt;0,'03_全链计算'!AC67+1,0),IF('01_数值调参'!K43&lt;0,'03_全链计算'!AD67+1,0),IF('01_数值调参'!K44&lt;0,'03_全链计算'!AE67+1,0),IF('01_数值调参'!K45&lt;0,'03_全链计算'!AF67+1,0),IF('01_数值调参'!K46&lt;0,'03_全链计算'!AG67+1,0),IF('01_数值调参'!K47&lt;0,'03_全链计算'!AH67+1,0),IF('01_数值调参'!K48&lt;0,'03_全链计算'!AI67+1,0),IF('01_数值调参'!K49&lt;0,'03_全链计算'!AJ67+1,0),IF('01_数值调参'!K50&lt;0,'03_全链计算'!AK67+1,0),IF('01_数值调参'!K51&lt;0,'03_全链计算'!AL67+1,0),IF('01_数值调参'!K52&lt;0,'03_全链计算'!AM67+1,0))</x:f>
        <x:v>0</x:v>
      </x:c>
      <x:c r="L68" s="9" t="n">
        <x:f>MAX(IF('01_数值调参'!L18&lt;0,'03_全链计算'!E67+1,0),IF('01_数值调参'!L19&lt;0,'03_全链计算'!F67+1,0),IF('01_数值调参'!L20&lt;0,'03_全链计算'!G67+1,0),IF('01_数值调参'!L21&lt;0,'03_全链计算'!H67+1,0),IF('01_数值调参'!L22&lt;0,'03_全链计算'!I67+1,0),IF('01_数值调参'!L23&lt;0,'03_全链计算'!J67+1,0),IF('01_数值调参'!L24&lt;0,'03_全链计算'!K67+1,0),IF('01_数值调参'!L25&lt;0,'03_全链计算'!L67+1,0),IF('01_数值调参'!L26&lt;0,'03_全链计算'!M67+1,0),IF('01_数值调参'!L27&lt;0,'03_全链计算'!N67+1,0),IF('01_数值调参'!L28&lt;0,'03_全链计算'!O67+1,0),IF('01_数值调参'!L29&lt;0,'03_全链计算'!P67+1,0),IF('01_数值调参'!L30&lt;0,'03_全链计算'!Q67+1,0),IF('01_数值调参'!L31&lt;0,'03_全链计算'!R67+1,0),IF('01_数值调参'!L32&lt;0,'03_全链计算'!S67+1,0),IF('01_数值调参'!L33&lt;0,'03_全链计算'!T67+1,0),IF('01_数值调参'!L34&lt;0,'03_全链计算'!U67+1,0),IF('01_数值调参'!L35&lt;0,'03_全链计算'!V67+1,0),IF('01_数值调参'!L36&lt;0,'03_全链计算'!W67+1,0),IF('01_数值调参'!L37&lt;0,'03_全链计算'!X67+1,0),IF('01_数值调参'!L38&lt;0,'03_全链计算'!Y67+1,0),IF('01_数值调参'!L39&lt;0,'03_全链计算'!Z67+1,0),IF('01_数值调参'!L40&lt;0,'03_全链计算'!AA67+1,0),IF('01_数值调参'!L41&lt;0,'03_全链计算'!AB67+1,0),IF('01_数值调参'!L42&lt;0,'03_全链计算'!AC67+1,0),IF('01_数值调参'!L43&lt;0,'03_全链计算'!AD67+1,0),IF('01_数值调参'!L44&lt;0,'03_全链计算'!AE67+1,0),IF('01_数值调参'!L45&lt;0,'03_全链计算'!AF67+1,0),IF('01_数值调参'!L46&lt;0,'03_全链计算'!AG67+1,0),IF('01_数值调参'!L47&lt;0,'03_全链计算'!AH67+1,0),IF('01_数值调参'!L48&lt;0,'03_全链计算'!AI67+1,0),IF('01_数值调参'!L49&lt;0,'03_全链计算'!AJ67+1,0),IF('01_数值调参'!L50&lt;0,'03_全链计算'!AK67+1,0),IF('01_数值调参'!L51&lt;0,'03_全链计算'!AL67+1,0),IF('01_数值调参'!L52&lt;0,'03_全链计算'!AM67+1,0))</x:f>
        <x:v>0</x:v>
      </x:c>
      <x:c r="M68" s="9" t="n">
        <x:f>MAX(IF('01_数值调参'!M18&lt;0,'03_全链计算'!E67+1,0),IF('01_数值调参'!M19&lt;0,'03_全链计算'!F67+1,0),IF('01_数值调参'!M20&lt;0,'03_全链计算'!G67+1,0),IF('01_数值调参'!M21&lt;0,'03_全链计算'!H67+1,0),IF('01_数值调参'!M22&lt;0,'03_全链计算'!I67+1,0),IF('01_数值调参'!M23&lt;0,'03_全链计算'!J67+1,0),IF('01_数值调参'!M24&lt;0,'03_全链计算'!K67+1,0),IF('01_数值调参'!M25&lt;0,'03_全链计算'!L67+1,0),IF('01_数值调参'!M26&lt;0,'03_全链计算'!M67+1,0),IF('01_数值调参'!M27&lt;0,'03_全链计算'!N67+1,0),IF('01_数值调参'!M28&lt;0,'03_全链计算'!O67+1,0),IF('01_数值调参'!M29&lt;0,'03_全链计算'!P67+1,0),IF('01_数值调参'!M30&lt;0,'03_全链计算'!Q67+1,0),IF('01_数值调参'!M31&lt;0,'03_全链计算'!R67+1,0),IF('01_数值调参'!M32&lt;0,'03_全链计算'!S67+1,0),IF('01_数值调参'!M33&lt;0,'03_全链计算'!T67+1,0),IF('01_数值调参'!M34&lt;0,'03_全链计算'!U67+1,0),IF('01_数值调参'!M35&lt;0,'03_全链计算'!V67+1,0),IF('01_数值调参'!M36&lt;0,'03_全链计算'!W67+1,0),IF('01_数值调参'!M37&lt;0,'03_全链计算'!X67+1,0),IF('01_数值调参'!M38&lt;0,'03_全链计算'!Y67+1,0),IF('01_数值调参'!M39&lt;0,'03_全链计算'!Z67+1,0),IF('01_数值调参'!M40&lt;0,'03_全链计算'!AA67+1,0),IF('01_数值调参'!M41&lt;0,'03_全链计算'!AB67+1,0),IF('01_数值调参'!M42&lt;0,'03_全链计算'!AC67+1,0),IF('01_数值调参'!M43&lt;0,'03_全链计算'!AD67+1,0),IF('01_数值调参'!M44&lt;0,'03_全链计算'!AE67+1,0),IF('01_数值调参'!M45&lt;0,'03_全链计算'!AF67+1,0),IF('01_数值调参'!M46&lt;0,'03_全链计算'!AG67+1,0),IF('01_数值调参'!M47&lt;0,'03_全链计算'!AH67+1,0),IF('01_数值调参'!M48&lt;0,'03_全链计算'!AI67+1,0),IF('01_数值调参'!M49&lt;0,'03_全链计算'!AJ67+1,0),IF('01_数值调参'!M50&lt;0,'03_全链计算'!AK67+1,0),IF('01_数值调参'!M51&lt;0,'03_全链计算'!AL67+1,0),IF('01_数值调参'!M52&lt;0,'03_全链计算'!AM67+1,0))</x:f>
        <x:v>0</x:v>
      </x:c>
      <x:c r="N68" s="9" t="n">
        <x:f>MAX(IF('01_数值调参'!N18&lt;0,'03_全链计算'!E67+1,0),IF('01_数值调参'!N19&lt;0,'03_全链计算'!F67+1,0),IF('01_数值调参'!N20&lt;0,'03_全链计算'!G67+1,0),IF('01_数值调参'!N21&lt;0,'03_全链计算'!H67+1,0),IF('01_数值调参'!N22&lt;0,'03_全链计算'!I67+1,0),IF('01_数值调参'!N23&lt;0,'03_全链计算'!J67+1,0),IF('01_数值调参'!N24&lt;0,'03_全链计算'!K67+1,0),IF('01_数值调参'!N25&lt;0,'03_全链计算'!L67+1,0),IF('01_数值调参'!N26&lt;0,'03_全链计算'!M67+1,0),IF('01_数值调参'!N27&lt;0,'03_全链计算'!N67+1,0),IF('01_数值调参'!N28&lt;0,'03_全链计算'!O67+1,0),IF('01_数值调参'!N29&lt;0,'03_全链计算'!P67+1,0),IF('01_数值调参'!N30&lt;0,'03_全链计算'!Q67+1,0),IF('01_数值调参'!N31&lt;0,'03_全链计算'!R67+1,0),IF('01_数值调参'!N32&lt;0,'03_全链计算'!S67+1,0),IF('01_数值调参'!N33&lt;0,'03_全链计算'!T67+1,0),IF('01_数值调参'!N34&lt;0,'03_全链计算'!U67+1,0),IF('01_数值调参'!N35&lt;0,'03_全链计算'!V67+1,0),IF('01_数值调参'!N36&lt;0,'03_全链计算'!W67+1,0),IF('01_数值调参'!N37&lt;0,'03_全链计算'!X67+1,0),IF('01_数值调参'!N38&lt;0,'03_全链计算'!Y67+1,0),IF('01_数值调参'!N39&lt;0,'03_全链计算'!Z67+1,0),IF('01_数值调参'!N40&lt;0,'03_全链计算'!AA67+1,0),IF('01_数值调参'!N41&lt;0,'03_全链计算'!AB67+1,0),IF('01_数值调参'!N42&lt;0,'03_全链计算'!AC67+1,0),IF('01_数值调参'!N43&lt;0,'03_全链计算'!AD67+1,0),IF('01_数值调参'!N44&lt;0,'03_全链计算'!AE67+1,0),IF('01_数值调参'!N45&lt;0,'03_全链计算'!AF67+1,0),IF('01_数值调参'!N46&lt;0,'03_全链计算'!AG67+1,0),IF('01_数值调参'!N47&lt;0,'03_全链计算'!AH67+1,0),IF('01_数值调参'!N48&lt;0,'03_全链计算'!AI67+1,0),IF('01_数值调参'!N49&lt;0,'03_全链计算'!AJ67+1,0),IF('01_数值调参'!N50&lt;0,'03_全链计算'!AK67+1,0),IF('01_数值调参'!N51&lt;0,'03_全链计算'!AL67+1,0),IF('01_数值调参'!N52&lt;0,'03_全链计算'!AM67+1,0))</x:f>
        <x:v>1</x:v>
      </x:c>
      <x:c r="O68" s="9" t="n">
        <x:f>MAX(IF('01_数值调参'!O18&lt;0,'03_全链计算'!E67+1,0),IF('01_数值调参'!O19&lt;0,'03_全链计算'!F67+1,0),IF('01_数值调参'!O20&lt;0,'03_全链计算'!G67+1,0),IF('01_数值调参'!O21&lt;0,'03_全链计算'!H67+1,0),IF('01_数值调参'!O22&lt;0,'03_全链计算'!I67+1,0),IF('01_数值调参'!O23&lt;0,'03_全链计算'!J67+1,0),IF('01_数值调参'!O24&lt;0,'03_全链计算'!K67+1,0),IF('01_数值调参'!O25&lt;0,'03_全链计算'!L67+1,0),IF('01_数值调参'!O26&lt;0,'03_全链计算'!M67+1,0),IF('01_数值调参'!O27&lt;0,'03_全链计算'!N67+1,0),IF('01_数值调参'!O28&lt;0,'03_全链计算'!O67+1,0),IF('01_数值调参'!O29&lt;0,'03_全链计算'!P67+1,0),IF('01_数值调参'!O30&lt;0,'03_全链计算'!Q67+1,0),IF('01_数值调参'!O31&lt;0,'03_全链计算'!R67+1,0),IF('01_数值调参'!O32&lt;0,'03_全链计算'!S67+1,0),IF('01_数值调参'!O33&lt;0,'03_全链计算'!T67+1,0),IF('01_数值调参'!O34&lt;0,'03_全链计算'!U67+1,0),IF('01_数值调参'!O35&lt;0,'03_全链计算'!V67+1,0),IF('01_数值调参'!O36&lt;0,'03_全链计算'!W67+1,0),IF('01_数值调参'!O37&lt;0,'03_全链计算'!X67+1,0),IF('01_数值调参'!O38&lt;0,'03_全链计算'!Y67+1,0),IF('01_数值调参'!O39&lt;0,'03_全链计算'!Z67+1,0),IF('01_数值调参'!O40&lt;0,'03_全链计算'!AA67+1,0),IF('01_数值调参'!O41&lt;0,'03_全链计算'!AB67+1,0),IF('01_数值调参'!O42&lt;0,'03_全链计算'!AC67+1,0),IF('01_数值调参'!O43&lt;0,'03_全链计算'!AD67+1,0),IF('01_数值调参'!O44&lt;0,'03_全链计算'!AE67+1,0),IF('01_数值调参'!O45&lt;0,'03_全链计算'!AF67+1,0),IF('01_数值调参'!O46&lt;0,'03_全链计算'!AG67+1,0),IF('01_数值调参'!O47&lt;0,'03_全链计算'!AH67+1,0),IF('01_数值调参'!O48&lt;0,'03_全链计算'!AI67+1,0),IF('01_数值调参'!O49&lt;0,'03_全链计算'!AJ67+1,0),IF('01_数值调参'!O50&lt;0,'03_全链计算'!AK67+1,0),IF('01_数值调参'!O51&lt;0,'03_全链计算'!AL67+1,0),IF('01_数值调参'!O52&lt;0,'03_全链计算'!AM67+1,0))</x:f>
        <x:v>1</x:v>
      </x:c>
      <x:c r="P68" s="9" t="n">
        <x:f>MAX(IF('01_数值调参'!P18&lt;0,'03_全链计算'!E67+1,0),IF('01_数值调参'!P19&lt;0,'03_全链计算'!F67+1,0),IF('01_数值调参'!P20&lt;0,'03_全链计算'!G67+1,0),IF('01_数值调参'!P21&lt;0,'03_全链计算'!H67+1,0),IF('01_数值调参'!P22&lt;0,'03_全链计算'!I67+1,0),IF('01_数值调参'!P23&lt;0,'03_全链计算'!J67+1,0),IF('01_数值调参'!P24&lt;0,'03_全链计算'!K67+1,0),IF('01_数值调参'!P25&lt;0,'03_全链计算'!L67+1,0),IF('01_数值调参'!P26&lt;0,'03_全链计算'!M67+1,0),IF('01_数值调参'!P27&lt;0,'03_全链计算'!N67+1,0),IF('01_数值调参'!P28&lt;0,'03_全链计算'!O67+1,0),IF('01_数值调参'!P29&lt;0,'03_全链计算'!P67+1,0),IF('01_数值调参'!P30&lt;0,'03_全链计算'!Q67+1,0),IF('01_数值调参'!P31&lt;0,'03_全链计算'!R67+1,0),IF('01_数值调参'!P32&lt;0,'03_全链计算'!S67+1,0),IF('01_数值调参'!P33&lt;0,'03_全链计算'!T67+1,0),IF('01_数值调参'!P34&lt;0,'03_全链计算'!U67+1,0),IF('01_数值调参'!P35&lt;0,'03_全链计算'!V67+1,0),IF('01_数值调参'!P36&lt;0,'03_全链计算'!W67+1,0),IF('01_数值调参'!P37&lt;0,'03_全链计算'!X67+1,0),IF('01_数值调参'!P38&lt;0,'03_全链计算'!Y67+1,0),IF('01_数值调参'!P39&lt;0,'03_全链计算'!Z67+1,0),IF('01_数值调参'!P40&lt;0,'03_全链计算'!AA67+1,0),IF('01_数值调参'!P41&lt;0,'03_全链计算'!AB67+1,0),IF('01_数值调参'!P42&lt;0,'03_全链计算'!AC67+1,0),IF('01_数值调参'!P43&lt;0,'03_全链计算'!AD67+1,0),IF('01_数值调参'!P44&lt;0,'03_全链计算'!AE67+1,0),IF('01_数值调参'!P45&lt;0,'03_全链计算'!AF67+1,0),IF('01_数值调参'!P46&lt;0,'03_全链计算'!AG67+1,0),IF('01_数值调参'!P47&lt;0,'03_全链计算'!AH67+1,0),IF('01_数值调参'!P48&lt;0,'03_全链计算'!AI67+1,0),IF('01_数值调参'!P49&lt;0,'03_全链计算'!AJ67+1,0),IF('01_数值调参'!P50&lt;0,'03_全链计算'!AK67+1,0),IF('01_数值调参'!P51&lt;0,'03_全链计算'!AL67+1,0),IF('01_数值调参'!P52&lt;0,'03_全链计算'!AM67+1,0))</x:f>
        <x:v>1</x:v>
      </x:c>
      <x:c r="Q68" s="9" t="n">
        <x:f>MAX(IF('01_数值调参'!Q18&lt;0,'03_全链计算'!E67+1,0),IF('01_数值调参'!Q19&lt;0,'03_全链计算'!F67+1,0),IF('01_数值调参'!Q20&lt;0,'03_全链计算'!G67+1,0),IF('01_数值调参'!Q21&lt;0,'03_全链计算'!H67+1,0),IF('01_数值调参'!Q22&lt;0,'03_全链计算'!I67+1,0),IF('01_数值调参'!Q23&lt;0,'03_全链计算'!J67+1,0),IF('01_数值调参'!Q24&lt;0,'03_全链计算'!K67+1,0),IF('01_数值调参'!Q25&lt;0,'03_全链计算'!L67+1,0),IF('01_数值调参'!Q26&lt;0,'03_全链计算'!M67+1,0),IF('01_数值调参'!Q27&lt;0,'03_全链计算'!N67+1,0),IF('01_数值调参'!Q28&lt;0,'03_全链计算'!O67+1,0),IF('01_数值调参'!Q29&lt;0,'03_全链计算'!P67+1,0),IF('01_数值调参'!Q30&lt;0,'03_全链计算'!Q67+1,0),IF('01_数值调参'!Q31&lt;0,'03_全链计算'!R67+1,0),IF('01_数值调参'!Q32&lt;0,'03_全链计算'!S67+1,0),IF('01_数值调参'!Q33&lt;0,'03_全链计算'!T67+1,0),IF('01_数值调参'!Q34&lt;0,'03_全链计算'!U67+1,0),IF('01_数值调参'!Q35&lt;0,'03_全链计算'!V67+1,0),IF('01_数值调参'!Q36&lt;0,'03_全链计算'!W67+1,0),IF('01_数值调参'!Q37&lt;0,'03_全链计算'!X67+1,0),IF('01_数值调参'!Q38&lt;0,'03_全链计算'!Y67+1,0),IF('01_数值调参'!Q39&lt;0,'03_全链计算'!Z67+1,0),IF('01_数值调参'!Q40&lt;0,'03_全链计算'!AA67+1,0),IF('01_数值调参'!Q41&lt;0,'03_全链计算'!AB67+1,0),IF('01_数值调参'!Q42&lt;0,'03_全链计算'!AC67+1,0),IF('01_数值调参'!Q43&lt;0,'03_全链计算'!AD67+1,0),IF('01_数值调参'!Q44&lt;0,'03_全链计算'!AE67+1,0),IF('01_数值调参'!Q45&lt;0,'03_全链计算'!AF67+1,0),IF('01_数值调参'!Q46&lt;0,'03_全链计算'!AG67+1,0),IF('01_数值调参'!Q47&lt;0,'03_全链计算'!AH67+1,0),IF('01_数值调参'!Q48&lt;0,'03_全链计算'!AI67+1,0),IF('01_数值调参'!Q49&lt;0,'03_全链计算'!AJ67+1,0),IF('01_数值调参'!Q50&lt;0,'03_全链计算'!AK67+1,0),IF('01_数值调参'!Q51&lt;0,'03_全链计算'!AL67+1,0),IF('01_数值调参'!Q52&lt;0,'03_全链计算'!AM67+1,0))</x:f>
        <x:v>1</x:v>
      </x:c>
      <x:c r="R68" s="9" t="n">
        <x:f>MAX(IF('01_数值调参'!R18&lt;0,'03_全链计算'!E67+1,0),IF('01_数值调参'!R19&lt;0,'03_全链计算'!F67+1,0),IF('01_数值调参'!R20&lt;0,'03_全链计算'!G67+1,0),IF('01_数值调参'!R21&lt;0,'03_全链计算'!H67+1,0),IF('01_数值调参'!R22&lt;0,'03_全链计算'!I67+1,0),IF('01_数值调参'!R23&lt;0,'03_全链计算'!J67+1,0),IF('01_数值调参'!R24&lt;0,'03_全链计算'!K67+1,0),IF('01_数值调参'!R25&lt;0,'03_全链计算'!L67+1,0),IF('01_数值调参'!R26&lt;0,'03_全链计算'!M67+1,0),IF('01_数值调参'!R27&lt;0,'03_全链计算'!N67+1,0),IF('01_数值调参'!R28&lt;0,'03_全链计算'!O67+1,0),IF('01_数值调参'!R29&lt;0,'03_全链计算'!P67+1,0),IF('01_数值调参'!R30&lt;0,'03_全链计算'!Q67+1,0),IF('01_数值调参'!R31&lt;0,'03_全链计算'!R67+1,0),IF('01_数值调参'!R32&lt;0,'03_全链计算'!S67+1,0),IF('01_数值调参'!R33&lt;0,'03_全链计算'!T67+1,0),IF('01_数值调参'!R34&lt;0,'03_全链计算'!U67+1,0),IF('01_数值调参'!R35&lt;0,'03_全链计算'!V67+1,0),IF('01_数值调参'!R36&lt;0,'03_全链计算'!W67+1,0),IF('01_数值调参'!R37&lt;0,'03_全链计算'!X67+1,0),IF('01_数值调参'!R38&lt;0,'03_全链计算'!Y67+1,0),IF('01_数值调参'!R39&lt;0,'03_全链计算'!Z67+1,0),IF('01_数值调参'!R40&lt;0,'03_全链计算'!AA67+1,0),IF('01_数值调参'!R41&lt;0,'03_全链计算'!AB67+1,0),IF('01_数值调参'!R42&lt;0,'03_全链计算'!AC67+1,0),IF('01_数值调参'!R43&lt;0,'03_全链计算'!AD67+1,0),IF('01_数值调参'!R44&lt;0,'03_全链计算'!AE67+1,0),IF('01_数值调参'!R45&lt;0,'03_全链计算'!AF67+1,0),IF('01_数值调参'!R46&lt;0,'03_全链计算'!AG67+1,0),IF('01_数值调参'!R47&lt;0,'03_全链计算'!AH67+1,0),IF('01_数值调参'!R48&lt;0,'03_全链计算'!AI67+1,0),IF('01_数值调参'!R49&lt;0,'03_全链计算'!AJ67+1,0),IF('01_数值调参'!R50&lt;0,'03_全链计算'!AK67+1,0),IF('01_数值调参'!R51&lt;0,'03_全链计算'!AL67+1,0),IF('01_数值调参'!R52&lt;0,'03_全链计算'!AM67+1,0))</x:f>
        <x:v>1</x:v>
      </x:c>
      <x:c r="S68" s="9" t="n">
        <x:f>MAX(IF('01_数值调参'!S18&lt;0,'03_全链计算'!E67+1,0),IF('01_数值调参'!S19&lt;0,'03_全链计算'!F67+1,0),IF('01_数值调参'!S20&lt;0,'03_全链计算'!G67+1,0),IF('01_数值调参'!S21&lt;0,'03_全链计算'!H67+1,0),IF('01_数值调参'!S22&lt;0,'03_全链计算'!I67+1,0),IF('01_数值调参'!S23&lt;0,'03_全链计算'!J67+1,0),IF('01_数值调参'!S24&lt;0,'03_全链计算'!K67+1,0),IF('01_数值调参'!S25&lt;0,'03_全链计算'!L67+1,0),IF('01_数值调参'!S26&lt;0,'03_全链计算'!M67+1,0),IF('01_数值调参'!S27&lt;0,'03_全链计算'!N67+1,0),IF('01_数值调参'!S28&lt;0,'03_全链计算'!O67+1,0),IF('01_数值调参'!S29&lt;0,'03_全链计算'!P67+1,0),IF('01_数值调参'!S30&lt;0,'03_全链计算'!Q67+1,0),IF('01_数值调参'!S31&lt;0,'03_全链计算'!R67+1,0),IF('01_数值调参'!S32&lt;0,'03_全链计算'!S67+1,0),IF('01_数值调参'!S33&lt;0,'03_全链计算'!T67+1,0),IF('01_数值调参'!S34&lt;0,'03_全链计算'!U67+1,0),IF('01_数值调参'!S35&lt;0,'03_全链计算'!V67+1,0),IF('01_数值调参'!S36&lt;0,'03_全链计算'!W67+1,0),IF('01_数值调参'!S37&lt;0,'03_全链计算'!X67+1,0),IF('01_数值调参'!S38&lt;0,'03_全链计算'!Y67+1,0),IF('01_数值调参'!S39&lt;0,'03_全链计算'!Z67+1,0),IF('01_数值调参'!S40&lt;0,'03_全链计算'!AA67+1,0),IF('01_数值调参'!S41&lt;0,'03_全链计算'!AB67+1,0),IF('01_数值调参'!S42&lt;0,'03_全链计算'!AC67+1,0),IF('01_数值调参'!S43&lt;0,'03_全链计算'!AD67+1,0),IF('01_数值调参'!S44&lt;0,'03_全链计算'!AE67+1,0),IF('01_数值调参'!S45&lt;0,'03_全链计算'!AF67+1,0),IF('01_数值调参'!S46&lt;0,'03_全链计算'!AG67+1,0),IF('01_数值调参'!S47&lt;0,'03_全链计算'!AH67+1,0),IF('01_数值调参'!S48&lt;0,'03_全链计算'!AI67+1,0),IF('01_数值调参'!S49&lt;0,'03_全链计算'!AJ67+1,0),IF('01_数值调参'!S50&lt;0,'03_全链计算'!AK67+1,0),IF('01_数值调参'!S51&lt;0,'03_全链计算'!AL67+1,0),IF('01_数值调参'!S52&lt;0,'03_全链计算'!AM67+1,0))</x:f>
        <x:v>1</x:v>
      </x:c>
      <x:c r="T68" s="9" t="n">
        <x:f>MAX(IF('01_数值调参'!T18&lt;0,'03_全链计算'!E67+1,0),IF('01_数值调参'!T19&lt;0,'03_全链计算'!F67+1,0),IF('01_数值调参'!T20&lt;0,'03_全链计算'!G67+1,0),IF('01_数值调参'!T21&lt;0,'03_全链计算'!H67+1,0),IF('01_数值调参'!T22&lt;0,'03_全链计算'!I67+1,0),IF('01_数值调参'!T23&lt;0,'03_全链计算'!J67+1,0),IF('01_数值调参'!T24&lt;0,'03_全链计算'!K67+1,0),IF('01_数值调参'!T25&lt;0,'03_全链计算'!L67+1,0),IF('01_数值调参'!T26&lt;0,'03_全链计算'!M67+1,0),IF('01_数值调参'!T27&lt;0,'03_全链计算'!N67+1,0),IF('01_数值调参'!T28&lt;0,'03_全链计算'!O67+1,0),IF('01_数值调参'!T29&lt;0,'03_全链计算'!P67+1,0),IF('01_数值调参'!T30&lt;0,'03_全链计算'!Q67+1,0),IF('01_数值调参'!T31&lt;0,'03_全链计算'!R67+1,0),IF('01_数值调参'!T32&lt;0,'03_全链计算'!S67+1,0),IF('01_数值调参'!T33&lt;0,'03_全链计算'!T67+1,0),IF('01_数值调参'!T34&lt;0,'03_全链计算'!U67+1,0),IF('01_数值调参'!T35&lt;0,'03_全链计算'!V67+1,0),IF('01_数值调参'!T36&lt;0,'03_全链计算'!W67+1,0),IF('01_数值调参'!T37&lt;0,'03_全链计算'!X67+1,0),IF('01_数值调参'!T38&lt;0,'03_全链计算'!Y67+1,0),IF('01_数值调参'!T39&lt;0,'03_全链计算'!Z67+1,0),IF('01_数值调参'!T40&lt;0,'03_全链计算'!AA67+1,0),IF('01_数值调参'!T41&lt;0,'03_全链计算'!AB67+1,0),IF('01_数值调参'!T42&lt;0,'03_全链计算'!AC67+1,0),IF('01_数值调参'!T43&lt;0,'03_全链计算'!AD67+1,0),IF('01_数值调参'!T44&lt;0,'03_全链计算'!AE67+1,0),IF('01_数值调参'!T45&lt;0,'03_全链计算'!AF67+1,0),IF('01_数值调参'!T46&lt;0,'03_全链计算'!AG67+1,0),IF('01_数值调参'!T47&lt;0,'03_全链计算'!AH67+1,0),IF('01_数值调参'!T48&lt;0,'03_全链计算'!AI67+1,0),IF('01_数值调参'!T49&lt;0,'03_全链计算'!AJ67+1,0),IF('01_数值调参'!T50&lt;0,'03_全链计算'!AK67+1,0),IF('01_数值调参'!T51&lt;0,'03_全链计算'!AL67+1,0),IF('01_数值调参'!T52&lt;0,'03_全链计算'!AM67+1,0))</x:f>
        <x:v>1</x:v>
      </x:c>
      <x:c r="U68" s="9" t="n">
        <x:f>MAX(IF('01_数值调参'!U18&lt;0,'03_全链计算'!E67+1,0),IF('01_数值调参'!U19&lt;0,'03_全链计算'!F67+1,0),IF('01_数值调参'!U20&lt;0,'03_全链计算'!G67+1,0),IF('01_数值调参'!U21&lt;0,'03_全链计算'!H67+1,0),IF('01_数值调参'!U22&lt;0,'03_全链计算'!I67+1,0),IF('01_数值调参'!U23&lt;0,'03_全链计算'!J67+1,0),IF('01_数值调参'!U24&lt;0,'03_全链计算'!K67+1,0),IF('01_数值调参'!U25&lt;0,'03_全链计算'!L67+1,0),IF('01_数值调参'!U26&lt;0,'03_全链计算'!M67+1,0),IF('01_数值调参'!U27&lt;0,'03_全链计算'!N67+1,0),IF('01_数值调参'!U28&lt;0,'03_全链计算'!O67+1,0),IF('01_数值调参'!U29&lt;0,'03_全链计算'!P67+1,0),IF('01_数值调参'!U30&lt;0,'03_全链计算'!Q67+1,0),IF('01_数值调参'!U31&lt;0,'03_全链计算'!R67+1,0),IF('01_数值调参'!U32&lt;0,'03_全链计算'!S67+1,0),IF('01_数值调参'!U33&lt;0,'03_全链计算'!T67+1,0),IF('01_数值调参'!U34&lt;0,'03_全链计算'!U67+1,0),IF('01_数值调参'!U35&lt;0,'03_全链计算'!V67+1,0),IF('01_数值调参'!U36&lt;0,'03_全链计算'!W67+1,0),IF('01_数值调参'!U37&lt;0,'03_全链计算'!X67+1,0),IF('01_数值调参'!U38&lt;0,'03_全链计算'!Y67+1,0),IF('01_数值调参'!U39&lt;0,'03_全链计算'!Z67+1,0),IF('01_数值调参'!U40&lt;0,'03_全链计算'!AA67+1,0),IF('01_数值调参'!U41&lt;0,'03_全链计算'!AB67+1,0),IF('01_数值调参'!U42&lt;0,'03_全链计算'!AC67+1,0),IF('01_数值调参'!U43&lt;0,'03_全链计算'!AD67+1,0),IF('01_数值调参'!U44&lt;0,'03_全链计算'!AE67+1,0),IF('01_数值调参'!U45&lt;0,'03_全链计算'!AF67+1,0),IF('01_数值调参'!U46&lt;0,'03_全链计算'!AG67+1,0),IF('01_数值调参'!U47&lt;0,'03_全链计算'!AH67+1,0),IF('01_数值调参'!U48&lt;0,'03_全链计算'!AI67+1,0),IF('01_数值调参'!U49&lt;0,'03_全链计算'!AJ67+1,0),IF('01_数值调参'!U50&lt;0,'03_全链计算'!AK67+1,0),IF('01_数值调参'!U51&lt;0,'03_全链计算'!AL67+1,0),IF('01_数值调参'!U52&lt;0,'03_全链计算'!AM67+1,0))</x:f>
        <x:v>1</x:v>
      </x:c>
      <x:c r="V68" s="9" t="n">
        <x:f>MAX(IF('01_数值调参'!V18&lt;0,'03_全链计算'!E67+1,0),IF('01_数值调参'!V19&lt;0,'03_全链计算'!F67+1,0),IF('01_数值调参'!V20&lt;0,'03_全链计算'!G67+1,0),IF('01_数值调参'!V21&lt;0,'03_全链计算'!H67+1,0),IF('01_数值调参'!V22&lt;0,'03_全链计算'!I67+1,0),IF('01_数值调参'!V23&lt;0,'03_全链计算'!J67+1,0),IF('01_数值调参'!V24&lt;0,'03_全链计算'!K67+1,0),IF('01_数值调参'!V25&lt;0,'03_全链计算'!L67+1,0),IF('01_数值调参'!V26&lt;0,'03_全链计算'!M67+1,0),IF('01_数值调参'!V27&lt;0,'03_全链计算'!N67+1,0),IF('01_数值调参'!V28&lt;0,'03_全链计算'!O67+1,0),IF('01_数值调参'!V29&lt;0,'03_全链计算'!P67+1,0),IF('01_数值调参'!V30&lt;0,'03_全链计算'!Q67+1,0),IF('01_数值调参'!V31&lt;0,'03_全链计算'!R67+1,0),IF('01_数值调参'!V32&lt;0,'03_全链计算'!S67+1,0),IF('01_数值调参'!V33&lt;0,'03_全链计算'!T67+1,0),IF('01_数值调参'!V34&lt;0,'03_全链计算'!U67+1,0),IF('01_数值调参'!V35&lt;0,'03_全链计算'!V67+1,0),IF('01_数值调参'!V36&lt;0,'03_全链计算'!W67+1,0),IF('01_数值调参'!V37&lt;0,'03_全链计算'!X67+1,0),IF('01_数值调参'!V38&lt;0,'03_全链计算'!Y67+1,0),IF('01_数值调参'!V39&lt;0,'03_全链计算'!Z67+1,0),IF('01_数值调参'!V40&lt;0,'03_全链计算'!AA67+1,0),IF('01_数值调参'!V41&lt;0,'03_全链计算'!AB67+1,0),IF('01_数值调参'!V42&lt;0,'03_全链计算'!AC67+1,0),IF('01_数值调参'!V43&lt;0,'03_全链计算'!AD67+1,0),IF('01_数值调参'!V44&lt;0,'03_全链计算'!AE67+1,0),IF('01_数值调参'!V45&lt;0,'03_全链计算'!AF67+1,0),IF('01_数值调参'!V46&lt;0,'03_全链计算'!AG67+1,0),IF('01_数值调参'!V47&lt;0,'03_全链计算'!AH67+1,0),IF('01_数值调参'!V48&lt;0,'03_全链计算'!AI67+1,0),IF('01_数值调参'!V49&lt;0,'03_全链计算'!AJ67+1,0),IF('01_数值调参'!V50&lt;0,'03_全链计算'!AK67+1,0),IF('01_数值调参'!V51&lt;0,'03_全链计算'!AL67+1,0),IF('01_数值调参'!V52&lt;0,'03_全链计算'!AM67+1,0))</x:f>
        <x:v>1</x:v>
      </x:c>
      <x:c r="W68" s="9" t="n">
        <x:f>MAX(IF('01_数值调参'!W18&lt;0,'03_全链计算'!E67+1,0),IF('01_数值调参'!W19&lt;0,'03_全链计算'!F67+1,0),IF('01_数值调参'!W20&lt;0,'03_全链计算'!G67+1,0),IF('01_数值调参'!W21&lt;0,'03_全链计算'!H67+1,0),IF('01_数值调参'!W22&lt;0,'03_全链计算'!I67+1,0),IF('01_数值调参'!W23&lt;0,'03_全链计算'!J67+1,0),IF('01_数值调参'!W24&lt;0,'03_全链计算'!K67+1,0),IF('01_数值调参'!W25&lt;0,'03_全链计算'!L67+1,0),IF('01_数值调参'!W26&lt;0,'03_全链计算'!M67+1,0),IF('01_数值调参'!W27&lt;0,'03_全链计算'!N67+1,0),IF('01_数值调参'!W28&lt;0,'03_全链计算'!O67+1,0),IF('01_数值调参'!W29&lt;0,'03_全链计算'!P67+1,0),IF('01_数值调参'!W30&lt;0,'03_全链计算'!Q67+1,0),IF('01_数值调参'!W31&lt;0,'03_全链计算'!R67+1,0),IF('01_数值调参'!W32&lt;0,'03_全链计算'!S67+1,0),IF('01_数值调参'!W33&lt;0,'03_全链计算'!T67+1,0),IF('01_数值调参'!W34&lt;0,'03_全链计算'!U67+1,0),IF('01_数值调参'!W35&lt;0,'03_全链计算'!V67+1,0),IF('01_数值调参'!W36&lt;0,'03_全链计算'!W67+1,0),IF('01_数值调参'!W37&lt;0,'03_全链计算'!X67+1,0),IF('01_数值调参'!W38&lt;0,'03_全链计算'!Y67+1,0),IF('01_数值调参'!W39&lt;0,'03_全链计算'!Z67+1,0),IF('01_数值调参'!W40&lt;0,'03_全链计算'!AA67+1,0),IF('01_数值调参'!W41&lt;0,'03_全链计算'!AB67+1,0),IF('01_数值调参'!W42&lt;0,'03_全链计算'!AC67+1,0),IF('01_数值调参'!W43&lt;0,'03_全链计算'!AD67+1,0),IF('01_数值调参'!W44&lt;0,'03_全链计算'!AE67+1,0),IF('01_数值调参'!W45&lt;0,'03_全链计算'!AF67+1,0),IF('01_数值调参'!W46&lt;0,'03_全链计算'!AG67+1,0),IF('01_数值调参'!W47&lt;0,'03_全链计算'!AH67+1,0),IF('01_数值调参'!W48&lt;0,'03_全链计算'!AI67+1,0),IF('01_数值调参'!W49&lt;0,'03_全链计算'!AJ67+1,0),IF('01_数值调参'!W50&lt;0,'03_全链计算'!AK67+1,0),IF('01_数值调参'!W51&lt;0,'03_全链计算'!AL67+1,0),IF('01_数值调参'!W52&lt;0,'03_全链计算'!AM67+1,0))</x:f>
        <x:v>1</x:v>
      </x:c>
      <x:c r="X68" s="9" t="n">
        <x:f>MAX(IF('01_数值调参'!X18&lt;0,'03_全链计算'!E67+1,0),IF('01_数值调参'!X19&lt;0,'03_全链计算'!F67+1,0),IF('01_数值调参'!X20&lt;0,'03_全链计算'!G67+1,0),IF('01_数值调参'!X21&lt;0,'03_全链计算'!H67+1,0),IF('01_数值调参'!X22&lt;0,'03_全链计算'!I67+1,0),IF('01_数值调参'!X23&lt;0,'03_全链计算'!J67+1,0),IF('01_数值调参'!X24&lt;0,'03_全链计算'!K67+1,0),IF('01_数值调参'!X25&lt;0,'03_全链计算'!L67+1,0),IF('01_数值调参'!X26&lt;0,'03_全链计算'!M67+1,0),IF('01_数值调参'!X27&lt;0,'03_全链计算'!N67+1,0),IF('01_数值调参'!X28&lt;0,'03_全链计算'!O67+1,0),IF('01_数值调参'!X29&lt;0,'03_全链计算'!P67+1,0),IF('01_数值调参'!X30&lt;0,'03_全链计算'!Q67+1,0),IF('01_数值调参'!X31&lt;0,'03_全链计算'!R67+1,0),IF('01_数值调参'!X32&lt;0,'03_全链计算'!S67+1,0),IF('01_数值调参'!X33&lt;0,'03_全链计算'!T67+1,0),IF('01_数值调参'!X34&lt;0,'03_全链计算'!U67+1,0),IF('01_数值调参'!X35&lt;0,'03_全链计算'!V67+1,0),IF('01_数值调参'!X36&lt;0,'03_全链计算'!W67+1,0),IF('01_数值调参'!X37&lt;0,'03_全链计算'!X67+1,0),IF('01_数值调参'!X38&lt;0,'03_全链计算'!Y67+1,0),IF('01_数值调参'!X39&lt;0,'03_全链计算'!Z67+1,0),IF('01_数值调参'!X40&lt;0,'03_全链计算'!AA67+1,0),IF('01_数值调参'!X41&lt;0,'03_全链计算'!AB67+1,0),IF('01_数值调参'!X42&lt;0,'03_全链计算'!AC67+1,0),IF('01_数值调参'!X43&lt;0,'03_全链计算'!AD67+1,0),IF('01_数值调参'!X44&lt;0,'03_全链计算'!AE67+1,0),IF('01_数值调参'!X45&lt;0,'03_全链计算'!AF67+1,0),IF('01_数值调参'!X46&lt;0,'03_全链计算'!AG67+1,0),IF('01_数值调参'!X47&lt;0,'03_全链计算'!AH67+1,0),IF('01_数值调参'!X48&lt;0,'03_全链计算'!AI67+1,0),IF('01_数值调参'!X49&lt;0,'03_全链计算'!AJ67+1,0),IF('01_数值调参'!X50&lt;0,'03_全链计算'!AK67+1,0),IF('01_数值调参'!X51&lt;0,'03_全链计算'!AL67+1,0),IF('01_数值调参'!X52&lt;0,'03_全链计算'!AM67+1,0))</x:f>
        <x:v>2</x:v>
      </x:c>
      <x:c r="Y68" s="9" t="n">
        <x:f>MAX(IF('01_数值调参'!Y18&lt;0,'03_全链计算'!E67+1,0),IF('01_数值调参'!Y19&lt;0,'03_全链计算'!F67+1,0),IF('01_数值调参'!Y20&lt;0,'03_全链计算'!G67+1,0),IF('01_数值调参'!Y21&lt;0,'03_全链计算'!H67+1,0),IF('01_数值调参'!Y22&lt;0,'03_全链计算'!I67+1,0),IF('01_数值调参'!Y23&lt;0,'03_全链计算'!J67+1,0),IF('01_数值调参'!Y24&lt;0,'03_全链计算'!K67+1,0),IF('01_数值调参'!Y25&lt;0,'03_全链计算'!L67+1,0),IF('01_数值调参'!Y26&lt;0,'03_全链计算'!M67+1,0),IF('01_数值调参'!Y27&lt;0,'03_全链计算'!N67+1,0),IF('01_数值调参'!Y28&lt;0,'03_全链计算'!O67+1,0),IF('01_数值调参'!Y29&lt;0,'03_全链计算'!P67+1,0),IF('01_数值调参'!Y30&lt;0,'03_全链计算'!Q67+1,0),IF('01_数值调参'!Y31&lt;0,'03_全链计算'!R67+1,0),IF('01_数值调参'!Y32&lt;0,'03_全链计算'!S67+1,0),IF('01_数值调参'!Y33&lt;0,'03_全链计算'!T67+1,0),IF('01_数值调参'!Y34&lt;0,'03_全链计算'!U67+1,0),IF('01_数值调参'!Y35&lt;0,'03_全链计算'!V67+1,0),IF('01_数值调参'!Y36&lt;0,'03_全链计算'!W67+1,0),IF('01_数值调参'!Y37&lt;0,'03_全链计算'!X67+1,0),IF('01_数值调参'!Y38&lt;0,'03_全链计算'!Y67+1,0),IF('01_数值调参'!Y39&lt;0,'03_全链计算'!Z67+1,0),IF('01_数值调参'!Y40&lt;0,'03_全链计算'!AA67+1,0),IF('01_数值调参'!Y41&lt;0,'03_全链计算'!AB67+1,0),IF('01_数值调参'!Y42&lt;0,'03_全链计算'!AC67+1,0),IF('01_数值调参'!Y43&lt;0,'03_全链计算'!AD67+1,0),IF('01_数值调参'!Y44&lt;0,'03_全链计算'!AE67+1,0),IF('01_数值调参'!Y45&lt;0,'03_全链计算'!AF67+1,0),IF('01_数值调参'!Y46&lt;0,'03_全链计算'!AG67+1,0),IF('01_数值调参'!Y47&lt;0,'03_全链计算'!AH67+1,0),IF('01_数值调参'!Y48&lt;0,'03_全链计算'!AI67+1,0),IF('01_数值调参'!Y49&lt;0,'03_全链计算'!AJ67+1,0),IF('01_数值调参'!Y50&lt;0,'03_全链计算'!AK67+1,0),IF('01_数值调参'!Y51&lt;0,'03_全链计算'!AL67+1,0),IF('01_数值调参'!Y52&lt;0,'03_全链计算'!AM67+1,0))</x:f>
        <x:v>2</x:v>
      </x:c>
      <x:c r="Z68" s="9" t="n">
        <x:f>MAX(IF('01_数值调参'!Z18&lt;0,'03_全链计算'!E67+1,0),IF('01_数值调参'!Z19&lt;0,'03_全链计算'!F67+1,0),IF('01_数值调参'!Z20&lt;0,'03_全链计算'!G67+1,0),IF('01_数值调参'!Z21&lt;0,'03_全链计算'!H67+1,0),IF('01_数值调参'!Z22&lt;0,'03_全链计算'!I67+1,0),IF('01_数值调参'!Z23&lt;0,'03_全链计算'!J67+1,0),IF('01_数值调参'!Z24&lt;0,'03_全链计算'!K67+1,0),IF('01_数值调参'!Z25&lt;0,'03_全链计算'!L67+1,0),IF('01_数值调参'!Z26&lt;0,'03_全链计算'!M67+1,0),IF('01_数值调参'!Z27&lt;0,'03_全链计算'!N67+1,0),IF('01_数值调参'!Z28&lt;0,'03_全链计算'!O67+1,0),IF('01_数值调参'!Z29&lt;0,'03_全链计算'!P67+1,0),IF('01_数值调参'!Z30&lt;0,'03_全链计算'!Q67+1,0),IF('01_数值调参'!Z31&lt;0,'03_全链计算'!R67+1,0),IF('01_数值调参'!Z32&lt;0,'03_全链计算'!S67+1,0),IF('01_数值调参'!Z33&lt;0,'03_全链计算'!T67+1,0),IF('01_数值调参'!Z34&lt;0,'03_全链计算'!U67+1,0),IF('01_数值调参'!Z35&lt;0,'03_全链计算'!V67+1,0),IF('01_数值调参'!Z36&lt;0,'03_全链计算'!W67+1,0),IF('01_数值调参'!Z37&lt;0,'03_全链计算'!X67+1,0),IF('01_数值调参'!Z38&lt;0,'03_全链计算'!Y67+1,0),IF('01_数值调参'!Z39&lt;0,'03_全链计算'!Z67+1,0),IF('01_数值调参'!Z40&lt;0,'03_全链计算'!AA67+1,0),IF('01_数值调参'!Z41&lt;0,'03_全链计算'!AB67+1,0),IF('01_数值调参'!Z42&lt;0,'03_全链计算'!AC67+1,0),IF('01_数值调参'!Z43&lt;0,'03_全链计算'!AD67+1,0),IF('01_数值调参'!Z44&lt;0,'03_全链计算'!AE67+1,0),IF('01_数值调参'!Z45&lt;0,'03_全链计算'!AF67+1,0),IF('01_数值调参'!Z46&lt;0,'03_全链计算'!AG67+1,0),IF('01_数值调参'!Z47&lt;0,'03_全链计算'!AH67+1,0),IF('01_数值调参'!Z48&lt;0,'03_全链计算'!AI67+1,0),IF('01_数值调参'!Z49&lt;0,'03_全链计算'!AJ67+1,0),IF('01_数值调参'!Z50&lt;0,'03_全链计算'!AK67+1,0),IF('01_数值调参'!Z51&lt;0,'03_全链计算'!AL67+1,0),IF('01_数值调参'!Z52&lt;0,'03_全链计算'!AM67+1,0))</x:f>
        <x:v>2</x:v>
      </x:c>
      <x:c r="AA68" s="9" t="n">
        <x:f>MAX(IF('01_数值调参'!AA18&lt;0,'03_全链计算'!E67+1,0),IF('01_数值调参'!AA19&lt;0,'03_全链计算'!F67+1,0),IF('01_数值调参'!AA20&lt;0,'03_全链计算'!G67+1,0),IF('01_数值调参'!AA21&lt;0,'03_全链计算'!H67+1,0),IF('01_数值调参'!AA22&lt;0,'03_全链计算'!I67+1,0),IF('01_数值调参'!AA23&lt;0,'03_全链计算'!J67+1,0),IF('01_数值调参'!AA24&lt;0,'03_全链计算'!K67+1,0),IF('01_数值调参'!AA25&lt;0,'03_全链计算'!L67+1,0),IF('01_数值调参'!AA26&lt;0,'03_全链计算'!M67+1,0),IF('01_数值调参'!AA27&lt;0,'03_全链计算'!N67+1,0),IF('01_数值调参'!AA28&lt;0,'03_全链计算'!O67+1,0),IF('01_数值调参'!AA29&lt;0,'03_全链计算'!P67+1,0),IF('01_数值调参'!AA30&lt;0,'03_全链计算'!Q67+1,0),IF('01_数值调参'!AA31&lt;0,'03_全链计算'!R67+1,0),IF('01_数值调参'!AA32&lt;0,'03_全链计算'!S67+1,0),IF('01_数值调参'!AA33&lt;0,'03_全链计算'!T67+1,0),IF('01_数值调参'!AA34&lt;0,'03_全链计算'!U67+1,0),IF('01_数值调参'!AA35&lt;0,'03_全链计算'!V67+1,0),IF('01_数值调参'!AA36&lt;0,'03_全链计算'!W67+1,0),IF('01_数值调参'!AA37&lt;0,'03_全链计算'!X67+1,0),IF('01_数值调参'!AA38&lt;0,'03_全链计算'!Y67+1,0),IF('01_数值调参'!AA39&lt;0,'03_全链计算'!Z67+1,0),IF('01_数值调参'!AA40&lt;0,'03_全链计算'!AA67+1,0),IF('01_数值调参'!AA41&lt;0,'03_全链计算'!AB67+1,0),IF('01_数值调参'!AA42&lt;0,'03_全链计算'!AC67+1,0),IF('01_数值调参'!AA43&lt;0,'03_全链计算'!AD67+1,0),IF('01_数值调参'!AA44&lt;0,'03_全链计算'!AE67+1,0),IF('01_数值调参'!AA45&lt;0,'03_全链计算'!AF67+1,0),IF('01_数值调参'!AA46&lt;0,'03_全链计算'!AG67+1,0),IF('01_数值调参'!AA47&lt;0,'03_全链计算'!AH67+1,0),IF('01_数值调参'!AA48&lt;0,'03_全链计算'!AI67+1,0),IF('01_数值调参'!AA49&lt;0,'03_全链计算'!AJ67+1,0),IF('01_数值调参'!AA50&lt;0,'03_全链计算'!AK67+1,0),IF('01_数值调参'!AA51&lt;0,'03_全链计算'!AL67+1,0),IF('01_数值调参'!AA52&lt;0,'03_全链计算'!AM67+1,0))</x:f>
        <x:v>2</x:v>
      </x:c>
      <x:c r="AB68" s="9" t="n">
        <x:f>MAX(IF('01_数值调参'!AB18&lt;0,'03_全链计算'!E67+1,0),IF('01_数值调参'!AB19&lt;0,'03_全链计算'!F67+1,0),IF('01_数值调参'!AB20&lt;0,'03_全链计算'!G67+1,0),IF('01_数值调参'!AB21&lt;0,'03_全链计算'!H67+1,0),IF('01_数值调参'!AB22&lt;0,'03_全链计算'!I67+1,0),IF('01_数值调参'!AB23&lt;0,'03_全链计算'!J67+1,0),IF('01_数值调参'!AB24&lt;0,'03_全链计算'!K67+1,0),IF('01_数值调参'!AB25&lt;0,'03_全链计算'!L67+1,0),IF('01_数值调参'!AB26&lt;0,'03_全链计算'!M67+1,0),IF('01_数值调参'!AB27&lt;0,'03_全链计算'!N67+1,0),IF('01_数值调参'!AB28&lt;0,'03_全链计算'!O67+1,0),IF('01_数值调参'!AB29&lt;0,'03_全链计算'!P67+1,0),IF('01_数值调参'!AB30&lt;0,'03_全链计算'!Q67+1,0),IF('01_数值调参'!AB31&lt;0,'03_全链计算'!R67+1,0),IF('01_数值调参'!AB32&lt;0,'03_全链计算'!S67+1,0),IF('01_数值调参'!AB33&lt;0,'03_全链计算'!T67+1,0),IF('01_数值调参'!AB34&lt;0,'03_全链计算'!U67+1,0),IF('01_数值调参'!AB35&lt;0,'03_全链计算'!V67+1,0),IF('01_数值调参'!AB36&lt;0,'03_全链计算'!W67+1,0),IF('01_数值调参'!AB37&lt;0,'03_全链计算'!X67+1,0),IF('01_数值调参'!AB38&lt;0,'03_全链计算'!Y67+1,0),IF('01_数值调参'!AB39&lt;0,'03_全链计算'!Z67+1,0),IF('01_数值调参'!AB40&lt;0,'03_全链计算'!AA67+1,0),IF('01_数值调参'!AB41&lt;0,'03_全链计算'!AB67+1,0),IF('01_数值调参'!AB42&lt;0,'03_全链计算'!AC67+1,0),IF('01_数值调参'!AB43&lt;0,'03_全链计算'!AD67+1,0),IF('01_数值调参'!AB44&lt;0,'03_全链计算'!AE67+1,0),IF('01_数值调参'!AB45&lt;0,'03_全链计算'!AF67+1,0),IF('01_数值调参'!AB46&lt;0,'03_全链计算'!AG67+1,0),IF('01_数值调参'!AB47&lt;0,'03_全链计算'!AH67+1,0),IF('01_数值调参'!AB48&lt;0,'03_全链计算'!AI67+1,0),IF('01_数值调参'!AB49&lt;0,'03_全链计算'!AJ67+1,0),IF('01_数值调参'!AB50&lt;0,'03_全链计算'!AK67+1,0),IF('01_数值调参'!AB51&lt;0,'03_全链计算'!AL67+1,0),IF('01_数值调参'!AB52&lt;0,'03_全链计算'!AM67+1,0))</x:f>
        <x:v>2</x:v>
      </x:c>
      <x:c r="AC68" s="9" t="n">
        <x:f>MAX(IF('01_数值调参'!AC18&lt;0,'03_全链计算'!E67+1,0),IF('01_数值调参'!AC19&lt;0,'03_全链计算'!F67+1,0),IF('01_数值调参'!AC20&lt;0,'03_全链计算'!G67+1,0),IF('01_数值调参'!AC21&lt;0,'03_全链计算'!H67+1,0),IF('01_数值调参'!AC22&lt;0,'03_全链计算'!I67+1,0),IF('01_数值调参'!AC23&lt;0,'03_全链计算'!J67+1,0),IF('01_数值调参'!AC24&lt;0,'03_全链计算'!K67+1,0),IF('01_数值调参'!AC25&lt;0,'03_全链计算'!L67+1,0),IF('01_数值调参'!AC26&lt;0,'03_全链计算'!M67+1,0),IF('01_数值调参'!AC27&lt;0,'03_全链计算'!N67+1,0),IF('01_数值调参'!AC28&lt;0,'03_全链计算'!O67+1,0),IF('01_数值调参'!AC29&lt;0,'03_全链计算'!P67+1,0),IF('01_数值调参'!AC30&lt;0,'03_全链计算'!Q67+1,0),IF('01_数值调参'!AC31&lt;0,'03_全链计算'!R67+1,0),IF('01_数值调参'!AC32&lt;0,'03_全链计算'!S67+1,0),IF('01_数值调参'!AC33&lt;0,'03_全链计算'!T67+1,0),IF('01_数值调参'!AC34&lt;0,'03_全链计算'!U67+1,0),IF('01_数值调参'!AC35&lt;0,'03_全链计算'!V67+1,0),IF('01_数值调参'!AC36&lt;0,'03_全链计算'!W67+1,0),IF('01_数值调参'!AC37&lt;0,'03_全链计算'!X67+1,0),IF('01_数值调参'!AC38&lt;0,'03_全链计算'!Y67+1,0),IF('01_数值调参'!AC39&lt;0,'03_全链计算'!Z67+1,0),IF('01_数值调参'!AC40&lt;0,'03_全链计算'!AA67+1,0),IF('01_数值调参'!AC41&lt;0,'03_全链计算'!AB67+1,0),IF('01_数值调参'!AC42&lt;0,'03_全链计算'!AC67+1,0),IF('01_数值调参'!AC43&lt;0,'03_全链计算'!AD67+1,0),IF('01_数值调参'!AC44&lt;0,'03_全链计算'!AE67+1,0),IF('01_数值调参'!AC45&lt;0,'03_全链计算'!AF67+1,0),IF('01_数值调参'!AC46&lt;0,'03_全链计算'!AG67+1,0),IF('01_数值调参'!AC47&lt;0,'03_全链计算'!AH67+1,0),IF('01_数值调参'!AC48&lt;0,'03_全链计算'!AI67+1,0),IF('01_数值调参'!AC49&lt;0,'03_全链计算'!AJ67+1,0),IF('01_数值调参'!AC50&lt;0,'03_全链计算'!AK67+1,0),IF('01_数值调参'!AC51&lt;0,'03_全链计算'!AL67+1,0),IF('01_数值调参'!AC52&lt;0,'03_全链计算'!AM67+1,0))</x:f>
        <x:v>2</x:v>
      </x:c>
      <x:c r="AD68" s="9" t="n">
        <x:f>MAX(IF('01_数值调参'!AD18&lt;0,'03_全链计算'!E67+1,0),IF('01_数值调参'!AD19&lt;0,'03_全链计算'!F67+1,0),IF('01_数值调参'!AD20&lt;0,'03_全链计算'!G67+1,0),IF('01_数值调参'!AD21&lt;0,'03_全链计算'!H67+1,0),IF('01_数值调参'!AD22&lt;0,'03_全链计算'!I67+1,0),IF('01_数值调参'!AD23&lt;0,'03_全链计算'!J67+1,0),IF('01_数值调参'!AD24&lt;0,'03_全链计算'!K67+1,0),IF('01_数值调参'!AD25&lt;0,'03_全链计算'!L67+1,0),IF('01_数值调参'!AD26&lt;0,'03_全链计算'!M67+1,0),IF('01_数值调参'!AD27&lt;0,'03_全链计算'!N67+1,0),IF('01_数值调参'!AD28&lt;0,'03_全链计算'!O67+1,0),IF('01_数值调参'!AD29&lt;0,'03_全链计算'!P67+1,0),IF('01_数值调参'!AD30&lt;0,'03_全链计算'!Q67+1,0),IF('01_数值调参'!AD31&lt;0,'03_全链计算'!R67+1,0),IF('01_数值调参'!AD32&lt;0,'03_全链计算'!S67+1,0),IF('01_数值调参'!AD33&lt;0,'03_全链计算'!T67+1,0),IF('01_数值调参'!AD34&lt;0,'03_全链计算'!U67+1,0),IF('01_数值调参'!AD35&lt;0,'03_全链计算'!V67+1,0),IF('01_数值调参'!AD36&lt;0,'03_全链计算'!W67+1,0),IF('01_数值调参'!AD37&lt;0,'03_全链计算'!X67+1,0),IF('01_数值调参'!AD38&lt;0,'03_全链计算'!Y67+1,0),IF('01_数值调参'!AD39&lt;0,'03_全链计算'!Z67+1,0),IF('01_数值调参'!AD40&lt;0,'03_全链计算'!AA67+1,0),IF('01_数值调参'!AD41&lt;0,'03_全链计算'!AB67+1,0),IF('01_数值调参'!AD42&lt;0,'03_全链计算'!AC67+1,0),IF('01_数值调参'!AD43&lt;0,'03_全链计算'!AD67+1,0),IF('01_数值调参'!AD44&lt;0,'03_全链计算'!AE67+1,0),IF('01_数值调参'!AD45&lt;0,'03_全链计算'!AF67+1,0),IF('01_数值调参'!AD46&lt;0,'03_全链计算'!AG67+1,0),IF('01_数值调参'!AD47&lt;0,'03_全链计算'!AH67+1,0),IF('01_数值调参'!AD48&lt;0,'03_全链计算'!AI67+1,0),IF('01_数值调参'!AD49&lt;0,'03_全链计算'!AJ67+1,0),IF('01_数值调参'!AD50&lt;0,'03_全链计算'!AK67+1,0),IF('01_数值调参'!AD51&lt;0,'03_全链计算'!AL67+1,0),IF('01_数值调参'!AD52&lt;0,'03_全链计算'!AM67+1,0))</x:f>
        <x:v>1</x:v>
      </x:c>
      <x:c r="AE68" s="9" t="n">
        <x:f>MAX(IF('01_数值调参'!AE18&lt;0,'03_全链计算'!E67+1,0),IF('01_数值调参'!AE19&lt;0,'03_全链计算'!F67+1,0),IF('01_数值调参'!AE20&lt;0,'03_全链计算'!G67+1,0),IF('01_数值调参'!AE21&lt;0,'03_全链计算'!H67+1,0),IF('01_数值调参'!AE22&lt;0,'03_全链计算'!I67+1,0),IF('01_数值调参'!AE23&lt;0,'03_全链计算'!J67+1,0),IF('01_数值调参'!AE24&lt;0,'03_全链计算'!K67+1,0),IF('01_数值调参'!AE25&lt;0,'03_全链计算'!L67+1,0),IF('01_数值调参'!AE26&lt;0,'03_全链计算'!M67+1,0),IF('01_数值调参'!AE27&lt;0,'03_全链计算'!N67+1,0),IF('01_数值调参'!AE28&lt;0,'03_全链计算'!O67+1,0),IF('01_数值调参'!AE29&lt;0,'03_全链计算'!P67+1,0),IF('01_数值调参'!AE30&lt;0,'03_全链计算'!Q67+1,0),IF('01_数值调参'!AE31&lt;0,'03_全链计算'!R67+1,0),IF('01_数值调参'!AE32&lt;0,'03_全链计算'!S67+1,0),IF('01_数值调参'!AE33&lt;0,'03_全链计算'!T67+1,0),IF('01_数值调参'!AE34&lt;0,'03_全链计算'!U67+1,0),IF('01_数值调参'!AE35&lt;0,'03_全链计算'!V67+1,0),IF('01_数值调参'!AE36&lt;0,'03_全链计算'!W67+1,0),IF('01_数值调参'!AE37&lt;0,'03_全链计算'!X67+1,0),IF('01_数值调参'!AE38&lt;0,'03_全链计算'!Y67+1,0),IF('01_数值调参'!AE39&lt;0,'03_全链计算'!Z67+1,0),IF('01_数值调参'!AE40&lt;0,'03_全链计算'!AA67+1,0),IF('01_数值调参'!AE41&lt;0,'03_全链计算'!AB67+1,0),IF('01_数值调参'!AE42&lt;0,'03_全链计算'!AC67+1,0),IF('01_数值调参'!AE43&lt;0,'03_全链计算'!AD67+1,0),IF('01_数值调参'!AE44&lt;0,'03_全链计算'!AE67+1,0),IF('01_数值调参'!AE45&lt;0,'03_全链计算'!AF67+1,0),IF('01_数值调参'!AE46&lt;0,'03_全链计算'!AG67+1,0),IF('01_数值调参'!AE47&lt;0,'03_全链计算'!AH67+1,0),IF('01_数值调参'!AE48&lt;0,'03_全链计算'!AI67+1,0),IF('01_数值调参'!AE49&lt;0,'03_全链计算'!AJ67+1,0),IF('01_数值调参'!AE50&lt;0,'03_全链计算'!AK67+1,0),IF('01_数值调参'!AE51&lt;0,'03_全链计算'!AL67+1,0),IF('01_数值调参'!AE52&lt;0,'03_全链计算'!AM67+1,0))</x:f>
        <x:v>1</x:v>
      </x:c>
      <x:c r="AF68" s="9" t="n">
        <x:f>MAX(IF('01_数值调参'!AF18&lt;0,'03_全链计算'!E67+1,0),IF('01_数值调参'!AF19&lt;0,'03_全链计算'!F67+1,0),IF('01_数值调参'!AF20&lt;0,'03_全链计算'!G67+1,0),IF('01_数值调参'!AF21&lt;0,'03_全链计算'!H67+1,0),IF('01_数值调参'!AF22&lt;0,'03_全链计算'!I67+1,0),IF('01_数值调参'!AF23&lt;0,'03_全链计算'!J67+1,0),IF('01_数值调参'!AF24&lt;0,'03_全链计算'!K67+1,0),IF('01_数值调参'!AF25&lt;0,'03_全链计算'!L67+1,0),IF('01_数值调参'!AF26&lt;0,'03_全链计算'!M67+1,0),IF('01_数值调参'!AF27&lt;0,'03_全链计算'!N67+1,0),IF('01_数值调参'!AF28&lt;0,'03_全链计算'!O67+1,0),IF('01_数值调参'!AF29&lt;0,'03_全链计算'!P67+1,0),IF('01_数值调参'!AF30&lt;0,'03_全链计算'!Q67+1,0),IF('01_数值调参'!AF31&lt;0,'03_全链计算'!R67+1,0),IF('01_数值调参'!AF32&lt;0,'03_全链计算'!S67+1,0),IF('01_数值调参'!AF33&lt;0,'03_全链计算'!T67+1,0),IF('01_数值调参'!AF34&lt;0,'03_全链计算'!U67+1,0),IF('01_数值调参'!AF35&lt;0,'03_全链计算'!V67+1,0),IF('01_数值调参'!AF36&lt;0,'03_全链计算'!W67+1,0),IF('01_数值调参'!AF37&lt;0,'03_全链计算'!X67+1,0),IF('01_数值调参'!AF38&lt;0,'03_全链计算'!Y67+1,0),IF('01_数值调参'!AF39&lt;0,'03_全链计算'!Z67+1,0),IF('01_数值调参'!AF40&lt;0,'03_全链计算'!AA67+1,0),IF('01_数值调参'!AF41&lt;0,'03_全链计算'!AB67+1,0),IF('01_数值调参'!AF42&lt;0,'03_全链计算'!AC67+1,0),IF('01_数值调参'!AF43&lt;0,'03_全链计算'!AD67+1,0),IF('01_数值调参'!AF44&lt;0,'03_全链计算'!AE67+1,0),IF('01_数值调参'!AF45&lt;0,'03_全链计算'!AF67+1,0),IF('01_数值调参'!AF46&lt;0,'03_全链计算'!AG67+1,0),IF('01_数值调参'!AF47&lt;0,'03_全链计算'!AH67+1,0),IF('01_数值调参'!AF48&lt;0,'03_全链计算'!AI67+1,0),IF('01_数值调参'!AF49&lt;0,'03_全链计算'!AJ67+1,0),IF('01_数值调参'!AF50&lt;0,'03_全链计算'!AK67+1,0),IF('01_数值调参'!AF51&lt;0,'03_全链计算'!AL67+1,0),IF('01_数值调参'!AF52&lt;0,'03_全链计算'!AM67+1,0))</x:f>
        <x:v>1</x:v>
      </x:c>
      <x:c r="AG68" s="9" t="n">
        <x:f>MAX(IF('01_数值调参'!AG18&lt;0,'03_全链计算'!E67+1,0),IF('01_数值调参'!AG19&lt;0,'03_全链计算'!F67+1,0),IF('01_数值调参'!AG20&lt;0,'03_全链计算'!G67+1,0),IF('01_数值调参'!AG21&lt;0,'03_全链计算'!H67+1,0),IF('01_数值调参'!AG22&lt;0,'03_全链计算'!I67+1,0),IF('01_数值调参'!AG23&lt;0,'03_全链计算'!J67+1,0),IF('01_数值调参'!AG24&lt;0,'03_全链计算'!K67+1,0),IF('01_数值调参'!AG25&lt;0,'03_全链计算'!L67+1,0),IF('01_数值调参'!AG26&lt;0,'03_全链计算'!M67+1,0),IF('01_数值调参'!AG27&lt;0,'03_全链计算'!N67+1,0),IF('01_数值调参'!AG28&lt;0,'03_全链计算'!O67+1,0),IF('01_数值调参'!AG29&lt;0,'03_全链计算'!P67+1,0),IF('01_数值调参'!AG30&lt;0,'03_全链计算'!Q67+1,0),IF('01_数值调参'!AG31&lt;0,'03_全链计算'!R67+1,0),IF('01_数值调参'!AG32&lt;0,'03_全链计算'!S67+1,0),IF('01_数值调参'!AG33&lt;0,'03_全链计算'!T67+1,0),IF('01_数值调参'!AG34&lt;0,'03_全链计算'!U67+1,0),IF('01_数值调参'!AG35&lt;0,'03_全链计算'!V67+1,0),IF('01_数值调参'!AG36&lt;0,'03_全链计算'!W67+1,0),IF('01_数值调参'!AG37&lt;0,'03_全链计算'!X67+1,0),IF('01_数值调参'!AG38&lt;0,'03_全链计算'!Y67+1,0),IF('01_数值调参'!AG39&lt;0,'03_全链计算'!Z67+1,0),IF('01_数值调参'!AG40&lt;0,'03_全链计算'!AA67+1,0),IF('01_数值调参'!AG41&lt;0,'03_全链计算'!AB67+1,0),IF('01_数值调参'!AG42&lt;0,'03_全链计算'!AC67+1,0),IF('01_数值调参'!AG43&lt;0,'03_全链计算'!AD67+1,0),IF('01_数值调参'!AG44&lt;0,'03_全链计算'!AE67+1,0),IF('01_数值调参'!AG45&lt;0,'03_全链计算'!AF67+1,0),IF('01_数值调参'!AG46&lt;0,'03_全链计算'!AG67+1,0),IF('01_数值调参'!AG47&lt;0,'03_全链计算'!AH67+1,0),IF('01_数值调参'!AG48&lt;0,'03_全链计算'!AI67+1,0),IF('01_数值调参'!AG49&lt;0,'03_全链计算'!AJ67+1,0),IF('01_数值调参'!AG50&lt;0,'03_全链计算'!AK67+1,0),IF('01_数值调参'!AG51&lt;0,'03_全链计算'!AL67+1,0),IF('01_数值调参'!AG52&lt;0,'03_全链计算'!AM67+1,0))</x:f>
        <x:v>1</x:v>
      </x:c>
      <x:c r="AH68" s="9" t="n">
        <x:f>MAX(IF('01_数值调参'!AH18&lt;0,'03_全链计算'!E67+1,0),IF('01_数值调参'!AH19&lt;0,'03_全链计算'!F67+1,0),IF('01_数值调参'!AH20&lt;0,'03_全链计算'!G67+1,0),IF('01_数值调参'!AH21&lt;0,'03_全链计算'!H67+1,0),IF('01_数值调参'!AH22&lt;0,'03_全链计算'!I67+1,0),IF('01_数值调参'!AH23&lt;0,'03_全链计算'!J67+1,0),IF('01_数值调参'!AH24&lt;0,'03_全链计算'!K67+1,0),IF('01_数值调参'!AH25&lt;0,'03_全链计算'!L67+1,0),IF('01_数值调参'!AH26&lt;0,'03_全链计算'!M67+1,0),IF('01_数值调参'!AH27&lt;0,'03_全链计算'!N67+1,0),IF('01_数值调参'!AH28&lt;0,'03_全链计算'!O67+1,0),IF('01_数值调参'!AH29&lt;0,'03_全链计算'!P67+1,0),IF('01_数值调参'!AH30&lt;0,'03_全链计算'!Q67+1,0),IF('01_数值调参'!AH31&lt;0,'03_全链计算'!R67+1,0),IF('01_数值调参'!AH32&lt;0,'03_全链计算'!S67+1,0),IF('01_数值调参'!AH33&lt;0,'03_全链计算'!T67+1,0),IF('01_数值调参'!AH34&lt;0,'03_全链计算'!U67+1,0),IF('01_数值调参'!AH35&lt;0,'03_全链计算'!V67+1,0),IF('01_数值调参'!AH36&lt;0,'03_全链计算'!W67+1,0),IF('01_数值调参'!AH37&lt;0,'03_全链计算'!X67+1,0),IF('01_数值调参'!AH38&lt;0,'03_全链计算'!Y67+1,0),IF('01_数值调参'!AH39&lt;0,'03_全链计算'!Z67+1,0),IF('01_数值调参'!AH40&lt;0,'03_全链计算'!AA67+1,0),IF('01_数值调参'!AH41&lt;0,'03_全链计算'!AB67+1,0),IF('01_数值调参'!AH42&lt;0,'03_全链计算'!AC67+1,0),IF('01_数值调参'!AH43&lt;0,'03_全链计算'!AD67+1,0),IF('01_数值调参'!AH44&lt;0,'03_全链计算'!AE67+1,0),IF('01_数值调参'!AH45&lt;0,'03_全链计算'!AF67+1,0),IF('01_数值调参'!AH46&lt;0,'03_全链计算'!AG67+1,0),IF('01_数值调参'!AH47&lt;0,'03_全链计算'!AH67+1,0),IF('01_数值调参'!AH48&lt;0,'03_全链计算'!AI67+1,0),IF('01_数值调参'!AH49&lt;0,'03_全链计算'!AJ67+1,0),IF('01_数值调参'!AH50&lt;0,'03_全链计算'!AK67+1,0),IF('01_数值调参'!AH51&lt;0,'03_全链计算'!AL67+1,0),IF('01_数值调参'!AH52&lt;0,'03_全链计算'!AM67+1,0))</x:f>
        <x:v>2</x:v>
      </x:c>
      <x:c r="AI68" s="9" t="n">
        <x:f>MAX(IF('01_数值调参'!AI18&lt;0,'03_全链计算'!E67+1,0),IF('01_数值调参'!AI19&lt;0,'03_全链计算'!F67+1,0),IF('01_数值调参'!AI20&lt;0,'03_全链计算'!G67+1,0),IF('01_数值调参'!AI21&lt;0,'03_全链计算'!H67+1,0),IF('01_数值调参'!AI22&lt;0,'03_全链计算'!I67+1,0),IF('01_数值调参'!AI23&lt;0,'03_全链计算'!J67+1,0),IF('01_数值调参'!AI24&lt;0,'03_全链计算'!K67+1,0),IF('01_数值调参'!AI25&lt;0,'03_全链计算'!L67+1,0),IF('01_数值调参'!AI26&lt;0,'03_全链计算'!M67+1,0),IF('01_数值调参'!AI27&lt;0,'03_全链计算'!N67+1,0),IF('01_数值调参'!AI28&lt;0,'03_全链计算'!O67+1,0),IF('01_数值调参'!AI29&lt;0,'03_全链计算'!P67+1,0),IF('01_数值调参'!AI30&lt;0,'03_全链计算'!Q67+1,0),IF('01_数值调参'!AI31&lt;0,'03_全链计算'!R67+1,0),IF('01_数值调参'!AI32&lt;0,'03_全链计算'!S67+1,0),IF('01_数值调参'!AI33&lt;0,'03_全链计算'!T67+1,0),IF('01_数值调参'!AI34&lt;0,'03_全链计算'!U67+1,0),IF('01_数值调参'!AI35&lt;0,'03_全链计算'!V67+1,0),IF('01_数值调参'!AI36&lt;0,'03_全链计算'!W67+1,0),IF('01_数值调参'!AI37&lt;0,'03_全链计算'!X67+1,0),IF('01_数值调参'!AI38&lt;0,'03_全链计算'!Y67+1,0),IF('01_数值调参'!AI39&lt;0,'03_全链计算'!Z67+1,0),IF('01_数值调参'!AI40&lt;0,'03_全链计算'!AA67+1,0),IF('01_数值调参'!AI41&lt;0,'03_全链计算'!AB67+1,0),IF('01_数值调参'!AI42&lt;0,'03_全链计算'!AC67+1,0),IF('01_数值调参'!AI43&lt;0,'03_全链计算'!AD67+1,0),IF('01_数值调参'!AI44&lt;0,'03_全链计算'!AE67+1,0),IF('01_数值调参'!AI45&lt;0,'03_全链计算'!AF67+1,0),IF('01_数值调参'!AI46&lt;0,'03_全链计算'!AG67+1,0),IF('01_数值调参'!AI47&lt;0,'03_全链计算'!AH67+1,0),IF('01_数值调参'!AI48&lt;0,'03_全链计算'!AI67+1,0),IF('01_数值调参'!AI49&lt;0,'03_全链计算'!AJ67+1,0),IF('01_数值调参'!AI50&lt;0,'03_全链计算'!AK67+1,0),IF('01_数值调参'!AI51&lt;0,'03_全链计算'!AL67+1,0),IF('01_数值调参'!AI52&lt;0,'03_全链计算'!AM67+1,0))</x:f>
        <x:v>2</x:v>
      </x:c>
      <x:c r="AJ68" s="9" t="n">
        <x:f>MAX(IF('01_数值调参'!AJ18&lt;0,'03_全链计算'!E67+1,0),IF('01_数值调参'!AJ19&lt;0,'03_全链计算'!F67+1,0),IF('01_数值调参'!AJ20&lt;0,'03_全链计算'!G67+1,0),IF('01_数值调参'!AJ21&lt;0,'03_全链计算'!H67+1,0),IF('01_数值调参'!AJ22&lt;0,'03_全链计算'!I67+1,0),IF('01_数值调参'!AJ23&lt;0,'03_全链计算'!J67+1,0),IF('01_数值调参'!AJ24&lt;0,'03_全链计算'!K67+1,0),IF('01_数值调参'!AJ25&lt;0,'03_全链计算'!L67+1,0),IF('01_数值调参'!AJ26&lt;0,'03_全链计算'!M67+1,0),IF('01_数值调参'!AJ27&lt;0,'03_全链计算'!N67+1,0),IF('01_数值调参'!AJ28&lt;0,'03_全链计算'!O67+1,0),IF('01_数值调参'!AJ29&lt;0,'03_全链计算'!P67+1,0),IF('01_数值调参'!AJ30&lt;0,'03_全链计算'!Q67+1,0),IF('01_数值调参'!AJ31&lt;0,'03_全链计算'!R67+1,0),IF('01_数值调参'!AJ32&lt;0,'03_全链计算'!S67+1,0),IF('01_数值调参'!AJ33&lt;0,'03_全链计算'!T67+1,0),IF('01_数值调参'!AJ34&lt;0,'03_全链计算'!U67+1,0),IF('01_数值调参'!AJ35&lt;0,'03_全链计算'!V67+1,0),IF('01_数值调参'!AJ36&lt;0,'03_全链计算'!W67+1,0),IF('01_数值调参'!AJ37&lt;0,'03_全链计算'!X67+1,0),IF('01_数值调参'!AJ38&lt;0,'03_全链计算'!Y67+1,0),IF('01_数值调参'!AJ39&lt;0,'03_全链计算'!Z67+1,0),IF('01_数值调参'!AJ40&lt;0,'03_全链计算'!AA67+1,0),IF('01_数值调参'!AJ41&lt;0,'03_全链计算'!AB67+1,0),IF('01_数值调参'!AJ42&lt;0,'03_全链计算'!AC67+1,0),IF('01_数值调参'!AJ43&lt;0,'03_全链计算'!AD67+1,0),IF('01_数值调参'!AJ44&lt;0,'03_全链计算'!AE67+1,0),IF('01_数值调参'!AJ45&lt;0,'03_全链计算'!AF67+1,0),IF('01_数值调参'!AJ46&lt;0,'03_全链计算'!AG67+1,0),IF('01_数值调参'!AJ47&lt;0,'03_全链计算'!AH67+1,0),IF('01_数值调参'!AJ48&lt;0,'03_全链计算'!AI67+1,0),IF('01_数值调参'!AJ49&lt;0,'03_全链计算'!AJ67+1,0),IF('01_数值调参'!AJ50&lt;0,'03_全链计算'!AK67+1,0),IF('01_数值调参'!AJ51&lt;0,'03_全链计算'!AL67+1,0),IF('01_数值调参'!AJ52&lt;0,'03_全链计算'!AM67+1,0))</x:f>
        <x:v>2</x:v>
      </x:c>
      <x:c r="AK68" s="9" t="n">
        <x:f>MAX(IF('01_数值调参'!AK18&lt;0,'03_全链计算'!E67+1,0),IF('01_数值调参'!AK19&lt;0,'03_全链计算'!F67+1,0),IF('01_数值调参'!AK20&lt;0,'03_全链计算'!G67+1,0),IF('01_数值调参'!AK21&lt;0,'03_全链计算'!H67+1,0),IF('01_数值调参'!AK22&lt;0,'03_全链计算'!I67+1,0),IF('01_数值调参'!AK23&lt;0,'03_全链计算'!J67+1,0),IF('01_数值调参'!AK24&lt;0,'03_全链计算'!K67+1,0),IF('01_数值调参'!AK25&lt;0,'03_全链计算'!L67+1,0),IF('01_数值调参'!AK26&lt;0,'03_全链计算'!M67+1,0),IF('01_数值调参'!AK27&lt;0,'03_全链计算'!N67+1,0),IF('01_数值调参'!AK28&lt;0,'03_全链计算'!O67+1,0),IF('01_数值调参'!AK29&lt;0,'03_全链计算'!P67+1,0),IF('01_数值调参'!AK30&lt;0,'03_全链计算'!Q67+1,0),IF('01_数值调参'!AK31&lt;0,'03_全链计算'!R67+1,0),IF('01_数值调参'!AK32&lt;0,'03_全链计算'!S67+1,0),IF('01_数值调参'!AK33&lt;0,'03_全链计算'!T67+1,0),IF('01_数值调参'!AK34&lt;0,'03_全链计算'!U67+1,0),IF('01_数值调参'!AK35&lt;0,'03_全链计算'!V67+1,0),IF('01_数值调参'!AK36&lt;0,'03_全链计算'!W67+1,0),IF('01_数值调参'!AK37&lt;0,'03_全链计算'!X67+1,0),IF('01_数值调参'!AK38&lt;0,'03_全链计算'!Y67+1,0),IF('01_数值调参'!AK39&lt;0,'03_全链计算'!Z67+1,0),IF('01_数值调参'!AK40&lt;0,'03_全链计算'!AA67+1,0),IF('01_数值调参'!AK41&lt;0,'03_全链计算'!AB67+1,0),IF('01_数值调参'!AK42&lt;0,'03_全链计算'!AC67+1,0),IF('01_数值调参'!AK43&lt;0,'03_全链计算'!AD67+1,0),IF('01_数值调参'!AK44&lt;0,'03_全链计算'!AE67+1,0),IF('01_数值调参'!AK45&lt;0,'03_全链计算'!AF67+1,0),IF('01_数值调参'!AK46&lt;0,'03_全链计算'!AG67+1,0),IF('01_数值调参'!AK47&lt;0,'03_全链计算'!AH67+1,0),IF('01_数值调参'!AK48&lt;0,'03_全链计算'!AI67+1,0),IF('01_数值调参'!AK49&lt;0,'03_全链计算'!AJ67+1,0),IF('01_数值调参'!AK50&lt;0,'03_全链计算'!AK67+1,0),IF('01_数值调参'!AK51&lt;0,'03_全链计算'!AL67+1,0),IF('01_数值调参'!AK52&lt;0,'03_全链计算'!AM67+1,0))</x:f>
        <x:v>2</x:v>
      </x:c>
      <x:c r="AL68" s="9" t="n">
        <x:f>MAX(IF('01_数值调参'!AL18&lt;0,'03_全链计算'!E67+1,0),IF('01_数值调参'!AL19&lt;0,'03_全链计算'!F67+1,0),IF('01_数值调参'!AL20&lt;0,'03_全链计算'!G67+1,0),IF('01_数值调参'!AL21&lt;0,'03_全链计算'!H67+1,0),IF('01_数值调参'!AL22&lt;0,'03_全链计算'!I67+1,0),IF('01_数值调参'!AL23&lt;0,'03_全链计算'!J67+1,0),IF('01_数值调参'!AL24&lt;0,'03_全链计算'!K67+1,0),IF('01_数值调参'!AL25&lt;0,'03_全链计算'!L67+1,0),IF('01_数值调参'!AL26&lt;0,'03_全链计算'!M67+1,0),IF('01_数值调参'!AL27&lt;0,'03_全链计算'!N67+1,0),IF('01_数值调参'!AL28&lt;0,'03_全链计算'!O67+1,0),IF('01_数值调参'!AL29&lt;0,'03_全链计算'!P67+1,0),IF('01_数值调参'!AL30&lt;0,'03_全链计算'!Q67+1,0),IF('01_数值调参'!AL31&lt;0,'03_全链计算'!R67+1,0),IF('01_数值调参'!AL32&lt;0,'03_全链计算'!S67+1,0),IF('01_数值调参'!AL33&lt;0,'03_全链计算'!T67+1,0),IF('01_数值调参'!AL34&lt;0,'03_全链计算'!U67+1,0),IF('01_数值调参'!AL35&lt;0,'03_全链计算'!V67+1,0),IF('01_数值调参'!AL36&lt;0,'03_全链计算'!W67+1,0),IF('01_数值调参'!AL37&lt;0,'03_全链计算'!X67+1,0),IF('01_数值调参'!AL38&lt;0,'03_全链计算'!Y67+1,0),IF('01_数值调参'!AL39&lt;0,'03_全链计算'!Z67+1,0),IF('01_数值调参'!AL40&lt;0,'03_全链计算'!AA67+1,0),IF('01_数值调参'!AL41&lt;0,'03_全链计算'!AB67+1,0),IF('01_数值调参'!AL42&lt;0,'03_全链计算'!AC67+1,0),IF('01_数值调参'!AL43&lt;0,'03_全链计算'!AD67+1,0),IF('01_数值调参'!AL44&lt;0,'03_全链计算'!AE67+1,0),IF('01_数值调参'!AL45&lt;0,'03_全链计算'!AF67+1,0),IF('01_数值调参'!AL46&lt;0,'03_全链计算'!AG67+1,0),IF('01_数值调参'!AL47&lt;0,'03_全链计算'!AH67+1,0),IF('01_数值调参'!AL48&lt;0,'03_全链计算'!AI67+1,0),IF('01_数值调参'!AL49&lt;0,'03_全链计算'!AJ67+1,0),IF('01_数值调参'!AL50&lt;0,'03_全链计算'!AK67+1,0),IF('01_数值调参'!AL51&lt;0,'03_全链计算'!AL67+1,0),IF('01_数值调参'!AL52&lt;0,'03_全链计算'!AM67+1,0))</x:f>
        <x:v>3</x:v>
      </x:c>
      <x:c r="AM68" s="9" t="n">
        <x:f>MAX(IF('01_数值调参'!AM18&lt;0,'03_全链计算'!E67+1,0),IF('01_数值调参'!AM19&lt;0,'03_全链计算'!F67+1,0),IF('01_数值调参'!AM20&lt;0,'03_全链计算'!G67+1,0),IF('01_数值调参'!AM21&lt;0,'03_全链计算'!H67+1,0),IF('01_数值调参'!AM22&lt;0,'03_全链计算'!I67+1,0),IF('01_数值调参'!AM23&lt;0,'03_全链计算'!J67+1,0),IF('01_数值调参'!AM24&lt;0,'03_全链计算'!K67+1,0),IF('01_数值调参'!AM25&lt;0,'03_全链计算'!L67+1,0),IF('01_数值调参'!AM26&lt;0,'03_全链计算'!M67+1,0),IF('01_数值调参'!AM27&lt;0,'03_全链计算'!N67+1,0),IF('01_数值调参'!AM28&lt;0,'03_全链计算'!O67+1,0),IF('01_数值调参'!AM29&lt;0,'03_全链计算'!P67+1,0),IF('01_数值调参'!AM30&lt;0,'03_全链计算'!Q67+1,0),IF('01_数值调参'!AM31&lt;0,'03_全链计算'!R67+1,0),IF('01_数值调参'!AM32&lt;0,'03_全链计算'!S67+1,0),IF('01_数值调参'!AM33&lt;0,'03_全链计算'!T67+1,0),IF('01_数值调参'!AM34&lt;0,'03_全链计算'!U67+1,0),IF('01_数值调参'!AM35&lt;0,'03_全链计算'!V67+1,0),IF('01_数值调参'!AM36&lt;0,'03_全链计算'!W67+1,0),IF('01_数值调参'!AM37&lt;0,'03_全链计算'!X67+1,0),IF('01_数值调参'!AM38&lt;0,'03_全链计算'!Y67+1,0),IF('01_数值调参'!AM39&lt;0,'03_全链计算'!Z67+1,0),IF('01_数值调参'!AM40&lt;0,'03_全链计算'!AA67+1,0),IF('01_数值调参'!AM41&lt;0,'03_全链计算'!AB67+1,0),IF('01_数值调参'!AM42&lt;0,'03_全链计算'!AC67+1,0),IF('01_数值调参'!AM43&lt;0,'03_全链计算'!AD67+1,0),IF('01_数值调参'!AM44&lt;0,'03_全链计算'!AE67+1,0),IF('01_数值调参'!AM45&lt;0,'03_全链计算'!AF67+1,0),IF('01_数值调参'!AM46&lt;0,'03_全链计算'!AG67+1,0),IF('01_数值调参'!AM47&lt;0,'03_全链计算'!AH67+1,0),IF('01_数值调参'!AM48&lt;0,'03_全链计算'!AI67+1,0),IF('01_数值调参'!AM49&lt;0,'03_全链计算'!AJ67+1,0),IF('01_数值调参'!AM50&lt;0,'03_全链计算'!AK67+1,0),IF('01_数值调参'!AM51&lt;0,'03_全链计算'!AL67+1,0),IF('01_数值调参'!AM52&lt;0,'03_全链计算'!AM67+1,0))</x:f>
        <x:v>3</x:v>
      </x:c>
    </x:row>
    <x:row r="69" ht="22" customHeight="1">
      <x:c r="A69" s="9" t="n">
        <x:v>24</x:v>
      </x:c>
      <x:c r="B69" s="9"/>
      <x:c r="C69" s="9"/>
      <x:c r="D69" s="9"/>
      <x:c r="E69" s="9" t="n">
        <x:f>MAX(IF('01_数值调参'!E18&lt;0,'03_全链计算'!E68+1,0),IF('01_数值调参'!E19&lt;0,'03_全链计算'!F68+1,0),IF('01_数值调参'!E20&lt;0,'03_全链计算'!G68+1,0),IF('01_数值调参'!E21&lt;0,'03_全链计算'!H68+1,0),IF('01_数值调参'!E22&lt;0,'03_全链计算'!I68+1,0),IF('01_数值调参'!E23&lt;0,'03_全链计算'!J68+1,0),IF('01_数值调参'!E24&lt;0,'03_全链计算'!K68+1,0),IF('01_数值调参'!E25&lt;0,'03_全链计算'!L68+1,0),IF('01_数值调参'!E26&lt;0,'03_全链计算'!M68+1,0),IF('01_数值调参'!E27&lt;0,'03_全链计算'!N68+1,0),IF('01_数值调参'!E28&lt;0,'03_全链计算'!O68+1,0),IF('01_数值调参'!E29&lt;0,'03_全链计算'!P68+1,0),IF('01_数值调参'!E30&lt;0,'03_全链计算'!Q68+1,0),IF('01_数值调参'!E31&lt;0,'03_全链计算'!R68+1,0),IF('01_数值调参'!E32&lt;0,'03_全链计算'!S68+1,0),IF('01_数值调参'!E33&lt;0,'03_全链计算'!T68+1,0),IF('01_数值调参'!E34&lt;0,'03_全链计算'!U68+1,0),IF('01_数值调参'!E35&lt;0,'03_全链计算'!V68+1,0),IF('01_数值调参'!E36&lt;0,'03_全链计算'!W68+1,0),IF('01_数值调参'!E37&lt;0,'03_全链计算'!X68+1,0),IF('01_数值调参'!E38&lt;0,'03_全链计算'!Y68+1,0),IF('01_数值调参'!E39&lt;0,'03_全链计算'!Z68+1,0),IF('01_数值调参'!E40&lt;0,'03_全链计算'!AA68+1,0),IF('01_数值调参'!E41&lt;0,'03_全链计算'!AB68+1,0),IF('01_数值调参'!E42&lt;0,'03_全链计算'!AC68+1,0),IF('01_数值调参'!E43&lt;0,'03_全链计算'!AD68+1,0),IF('01_数值调参'!E44&lt;0,'03_全链计算'!AE68+1,0),IF('01_数值调参'!E45&lt;0,'03_全链计算'!AF68+1,0),IF('01_数值调参'!E46&lt;0,'03_全链计算'!AG68+1,0),IF('01_数值调参'!E47&lt;0,'03_全链计算'!AH68+1,0),IF('01_数值调参'!E48&lt;0,'03_全链计算'!AI68+1,0),IF('01_数值调参'!E49&lt;0,'03_全链计算'!AJ68+1,0),IF('01_数值调参'!E50&lt;0,'03_全链计算'!AK68+1,0),IF('01_数值调参'!E51&lt;0,'03_全链计算'!AL68+1,0),IF('01_数值调参'!E52&lt;0,'03_全链计算'!AM68+1,0))</x:f>
        <x:v>0</x:v>
      </x:c>
      <x:c r="F69" s="9" t="n">
        <x:f>MAX(IF('01_数值调参'!F18&lt;0,'03_全链计算'!E68+1,0),IF('01_数值调参'!F19&lt;0,'03_全链计算'!F68+1,0),IF('01_数值调参'!F20&lt;0,'03_全链计算'!G68+1,0),IF('01_数值调参'!F21&lt;0,'03_全链计算'!H68+1,0),IF('01_数值调参'!F22&lt;0,'03_全链计算'!I68+1,0),IF('01_数值调参'!F23&lt;0,'03_全链计算'!J68+1,0),IF('01_数值调参'!F24&lt;0,'03_全链计算'!K68+1,0),IF('01_数值调参'!F25&lt;0,'03_全链计算'!L68+1,0),IF('01_数值调参'!F26&lt;0,'03_全链计算'!M68+1,0),IF('01_数值调参'!F27&lt;0,'03_全链计算'!N68+1,0),IF('01_数值调参'!F28&lt;0,'03_全链计算'!O68+1,0),IF('01_数值调参'!F29&lt;0,'03_全链计算'!P68+1,0),IF('01_数值调参'!F30&lt;0,'03_全链计算'!Q68+1,0),IF('01_数值调参'!F31&lt;0,'03_全链计算'!R68+1,0),IF('01_数值调参'!F32&lt;0,'03_全链计算'!S68+1,0),IF('01_数值调参'!F33&lt;0,'03_全链计算'!T68+1,0),IF('01_数值调参'!F34&lt;0,'03_全链计算'!U68+1,0),IF('01_数值调参'!F35&lt;0,'03_全链计算'!V68+1,0),IF('01_数值调参'!F36&lt;0,'03_全链计算'!W68+1,0),IF('01_数值调参'!F37&lt;0,'03_全链计算'!X68+1,0),IF('01_数值调参'!F38&lt;0,'03_全链计算'!Y68+1,0),IF('01_数值调参'!F39&lt;0,'03_全链计算'!Z68+1,0),IF('01_数值调参'!F40&lt;0,'03_全链计算'!AA68+1,0),IF('01_数值调参'!F41&lt;0,'03_全链计算'!AB68+1,0),IF('01_数值调参'!F42&lt;0,'03_全链计算'!AC68+1,0),IF('01_数值调参'!F43&lt;0,'03_全链计算'!AD68+1,0),IF('01_数值调参'!F44&lt;0,'03_全链计算'!AE68+1,0),IF('01_数值调参'!F45&lt;0,'03_全链计算'!AF68+1,0),IF('01_数值调参'!F46&lt;0,'03_全链计算'!AG68+1,0),IF('01_数值调参'!F47&lt;0,'03_全链计算'!AH68+1,0),IF('01_数值调参'!F48&lt;0,'03_全链计算'!AI68+1,0),IF('01_数值调参'!F49&lt;0,'03_全链计算'!AJ68+1,0),IF('01_数值调参'!F50&lt;0,'03_全链计算'!AK68+1,0),IF('01_数值调参'!F51&lt;0,'03_全链计算'!AL68+1,0),IF('01_数值调参'!F52&lt;0,'03_全链计算'!AM68+1,0))</x:f>
        <x:v>0</x:v>
      </x:c>
      <x:c r="G69" s="9" t="n">
        <x:f>MAX(IF('01_数值调参'!G18&lt;0,'03_全链计算'!E68+1,0),IF('01_数值调参'!G19&lt;0,'03_全链计算'!F68+1,0),IF('01_数值调参'!G20&lt;0,'03_全链计算'!G68+1,0),IF('01_数值调参'!G21&lt;0,'03_全链计算'!H68+1,0),IF('01_数值调参'!G22&lt;0,'03_全链计算'!I68+1,0),IF('01_数值调参'!G23&lt;0,'03_全链计算'!J68+1,0),IF('01_数值调参'!G24&lt;0,'03_全链计算'!K68+1,0),IF('01_数值调参'!G25&lt;0,'03_全链计算'!L68+1,0),IF('01_数值调参'!G26&lt;0,'03_全链计算'!M68+1,0),IF('01_数值调参'!G27&lt;0,'03_全链计算'!N68+1,0),IF('01_数值调参'!G28&lt;0,'03_全链计算'!O68+1,0),IF('01_数值调参'!G29&lt;0,'03_全链计算'!P68+1,0),IF('01_数值调参'!G30&lt;0,'03_全链计算'!Q68+1,0),IF('01_数值调参'!G31&lt;0,'03_全链计算'!R68+1,0),IF('01_数值调参'!G32&lt;0,'03_全链计算'!S68+1,0),IF('01_数值调参'!G33&lt;0,'03_全链计算'!T68+1,0),IF('01_数值调参'!G34&lt;0,'03_全链计算'!U68+1,0),IF('01_数值调参'!G35&lt;0,'03_全链计算'!V68+1,0),IF('01_数值调参'!G36&lt;0,'03_全链计算'!W68+1,0),IF('01_数值调参'!G37&lt;0,'03_全链计算'!X68+1,0),IF('01_数值调参'!G38&lt;0,'03_全链计算'!Y68+1,0),IF('01_数值调参'!G39&lt;0,'03_全链计算'!Z68+1,0),IF('01_数值调参'!G40&lt;0,'03_全链计算'!AA68+1,0),IF('01_数值调参'!G41&lt;0,'03_全链计算'!AB68+1,0),IF('01_数值调参'!G42&lt;0,'03_全链计算'!AC68+1,0),IF('01_数值调参'!G43&lt;0,'03_全链计算'!AD68+1,0),IF('01_数值调参'!G44&lt;0,'03_全链计算'!AE68+1,0),IF('01_数值调参'!G45&lt;0,'03_全链计算'!AF68+1,0),IF('01_数值调参'!G46&lt;0,'03_全链计算'!AG68+1,0),IF('01_数值调参'!G47&lt;0,'03_全链计算'!AH68+1,0),IF('01_数值调参'!G48&lt;0,'03_全链计算'!AI68+1,0),IF('01_数值调参'!G49&lt;0,'03_全链计算'!AJ68+1,0),IF('01_数值调参'!G50&lt;0,'03_全链计算'!AK68+1,0),IF('01_数值调参'!G51&lt;0,'03_全链计算'!AL68+1,0),IF('01_数值调参'!G52&lt;0,'03_全链计算'!AM68+1,0))</x:f>
        <x:v>0</x:v>
      </x:c>
      <x:c r="H69" s="9" t="n">
        <x:f>MAX(IF('01_数值调参'!H18&lt;0,'03_全链计算'!E68+1,0),IF('01_数值调参'!H19&lt;0,'03_全链计算'!F68+1,0),IF('01_数值调参'!H20&lt;0,'03_全链计算'!G68+1,0),IF('01_数值调参'!H21&lt;0,'03_全链计算'!H68+1,0),IF('01_数值调参'!H22&lt;0,'03_全链计算'!I68+1,0),IF('01_数值调参'!H23&lt;0,'03_全链计算'!J68+1,0),IF('01_数值调参'!H24&lt;0,'03_全链计算'!K68+1,0),IF('01_数值调参'!H25&lt;0,'03_全链计算'!L68+1,0),IF('01_数值调参'!H26&lt;0,'03_全链计算'!M68+1,0),IF('01_数值调参'!H27&lt;0,'03_全链计算'!N68+1,0),IF('01_数值调参'!H28&lt;0,'03_全链计算'!O68+1,0),IF('01_数值调参'!H29&lt;0,'03_全链计算'!P68+1,0),IF('01_数值调参'!H30&lt;0,'03_全链计算'!Q68+1,0),IF('01_数值调参'!H31&lt;0,'03_全链计算'!R68+1,0),IF('01_数值调参'!H32&lt;0,'03_全链计算'!S68+1,0),IF('01_数值调参'!H33&lt;0,'03_全链计算'!T68+1,0),IF('01_数值调参'!H34&lt;0,'03_全链计算'!U68+1,0),IF('01_数值调参'!H35&lt;0,'03_全链计算'!V68+1,0),IF('01_数值调参'!H36&lt;0,'03_全链计算'!W68+1,0),IF('01_数值调参'!H37&lt;0,'03_全链计算'!X68+1,0),IF('01_数值调参'!H38&lt;0,'03_全链计算'!Y68+1,0),IF('01_数值调参'!H39&lt;0,'03_全链计算'!Z68+1,0),IF('01_数值调参'!H40&lt;0,'03_全链计算'!AA68+1,0),IF('01_数值调参'!H41&lt;0,'03_全链计算'!AB68+1,0),IF('01_数值调参'!H42&lt;0,'03_全链计算'!AC68+1,0),IF('01_数值调参'!H43&lt;0,'03_全链计算'!AD68+1,0),IF('01_数值调参'!H44&lt;0,'03_全链计算'!AE68+1,0),IF('01_数值调参'!H45&lt;0,'03_全链计算'!AF68+1,0),IF('01_数值调参'!H46&lt;0,'03_全链计算'!AG68+1,0),IF('01_数值调参'!H47&lt;0,'03_全链计算'!AH68+1,0),IF('01_数值调参'!H48&lt;0,'03_全链计算'!AI68+1,0),IF('01_数值调参'!H49&lt;0,'03_全链计算'!AJ68+1,0),IF('01_数值调参'!H50&lt;0,'03_全链计算'!AK68+1,0),IF('01_数值调参'!H51&lt;0,'03_全链计算'!AL68+1,0),IF('01_数值调参'!H52&lt;0,'03_全链计算'!AM68+1,0))</x:f>
        <x:v>0</x:v>
      </x:c>
      <x:c r="I69" s="9" t="n">
        <x:f>MAX(IF('01_数值调参'!I18&lt;0,'03_全链计算'!E68+1,0),IF('01_数值调参'!I19&lt;0,'03_全链计算'!F68+1,0),IF('01_数值调参'!I20&lt;0,'03_全链计算'!G68+1,0),IF('01_数值调参'!I21&lt;0,'03_全链计算'!H68+1,0),IF('01_数值调参'!I22&lt;0,'03_全链计算'!I68+1,0),IF('01_数值调参'!I23&lt;0,'03_全链计算'!J68+1,0),IF('01_数值调参'!I24&lt;0,'03_全链计算'!K68+1,0),IF('01_数值调参'!I25&lt;0,'03_全链计算'!L68+1,0),IF('01_数值调参'!I26&lt;0,'03_全链计算'!M68+1,0),IF('01_数值调参'!I27&lt;0,'03_全链计算'!N68+1,0),IF('01_数值调参'!I28&lt;0,'03_全链计算'!O68+1,0),IF('01_数值调参'!I29&lt;0,'03_全链计算'!P68+1,0),IF('01_数值调参'!I30&lt;0,'03_全链计算'!Q68+1,0),IF('01_数值调参'!I31&lt;0,'03_全链计算'!R68+1,0),IF('01_数值调参'!I32&lt;0,'03_全链计算'!S68+1,0),IF('01_数值调参'!I33&lt;0,'03_全链计算'!T68+1,0),IF('01_数值调参'!I34&lt;0,'03_全链计算'!U68+1,0),IF('01_数值调参'!I35&lt;0,'03_全链计算'!V68+1,0),IF('01_数值调参'!I36&lt;0,'03_全链计算'!W68+1,0),IF('01_数值调参'!I37&lt;0,'03_全链计算'!X68+1,0),IF('01_数值调参'!I38&lt;0,'03_全链计算'!Y68+1,0),IF('01_数值调参'!I39&lt;0,'03_全链计算'!Z68+1,0),IF('01_数值调参'!I40&lt;0,'03_全链计算'!AA68+1,0),IF('01_数值调参'!I41&lt;0,'03_全链计算'!AB68+1,0),IF('01_数值调参'!I42&lt;0,'03_全链计算'!AC68+1,0),IF('01_数值调参'!I43&lt;0,'03_全链计算'!AD68+1,0),IF('01_数值调参'!I44&lt;0,'03_全链计算'!AE68+1,0),IF('01_数值调参'!I45&lt;0,'03_全链计算'!AF68+1,0),IF('01_数值调参'!I46&lt;0,'03_全链计算'!AG68+1,0),IF('01_数值调参'!I47&lt;0,'03_全链计算'!AH68+1,0),IF('01_数值调参'!I48&lt;0,'03_全链计算'!AI68+1,0),IF('01_数值调参'!I49&lt;0,'03_全链计算'!AJ68+1,0),IF('01_数值调参'!I50&lt;0,'03_全链计算'!AK68+1,0),IF('01_数值调参'!I51&lt;0,'03_全链计算'!AL68+1,0),IF('01_数值调参'!I52&lt;0,'03_全链计算'!AM68+1,0))</x:f>
        <x:v>0</x:v>
      </x:c>
      <x:c r="J69" s="9" t="n">
        <x:f>MAX(IF('01_数值调参'!J18&lt;0,'03_全链计算'!E68+1,0),IF('01_数值调参'!J19&lt;0,'03_全链计算'!F68+1,0),IF('01_数值调参'!J20&lt;0,'03_全链计算'!G68+1,0),IF('01_数值调参'!J21&lt;0,'03_全链计算'!H68+1,0),IF('01_数值调参'!J22&lt;0,'03_全链计算'!I68+1,0),IF('01_数值调参'!J23&lt;0,'03_全链计算'!J68+1,0),IF('01_数值调参'!J24&lt;0,'03_全链计算'!K68+1,0),IF('01_数值调参'!J25&lt;0,'03_全链计算'!L68+1,0),IF('01_数值调参'!J26&lt;0,'03_全链计算'!M68+1,0),IF('01_数值调参'!J27&lt;0,'03_全链计算'!N68+1,0),IF('01_数值调参'!J28&lt;0,'03_全链计算'!O68+1,0),IF('01_数值调参'!J29&lt;0,'03_全链计算'!P68+1,0),IF('01_数值调参'!J30&lt;0,'03_全链计算'!Q68+1,0),IF('01_数值调参'!J31&lt;0,'03_全链计算'!R68+1,0),IF('01_数值调参'!J32&lt;0,'03_全链计算'!S68+1,0),IF('01_数值调参'!J33&lt;0,'03_全链计算'!T68+1,0),IF('01_数值调参'!J34&lt;0,'03_全链计算'!U68+1,0),IF('01_数值调参'!J35&lt;0,'03_全链计算'!V68+1,0),IF('01_数值调参'!J36&lt;0,'03_全链计算'!W68+1,0),IF('01_数值调参'!J37&lt;0,'03_全链计算'!X68+1,0),IF('01_数值调参'!J38&lt;0,'03_全链计算'!Y68+1,0),IF('01_数值调参'!J39&lt;0,'03_全链计算'!Z68+1,0),IF('01_数值调参'!J40&lt;0,'03_全链计算'!AA68+1,0),IF('01_数值调参'!J41&lt;0,'03_全链计算'!AB68+1,0),IF('01_数值调参'!J42&lt;0,'03_全链计算'!AC68+1,0),IF('01_数值调参'!J43&lt;0,'03_全链计算'!AD68+1,0),IF('01_数值调参'!J44&lt;0,'03_全链计算'!AE68+1,0),IF('01_数值调参'!J45&lt;0,'03_全链计算'!AF68+1,0),IF('01_数值调参'!J46&lt;0,'03_全链计算'!AG68+1,0),IF('01_数值调参'!J47&lt;0,'03_全链计算'!AH68+1,0),IF('01_数值调参'!J48&lt;0,'03_全链计算'!AI68+1,0),IF('01_数值调参'!J49&lt;0,'03_全链计算'!AJ68+1,0),IF('01_数值调参'!J50&lt;0,'03_全链计算'!AK68+1,0),IF('01_数值调参'!J51&lt;0,'03_全链计算'!AL68+1,0),IF('01_数值调参'!J52&lt;0,'03_全链计算'!AM68+1,0))</x:f>
        <x:v>0</x:v>
      </x:c>
      <x:c r="K69" s="9" t="n">
        <x:f>MAX(IF('01_数值调参'!K18&lt;0,'03_全链计算'!E68+1,0),IF('01_数值调参'!K19&lt;0,'03_全链计算'!F68+1,0),IF('01_数值调参'!K20&lt;0,'03_全链计算'!G68+1,0),IF('01_数值调参'!K21&lt;0,'03_全链计算'!H68+1,0),IF('01_数值调参'!K22&lt;0,'03_全链计算'!I68+1,0),IF('01_数值调参'!K23&lt;0,'03_全链计算'!J68+1,0),IF('01_数值调参'!K24&lt;0,'03_全链计算'!K68+1,0),IF('01_数值调参'!K25&lt;0,'03_全链计算'!L68+1,0),IF('01_数值调参'!K26&lt;0,'03_全链计算'!M68+1,0),IF('01_数值调参'!K27&lt;0,'03_全链计算'!N68+1,0),IF('01_数值调参'!K28&lt;0,'03_全链计算'!O68+1,0),IF('01_数值调参'!K29&lt;0,'03_全链计算'!P68+1,0),IF('01_数值调参'!K30&lt;0,'03_全链计算'!Q68+1,0),IF('01_数值调参'!K31&lt;0,'03_全链计算'!R68+1,0),IF('01_数值调参'!K32&lt;0,'03_全链计算'!S68+1,0),IF('01_数值调参'!K33&lt;0,'03_全链计算'!T68+1,0),IF('01_数值调参'!K34&lt;0,'03_全链计算'!U68+1,0),IF('01_数值调参'!K35&lt;0,'03_全链计算'!V68+1,0),IF('01_数值调参'!K36&lt;0,'03_全链计算'!W68+1,0),IF('01_数值调参'!K37&lt;0,'03_全链计算'!X68+1,0),IF('01_数值调参'!K38&lt;0,'03_全链计算'!Y68+1,0),IF('01_数值调参'!K39&lt;0,'03_全链计算'!Z68+1,0),IF('01_数值调参'!K40&lt;0,'03_全链计算'!AA68+1,0),IF('01_数值调参'!K41&lt;0,'03_全链计算'!AB68+1,0),IF('01_数值调参'!K42&lt;0,'03_全链计算'!AC68+1,0),IF('01_数值调参'!K43&lt;0,'03_全链计算'!AD68+1,0),IF('01_数值调参'!K44&lt;0,'03_全链计算'!AE68+1,0),IF('01_数值调参'!K45&lt;0,'03_全链计算'!AF68+1,0),IF('01_数值调参'!K46&lt;0,'03_全链计算'!AG68+1,0),IF('01_数值调参'!K47&lt;0,'03_全链计算'!AH68+1,0),IF('01_数值调参'!K48&lt;0,'03_全链计算'!AI68+1,0),IF('01_数值调参'!K49&lt;0,'03_全链计算'!AJ68+1,0),IF('01_数值调参'!K50&lt;0,'03_全链计算'!AK68+1,0),IF('01_数值调参'!K51&lt;0,'03_全链计算'!AL68+1,0),IF('01_数值调参'!K52&lt;0,'03_全链计算'!AM68+1,0))</x:f>
        <x:v>0</x:v>
      </x:c>
      <x:c r="L69" s="9" t="n">
        <x:f>MAX(IF('01_数值调参'!L18&lt;0,'03_全链计算'!E68+1,0),IF('01_数值调参'!L19&lt;0,'03_全链计算'!F68+1,0),IF('01_数值调参'!L20&lt;0,'03_全链计算'!G68+1,0),IF('01_数值调参'!L21&lt;0,'03_全链计算'!H68+1,0),IF('01_数值调参'!L22&lt;0,'03_全链计算'!I68+1,0),IF('01_数值调参'!L23&lt;0,'03_全链计算'!J68+1,0),IF('01_数值调参'!L24&lt;0,'03_全链计算'!K68+1,0),IF('01_数值调参'!L25&lt;0,'03_全链计算'!L68+1,0),IF('01_数值调参'!L26&lt;0,'03_全链计算'!M68+1,0),IF('01_数值调参'!L27&lt;0,'03_全链计算'!N68+1,0),IF('01_数值调参'!L28&lt;0,'03_全链计算'!O68+1,0),IF('01_数值调参'!L29&lt;0,'03_全链计算'!P68+1,0),IF('01_数值调参'!L30&lt;0,'03_全链计算'!Q68+1,0),IF('01_数值调参'!L31&lt;0,'03_全链计算'!R68+1,0),IF('01_数值调参'!L32&lt;0,'03_全链计算'!S68+1,0),IF('01_数值调参'!L33&lt;0,'03_全链计算'!T68+1,0),IF('01_数值调参'!L34&lt;0,'03_全链计算'!U68+1,0),IF('01_数值调参'!L35&lt;0,'03_全链计算'!V68+1,0),IF('01_数值调参'!L36&lt;0,'03_全链计算'!W68+1,0),IF('01_数值调参'!L37&lt;0,'03_全链计算'!X68+1,0),IF('01_数值调参'!L38&lt;0,'03_全链计算'!Y68+1,0),IF('01_数值调参'!L39&lt;0,'03_全链计算'!Z68+1,0),IF('01_数值调参'!L40&lt;0,'03_全链计算'!AA68+1,0),IF('01_数值调参'!L41&lt;0,'03_全链计算'!AB68+1,0),IF('01_数值调参'!L42&lt;0,'03_全链计算'!AC68+1,0),IF('01_数值调参'!L43&lt;0,'03_全链计算'!AD68+1,0),IF('01_数值调参'!L44&lt;0,'03_全链计算'!AE68+1,0),IF('01_数值调参'!L45&lt;0,'03_全链计算'!AF68+1,0),IF('01_数值调参'!L46&lt;0,'03_全链计算'!AG68+1,0),IF('01_数值调参'!L47&lt;0,'03_全链计算'!AH68+1,0),IF('01_数值调参'!L48&lt;0,'03_全链计算'!AI68+1,0),IF('01_数值调参'!L49&lt;0,'03_全链计算'!AJ68+1,0),IF('01_数值调参'!L50&lt;0,'03_全链计算'!AK68+1,0),IF('01_数值调参'!L51&lt;0,'03_全链计算'!AL68+1,0),IF('01_数值调参'!L52&lt;0,'03_全链计算'!AM68+1,0))</x:f>
        <x:v>0</x:v>
      </x:c>
      <x:c r="M69" s="9" t="n">
        <x:f>MAX(IF('01_数值调参'!M18&lt;0,'03_全链计算'!E68+1,0),IF('01_数值调参'!M19&lt;0,'03_全链计算'!F68+1,0),IF('01_数值调参'!M20&lt;0,'03_全链计算'!G68+1,0),IF('01_数值调参'!M21&lt;0,'03_全链计算'!H68+1,0),IF('01_数值调参'!M22&lt;0,'03_全链计算'!I68+1,0),IF('01_数值调参'!M23&lt;0,'03_全链计算'!J68+1,0),IF('01_数值调参'!M24&lt;0,'03_全链计算'!K68+1,0),IF('01_数值调参'!M25&lt;0,'03_全链计算'!L68+1,0),IF('01_数值调参'!M26&lt;0,'03_全链计算'!M68+1,0),IF('01_数值调参'!M27&lt;0,'03_全链计算'!N68+1,0),IF('01_数值调参'!M28&lt;0,'03_全链计算'!O68+1,0),IF('01_数值调参'!M29&lt;0,'03_全链计算'!P68+1,0),IF('01_数值调参'!M30&lt;0,'03_全链计算'!Q68+1,0),IF('01_数值调参'!M31&lt;0,'03_全链计算'!R68+1,0),IF('01_数值调参'!M32&lt;0,'03_全链计算'!S68+1,0),IF('01_数值调参'!M33&lt;0,'03_全链计算'!T68+1,0),IF('01_数值调参'!M34&lt;0,'03_全链计算'!U68+1,0),IF('01_数值调参'!M35&lt;0,'03_全链计算'!V68+1,0),IF('01_数值调参'!M36&lt;0,'03_全链计算'!W68+1,0),IF('01_数值调参'!M37&lt;0,'03_全链计算'!X68+1,0),IF('01_数值调参'!M38&lt;0,'03_全链计算'!Y68+1,0),IF('01_数值调参'!M39&lt;0,'03_全链计算'!Z68+1,0),IF('01_数值调参'!M40&lt;0,'03_全链计算'!AA68+1,0),IF('01_数值调参'!M41&lt;0,'03_全链计算'!AB68+1,0),IF('01_数值调参'!M42&lt;0,'03_全链计算'!AC68+1,0),IF('01_数值调参'!M43&lt;0,'03_全链计算'!AD68+1,0),IF('01_数值调参'!M44&lt;0,'03_全链计算'!AE68+1,0),IF('01_数值调参'!M45&lt;0,'03_全链计算'!AF68+1,0),IF('01_数值调参'!M46&lt;0,'03_全链计算'!AG68+1,0),IF('01_数值调参'!M47&lt;0,'03_全链计算'!AH68+1,0),IF('01_数值调参'!M48&lt;0,'03_全链计算'!AI68+1,0),IF('01_数值调参'!M49&lt;0,'03_全链计算'!AJ68+1,0),IF('01_数值调参'!M50&lt;0,'03_全链计算'!AK68+1,0),IF('01_数值调参'!M51&lt;0,'03_全链计算'!AL68+1,0),IF('01_数值调参'!M52&lt;0,'03_全链计算'!AM68+1,0))</x:f>
        <x:v>0</x:v>
      </x:c>
      <x:c r="N69" s="9" t="n">
        <x:f>MAX(IF('01_数值调参'!N18&lt;0,'03_全链计算'!E68+1,0),IF('01_数值调参'!N19&lt;0,'03_全链计算'!F68+1,0),IF('01_数值调参'!N20&lt;0,'03_全链计算'!G68+1,0),IF('01_数值调参'!N21&lt;0,'03_全链计算'!H68+1,0),IF('01_数值调参'!N22&lt;0,'03_全链计算'!I68+1,0),IF('01_数值调参'!N23&lt;0,'03_全链计算'!J68+1,0),IF('01_数值调参'!N24&lt;0,'03_全链计算'!K68+1,0),IF('01_数值调参'!N25&lt;0,'03_全链计算'!L68+1,0),IF('01_数值调参'!N26&lt;0,'03_全链计算'!M68+1,0),IF('01_数值调参'!N27&lt;0,'03_全链计算'!N68+1,0),IF('01_数值调参'!N28&lt;0,'03_全链计算'!O68+1,0),IF('01_数值调参'!N29&lt;0,'03_全链计算'!P68+1,0),IF('01_数值调参'!N30&lt;0,'03_全链计算'!Q68+1,0),IF('01_数值调参'!N31&lt;0,'03_全链计算'!R68+1,0),IF('01_数值调参'!N32&lt;0,'03_全链计算'!S68+1,0),IF('01_数值调参'!N33&lt;0,'03_全链计算'!T68+1,0),IF('01_数值调参'!N34&lt;0,'03_全链计算'!U68+1,0),IF('01_数值调参'!N35&lt;0,'03_全链计算'!V68+1,0),IF('01_数值调参'!N36&lt;0,'03_全链计算'!W68+1,0),IF('01_数值调参'!N37&lt;0,'03_全链计算'!X68+1,0),IF('01_数值调参'!N38&lt;0,'03_全链计算'!Y68+1,0),IF('01_数值调参'!N39&lt;0,'03_全链计算'!Z68+1,0),IF('01_数值调参'!N40&lt;0,'03_全链计算'!AA68+1,0),IF('01_数值调参'!N41&lt;0,'03_全链计算'!AB68+1,0),IF('01_数值调参'!N42&lt;0,'03_全链计算'!AC68+1,0),IF('01_数值调参'!N43&lt;0,'03_全链计算'!AD68+1,0),IF('01_数值调参'!N44&lt;0,'03_全链计算'!AE68+1,0),IF('01_数值调参'!N45&lt;0,'03_全链计算'!AF68+1,0),IF('01_数值调参'!N46&lt;0,'03_全链计算'!AG68+1,0),IF('01_数值调参'!N47&lt;0,'03_全链计算'!AH68+1,0),IF('01_数值调参'!N48&lt;0,'03_全链计算'!AI68+1,0),IF('01_数值调参'!N49&lt;0,'03_全链计算'!AJ68+1,0),IF('01_数值调参'!N50&lt;0,'03_全链计算'!AK68+1,0),IF('01_数值调参'!N51&lt;0,'03_全链计算'!AL68+1,0),IF('01_数值调参'!N52&lt;0,'03_全链计算'!AM68+1,0))</x:f>
        <x:v>1</x:v>
      </x:c>
      <x:c r="O69" s="9" t="n">
        <x:f>MAX(IF('01_数值调参'!O18&lt;0,'03_全链计算'!E68+1,0),IF('01_数值调参'!O19&lt;0,'03_全链计算'!F68+1,0),IF('01_数值调参'!O20&lt;0,'03_全链计算'!G68+1,0),IF('01_数值调参'!O21&lt;0,'03_全链计算'!H68+1,0),IF('01_数值调参'!O22&lt;0,'03_全链计算'!I68+1,0),IF('01_数值调参'!O23&lt;0,'03_全链计算'!J68+1,0),IF('01_数值调参'!O24&lt;0,'03_全链计算'!K68+1,0),IF('01_数值调参'!O25&lt;0,'03_全链计算'!L68+1,0),IF('01_数值调参'!O26&lt;0,'03_全链计算'!M68+1,0),IF('01_数值调参'!O27&lt;0,'03_全链计算'!N68+1,0),IF('01_数值调参'!O28&lt;0,'03_全链计算'!O68+1,0),IF('01_数值调参'!O29&lt;0,'03_全链计算'!P68+1,0),IF('01_数值调参'!O30&lt;0,'03_全链计算'!Q68+1,0),IF('01_数值调参'!O31&lt;0,'03_全链计算'!R68+1,0),IF('01_数值调参'!O32&lt;0,'03_全链计算'!S68+1,0),IF('01_数值调参'!O33&lt;0,'03_全链计算'!T68+1,0),IF('01_数值调参'!O34&lt;0,'03_全链计算'!U68+1,0),IF('01_数值调参'!O35&lt;0,'03_全链计算'!V68+1,0),IF('01_数值调参'!O36&lt;0,'03_全链计算'!W68+1,0),IF('01_数值调参'!O37&lt;0,'03_全链计算'!X68+1,0),IF('01_数值调参'!O38&lt;0,'03_全链计算'!Y68+1,0),IF('01_数值调参'!O39&lt;0,'03_全链计算'!Z68+1,0),IF('01_数值调参'!O40&lt;0,'03_全链计算'!AA68+1,0),IF('01_数值调参'!O41&lt;0,'03_全链计算'!AB68+1,0),IF('01_数值调参'!O42&lt;0,'03_全链计算'!AC68+1,0),IF('01_数值调参'!O43&lt;0,'03_全链计算'!AD68+1,0),IF('01_数值调参'!O44&lt;0,'03_全链计算'!AE68+1,0),IF('01_数值调参'!O45&lt;0,'03_全链计算'!AF68+1,0),IF('01_数值调参'!O46&lt;0,'03_全链计算'!AG68+1,0),IF('01_数值调参'!O47&lt;0,'03_全链计算'!AH68+1,0),IF('01_数值调参'!O48&lt;0,'03_全链计算'!AI68+1,0),IF('01_数值调参'!O49&lt;0,'03_全链计算'!AJ68+1,0),IF('01_数值调参'!O50&lt;0,'03_全链计算'!AK68+1,0),IF('01_数值调参'!O51&lt;0,'03_全链计算'!AL68+1,0),IF('01_数值调参'!O52&lt;0,'03_全链计算'!AM68+1,0))</x:f>
        <x:v>1</x:v>
      </x:c>
      <x:c r="P69" s="9" t="n">
        <x:f>MAX(IF('01_数值调参'!P18&lt;0,'03_全链计算'!E68+1,0),IF('01_数值调参'!P19&lt;0,'03_全链计算'!F68+1,0),IF('01_数值调参'!P20&lt;0,'03_全链计算'!G68+1,0),IF('01_数值调参'!P21&lt;0,'03_全链计算'!H68+1,0),IF('01_数值调参'!P22&lt;0,'03_全链计算'!I68+1,0),IF('01_数值调参'!P23&lt;0,'03_全链计算'!J68+1,0),IF('01_数值调参'!P24&lt;0,'03_全链计算'!K68+1,0),IF('01_数值调参'!P25&lt;0,'03_全链计算'!L68+1,0),IF('01_数值调参'!P26&lt;0,'03_全链计算'!M68+1,0),IF('01_数值调参'!P27&lt;0,'03_全链计算'!N68+1,0),IF('01_数值调参'!P28&lt;0,'03_全链计算'!O68+1,0),IF('01_数值调参'!P29&lt;0,'03_全链计算'!P68+1,0),IF('01_数值调参'!P30&lt;0,'03_全链计算'!Q68+1,0),IF('01_数值调参'!P31&lt;0,'03_全链计算'!R68+1,0),IF('01_数值调参'!P32&lt;0,'03_全链计算'!S68+1,0),IF('01_数值调参'!P33&lt;0,'03_全链计算'!T68+1,0),IF('01_数值调参'!P34&lt;0,'03_全链计算'!U68+1,0),IF('01_数值调参'!P35&lt;0,'03_全链计算'!V68+1,0),IF('01_数值调参'!P36&lt;0,'03_全链计算'!W68+1,0),IF('01_数值调参'!P37&lt;0,'03_全链计算'!X68+1,0),IF('01_数值调参'!P38&lt;0,'03_全链计算'!Y68+1,0),IF('01_数值调参'!P39&lt;0,'03_全链计算'!Z68+1,0),IF('01_数值调参'!P40&lt;0,'03_全链计算'!AA68+1,0),IF('01_数值调参'!P41&lt;0,'03_全链计算'!AB68+1,0),IF('01_数值调参'!P42&lt;0,'03_全链计算'!AC68+1,0),IF('01_数值调参'!P43&lt;0,'03_全链计算'!AD68+1,0),IF('01_数值调参'!P44&lt;0,'03_全链计算'!AE68+1,0),IF('01_数值调参'!P45&lt;0,'03_全链计算'!AF68+1,0),IF('01_数值调参'!P46&lt;0,'03_全链计算'!AG68+1,0),IF('01_数值调参'!P47&lt;0,'03_全链计算'!AH68+1,0),IF('01_数值调参'!P48&lt;0,'03_全链计算'!AI68+1,0),IF('01_数值调参'!P49&lt;0,'03_全链计算'!AJ68+1,0),IF('01_数值调参'!P50&lt;0,'03_全链计算'!AK68+1,0),IF('01_数值调参'!P51&lt;0,'03_全链计算'!AL68+1,0),IF('01_数值调参'!P52&lt;0,'03_全链计算'!AM68+1,0))</x:f>
        <x:v>1</x:v>
      </x:c>
      <x:c r="Q69" s="9" t="n">
        <x:f>MAX(IF('01_数值调参'!Q18&lt;0,'03_全链计算'!E68+1,0),IF('01_数值调参'!Q19&lt;0,'03_全链计算'!F68+1,0),IF('01_数值调参'!Q20&lt;0,'03_全链计算'!G68+1,0),IF('01_数值调参'!Q21&lt;0,'03_全链计算'!H68+1,0),IF('01_数值调参'!Q22&lt;0,'03_全链计算'!I68+1,0),IF('01_数值调参'!Q23&lt;0,'03_全链计算'!J68+1,0),IF('01_数值调参'!Q24&lt;0,'03_全链计算'!K68+1,0),IF('01_数值调参'!Q25&lt;0,'03_全链计算'!L68+1,0),IF('01_数值调参'!Q26&lt;0,'03_全链计算'!M68+1,0),IF('01_数值调参'!Q27&lt;0,'03_全链计算'!N68+1,0),IF('01_数值调参'!Q28&lt;0,'03_全链计算'!O68+1,0),IF('01_数值调参'!Q29&lt;0,'03_全链计算'!P68+1,0),IF('01_数值调参'!Q30&lt;0,'03_全链计算'!Q68+1,0),IF('01_数值调参'!Q31&lt;0,'03_全链计算'!R68+1,0),IF('01_数值调参'!Q32&lt;0,'03_全链计算'!S68+1,0),IF('01_数值调参'!Q33&lt;0,'03_全链计算'!T68+1,0),IF('01_数值调参'!Q34&lt;0,'03_全链计算'!U68+1,0),IF('01_数值调参'!Q35&lt;0,'03_全链计算'!V68+1,0),IF('01_数值调参'!Q36&lt;0,'03_全链计算'!W68+1,0),IF('01_数值调参'!Q37&lt;0,'03_全链计算'!X68+1,0),IF('01_数值调参'!Q38&lt;0,'03_全链计算'!Y68+1,0),IF('01_数值调参'!Q39&lt;0,'03_全链计算'!Z68+1,0),IF('01_数值调参'!Q40&lt;0,'03_全链计算'!AA68+1,0),IF('01_数值调参'!Q41&lt;0,'03_全链计算'!AB68+1,0),IF('01_数值调参'!Q42&lt;0,'03_全链计算'!AC68+1,0),IF('01_数值调参'!Q43&lt;0,'03_全链计算'!AD68+1,0),IF('01_数值调参'!Q44&lt;0,'03_全链计算'!AE68+1,0),IF('01_数值调参'!Q45&lt;0,'03_全链计算'!AF68+1,0),IF('01_数值调参'!Q46&lt;0,'03_全链计算'!AG68+1,0),IF('01_数值调参'!Q47&lt;0,'03_全链计算'!AH68+1,0),IF('01_数值调参'!Q48&lt;0,'03_全链计算'!AI68+1,0),IF('01_数值调参'!Q49&lt;0,'03_全链计算'!AJ68+1,0),IF('01_数值调参'!Q50&lt;0,'03_全链计算'!AK68+1,0),IF('01_数值调参'!Q51&lt;0,'03_全链计算'!AL68+1,0),IF('01_数值调参'!Q52&lt;0,'03_全链计算'!AM68+1,0))</x:f>
        <x:v>1</x:v>
      </x:c>
      <x:c r="R69" s="9" t="n">
        <x:f>MAX(IF('01_数值调参'!R18&lt;0,'03_全链计算'!E68+1,0),IF('01_数值调参'!R19&lt;0,'03_全链计算'!F68+1,0),IF('01_数值调参'!R20&lt;0,'03_全链计算'!G68+1,0),IF('01_数值调参'!R21&lt;0,'03_全链计算'!H68+1,0),IF('01_数值调参'!R22&lt;0,'03_全链计算'!I68+1,0),IF('01_数值调参'!R23&lt;0,'03_全链计算'!J68+1,0),IF('01_数值调参'!R24&lt;0,'03_全链计算'!K68+1,0),IF('01_数值调参'!R25&lt;0,'03_全链计算'!L68+1,0),IF('01_数值调参'!R26&lt;0,'03_全链计算'!M68+1,0),IF('01_数值调参'!R27&lt;0,'03_全链计算'!N68+1,0),IF('01_数值调参'!R28&lt;0,'03_全链计算'!O68+1,0),IF('01_数值调参'!R29&lt;0,'03_全链计算'!P68+1,0),IF('01_数值调参'!R30&lt;0,'03_全链计算'!Q68+1,0),IF('01_数值调参'!R31&lt;0,'03_全链计算'!R68+1,0),IF('01_数值调参'!R32&lt;0,'03_全链计算'!S68+1,0),IF('01_数值调参'!R33&lt;0,'03_全链计算'!T68+1,0),IF('01_数值调参'!R34&lt;0,'03_全链计算'!U68+1,0),IF('01_数值调参'!R35&lt;0,'03_全链计算'!V68+1,0),IF('01_数值调参'!R36&lt;0,'03_全链计算'!W68+1,0),IF('01_数值调参'!R37&lt;0,'03_全链计算'!X68+1,0),IF('01_数值调参'!R38&lt;0,'03_全链计算'!Y68+1,0),IF('01_数值调参'!R39&lt;0,'03_全链计算'!Z68+1,0),IF('01_数值调参'!R40&lt;0,'03_全链计算'!AA68+1,0),IF('01_数值调参'!R41&lt;0,'03_全链计算'!AB68+1,0),IF('01_数值调参'!R42&lt;0,'03_全链计算'!AC68+1,0),IF('01_数值调参'!R43&lt;0,'03_全链计算'!AD68+1,0),IF('01_数值调参'!R44&lt;0,'03_全链计算'!AE68+1,0),IF('01_数值调参'!R45&lt;0,'03_全链计算'!AF68+1,0),IF('01_数值调参'!R46&lt;0,'03_全链计算'!AG68+1,0),IF('01_数值调参'!R47&lt;0,'03_全链计算'!AH68+1,0),IF('01_数值调参'!R48&lt;0,'03_全链计算'!AI68+1,0),IF('01_数值调参'!R49&lt;0,'03_全链计算'!AJ68+1,0),IF('01_数值调参'!R50&lt;0,'03_全链计算'!AK68+1,0),IF('01_数值调参'!R51&lt;0,'03_全链计算'!AL68+1,0),IF('01_数值调参'!R52&lt;0,'03_全链计算'!AM68+1,0))</x:f>
        <x:v>1</x:v>
      </x:c>
      <x:c r="S69" s="9" t="n">
        <x:f>MAX(IF('01_数值调参'!S18&lt;0,'03_全链计算'!E68+1,0),IF('01_数值调参'!S19&lt;0,'03_全链计算'!F68+1,0),IF('01_数值调参'!S20&lt;0,'03_全链计算'!G68+1,0),IF('01_数值调参'!S21&lt;0,'03_全链计算'!H68+1,0),IF('01_数值调参'!S22&lt;0,'03_全链计算'!I68+1,0),IF('01_数值调参'!S23&lt;0,'03_全链计算'!J68+1,0),IF('01_数值调参'!S24&lt;0,'03_全链计算'!K68+1,0),IF('01_数值调参'!S25&lt;0,'03_全链计算'!L68+1,0),IF('01_数值调参'!S26&lt;0,'03_全链计算'!M68+1,0),IF('01_数值调参'!S27&lt;0,'03_全链计算'!N68+1,0),IF('01_数值调参'!S28&lt;0,'03_全链计算'!O68+1,0),IF('01_数值调参'!S29&lt;0,'03_全链计算'!P68+1,0),IF('01_数值调参'!S30&lt;0,'03_全链计算'!Q68+1,0),IF('01_数值调参'!S31&lt;0,'03_全链计算'!R68+1,0),IF('01_数值调参'!S32&lt;0,'03_全链计算'!S68+1,0),IF('01_数值调参'!S33&lt;0,'03_全链计算'!T68+1,0),IF('01_数值调参'!S34&lt;0,'03_全链计算'!U68+1,0),IF('01_数值调参'!S35&lt;0,'03_全链计算'!V68+1,0),IF('01_数值调参'!S36&lt;0,'03_全链计算'!W68+1,0),IF('01_数值调参'!S37&lt;0,'03_全链计算'!X68+1,0),IF('01_数值调参'!S38&lt;0,'03_全链计算'!Y68+1,0),IF('01_数值调参'!S39&lt;0,'03_全链计算'!Z68+1,0),IF('01_数值调参'!S40&lt;0,'03_全链计算'!AA68+1,0),IF('01_数值调参'!S41&lt;0,'03_全链计算'!AB68+1,0),IF('01_数值调参'!S42&lt;0,'03_全链计算'!AC68+1,0),IF('01_数值调参'!S43&lt;0,'03_全链计算'!AD68+1,0),IF('01_数值调参'!S44&lt;0,'03_全链计算'!AE68+1,0),IF('01_数值调参'!S45&lt;0,'03_全链计算'!AF68+1,0),IF('01_数值调参'!S46&lt;0,'03_全链计算'!AG68+1,0),IF('01_数值调参'!S47&lt;0,'03_全链计算'!AH68+1,0),IF('01_数值调参'!S48&lt;0,'03_全链计算'!AI68+1,0),IF('01_数值调参'!S49&lt;0,'03_全链计算'!AJ68+1,0),IF('01_数值调参'!S50&lt;0,'03_全链计算'!AK68+1,0),IF('01_数值调参'!S51&lt;0,'03_全链计算'!AL68+1,0),IF('01_数值调参'!S52&lt;0,'03_全链计算'!AM68+1,0))</x:f>
        <x:v>1</x:v>
      </x:c>
      <x:c r="T69" s="9" t="n">
        <x:f>MAX(IF('01_数值调参'!T18&lt;0,'03_全链计算'!E68+1,0),IF('01_数值调参'!T19&lt;0,'03_全链计算'!F68+1,0),IF('01_数值调参'!T20&lt;0,'03_全链计算'!G68+1,0),IF('01_数值调参'!T21&lt;0,'03_全链计算'!H68+1,0),IF('01_数值调参'!T22&lt;0,'03_全链计算'!I68+1,0),IF('01_数值调参'!T23&lt;0,'03_全链计算'!J68+1,0),IF('01_数值调参'!T24&lt;0,'03_全链计算'!K68+1,0),IF('01_数值调参'!T25&lt;0,'03_全链计算'!L68+1,0),IF('01_数值调参'!T26&lt;0,'03_全链计算'!M68+1,0),IF('01_数值调参'!T27&lt;0,'03_全链计算'!N68+1,0),IF('01_数值调参'!T28&lt;0,'03_全链计算'!O68+1,0),IF('01_数值调参'!T29&lt;0,'03_全链计算'!P68+1,0),IF('01_数值调参'!T30&lt;0,'03_全链计算'!Q68+1,0),IF('01_数值调参'!T31&lt;0,'03_全链计算'!R68+1,0),IF('01_数值调参'!T32&lt;0,'03_全链计算'!S68+1,0),IF('01_数值调参'!T33&lt;0,'03_全链计算'!T68+1,0),IF('01_数值调参'!T34&lt;0,'03_全链计算'!U68+1,0),IF('01_数值调参'!T35&lt;0,'03_全链计算'!V68+1,0),IF('01_数值调参'!T36&lt;0,'03_全链计算'!W68+1,0),IF('01_数值调参'!T37&lt;0,'03_全链计算'!X68+1,0),IF('01_数值调参'!T38&lt;0,'03_全链计算'!Y68+1,0),IF('01_数值调参'!T39&lt;0,'03_全链计算'!Z68+1,0),IF('01_数值调参'!T40&lt;0,'03_全链计算'!AA68+1,0),IF('01_数值调参'!T41&lt;0,'03_全链计算'!AB68+1,0),IF('01_数值调参'!T42&lt;0,'03_全链计算'!AC68+1,0),IF('01_数值调参'!T43&lt;0,'03_全链计算'!AD68+1,0),IF('01_数值调参'!T44&lt;0,'03_全链计算'!AE68+1,0),IF('01_数值调参'!T45&lt;0,'03_全链计算'!AF68+1,0),IF('01_数值调参'!T46&lt;0,'03_全链计算'!AG68+1,0),IF('01_数值调参'!T47&lt;0,'03_全链计算'!AH68+1,0),IF('01_数值调参'!T48&lt;0,'03_全链计算'!AI68+1,0),IF('01_数值调参'!T49&lt;0,'03_全链计算'!AJ68+1,0),IF('01_数值调参'!T50&lt;0,'03_全链计算'!AK68+1,0),IF('01_数值调参'!T51&lt;0,'03_全链计算'!AL68+1,0),IF('01_数值调参'!T52&lt;0,'03_全链计算'!AM68+1,0))</x:f>
        <x:v>1</x:v>
      </x:c>
      <x:c r="U69" s="9" t="n">
        <x:f>MAX(IF('01_数值调参'!U18&lt;0,'03_全链计算'!E68+1,0),IF('01_数值调参'!U19&lt;0,'03_全链计算'!F68+1,0),IF('01_数值调参'!U20&lt;0,'03_全链计算'!G68+1,0),IF('01_数值调参'!U21&lt;0,'03_全链计算'!H68+1,0),IF('01_数值调参'!U22&lt;0,'03_全链计算'!I68+1,0),IF('01_数值调参'!U23&lt;0,'03_全链计算'!J68+1,0),IF('01_数值调参'!U24&lt;0,'03_全链计算'!K68+1,0),IF('01_数值调参'!U25&lt;0,'03_全链计算'!L68+1,0),IF('01_数值调参'!U26&lt;0,'03_全链计算'!M68+1,0),IF('01_数值调参'!U27&lt;0,'03_全链计算'!N68+1,0),IF('01_数值调参'!U28&lt;0,'03_全链计算'!O68+1,0),IF('01_数值调参'!U29&lt;0,'03_全链计算'!P68+1,0),IF('01_数值调参'!U30&lt;0,'03_全链计算'!Q68+1,0),IF('01_数值调参'!U31&lt;0,'03_全链计算'!R68+1,0),IF('01_数值调参'!U32&lt;0,'03_全链计算'!S68+1,0),IF('01_数值调参'!U33&lt;0,'03_全链计算'!T68+1,0),IF('01_数值调参'!U34&lt;0,'03_全链计算'!U68+1,0),IF('01_数值调参'!U35&lt;0,'03_全链计算'!V68+1,0),IF('01_数值调参'!U36&lt;0,'03_全链计算'!W68+1,0),IF('01_数值调参'!U37&lt;0,'03_全链计算'!X68+1,0),IF('01_数值调参'!U38&lt;0,'03_全链计算'!Y68+1,0),IF('01_数值调参'!U39&lt;0,'03_全链计算'!Z68+1,0),IF('01_数值调参'!U40&lt;0,'03_全链计算'!AA68+1,0),IF('01_数值调参'!U41&lt;0,'03_全链计算'!AB68+1,0),IF('01_数值调参'!U42&lt;0,'03_全链计算'!AC68+1,0),IF('01_数值调参'!U43&lt;0,'03_全链计算'!AD68+1,0),IF('01_数值调参'!U44&lt;0,'03_全链计算'!AE68+1,0),IF('01_数值调参'!U45&lt;0,'03_全链计算'!AF68+1,0),IF('01_数值调参'!U46&lt;0,'03_全链计算'!AG68+1,0),IF('01_数值调参'!U47&lt;0,'03_全链计算'!AH68+1,0),IF('01_数值调参'!U48&lt;0,'03_全链计算'!AI68+1,0),IF('01_数值调参'!U49&lt;0,'03_全链计算'!AJ68+1,0),IF('01_数值调参'!U50&lt;0,'03_全链计算'!AK68+1,0),IF('01_数值调参'!U51&lt;0,'03_全链计算'!AL68+1,0),IF('01_数值调参'!U52&lt;0,'03_全链计算'!AM68+1,0))</x:f>
        <x:v>1</x:v>
      </x:c>
      <x:c r="V69" s="9" t="n">
        <x:f>MAX(IF('01_数值调参'!V18&lt;0,'03_全链计算'!E68+1,0),IF('01_数值调参'!V19&lt;0,'03_全链计算'!F68+1,0),IF('01_数值调参'!V20&lt;0,'03_全链计算'!G68+1,0),IF('01_数值调参'!V21&lt;0,'03_全链计算'!H68+1,0),IF('01_数值调参'!V22&lt;0,'03_全链计算'!I68+1,0),IF('01_数值调参'!V23&lt;0,'03_全链计算'!J68+1,0),IF('01_数值调参'!V24&lt;0,'03_全链计算'!K68+1,0),IF('01_数值调参'!V25&lt;0,'03_全链计算'!L68+1,0),IF('01_数值调参'!V26&lt;0,'03_全链计算'!M68+1,0),IF('01_数值调参'!V27&lt;0,'03_全链计算'!N68+1,0),IF('01_数值调参'!V28&lt;0,'03_全链计算'!O68+1,0),IF('01_数值调参'!V29&lt;0,'03_全链计算'!P68+1,0),IF('01_数值调参'!V30&lt;0,'03_全链计算'!Q68+1,0),IF('01_数值调参'!V31&lt;0,'03_全链计算'!R68+1,0),IF('01_数值调参'!V32&lt;0,'03_全链计算'!S68+1,0),IF('01_数值调参'!V33&lt;0,'03_全链计算'!T68+1,0),IF('01_数值调参'!V34&lt;0,'03_全链计算'!U68+1,0),IF('01_数值调参'!V35&lt;0,'03_全链计算'!V68+1,0),IF('01_数值调参'!V36&lt;0,'03_全链计算'!W68+1,0),IF('01_数值调参'!V37&lt;0,'03_全链计算'!X68+1,0),IF('01_数值调参'!V38&lt;0,'03_全链计算'!Y68+1,0),IF('01_数值调参'!V39&lt;0,'03_全链计算'!Z68+1,0),IF('01_数值调参'!V40&lt;0,'03_全链计算'!AA68+1,0),IF('01_数值调参'!V41&lt;0,'03_全链计算'!AB68+1,0),IF('01_数值调参'!V42&lt;0,'03_全链计算'!AC68+1,0),IF('01_数值调参'!V43&lt;0,'03_全链计算'!AD68+1,0),IF('01_数值调参'!V44&lt;0,'03_全链计算'!AE68+1,0),IF('01_数值调参'!V45&lt;0,'03_全链计算'!AF68+1,0),IF('01_数值调参'!V46&lt;0,'03_全链计算'!AG68+1,0),IF('01_数值调参'!V47&lt;0,'03_全链计算'!AH68+1,0),IF('01_数值调参'!V48&lt;0,'03_全链计算'!AI68+1,0),IF('01_数值调参'!V49&lt;0,'03_全链计算'!AJ68+1,0),IF('01_数值调参'!V50&lt;0,'03_全链计算'!AK68+1,0),IF('01_数值调参'!V51&lt;0,'03_全链计算'!AL68+1,0),IF('01_数值调参'!V52&lt;0,'03_全链计算'!AM68+1,0))</x:f>
        <x:v>1</x:v>
      </x:c>
      <x:c r="W69" s="9" t="n">
        <x:f>MAX(IF('01_数值调参'!W18&lt;0,'03_全链计算'!E68+1,0),IF('01_数值调参'!W19&lt;0,'03_全链计算'!F68+1,0),IF('01_数值调参'!W20&lt;0,'03_全链计算'!G68+1,0),IF('01_数值调参'!W21&lt;0,'03_全链计算'!H68+1,0),IF('01_数值调参'!W22&lt;0,'03_全链计算'!I68+1,0),IF('01_数值调参'!W23&lt;0,'03_全链计算'!J68+1,0),IF('01_数值调参'!W24&lt;0,'03_全链计算'!K68+1,0),IF('01_数值调参'!W25&lt;0,'03_全链计算'!L68+1,0),IF('01_数值调参'!W26&lt;0,'03_全链计算'!M68+1,0),IF('01_数值调参'!W27&lt;0,'03_全链计算'!N68+1,0),IF('01_数值调参'!W28&lt;0,'03_全链计算'!O68+1,0),IF('01_数值调参'!W29&lt;0,'03_全链计算'!P68+1,0),IF('01_数值调参'!W30&lt;0,'03_全链计算'!Q68+1,0),IF('01_数值调参'!W31&lt;0,'03_全链计算'!R68+1,0),IF('01_数值调参'!W32&lt;0,'03_全链计算'!S68+1,0),IF('01_数值调参'!W33&lt;0,'03_全链计算'!T68+1,0),IF('01_数值调参'!W34&lt;0,'03_全链计算'!U68+1,0),IF('01_数值调参'!W35&lt;0,'03_全链计算'!V68+1,0),IF('01_数值调参'!W36&lt;0,'03_全链计算'!W68+1,0),IF('01_数值调参'!W37&lt;0,'03_全链计算'!X68+1,0),IF('01_数值调参'!W38&lt;0,'03_全链计算'!Y68+1,0),IF('01_数值调参'!W39&lt;0,'03_全链计算'!Z68+1,0),IF('01_数值调参'!W40&lt;0,'03_全链计算'!AA68+1,0),IF('01_数值调参'!W41&lt;0,'03_全链计算'!AB68+1,0),IF('01_数值调参'!W42&lt;0,'03_全链计算'!AC68+1,0),IF('01_数值调参'!W43&lt;0,'03_全链计算'!AD68+1,0),IF('01_数值调参'!W44&lt;0,'03_全链计算'!AE68+1,0),IF('01_数值调参'!W45&lt;0,'03_全链计算'!AF68+1,0),IF('01_数值调参'!W46&lt;0,'03_全链计算'!AG68+1,0),IF('01_数值调参'!W47&lt;0,'03_全链计算'!AH68+1,0),IF('01_数值调参'!W48&lt;0,'03_全链计算'!AI68+1,0),IF('01_数值调参'!W49&lt;0,'03_全链计算'!AJ68+1,0),IF('01_数值调参'!W50&lt;0,'03_全链计算'!AK68+1,0),IF('01_数值调参'!W51&lt;0,'03_全链计算'!AL68+1,0),IF('01_数值调参'!W52&lt;0,'03_全链计算'!AM68+1,0))</x:f>
        <x:v>1</x:v>
      </x:c>
      <x:c r="X69" s="9" t="n">
        <x:f>MAX(IF('01_数值调参'!X18&lt;0,'03_全链计算'!E68+1,0),IF('01_数值调参'!X19&lt;0,'03_全链计算'!F68+1,0),IF('01_数值调参'!X20&lt;0,'03_全链计算'!G68+1,0),IF('01_数值调参'!X21&lt;0,'03_全链计算'!H68+1,0),IF('01_数值调参'!X22&lt;0,'03_全链计算'!I68+1,0),IF('01_数值调参'!X23&lt;0,'03_全链计算'!J68+1,0),IF('01_数值调参'!X24&lt;0,'03_全链计算'!K68+1,0),IF('01_数值调参'!X25&lt;0,'03_全链计算'!L68+1,0),IF('01_数值调参'!X26&lt;0,'03_全链计算'!M68+1,0),IF('01_数值调参'!X27&lt;0,'03_全链计算'!N68+1,0),IF('01_数值调参'!X28&lt;0,'03_全链计算'!O68+1,0),IF('01_数值调参'!X29&lt;0,'03_全链计算'!P68+1,0),IF('01_数值调参'!X30&lt;0,'03_全链计算'!Q68+1,0),IF('01_数值调参'!X31&lt;0,'03_全链计算'!R68+1,0),IF('01_数值调参'!X32&lt;0,'03_全链计算'!S68+1,0),IF('01_数值调参'!X33&lt;0,'03_全链计算'!T68+1,0),IF('01_数值调参'!X34&lt;0,'03_全链计算'!U68+1,0),IF('01_数值调参'!X35&lt;0,'03_全链计算'!V68+1,0),IF('01_数值调参'!X36&lt;0,'03_全链计算'!W68+1,0),IF('01_数值调参'!X37&lt;0,'03_全链计算'!X68+1,0),IF('01_数值调参'!X38&lt;0,'03_全链计算'!Y68+1,0),IF('01_数值调参'!X39&lt;0,'03_全链计算'!Z68+1,0),IF('01_数值调参'!X40&lt;0,'03_全链计算'!AA68+1,0),IF('01_数值调参'!X41&lt;0,'03_全链计算'!AB68+1,0),IF('01_数值调参'!X42&lt;0,'03_全链计算'!AC68+1,0),IF('01_数值调参'!X43&lt;0,'03_全链计算'!AD68+1,0),IF('01_数值调参'!X44&lt;0,'03_全链计算'!AE68+1,0),IF('01_数值调参'!X45&lt;0,'03_全链计算'!AF68+1,0),IF('01_数值调参'!X46&lt;0,'03_全链计算'!AG68+1,0),IF('01_数值调参'!X47&lt;0,'03_全链计算'!AH68+1,0),IF('01_数值调参'!X48&lt;0,'03_全链计算'!AI68+1,0),IF('01_数值调参'!X49&lt;0,'03_全链计算'!AJ68+1,0),IF('01_数值调参'!X50&lt;0,'03_全链计算'!AK68+1,0),IF('01_数值调参'!X51&lt;0,'03_全链计算'!AL68+1,0),IF('01_数值调参'!X52&lt;0,'03_全链计算'!AM68+1,0))</x:f>
        <x:v>2</x:v>
      </x:c>
      <x:c r="Y69" s="9" t="n">
        <x:f>MAX(IF('01_数值调参'!Y18&lt;0,'03_全链计算'!E68+1,0),IF('01_数值调参'!Y19&lt;0,'03_全链计算'!F68+1,0),IF('01_数值调参'!Y20&lt;0,'03_全链计算'!G68+1,0),IF('01_数值调参'!Y21&lt;0,'03_全链计算'!H68+1,0),IF('01_数值调参'!Y22&lt;0,'03_全链计算'!I68+1,0),IF('01_数值调参'!Y23&lt;0,'03_全链计算'!J68+1,0),IF('01_数值调参'!Y24&lt;0,'03_全链计算'!K68+1,0),IF('01_数值调参'!Y25&lt;0,'03_全链计算'!L68+1,0),IF('01_数值调参'!Y26&lt;0,'03_全链计算'!M68+1,0),IF('01_数值调参'!Y27&lt;0,'03_全链计算'!N68+1,0),IF('01_数值调参'!Y28&lt;0,'03_全链计算'!O68+1,0),IF('01_数值调参'!Y29&lt;0,'03_全链计算'!P68+1,0),IF('01_数值调参'!Y30&lt;0,'03_全链计算'!Q68+1,0),IF('01_数值调参'!Y31&lt;0,'03_全链计算'!R68+1,0),IF('01_数值调参'!Y32&lt;0,'03_全链计算'!S68+1,0),IF('01_数值调参'!Y33&lt;0,'03_全链计算'!T68+1,0),IF('01_数值调参'!Y34&lt;0,'03_全链计算'!U68+1,0),IF('01_数值调参'!Y35&lt;0,'03_全链计算'!V68+1,0),IF('01_数值调参'!Y36&lt;0,'03_全链计算'!W68+1,0),IF('01_数值调参'!Y37&lt;0,'03_全链计算'!X68+1,0),IF('01_数值调参'!Y38&lt;0,'03_全链计算'!Y68+1,0),IF('01_数值调参'!Y39&lt;0,'03_全链计算'!Z68+1,0),IF('01_数值调参'!Y40&lt;0,'03_全链计算'!AA68+1,0),IF('01_数值调参'!Y41&lt;0,'03_全链计算'!AB68+1,0),IF('01_数值调参'!Y42&lt;0,'03_全链计算'!AC68+1,0),IF('01_数值调参'!Y43&lt;0,'03_全链计算'!AD68+1,0),IF('01_数值调参'!Y44&lt;0,'03_全链计算'!AE68+1,0),IF('01_数值调参'!Y45&lt;0,'03_全链计算'!AF68+1,0),IF('01_数值调参'!Y46&lt;0,'03_全链计算'!AG68+1,0),IF('01_数值调参'!Y47&lt;0,'03_全链计算'!AH68+1,0),IF('01_数值调参'!Y48&lt;0,'03_全链计算'!AI68+1,0),IF('01_数值调参'!Y49&lt;0,'03_全链计算'!AJ68+1,0),IF('01_数值调参'!Y50&lt;0,'03_全链计算'!AK68+1,0),IF('01_数值调参'!Y51&lt;0,'03_全链计算'!AL68+1,0),IF('01_数值调参'!Y52&lt;0,'03_全链计算'!AM68+1,0))</x:f>
        <x:v>2</x:v>
      </x:c>
      <x:c r="Z69" s="9" t="n">
        <x:f>MAX(IF('01_数值调参'!Z18&lt;0,'03_全链计算'!E68+1,0),IF('01_数值调参'!Z19&lt;0,'03_全链计算'!F68+1,0),IF('01_数值调参'!Z20&lt;0,'03_全链计算'!G68+1,0),IF('01_数值调参'!Z21&lt;0,'03_全链计算'!H68+1,0),IF('01_数值调参'!Z22&lt;0,'03_全链计算'!I68+1,0),IF('01_数值调参'!Z23&lt;0,'03_全链计算'!J68+1,0),IF('01_数值调参'!Z24&lt;0,'03_全链计算'!K68+1,0),IF('01_数值调参'!Z25&lt;0,'03_全链计算'!L68+1,0),IF('01_数值调参'!Z26&lt;0,'03_全链计算'!M68+1,0),IF('01_数值调参'!Z27&lt;0,'03_全链计算'!N68+1,0),IF('01_数值调参'!Z28&lt;0,'03_全链计算'!O68+1,0),IF('01_数值调参'!Z29&lt;0,'03_全链计算'!P68+1,0),IF('01_数值调参'!Z30&lt;0,'03_全链计算'!Q68+1,0),IF('01_数值调参'!Z31&lt;0,'03_全链计算'!R68+1,0),IF('01_数值调参'!Z32&lt;0,'03_全链计算'!S68+1,0),IF('01_数值调参'!Z33&lt;0,'03_全链计算'!T68+1,0),IF('01_数值调参'!Z34&lt;0,'03_全链计算'!U68+1,0),IF('01_数值调参'!Z35&lt;0,'03_全链计算'!V68+1,0),IF('01_数值调参'!Z36&lt;0,'03_全链计算'!W68+1,0),IF('01_数值调参'!Z37&lt;0,'03_全链计算'!X68+1,0),IF('01_数值调参'!Z38&lt;0,'03_全链计算'!Y68+1,0),IF('01_数值调参'!Z39&lt;0,'03_全链计算'!Z68+1,0),IF('01_数值调参'!Z40&lt;0,'03_全链计算'!AA68+1,0),IF('01_数值调参'!Z41&lt;0,'03_全链计算'!AB68+1,0),IF('01_数值调参'!Z42&lt;0,'03_全链计算'!AC68+1,0),IF('01_数值调参'!Z43&lt;0,'03_全链计算'!AD68+1,0),IF('01_数值调参'!Z44&lt;0,'03_全链计算'!AE68+1,0),IF('01_数值调参'!Z45&lt;0,'03_全链计算'!AF68+1,0),IF('01_数值调参'!Z46&lt;0,'03_全链计算'!AG68+1,0),IF('01_数值调参'!Z47&lt;0,'03_全链计算'!AH68+1,0),IF('01_数值调参'!Z48&lt;0,'03_全链计算'!AI68+1,0),IF('01_数值调参'!Z49&lt;0,'03_全链计算'!AJ68+1,0),IF('01_数值调参'!Z50&lt;0,'03_全链计算'!AK68+1,0),IF('01_数值调参'!Z51&lt;0,'03_全链计算'!AL68+1,0),IF('01_数值调参'!Z52&lt;0,'03_全链计算'!AM68+1,0))</x:f>
        <x:v>2</x:v>
      </x:c>
      <x:c r="AA69" s="9" t="n">
        <x:f>MAX(IF('01_数值调参'!AA18&lt;0,'03_全链计算'!E68+1,0),IF('01_数值调参'!AA19&lt;0,'03_全链计算'!F68+1,0),IF('01_数值调参'!AA20&lt;0,'03_全链计算'!G68+1,0),IF('01_数值调参'!AA21&lt;0,'03_全链计算'!H68+1,0),IF('01_数值调参'!AA22&lt;0,'03_全链计算'!I68+1,0),IF('01_数值调参'!AA23&lt;0,'03_全链计算'!J68+1,0),IF('01_数值调参'!AA24&lt;0,'03_全链计算'!K68+1,0),IF('01_数值调参'!AA25&lt;0,'03_全链计算'!L68+1,0),IF('01_数值调参'!AA26&lt;0,'03_全链计算'!M68+1,0),IF('01_数值调参'!AA27&lt;0,'03_全链计算'!N68+1,0),IF('01_数值调参'!AA28&lt;0,'03_全链计算'!O68+1,0),IF('01_数值调参'!AA29&lt;0,'03_全链计算'!P68+1,0),IF('01_数值调参'!AA30&lt;0,'03_全链计算'!Q68+1,0),IF('01_数值调参'!AA31&lt;0,'03_全链计算'!R68+1,0),IF('01_数值调参'!AA32&lt;0,'03_全链计算'!S68+1,0),IF('01_数值调参'!AA33&lt;0,'03_全链计算'!T68+1,0),IF('01_数值调参'!AA34&lt;0,'03_全链计算'!U68+1,0),IF('01_数值调参'!AA35&lt;0,'03_全链计算'!V68+1,0),IF('01_数值调参'!AA36&lt;0,'03_全链计算'!W68+1,0),IF('01_数值调参'!AA37&lt;0,'03_全链计算'!X68+1,0),IF('01_数值调参'!AA38&lt;0,'03_全链计算'!Y68+1,0),IF('01_数值调参'!AA39&lt;0,'03_全链计算'!Z68+1,0),IF('01_数值调参'!AA40&lt;0,'03_全链计算'!AA68+1,0),IF('01_数值调参'!AA41&lt;0,'03_全链计算'!AB68+1,0),IF('01_数值调参'!AA42&lt;0,'03_全链计算'!AC68+1,0),IF('01_数值调参'!AA43&lt;0,'03_全链计算'!AD68+1,0),IF('01_数值调参'!AA44&lt;0,'03_全链计算'!AE68+1,0),IF('01_数值调参'!AA45&lt;0,'03_全链计算'!AF68+1,0),IF('01_数值调参'!AA46&lt;0,'03_全链计算'!AG68+1,0),IF('01_数值调参'!AA47&lt;0,'03_全链计算'!AH68+1,0),IF('01_数值调参'!AA48&lt;0,'03_全链计算'!AI68+1,0),IF('01_数值调参'!AA49&lt;0,'03_全链计算'!AJ68+1,0),IF('01_数值调参'!AA50&lt;0,'03_全链计算'!AK68+1,0),IF('01_数值调参'!AA51&lt;0,'03_全链计算'!AL68+1,0),IF('01_数值调参'!AA52&lt;0,'03_全链计算'!AM68+1,0))</x:f>
        <x:v>2</x:v>
      </x:c>
      <x:c r="AB69" s="9" t="n">
        <x:f>MAX(IF('01_数值调参'!AB18&lt;0,'03_全链计算'!E68+1,0),IF('01_数值调参'!AB19&lt;0,'03_全链计算'!F68+1,0),IF('01_数值调参'!AB20&lt;0,'03_全链计算'!G68+1,0),IF('01_数值调参'!AB21&lt;0,'03_全链计算'!H68+1,0),IF('01_数值调参'!AB22&lt;0,'03_全链计算'!I68+1,0),IF('01_数值调参'!AB23&lt;0,'03_全链计算'!J68+1,0),IF('01_数值调参'!AB24&lt;0,'03_全链计算'!K68+1,0),IF('01_数值调参'!AB25&lt;0,'03_全链计算'!L68+1,0),IF('01_数值调参'!AB26&lt;0,'03_全链计算'!M68+1,0),IF('01_数值调参'!AB27&lt;0,'03_全链计算'!N68+1,0),IF('01_数值调参'!AB28&lt;0,'03_全链计算'!O68+1,0),IF('01_数值调参'!AB29&lt;0,'03_全链计算'!P68+1,0),IF('01_数值调参'!AB30&lt;0,'03_全链计算'!Q68+1,0),IF('01_数值调参'!AB31&lt;0,'03_全链计算'!R68+1,0),IF('01_数值调参'!AB32&lt;0,'03_全链计算'!S68+1,0),IF('01_数值调参'!AB33&lt;0,'03_全链计算'!T68+1,0),IF('01_数值调参'!AB34&lt;0,'03_全链计算'!U68+1,0),IF('01_数值调参'!AB35&lt;0,'03_全链计算'!V68+1,0),IF('01_数值调参'!AB36&lt;0,'03_全链计算'!W68+1,0),IF('01_数值调参'!AB37&lt;0,'03_全链计算'!X68+1,0),IF('01_数值调参'!AB38&lt;0,'03_全链计算'!Y68+1,0),IF('01_数值调参'!AB39&lt;0,'03_全链计算'!Z68+1,0),IF('01_数值调参'!AB40&lt;0,'03_全链计算'!AA68+1,0),IF('01_数值调参'!AB41&lt;0,'03_全链计算'!AB68+1,0),IF('01_数值调参'!AB42&lt;0,'03_全链计算'!AC68+1,0),IF('01_数值调参'!AB43&lt;0,'03_全链计算'!AD68+1,0),IF('01_数值调参'!AB44&lt;0,'03_全链计算'!AE68+1,0),IF('01_数值调参'!AB45&lt;0,'03_全链计算'!AF68+1,0),IF('01_数值调参'!AB46&lt;0,'03_全链计算'!AG68+1,0),IF('01_数值调参'!AB47&lt;0,'03_全链计算'!AH68+1,0),IF('01_数值调参'!AB48&lt;0,'03_全链计算'!AI68+1,0),IF('01_数值调参'!AB49&lt;0,'03_全链计算'!AJ68+1,0),IF('01_数值调参'!AB50&lt;0,'03_全链计算'!AK68+1,0),IF('01_数值调参'!AB51&lt;0,'03_全链计算'!AL68+1,0),IF('01_数值调参'!AB52&lt;0,'03_全链计算'!AM68+1,0))</x:f>
        <x:v>2</x:v>
      </x:c>
      <x:c r="AC69" s="9" t="n">
        <x:f>MAX(IF('01_数值调参'!AC18&lt;0,'03_全链计算'!E68+1,0),IF('01_数值调参'!AC19&lt;0,'03_全链计算'!F68+1,0),IF('01_数值调参'!AC20&lt;0,'03_全链计算'!G68+1,0),IF('01_数值调参'!AC21&lt;0,'03_全链计算'!H68+1,0),IF('01_数值调参'!AC22&lt;0,'03_全链计算'!I68+1,0),IF('01_数值调参'!AC23&lt;0,'03_全链计算'!J68+1,0),IF('01_数值调参'!AC24&lt;0,'03_全链计算'!K68+1,0),IF('01_数值调参'!AC25&lt;0,'03_全链计算'!L68+1,0),IF('01_数值调参'!AC26&lt;0,'03_全链计算'!M68+1,0),IF('01_数值调参'!AC27&lt;0,'03_全链计算'!N68+1,0),IF('01_数值调参'!AC28&lt;0,'03_全链计算'!O68+1,0),IF('01_数值调参'!AC29&lt;0,'03_全链计算'!P68+1,0),IF('01_数值调参'!AC30&lt;0,'03_全链计算'!Q68+1,0),IF('01_数值调参'!AC31&lt;0,'03_全链计算'!R68+1,0),IF('01_数值调参'!AC32&lt;0,'03_全链计算'!S68+1,0),IF('01_数值调参'!AC33&lt;0,'03_全链计算'!T68+1,0),IF('01_数值调参'!AC34&lt;0,'03_全链计算'!U68+1,0),IF('01_数值调参'!AC35&lt;0,'03_全链计算'!V68+1,0),IF('01_数值调参'!AC36&lt;0,'03_全链计算'!W68+1,0),IF('01_数值调参'!AC37&lt;0,'03_全链计算'!X68+1,0),IF('01_数值调参'!AC38&lt;0,'03_全链计算'!Y68+1,0),IF('01_数值调参'!AC39&lt;0,'03_全链计算'!Z68+1,0),IF('01_数值调参'!AC40&lt;0,'03_全链计算'!AA68+1,0),IF('01_数值调参'!AC41&lt;0,'03_全链计算'!AB68+1,0),IF('01_数值调参'!AC42&lt;0,'03_全链计算'!AC68+1,0),IF('01_数值调参'!AC43&lt;0,'03_全链计算'!AD68+1,0),IF('01_数值调参'!AC44&lt;0,'03_全链计算'!AE68+1,0),IF('01_数值调参'!AC45&lt;0,'03_全链计算'!AF68+1,0),IF('01_数值调参'!AC46&lt;0,'03_全链计算'!AG68+1,0),IF('01_数值调参'!AC47&lt;0,'03_全链计算'!AH68+1,0),IF('01_数值调参'!AC48&lt;0,'03_全链计算'!AI68+1,0),IF('01_数值调参'!AC49&lt;0,'03_全链计算'!AJ68+1,0),IF('01_数值调参'!AC50&lt;0,'03_全链计算'!AK68+1,0),IF('01_数值调参'!AC51&lt;0,'03_全链计算'!AL68+1,0),IF('01_数值调参'!AC52&lt;0,'03_全链计算'!AM68+1,0))</x:f>
        <x:v>2</x:v>
      </x:c>
      <x:c r="AD69" s="9" t="n">
        <x:f>MAX(IF('01_数值调参'!AD18&lt;0,'03_全链计算'!E68+1,0),IF('01_数值调参'!AD19&lt;0,'03_全链计算'!F68+1,0),IF('01_数值调参'!AD20&lt;0,'03_全链计算'!G68+1,0),IF('01_数值调参'!AD21&lt;0,'03_全链计算'!H68+1,0),IF('01_数值调参'!AD22&lt;0,'03_全链计算'!I68+1,0),IF('01_数值调参'!AD23&lt;0,'03_全链计算'!J68+1,0),IF('01_数值调参'!AD24&lt;0,'03_全链计算'!K68+1,0),IF('01_数值调参'!AD25&lt;0,'03_全链计算'!L68+1,0),IF('01_数值调参'!AD26&lt;0,'03_全链计算'!M68+1,0),IF('01_数值调参'!AD27&lt;0,'03_全链计算'!N68+1,0),IF('01_数值调参'!AD28&lt;0,'03_全链计算'!O68+1,0),IF('01_数值调参'!AD29&lt;0,'03_全链计算'!P68+1,0),IF('01_数值调参'!AD30&lt;0,'03_全链计算'!Q68+1,0),IF('01_数值调参'!AD31&lt;0,'03_全链计算'!R68+1,0),IF('01_数值调参'!AD32&lt;0,'03_全链计算'!S68+1,0),IF('01_数值调参'!AD33&lt;0,'03_全链计算'!T68+1,0),IF('01_数值调参'!AD34&lt;0,'03_全链计算'!U68+1,0),IF('01_数值调参'!AD35&lt;0,'03_全链计算'!V68+1,0),IF('01_数值调参'!AD36&lt;0,'03_全链计算'!W68+1,0),IF('01_数值调参'!AD37&lt;0,'03_全链计算'!X68+1,0),IF('01_数值调参'!AD38&lt;0,'03_全链计算'!Y68+1,0),IF('01_数值调参'!AD39&lt;0,'03_全链计算'!Z68+1,0),IF('01_数值调参'!AD40&lt;0,'03_全链计算'!AA68+1,0),IF('01_数值调参'!AD41&lt;0,'03_全链计算'!AB68+1,0),IF('01_数值调参'!AD42&lt;0,'03_全链计算'!AC68+1,0),IF('01_数值调参'!AD43&lt;0,'03_全链计算'!AD68+1,0),IF('01_数值调参'!AD44&lt;0,'03_全链计算'!AE68+1,0),IF('01_数值调参'!AD45&lt;0,'03_全链计算'!AF68+1,0),IF('01_数值调参'!AD46&lt;0,'03_全链计算'!AG68+1,0),IF('01_数值调参'!AD47&lt;0,'03_全链计算'!AH68+1,0),IF('01_数值调参'!AD48&lt;0,'03_全链计算'!AI68+1,0),IF('01_数值调参'!AD49&lt;0,'03_全链计算'!AJ68+1,0),IF('01_数值调参'!AD50&lt;0,'03_全链计算'!AK68+1,0),IF('01_数值调参'!AD51&lt;0,'03_全链计算'!AL68+1,0),IF('01_数值调参'!AD52&lt;0,'03_全链计算'!AM68+1,0))</x:f>
        <x:v>1</x:v>
      </x:c>
      <x:c r="AE69" s="9" t="n">
        <x:f>MAX(IF('01_数值调参'!AE18&lt;0,'03_全链计算'!E68+1,0),IF('01_数值调参'!AE19&lt;0,'03_全链计算'!F68+1,0),IF('01_数值调参'!AE20&lt;0,'03_全链计算'!G68+1,0),IF('01_数值调参'!AE21&lt;0,'03_全链计算'!H68+1,0),IF('01_数值调参'!AE22&lt;0,'03_全链计算'!I68+1,0),IF('01_数值调参'!AE23&lt;0,'03_全链计算'!J68+1,0),IF('01_数值调参'!AE24&lt;0,'03_全链计算'!K68+1,0),IF('01_数值调参'!AE25&lt;0,'03_全链计算'!L68+1,0),IF('01_数值调参'!AE26&lt;0,'03_全链计算'!M68+1,0),IF('01_数值调参'!AE27&lt;0,'03_全链计算'!N68+1,0),IF('01_数值调参'!AE28&lt;0,'03_全链计算'!O68+1,0),IF('01_数值调参'!AE29&lt;0,'03_全链计算'!P68+1,0),IF('01_数值调参'!AE30&lt;0,'03_全链计算'!Q68+1,0),IF('01_数值调参'!AE31&lt;0,'03_全链计算'!R68+1,0),IF('01_数值调参'!AE32&lt;0,'03_全链计算'!S68+1,0),IF('01_数值调参'!AE33&lt;0,'03_全链计算'!T68+1,0),IF('01_数值调参'!AE34&lt;0,'03_全链计算'!U68+1,0),IF('01_数值调参'!AE35&lt;0,'03_全链计算'!V68+1,0),IF('01_数值调参'!AE36&lt;0,'03_全链计算'!W68+1,0),IF('01_数值调参'!AE37&lt;0,'03_全链计算'!X68+1,0),IF('01_数值调参'!AE38&lt;0,'03_全链计算'!Y68+1,0),IF('01_数值调参'!AE39&lt;0,'03_全链计算'!Z68+1,0),IF('01_数值调参'!AE40&lt;0,'03_全链计算'!AA68+1,0),IF('01_数值调参'!AE41&lt;0,'03_全链计算'!AB68+1,0),IF('01_数值调参'!AE42&lt;0,'03_全链计算'!AC68+1,0),IF('01_数值调参'!AE43&lt;0,'03_全链计算'!AD68+1,0),IF('01_数值调参'!AE44&lt;0,'03_全链计算'!AE68+1,0),IF('01_数值调参'!AE45&lt;0,'03_全链计算'!AF68+1,0),IF('01_数值调参'!AE46&lt;0,'03_全链计算'!AG68+1,0),IF('01_数值调参'!AE47&lt;0,'03_全链计算'!AH68+1,0),IF('01_数值调参'!AE48&lt;0,'03_全链计算'!AI68+1,0),IF('01_数值调参'!AE49&lt;0,'03_全链计算'!AJ68+1,0),IF('01_数值调参'!AE50&lt;0,'03_全链计算'!AK68+1,0),IF('01_数值调参'!AE51&lt;0,'03_全链计算'!AL68+1,0),IF('01_数值调参'!AE52&lt;0,'03_全链计算'!AM68+1,0))</x:f>
        <x:v>1</x:v>
      </x:c>
      <x:c r="AF69" s="9" t="n">
        <x:f>MAX(IF('01_数值调参'!AF18&lt;0,'03_全链计算'!E68+1,0),IF('01_数值调参'!AF19&lt;0,'03_全链计算'!F68+1,0),IF('01_数值调参'!AF20&lt;0,'03_全链计算'!G68+1,0),IF('01_数值调参'!AF21&lt;0,'03_全链计算'!H68+1,0),IF('01_数值调参'!AF22&lt;0,'03_全链计算'!I68+1,0),IF('01_数值调参'!AF23&lt;0,'03_全链计算'!J68+1,0),IF('01_数值调参'!AF24&lt;0,'03_全链计算'!K68+1,0),IF('01_数值调参'!AF25&lt;0,'03_全链计算'!L68+1,0),IF('01_数值调参'!AF26&lt;0,'03_全链计算'!M68+1,0),IF('01_数值调参'!AF27&lt;0,'03_全链计算'!N68+1,0),IF('01_数值调参'!AF28&lt;0,'03_全链计算'!O68+1,0),IF('01_数值调参'!AF29&lt;0,'03_全链计算'!P68+1,0),IF('01_数值调参'!AF30&lt;0,'03_全链计算'!Q68+1,0),IF('01_数值调参'!AF31&lt;0,'03_全链计算'!R68+1,0),IF('01_数值调参'!AF32&lt;0,'03_全链计算'!S68+1,0),IF('01_数值调参'!AF33&lt;0,'03_全链计算'!T68+1,0),IF('01_数值调参'!AF34&lt;0,'03_全链计算'!U68+1,0),IF('01_数值调参'!AF35&lt;0,'03_全链计算'!V68+1,0),IF('01_数值调参'!AF36&lt;0,'03_全链计算'!W68+1,0),IF('01_数值调参'!AF37&lt;0,'03_全链计算'!X68+1,0),IF('01_数值调参'!AF38&lt;0,'03_全链计算'!Y68+1,0),IF('01_数值调参'!AF39&lt;0,'03_全链计算'!Z68+1,0),IF('01_数值调参'!AF40&lt;0,'03_全链计算'!AA68+1,0),IF('01_数值调参'!AF41&lt;0,'03_全链计算'!AB68+1,0),IF('01_数值调参'!AF42&lt;0,'03_全链计算'!AC68+1,0),IF('01_数值调参'!AF43&lt;0,'03_全链计算'!AD68+1,0),IF('01_数值调参'!AF44&lt;0,'03_全链计算'!AE68+1,0),IF('01_数值调参'!AF45&lt;0,'03_全链计算'!AF68+1,0),IF('01_数值调参'!AF46&lt;0,'03_全链计算'!AG68+1,0),IF('01_数值调参'!AF47&lt;0,'03_全链计算'!AH68+1,0),IF('01_数值调参'!AF48&lt;0,'03_全链计算'!AI68+1,0),IF('01_数值调参'!AF49&lt;0,'03_全链计算'!AJ68+1,0),IF('01_数值调参'!AF50&lt;0,'03_全链计算'!AK68+1,0),IF('01_数值调参'!AF51&lt;0,'03_全链计算'!AL68+1,0),IF('01_数值调参'!AF52&lt;0,'03_全链计算'!AM68+1,0))</x:f>
        <x:v>1</x:v>
      </x:c>
      <x:c r="AG69" s="9" t="n">
        <x:f>MAX(IF('01_数值调参'!AG18&lt;0,'03_全链计算'!E68+1,0),IF('01_数值调参'!AG19&lt;0,'03_全链计算'!F68+1,0),IF('01_数值调参'!AG20&lt;0,'03_全链计算'!G68+1,0),IF('01_数值调参'!AG21&lt;0,'03_全链计算'!H68+1,0),IF('01_数值调参'!AG22&lt;0,'03_全链计算'!I68+1,0),IF('01_数值调参'!AG23&lt;0,'03_全链计算'!J68+1,0),IF('01_数值调参'!AG24&lt;0,'03_全链计算'!K68+1,0),IF('01_数值调参'!AG25&lt;0,'03_全链计算'!L68+1,0),IF('01_数值调参'!AG26&lt;0,'03_全链计算'!M68+1,0),IF('01_数值调参'!AG27&lt;0,'03_全链计算'!N68+1,0),IF('01_数值调参'!AG28&lt;0,'03_全链计算'!O68+1,0),IF('01_数值调参'!AG29&lt;0,'03_全链计算'!P68+1,0),IF('01_数值调参'!AG30&lt;0,'03_全链计算'!Q68+1,0),IF('01_数值调参'!AG31&lt;0,'03_全链计算'!R68+1,0),IF('01_数值调参'!AG32&lt;0,'03_全链计算'!S68+1,0),IF('01_数值调参'!AG33&lt;0,'03_全链计算'!T68+1,0),IF('01_数值调参'!AG34&lt;0,'03_全链计算'!U68+1,0),IF('01_数值调参'!AG35&lt;0,'03_全链计算'!V68+1,0),IF('01_数值调参'!AG36&lt;0,'03_全链计算'!W68+1,0),IF('01_数值调参'!AG37&lt;0,'03_全链计算'!X68+1,0),IF('01_数值调参'!AG38&lt;0,'03_全链计算'!Y68+1,0),IF('01_数值调参'!AG39&lt;0,'03_全链计算'!Z68+1,0),IF('01_数值调参'!AG40&lt;0,'03_全链计算'!AA68+1,0),IF('01_数值调参'!AG41&lt;0,'03_全链计算'!AB68+1,0),IF('01_数值调参'!AG42&lt;0,'03_全链计算'!AC68+1,0),IF('01_数值调参'!AG43&lt;0,'03_全链计算'!AD68+1,0),IF('01_数值调参'!AG44&lt;0,'03_全链计算'!AE68+1,0),IF('01_数值调参'!AG45&lt;0,'03_全链计算'!AF68+1,0),IF('01_数值调参'!AG46&lt;0,'03_全链计算'!AG68+1,0),IF('01_数值调参'!AG47&lt;0,'03_全链计算'!AH68+1,0),IF('01_数值调参'!AG48&lt;0,'03_全链计算'!AI68+1,0),IF('01_数值调参'!AG49&lt;0,'03_全链计算'!AJ68+1,0),IF('01_数值调参'!AG50&lt;0,'03_全链计算'!AK68+1,0),IF('01_数值调参'!AG51&lt;0,'03_全链计算'!AL68+1,0),IF('01_数值调参'!AG52&lt;0,'03_全链计算'!AM68+1,0))</x:f>
        <x:v>1</x:v>
      </x:c>
      <x:c r="AH69" s="9" t="n">
        <x:f>MAX(IF('01_数值调参'!AH18&lt;0,'03_全链计算'!E68+1,0),IF('01_数值调参'!AH19&lt;0,'03_全链计算'!F68+1,0),IF('01_数值调参'!AH20&lt;0,'03_全链计算'!G68+1,0),IF('01_数值调参'!AH21&lt;0,'03_全链计算'!H68+1,0),IF('01_数值调参'!AH22&lt;0,'03_全链计算'!I68+1,0),IF('01_数值调参'!AH23&lt;0,'03_全链计算'!J68+1,0),IF('01_数值调参'!AH24&lt;0,'03_全链计算'!K68+1,0),IF('01_数值调参'!AH25&lt;0,'03_全链计算'!L68+1,0),IF('01_数值调参'!AH26&lt;0,'03_全链计算'!M68+1,0),IF('01_数值调参'!AH27&lt;0,'03_全链计算'!N68+1,0),IF('01_数值调参'!AH28&lt;0,'03_全链计算'!O68+1,0),IF('01_数值调参'!AH29&lt;0,'03_全链计算'!P68+1,0),IF('01_数值调参'!AH30&lt;0,'03_全链计算'!Q68+1,0),IF('01_数值调参'!AH31&lt;0,'03_全链计算'!R68+1,0),IF('01_数值调参'!AH32&lt;0,'03_全链计算'!S68+1,0),IF('01_数值调参'!AH33&lt;0,'03_全链计算'!T68+1,0),IF('01_数值调参'!AH34&lt;0,'03_全链计算'!U68+1,0),IF('01_数值调参'!AH35&lt;0,'03_全链计算'!V68+1,0),IF('01_数值调参'!AH36&lt;0,'03_全链计算'!W68+1,0),IF('01_数值调参'!AH37&lt;0,'03_全链计算'!X68+1,0),IF('01_数值调参'!AH38&lt;0,'03_全链计算'!Y68+1,0),IF('01_数值调参'!AH39&lt;0,'03_全链计算'!Z68+1,0),IF('01_数值调参'!AH40&lt;0,'03_全链计算'!AA68+1,0),IF('01_数值调参'!AH41&lt;0,'03_全链计算'!AB68+1,0),IF('01_数值调参'!AH42&lt;0,'03_全链计算'!AC68+1,0),IF('01_数值调参'!AH43&lt;0,'03_全链计算'!AD68+1,0),IF('01_数值调参'!AH44&lt;0,'03_全链计算'!AE68+1,0),IF('01_数值调参'!AH45&lt;0,'03_全链计算'!AF68+1,0),IF('01_数值调参'!AH46&lt;0,'03_全链计算'!AG68+1,0),IF('01_数值调参'!AH47&lt;0,'03_全链计算'!AH68+1,0),IF('01_数值调参'!AH48&lt;0,'03_全链计算'!AI68+1,0),IF('01_数值调参'!AH49&lt;0,'03_全链计算'!AJ68+1,0),IF('01_数值调参'!AH50&lt;0,'03_全链计算'!AK68+1,0),IF('01_数值调参'!AH51&lt;0,'03_全链计算'!AL68+1,0),IF('01_数值调参'!AH52&lt;0,'03_全链计算'!AM68+1,0))</x:f>
        <x:v>2</x:v>
      </x:c>
      <x:c r="AI69" s="9" t="n">
        <x:f>MAX(IF('01_数值调参'!AI18&lt;0,'03_全链计算'!E68+1,0),IF('01_数值调参'!AI19&lt;0,'03_全链计算'!F68+1,0),IF('01_数值调参'!AI20&lt;0,'03_全链计算'!G68+1,0),IF('01_数值调参'!AI21&lt;0,'03_全链计算'!H68+1,0),IF('01_数值调参'!AI22&lt;0,'03_全链计算'!I68+1,0),IF('01_数值调参'!AI23&lt;0,'03_全链计算'!J68+1,0),IF('01_数值调参'!AI24&lt;0,'03_全链计算'!K68+1,0),IF('01_数值调参'!AI25&lt;0,'03_全链计算'!L68+1,0),IF('01_数值调参'!AI26&lt;0,'03_全链计算'!M68+1,0),IF('01_数值调参'!AI27&lt;0,'03_全链计算'!N68+1,0),IF('01_数值调参'!AI28&lt;0,'03_全链计算'!O68+1,0),IF('01_数值调参'!AI29&lt;0,'03_全链计算'!P68+1,0),IF('01_数值调参'!AI30&lt;0,'03_全链计算'!Q68+1,0),IF('01_数值调参'!AI31&lt;0,'03_全链计算'!R68+1,0),IF('01_数值调参'!AI32&lt;0,'03_全链计算'!S68+1,0),IF('01_数值调参'!AI33&lt;0,'03_全链计算'!T68+1,0),IF('01_数值调参'!AI34&lt;0,'03_全链计算'!U68+1,0),IF('01_数值调参'!AI35&lt;0,'03_全链计算'!V68+1,0),IF('01_数值调参'!AI36&lt;0,'03_全链计算'!W68+1,0),IF('01_数值调参'!AI37&lt;0,'03_全链计算'!X68+1,0),IF('01_数值调参'!AI38&lt;0,'03_全链计算'!Y68+1,0),IF('01_数值调参'!AI39&lt;0,'03_全链计算'!Z68+1,0),IF('01_数值调参'!AI40&lt;0,'03_全链计算'!AA68+1,0),IF('01_数值调参'!AI41&lt;0,'03_全链计算'!AB68+1,0),IF('01_数值调参'!AI42&lt;0,'03_全链计算'!AC68+1,0),IF('01_数值调参'!AI43&lt;0,'03_全链计算'!AD68+1,0),IF('01_数值调参'!AI44&lt;0,'03_全链计算'!AE68+1,0),IF('01_数值调参'!AI45&lt;0,'03_全链计算'!AF68+1,0),IF('01_数值调参'!AI46&lt;0,'03_全链计算'!AG68+1,0),IF('01_数值调参'!AI47&lt;0,'03_全链计算'!AH68+1,0),IF('01_数值调参'!AI48&lt;0,'03_全链计算'!AI68+1,0),IF('01_数值调参'!AI49&lt;0,'03_全链计算'!AJ68+1,0),IF('01_数值调参'!AI50&lt;0,'03_全链计算'!AK68+1,0),IF('01_数值调参'!AI51&lt;0,'03_全链计算'!AL68+1,0),IF('01_数值调参'!AI52&lt;0,'03_全链计算'!AM68+1,0))</x:f>
        <x:v>2</x:v>
      </x:c>
      <x:c r="AJ69" s="9" t="n">
        <x:f>MAX(IF('01_数值调参'!AJ18&lt;0,'03_全链计算'!E68+1,0),IF('01_数值调参'!AJ19&lt;0,'03_全链计算'!F68+1,0),IF('01_数值调参'!AJ20&lt;0,'03_全链计算'!G68+1,0),IF('01_数值调参'!AJ21&lt;0,'03_全链计算'!H68+1,0),IF('01_数值调参'!AJ22&lt;0,'03_全链计算'!I68+1,0),IF('01_数值调参'!AJ23&lt;0,'03_全链计算'!J68+1,0),IF('01_数值调参'!AJ24&lt;0,'03_全链计算'!K68+1,0),IF('01_数值调参'!AJ25&lt;0,'03_全链计算'!L68+1,0),IF('01_数值调参'!AJ26&lt;0,'03_全链计算'!M68+1,0),IF('01_数值调参'!AJ27&lt;0,'03_全链计算'!N68+1,0),IF('01_数值调参'!AJ28&lt;0,'03_全链计算'!O68+1,0),IF('01_数值调参'!AJ29&lt;0,'03_全链计算'!P68+1,0),IF('01_数值调参'!AJ30&lt;0,'03_全链计算'!Q68+1,0),IF('01_数值调参'!AJ31&lt;0,'03_全链计算'!R68+1,0),IF('01_数值调参'!AJ32&lt;0,'03_全链计算'!S68+1,0),IF('01_数值调参'!AJ33&lt;0,'03_全链计算'!T68+1,0),IF('01_数值调参'!AJ34&lt;0,'03_全链计算'!U68+1,0),IF('01_数值调参'!AJ35&lt;0,'03_全链计算'!V68+1,0),IF('01_数值调参'!AJ36&lt;0,'03_全链计算'!W68+1,0),IF('01_数值调参'!AJ37&lt;0,'03_全链计算'!X68+1,0),IF('01_数值调参'!AJ38&lt;0,'03_全链计算'!Y68+1,0),IF('01_数值调参'!AJ39&lt;0,'03_全链计算'!Z68+1,0),IF('01_数值调参'!AJ40&lt;0,'03_全链计算'!AA68+1,0),IF('01_数值调参'!AJ41&lt;0,'03_全链计算'!AB68+1,0),IF('01_数值调参'!AJ42&lt;0,'03_全链计算'!AC68+1,0),IF('01_数值调参'!AJ43&lt;0,'03_全链计算'!AD68+1,0),IF('01_数值调参'!AJ44&lt;0,'03_全链计算'!AE68+1,0),IF('01_数值调参'!AJ45&lt;0,'03_全链计算'!AF68+1,0),IF('01_数值调参'!AJ46&lt;0,'03_全链计算'!AG68+1,0),IF('01_数值调参'!AJ47&lt;0,'03_全链计算'!AH68+1,0),IF('01_数值调参'!AJ48&lt;0,'03_全链计算'!AI68+1,0),IF('01_数值调参'!AJ49&lt;0,'03_全链计算'!AJ68+1,0),IF('01_数值调参'!AJ50&lt;0,'03_全链计算'!AK68+1,0),IF('01_数值调参'!AJ51&lt;0,'03_全链计算'!AL68+1,0),IF('01_数值调参'!AJ52&lt;0,'03_全链计算'!AM68+1,0))</x:f>
        <x:v>2</x:v>
      </x:c>
      <x:c r="AK69" s="9" t="n">
        <x:f>MAX(IF('01_数值调参'!AK18&lt;0,'03_全链计算'!E68+1,0),IF('01_数值调参'!AK19&lt;0,'03_全链计算'!F68+1,0),IF('01_数值调参'!AK20&lt;0,'03_全链计算'!G68+1,0),IF('01_数值调参'!AK21&lt;0,'03_全链计算'!H68+1,0),IF('01_数值调参'!AK22&lt;0,'03_全链计算'!I68+1,0),IF('01_数值调参'!AK23&lt;0,'03_全链计算'!J68+1,0),IF('01_数值调参'!AK24&lt;0,'03_全链计算'!K68+1,0),IF('01_数值调参'!AK25&lt;0,'03_全链计算'!L68+1,0),IF('01_数值调参'!AK26&lt;0,'03_全链计算'!M68+1,0),IF('01_数值调参'!AK27&lt;0,'03_全链计算'!N68+1,0),IF('01_数值调参'!AK28&lt;0,'03_全链计算'!O68+1,0),IF('01_数值调参'!AK29&lt;0,'03_全链计算'!P68+1,0),IF('01_数值调参'!AK30&lt;0,'03_全链计算'!Q68+1,0),IF('01_数值调参'!AK31&lt;0,'03_全链计算'!R68+1,0),IF('01_数值调参'!AK32&lt;0,'03_全链计算'!S68+1,0),IF('01_数值调参'!AK33&lt;0,'03_全链计算'!T68+1,0),IF('01_数值调参'!AK34&lt;0,'03_全链计算'!U68+1,0),IF('01_数值调参'!AK35&lt;0,'03_全链计算'!V68+1,0),IF('01_数值调参'!AK36&lt;0,'03_全链计算'!W68+1,0),IF('01_数值调参'!AK37&lt;0,'03_全链计算'!X68+1,0),IF('01_数值调参'!AK38&lt;0,'03_全链计算'!Y68+1,0),IF('01_数值调参'!AK39&lt;0,'03_全链计算'!Z68+1,0),IF('01_数值调参'!AK40&lt;0,'03_全链计算'!AA68+1,0),IF('01_数值调参'!AK41&lt;0,'03_全链计算'!AB68+1,0),IF('01_数值调参'!AK42&lt;0,'03_全链计算'!AC68+1,0),IF('01_数值调参'!AK43&lt;0,'03_全链计算'!AD68+1,0),IF('01_数值调参'!AK44&lt;0,'03_全链计算'!AE68+1,0),IF('01_数值调参'!AK45&lt;0,'03_全链计算'!AF68+1,0),IF('01_数值调参'!AK46&lt;0,'03_全链计算'!AG68+1,0),IF('01_数值调参'!AK47&lt;0,'03_全链计算'!AH68+1,0),IF('01_数值调参'!AK48&lt;0,'03_全链计算'!AI68+1,0),IF('01_数值调参'!AK49&lt;0,'03_全链计算'!AJ68+1,0),IF('01_数值调参'!AK50&lt;0,'03_全链计算'!AK68+1,0),IF('01_数值调参'!AK51&lt;0,'03_全链计算'!AL68+1,0),IF('01_数值调参'!AK52&lt;0,'03_全链计算'!AM68+1,0))</x:f>
        <x:v>2</x:v>
      </x:c>
      <x:c r="AL69" s="9" t="n">
        <x:f>MAX(IF('01_数值调参'!AL18&lt;0,'03_全链计算'!E68+1,0),IF('01_数值调参'!AL19&lt;0,'03_全链计算'!F68+1,0),IF('01_数值调参'!AL20&lt;0,'03_全链计算'!G68+1,0),IF('01_数值调参'!AL21&lt;0,'03_全链计算'!H68+1,0),IF('01_数值调参'!AL22&lt;0,'03_全链计算'!I68+1,0),IF('01_数值调参'!AL23&lt;0,'03_全链计算'!J68+1,0),IF('01_数值调参'!AL24&lt;0,'03_全链计算'!K68+1,0),IF('01_数值调参'!AL25&lt;0,'03_全链计算'!L68+1,0),IF('01_数值调参'!AL26&lt;0,'03_全链计算'!M68+1,0),IF('01_数值调参'!AL27&lt;0,'03_全链计算'!N68+1,0),IF('01_数值调参'!AL28&lt;0,'03_全链计算'!O68+1,0),IF('01_数值调参'!AL29&lt;0,'03_全链计算'!P68+1,0),IF('01_数值调参'!AL30&lt;0,'03_全链计算'!Q68+1,0),IF('01_数值调参'!AL31&lt;0,'03_全链计算'!R68+1,0),IF('01_数值调参'!AL32&lt;0,'03_全链计算'!S68+1,0),IF('01_数值调参'!AL33&lt;0,'03_全链计算'!T68+1,0),IF('01_数值调参'!AL34&lt;0,'03_全链计算'!U68+1,0),IF('01_数值调参'!AL35&lt;0,'03_全链计算'!V68+1,0),IF('01_数值调参'!AL36&lt;0,'03_全链计算'!W68+1,0),IF('01_数值调参'!AL37&lt;0,'03_全链计算'!X68+1,0),IF('01_数值调参'!AL38&lt;0,'03_全链计算'!Y68+1,0),IF('01_数值调参'!AL39&lt;0,'03_全链计算'!Z68+1,0),IF('01_数值调参'!AL40&lt;0,'03_全链计算'!AA68+1,0),IF('01_数值调参'!AL41&lt;0,'03_全链计算'!AB68+1,0),IF('01_数值调参'!AL42&lt;0,'03_全链计算'!AC68+1,0),IF('01_数值调参'!AL43&lt;0,'03_全链计算'!AD68+1,0),IF('01_数值调参'!AL44&lt;0,'03_全链计算'!AE68+1,0),IF('01_数值调参'!AL45&lt;0,'03_全链计算'!AF68+1,0),IF('01_数值调参'!AL46&lt;0,'03_全链计算'!AG68+1,0),IF('01_数值调参'!AL47&lt;0,'03_全链计算'!AH68+1,0),IF('01_数值调参'!AL48&lt;0,'03_全链计算'!AI68+1,0),IF('01_数值调参'!AL49&lt;0,'03_全链计算'!AJ68+1,0),IF('01_数值调参'!AL50&lt;0,'03_全链计算'!AK68+1,0),IF('01_数值调参'!AL51&lt;0,'03_全链计算'!AL68+1,0),IF('01_数值调参'!AL52&lt;0,'03_全链计算'!AM68+1,0))</x:f>
        <x:v>3</x:v>
      </x:c>
      <x:c r="AM69" s="9" t="n">
        <x:f>MAX(IF('01_数值调参'!AM18&lt;0,'03_全链计算'!E68+1,0),IF('01_数值调参'!AM19&lt;0,'03_全链计算'!F68+1,0),IF('01_数值调参'!AM20&lt;0,'03_全链计算'!G68+1,0),IF('01_数值调参'!AM21&lt;0,'03_全链计算'!H68+1,0),IF('01_数值调参'!AM22&lt;0,'03_全链计算'!I68+1,0),IF('01_数值调参'!AM23&lt;0,'03_全链计算'!J68+1,0),IF('01_数值调参'!AM24&lt;0,'03_全链计算'!K68+1,0),IF('01_数值调参'!AM25&lt;0,'03_全链计算'!L68+1,0),IF('01_数值调参'!AM26&lt;0,'03_全链计算'!M68+1,0),IF('01_数值调参'!AM27&lt;0,'03_全链计算'!N68+1,0),IF('01_数值调参'!AM28&lt;0,'03_全链计算'!O68+1,0),IF('01_数值调参'!AM29&lt;0,'03_全链计算'!P68+1,0),IF('01_数值调参'!AM30&lt;0,'03_全链计算'!Q68+1,0),IF('01_数值调参'!AM31&lt;0,'03_全链计算'!R68+1,0),IF('01_数值调参'!AM32&lt;0,'03_全链计算'!S68+1,0),IF('01_数值调参'!AM33&lt;0,'03_全链计算'!T68+1,0),IF('01_数值调参'!AM34&lt;0,'03_全链计算'!U68+1,0),IF('01_数值调参'!AM35&lt;0,'03_全链计算'!V68+1,0),IF('01_数值调参'!AM36&lt;0,'03_全链计算'!W68+1,0),IF('01_数值调参'!AM37&lt;0,'03_全链计算'!X68+1,0),IF('01_数值调参'!AM38&lt;0,'03_全链计算'!Y68+1,0),IF('01_数值调参'!AM39&lt;0,'03_全链计算'!Z68+1,0),IF('01_数值调参'!AM40&lt;0,'03_全链计算'!AA68+1,0),IF('01_数值调参'!AM41&lt;0,'03_全链计算'!AB68+1,0),IF('01_数值调参'!AM42&lt;0,'03_全链计算'!AC68+1,0),IF('01_数值调参'!AM43&lt;0,'03_全链计算'!AD68+1,0),IF('01_数值调参'!AM44&lt;0,'03_全链计算'!AE68+1,0),IF('01_数值调参'!AM45&lt;0,'03_全链计算'!AF68+1,0),IF('01_数值调参'!AM46&lt;0,'03_全链计算'!AG68+1,0),IF('01_数值调参'!AM47&lt;0,'03_全链计算'!AH68+1,0),IF('01_数值调参'!AM48&lt;0,'03_全链计算'!AI68+1,0),IF('01_数值调参'!AM49&lt;0,'03_全链计算'!AJ68+1,0),IF('01_数值调参'!AM50&lt;0,'03_全链计算'!AK68+1,0),IF('01_数值调参'!AM51&lt;0,'03_全链计算'!AL68+1,0),IF('01_数值调参'!AM52&lt;0,'03_全链计算'!AM68+1,0))</x:f>
        <x:v>3</x:v>
      </x:c>
    </x:row>
    <x:row r="70" ht="22" customHeight="1">
      <x:c r="A70" s="9" t="n">
        <x:v>25</x:v>
      </x:c>
      <x:c r="B70" s="9"/>
      <x:c r="C70" s="9"/>
      <x:c r="D70" s="9"/>
      <x:c r="E70" s="9" t="n">
        <x:f>MAX(IF('01_数值调参'!E18&lt;0,'03_全链计算'!E69+1,0),IF('01_数值调参'!E19&lt;0,'03_全链计算'!F69+1,0),IF('01_数值调参'!E20&lt;0,'03_全链计算'!G69+1,0),IF('01_数值调参'!E21&lt;0,'03_全链计算'!H69+1,0),IF('01_数值调参'!E22&lt;0,'03_全链计算'!I69+1,0),IF('01_数值调参'!E23&lt;0,'03_全链计算'!J69+1,0),IF('01_数值调参'!E24&lt;0,'03_全链计算'!K69+1,0),IF('01_数值调参'!E25&lt;0,'03_全链计算'!L69+1,0),IF('01_数值调参'!E26&lt;0,'03_全链计算'!M69+1,0),IF('01_数值调参'!E27&lt;0,'03_全链计算'!N69+1,0),IF('01_数值调参'!E28&lt;0,'03_全链计算'!O69+1,0),IF('01_数值调参'!E29&lt;0,'03_全链计算'!P69+1,0),IF('01_数值调参'!E30&lt;0,'03_全链计算'!Q69+1,0),IF('01_数值调参'!E31&lt;0,'03_全链计算'!R69+1,0),IF('01_数值调参'!E32&lt;0,'03_全链计算'!S69+1,0),IF('01_数值调参'!E33&lt;0,'03_全链计算'!T69+1,0),IF('01_数值调参'!E34&lt;0,'03_全链计算'!U69+1,0),IF('01_数值调参'!E35&lt;0,'03_全链计算'!V69+1,0),IF('01_数值调参'!E36&lt;0,'03_全链计算'!W69+1,0),IF('01_数值调参'!E37&lt;0,'03_全链计算'!X69+1,0),IF('01_数值调参'!E38&lt;0,'03_全链计算'!Y69+1,0),IF('01_数值调参'!E39&lt;0,'03_全链计算'!Z69+1,0),IF('01_数值调参'!E40&lt;0,'03_全链计算'!AA69+1,0),IF('01_数值调参'!E41&lt;0,'03_全链计算'!AB69+1,0),IF('01_数值调参'!E42&lt;0,'03_全链计算'!AC69+1,0),IF('01_数值调参'!E43&lt;0,'03_全链计算'!AD69+1,0),IF('01_数值调参'!E44&lt;0,'03_全链计算'!AE69+1,0),IF('01_数值调参'!E45&lt;0,'03_全链计算'!AF69+1,0),IF('01_数值调参'!E46&lt;0,'03_全链计算'!AG69+1,0),IF('01_数值调参'!E47&lt;0,'03_全链计算'!AH69+1,0),IF('01_数值调参'!E48&lt;0,'03_全链计算'!AI69+1,0),IF('01_数值调参'!E49&lt;0,'03_全链计算'!AJ69+1,0),IF('01_数值调参'!E50&lt;0,'03_全链计算'!AK69+1,0),IF('01_数值调参'!E51&lt;0,'03_全链计算'!AL69+1,0),IF('01_数值调参'!E52&lt;0,'03_全链计算'!AM69+1,0))</x:f>
        <x:v>0</x:v>
      </x:c>
      <x:c r="F70" s="9" t="n">
        <x:f>MAX(IF('01_数值调参'!F18&lt;0,'03_全链计算'!E69+1,0),IF('01_数值调参'!F19&lt;0,'03_全链计算'!F69+1,0),IF('01_数值调参'!F20&lt;0,'03_全链计算'!G69+1,0),IF('01_数值调参'!F21&lt;0,'03_全链计算'!H69+1,0),IF('01_数值调参'!F22&lt;0,'03_全链计算'!I69+1,0),IF('01_数值调参'!F23&lt;0,'03_全链计算'!J69+1,0),IF('01_数值调参'!F24&lt;0,'03_全链计算'!K69+1,0),IF('01_数值调参'!F25&lt;0,'03_全链计算'!L69+1,0),IF('01_数值调参'!F26&lt;0,'03_全链计算'!M69+1,0),IF('01_数值调参'!F27&lt;0,'03_全链计算'!N69+1,0),IF('01_数值调参'!F28&lt;0,'03_全链计算'!O69+1,0),IF('01_数值调参'!F29&lt;0,'03_全链计算'!P69+1,0),IF('01_数值调参'!F30&lt;0,'03_全链计算'!Q69+1,0),IF('01_数值调参'!F31&lt;0,'03_全链计算'!R69+1,0),IF('01_数值调参'!F32&lt;0,'03_全链计算'!S69+1,0),IF('01_数值调参'!F33&lt;0,'03_全链计算'!T69+1,0),IF('01_数值调参'!F34&lt;0,'03_全链计算'!U69+1,0),IF('01_数值调参'!F35&lt;0,'03_全链计算'!V69+1,0),IF('01_数值调参'!F36&lt;0,'03_全链计算'!W69+1,0),IF('01_数值调参'!F37&lt;0,'03_全链计算'!X69+1,0),IF('01_数值调参'!F38&lt;0,'03_全链计算'!Y69+1,0),IF('01_数值调参'!F39&lt;0,'03_全链计算'!Z69+1,0),IF('01_数值调参'!F40&lt;0,'03_全链计算'!AA69+1,0),IF('01_数值调参'!F41&lt;0,'03_全链计算'!AB69+1,0),IF('01_数值调参'!F42&lt;0,'03_全链计算'!AC69+1,0),IF('01_数值调参'!F43&lt;0,'03_全链计算'!AD69+1,0),IF('01_数值调参'!F44&lt;0,'03_全链计算'!AE69+1,0),IF('01_数值调参'!F45&lt;0,'03_全链计算'!AF69+1,0),IF('01_数值调参'!F46&lt;0,'03_全链计算'!AG69+1,0),IF('01_数值调参'!F47&lt;0,'03_全链计算'!AH69+1,0),IF('01_数值调参'!F48&lt;0,'03_全链计算'!AI69+1,0),IF('01_数值调参'!F49&lt;0,'03_全链计算'!AJ69+1,0),IF('01_数值调参'!F50&lt;0,'03_全链计算'!AK69+1,0),IF('01_数值调参'!F51&lt;0,'03_全链计算'!AL69+1,0),IF('01_数值调参'!F52&lt;0,'03_全链计算'!AM69+1,0))</x:f>
        <x:v>0</x:v>
      </x:c>
      <x:c r="G70" s="9" t="n">
        <x:f>MAX(IF('01_数值调参'!G18&lt;0,'03_全链计算'!E69+1,0),IF('01_数值调参'!G19&lt;0,'03_全链计算'!F69+1,0),IF('01_数值调参'!G20&lt;0,'03_全链计算'!G69+1,0),IF('01_数值调参'!G21&lt;0,'03_全链计算'!H69+1,0),IF('01_数值调参'!G22&lt;0,'03_全链计算'!I69+1,0),IF('01_数值调参'!G23&lt;0,'03_全链计算'!J69+1,0),IF('01_数值调参'!G24&lt;0,'03_全链计算'!K69+1,0),IF('01_数值调参'!G25&lt;0,'03_全链计算'!L69+1,0),IF('01_数值调参'!G26&lt;0,'03_全链计算'!M69+1,0),IF('01_数值调参'!G27&lt;0,'03_全链计算'!N69+1,0),IF('01_数值调参'!G28&lt;0,'03_全链计算'!O69+1,0),IF('01_数值调参'!G29&lt;0,'03_全链计算'!P69+1,0),IF('01_数值调参'!G30&lt;0,'03_全链计算'!Q69+1,0),IF('01_数值调参'!G31&lt;0,'03_全链计算'!R69+1,0),IF('01_数值调参'!G32&lt;0,'03_全链计算'!S69+1,0),IF('01_数值调参'!G33&lt;0,'03_全链计算'!T69+1,0),IF('01_数值调参'!G34&lt;0,'03_全链计算'!U69+1,0),IF('01_数值调参'!G35&lt;0,'03_全链计算'!V69+1,0),IF('01_数值调参'!G36&lt;0,'03_全链计算'!W69+1,0),IF('01_数值调参'!G37&lt;0,'03_全链计算'!X69+1,0),IF('01_数值调参'!G38&lt;0,'03_全链计算'!Y69+1,0),IF('01_数值调参'!G39&lt;0,'03_全链计算'!Z69+1,0),IF('01_数值调参'!G40&lt;0,'03_全链计算'!AA69+1,0),IF('01_数值调参'!G41&lt;0,'03_全链计算'!AB69+1,0),IF('01_数值调参'!G42&lt;0,'03_全链计算'!AC69+1,0),IF('01_数值调参'!G43&lt;0,'03_全链计算'!AD69+1,0),IF('01_数值调参'!G44&lt;0,'03_全链计算'!AE69+1,0),IF('01_数值调参'!G45&lt;0,'03_全链计算'!AF69+1,0),IF('01_数值调参'!G46&lt;0,'03_全链计算'!AG69+1,0),IF('01_数值调参'!G47&lt;0,'03_全链计算'!AH69+1,0),IF('01_数值调参'!G48&lt;0,'03_全链计算'!AI69+1,0),IF('01_数值调参'!G49&lt;0,'03_全链计算'!AJ69+1,0),IF('01_数值调参'!G50&lt;0,'03_全链计算'!AK69+1,0),IF('01_数值调参'!G51&lt;0,'03_全链计算'!AL69+1,0),IF('01_数值调参'!G52&lt;0,'03_全链计算'!AM69+1,0))</x:f>
        <x:v>0</x:v>
      </x:c>
      <x:c r="H70" s="9" t="n">
        <x:f>MAX(IF('01_数值调参'!H18&lt;0,'03_全链计算'!E69+1,0),IF('01_数值调参'!H19&lt;0,'03_全链计算'!F69+1,0),IF('01_数值调参'!H20&lt;0,'03_全链计算'!G69+1,0),IF('01_数值调参'!H21&lt;0,'03_全链计算'!H69+1,0),IF('01_数值调参'!H22&lt;0,'03_全链计算'!I69+1,0),IF('01_数值调参'!H23&lt;0,'03_全链计算'!J69+1,0),IF('01_数值调参'!H24&lt;0,'03_全链计算'!K69+1,0),IF('01_数值调参'!H25&lt;0,'03_全链计算'!L69+1,0),IF('01_数值调参'!H26&lt;0,'03_全链计算'!M69+1,0),IF('01_数值调参'!H27&lt;0,'03_全链计算'!N69+1,0),IF('01_数值调参'!H28&lt;0,'03_全链计算'!O69+1,0),IF('01_数值调参'!H29&lt;0,'03_全链计算'!P69+1,0),IF('01_数值调参'!H30&lt;0,'03_全链计算'!Q69+1,0),IF('01_数值调参'!H31&lt;0,'03_全链计算'!R69+1,0),IF('01_数值调参'!H32&lt;0,'03_全链计算'!S69+1,0),IF('01_数值调参'!H33&lt;0,'03_全链计算'!T69+1,0),IF('01_数值调参'!H34&lt;0,'03_全链计算'!U69+1,0),IF('01_数值调参'!H35&lt;0,'03_全链计算'!V69+1,0),IF('01_数值调参'!H36&lt;0,'03_全链计算'!W69+1,0),IF('01_数值调参'!H37&lt;0,'03_全链计算'!X69+1,0),IF('01_数值调参'!H38&lt;0,'03_全链计算'!Y69+1,0),IF('01_数值调参'!H39&lt;0,'03_全链计算'!Z69+1,0),IF('01_数值调参'!H40&lt;0,'03_全链计算'!AA69+1,0),IF('01_数值调参'!H41&lt;0,'03_全链计算'!AB69+1,0),IF('01_数值调参'!H42&lt;0,'03_全链计算'!AC69+1,0),IF('01_数值调参'!H43&lt;0,'03_全链计算'!AD69+1,0),IF('01_数值调参'!H44&lt;0,'03_全链计算'!AE69+1,0),IF('01_数值调参'!H45&lt;0,'03_全链计算'!AF69+1,0),IF('01_数值调参'!H46&lt;0,'03_全链计算'!AG69+1,0),IF('01_数值调参'!H47&lt;0,'03_全链计算'!AH69+1,0),IF('01_数值调参'!H48&lt;0,'03_全链计算'!AI69+1,0),IF('01_数值调参'!H49&lt;0,'03_全链计算'!AJ69+1,0),IF('01_数值调参'!H50&lt;0,'03_全链计算'!AK69+1,0),IF('01_数值调参'!H51&lt;0,'03_全链计算'!AL69+1,0),IF('01_数值调参'!H52&lt;0,'03_全链计算'!AM69+1,0))</x:f>
        <x:v>0</x:v>
      </x:c>
      <x:c r="I70" s="9" t="n">
        <x:f>MAX(IF('01_数值调参'!I18&lt;0,'03_全链计算'!E69+1,0),IF('01_数值调参'!I19&lt;0,'03_全链计算'!F69+1,0),IF('01_数值调参'!I20&lt;0,'03_全链计算'!G69+1,0),IF('01_数值调参'!I21&lt;0,'03_全链计算'!H69+1,0),IF('01_数值调参'!I22&lt;0,'03_全链计算'!I69+1,0),IF('01_数值调参'!I23&lt;0,'03_全链计算'!J69+1,0),IF('01_数值调参'!I24&lt;0,'03_全链计算'!K69+1,0),IF('01_数值调参'!I25&lt;0,'03_全链计算'!L69+1,0),IF('01_数值调参'!I26&lt;0,'03_全链计算'!M69+1,0),IF('01_数值调参'!I27&lt;0,'03_全链计算'!N69+1,0),IF('01_数值调参'!I28&lt;0,'03_全链计算'!O69+1,0),IF('01_数值调参'!I29&lt;0,'03_全链计算'!P69+1,0),IF('01_数值调参'!I30&lt;0,'03_全链计算'!Q69+1,0),IF('01_数值调参'!I31&lt;0,'03_全链计算'!R69+1,0),IF('01_数值调参'!I32&lt;0,'03_全链计算'!S69+1,0),IF('01_数值调参'!I33&lt;0,'03_全链计算'!T69+1,0),IF('01_数值调参'!I34&lt;0,'03_全链计算'!U69+1,0),IF('01_数值调参'!I35&lt;0,'03_全链计算'!V69+1,0),IF('01_数值调参'!I36&lt;0,'03_全链计算'!W69+1,0),IF('01_数值调参'!I37&lt;0,'03_全链计算'!X69+1,0),IF('01_数值调参'!I38&lt;0,'03_全链计算'!Y69+1,0),IF('01_数值调参'!I39&lt;0,'03_全链计算'!Z69+1,0),IF('01_数值调参'!I40&lt;0,'03_全链计算'!AA69+1,0),IF('01_数值调参'!I41&lt;0,'03_全链计算'!AB69+1,0),IF('01_数值调参'!I42&lt;0,'03_全链计算'!AC69+1,0),IF('01_数值调参'!I43&lt;0,'03_全链计算'!AD69+1,0),IF('01_数值调参'!I44&lt;0,'03_全链计算'!AE69+1,0),IF('01_数值调参'!I45&lt;0,'03_全链计算'!AF69+1,0),IF('01_数值调参'!I46&lt;0,'03_全链计算'!AG69+1,0),IF('01_数值调参'!I47&lt;0,'03_全链计算'!AH69+1,0),IF('01_数值调参'!I48&lt;0,'03_全链计算'!AI69+1,0),IF('01_数值调参'!I49&lt;0,'03_全链计算'!AJ69+1,0),IF('01_数值调参'!I50&lt;0,'03_全链计算'!AK69+1,0),IF('01_数值调参'!I51&lt;0,'03_全链计算'!AL69+1,0),IF('01_数值调参'!I52&lt;0,'03_全链计算'!AM69+1,0))</x:f>
        <x:v>0</x:v>
      </x:c>
      <x:c r="J70" s="9" t="n">
        <x:f>MAX(IF('01_数值调参'!J18&lt;0,'03_全链计算'!E69+1,0),IF('01_数值调参'!J19&lt;0,'03_全链计算'!F69+1,0),IF('01_数值调参'!J20&lt;0,'03_全链计算'!G69+1,0),IF('01_数值调参'!J21&lt;0,'03_全链计算'!H69+1,0),IF('01_数值调参'!J22&lt;0,'03_全链计算'!I69+1,0),IF('01_数值调参'!J23&lt;0,'03_全链计算'!J69+1,0),IF('01_数值调参'!J24&lt;0,'03_全链计算'!K69+1,0),IF('01_数值调参'!J25&lt;0,'03_全链计算'!L69+1,0),IF('01_数值调参'!J26&lt;0,'03_全链计算'!M69+1,0),IF('01_数值调参'!J27&lt;0,'03_全链计算'!N69+1,0),IF('01_数值调参'!J28&lt;0,'03_全链计算'!O69+1,0),IF('01_数值调参'!J29&lt;0,'03_全链计算'!P69+1,0),IF('01_数值调参'!J30&lt;0,'03_全链计算'!Q69+1,0),IF('01_数值调参'!J31&lt;0,'03_全链计算'!R69+1,0),IF('01_数值调参'!J32&lt;0,'03_全链计算'!S69+1,0),IF('01_数值调参'!J33&lt;0,'03_全链计算'!T69+1,0),IF('01_数值调参'!J34&lt;0,'03_全链计算'!U69+1,0),IF('01_数值调参'!J35&lt;0,'03_全链计算'!V69+1,0),IF('01_数值调参'!J36&lt;0,'03_全链计算'!W69+1,0),IF('01_数值调参'!J37&lt;0,'03_全链计算'!X69+1,0),IF('01_数值调参'!J38&lt;0,'03_全链计算'!Y69+1,0),IF('01_数值调参'!J39&lt;0,'03_全链计算'!Z69+1,0),IF('01_数值调参'!J40&lt;0,'03_全链计算'!AA69+1,0),IF('01_数值调参'!J41&lt;0,'03_全链计算'!AB69+1,0),IF('01_数值调参'!J42&lt;0,'03_全链计算'!AC69+1,0),IF('01_数值调参'!J43&lt;0,'03_全链计算'!AD69+1,0),IF('01_数值调参'!J44&lt;0,'03_全链计算'!AE69+1,0),IF('01_数值调参'!J45&lt;0,'03_全链计算'!AF69+1,0),IF('01_数值调参'!J46&lt;0,'03_全链计算'!AG69+1,0),IF('01_数值调参'!J47&lt;0,'03_全链计算'!AH69+1,0),IF('01_数值调参'!J48&lt;0,'03_全链计算'!AI69+1,0),IF('01_数值调参'!J49&lt;0,'03_全链计算'!AJ69+1,0),IF('01_数值调参'!J50&lt;0,'03_全链计算'!AK69+1,0),IF('01_数值调参'!J51&lt;0,'03_全链计算'!AL69+1,0),IF('01_数值调参'!J52&lt;0,'03_全链计算'!AM69+1,0))</x:f>
        <x:v>0</x:v>
      </x:c>
      <x:c r="K70" s="9" t="n">
        <x:f>MAX(IF('01_数值调参'!K18&lt;0,'03_全链计算'!E69+1,0),IF('01_数值调参'!K19&lt;0,'03_全链计算'!F69+1,0),IF('01_数值调参'!K20&lt;0,'03_全链计算'!G69+1,0),IF('01_数值调参'!K21&lt;0,'03_全链计算'!H69+1,0),IF('01_数值调参'!K22&lt;0,'03_全链计算'!I69+1,0),IF('01_数值调参'!K23&lt;0,'03_全链计算'!J69+1,0),IF('01_数值调参'!K24&lt;0,'03_全链计算'!K69+1,0),IF('01_数值调参'!K25&lt;0,'03_全链计算'!L69+1,0),IF('01_数值调参'!K26&lt;0,'03_全链计算'!M69+1,0),IF('01_数值调参'!K27&lt;0,'03_全链计算'!N69+1,0),IF('01_数值调参'!K28&lt;0,'03_全链计算'!O69+1,0),IF('01_数值调参'!K29&lt;0,'03_全链计算'!P69+1,0),IF('01_数值调参'!K30&lt;0,'03_全链计算'!Q69+1,0),IF('01_数值调参'!K31&lt;0,'03_全链计算'!R69+1,0),IF('01_数值调参'!K32&lt;0,'03_全链计算'!S69+1,0),IF('01_数值调参'!K33&lt;0,'03_全链计算'!T69+1,0),IF('01_数值调参'!K34&lt;0,'03_全链计算'!U69+1,0),IF('01_数值调参'!K35&lt;0,'03_全链计算'!V69+1,0),IF('01_数值调参'!K36&lt;0,'03_全链计算'!W69+1,0),IF('01_数值调参'!K37&lt;0,'03_全链计算'!X69+1,0),IF('01_数值调参'!K38&lt;0,'03_全链计算'!Y69+1,0),IF('01_数值调参'!K39&lt;0,'03_全链计算'!Z69+1,0),IF('01_数值调参'!K40&lt;0,'03_全链计算'!AA69+1,0),IF('01_数值调参'!K41&lt;0,'03_全链计算'!AB69+1,0),IF('01_数值调参'!K42&lt;0,'03_全链计算'!AC69+1,0),IF('01_数值调参'!K43&lt;0,'03_全链计算'!AD69+1,0),IF('01_数值调参'!K44&lt;0,'03_全链计算'!AE69+1,0),IF('01_数值调参'!K45&lt;0,'03_全链计算'!AF69+1,0),IF('01_数值调参'!K46&lt;0,'03_全链计算'!AG69+1,0),IF('01_数值调参'!K47&lt;0,'03_全链计算'!AH69+1,0),IF('01_数值调参'!K48&lt;0,'03_全链计算'!AI69+1,0),IF('01_数值调参'!K49&lt;0,'03_全链计算'!AJ69+1,0),IF('01_数值调参'!K50&lt;0,'03_全链计算'!AK69+1,0),IF('01_数值调参'!K51&lt;0,'03_全链计算'!AL69+1,0),IF('01_数值调参'!K52&lt;0,'03_全链计算'!AM69+1,0))</x:f>
        <x:v>0</x:v>
      </x:c>
      <x:c r="L70" s="9" t="n">
        <x:f>MAX(IF('01_数值调参'!L18&lt;0,'03_全链计算'!E69+1,0),IF('01_数值调参'!L19&lt;0,'03_全链计算'!F69+1,0),IF('01_数值调参'!L20&lt;0,'03_全链计算'!G69+1,0),IF('01_数值调参'!L21&lt;0,'03_全链计算'!H69+1,0),IF('01_数值调参'!L22&lt;0,'03_全链计算'!I69+1,0),IF('01_数值调参'!L23&lt;0,'03_全链计算'!J69+1,0),IF('01_数值调参'!L24&lt;0,'03_全链计算'!K69+1,0),IF('01_数值调参'!L25&lt;0,'03_全链计算'!L69+1,0),IF('01_数值调参'!L26&lt;0,'03_全链计算'!M69+1,0),IF('01_数值调参'!L27&lt;0,'03_全链计算'!N69+1,0),IF('01_数值调参'!L28&lt;0,'03_全链计算'!O69+1,0),IF('01_数值调参'!L29&lt;0,'03_全链计算'!P69+1,0),IF('01_数值调参'!L30&lt;0,'03_全链计算'!Q69+1,0),IF('01_数值调参'!L31&lt;0,'03_全链计算'!R69+1,0),IF('01_数值调参'!L32&lt;0,'03_全链计算'!S69+1,0),IF('01_数值调参'!L33&lt;0,'03_全链计算'!T69+1,0),IF('01_数值调参'!L34&lt;0,'03_全链计算'!U69+1,0),IF('01_数值调参'!L35&lt;0,'03_全链计算'!V69+1,0),IF('01_数值调参'!L36&lt;0,'03_全链计算'!W69+1,0),IF('01_数值调参'!L37&lt;0,'03_全链计算'!X69+1,0),IF('01_数值调参'!L38&lt;0,'03_全链计算'!Y69+1,0),IF('01_数值调参'!L39&lt;0,'03_全链计算'!Z69+1,0),IF('01_数值调参'!L40&lt;0,'03_全链计算'!AA69+1,0),IF('01_数值调参'!L41&lt;0,'03_全链计算'!AB69+1,0),IF('01_数值调参'!L42&lt;0,'03_全链计算'!AC69+1,0),IF('01_数值调参'!L43&lt;0,'03_全链计算'!AD69+1,0),IF('01_数值调参'!L44&lt;0,'03_全链计算'!AE69+1,0),IF('01_数值调参'!L45&lt;0,'03_全链计算'!AF69+1,0),IF('01_数值调参'!L46&lt;0,'03_全链计算'!AG69+1,0),IF('01_数值调参'!L47&lt;0,'03_全链计算'!AH69+1,0),IF('01_数值调参'!L48&lt;0,'03_全链计算'!AI69+1,0),IF('01_数值调参'!L49&lt;0,'03_全链计算'!AJ69+1,0),IF('01_数值调参'!L50&lt;0,'03_全链计算'!AK69+1,0),IF('01_数值调参'!L51&lt;0,'03_全链计算'!AL69+1,0),IF('01_数值调参'!L52&lt;0,'03_全链计算'!AM69+1,0))</x:f>
        <x:v>0</x:v>
      </x:c>
      <x:c r="M70" s="9" t="n">
        <x:f>MAX(IF('01_数值调参'!M18&lt;0,'03_全链计算'!E69+1,0),IF('01_数值调参'!M19&lt;0,'03_全链计算'!F69+1,0),IF('01_数值调参'!M20&lt;0,'03_全链计算'!G69+1,0),IF('01_数值调参'!M21&lt;0,'03_全链计算'!H69+1,0),IF('01_数值调参'!M22&lt;0,'03_全链计算'!I69+1,0),IF('01_数值调参'!M23&lt;0,'03_全链计算'!J69+1,0),IF('01_数值调参'!M24&lt;0,'03_全链计算'!K69+1,0),IF('01_数值调参'!M25&lt;0,'03_全链计算'!L69+1,0),IF('01_数值调参'!M26&lt;0,'03_全链计算'!M69+1,0),IF('01_数值调参'!M27&lt;0,'03_全链计算'!N69+1,0),IF('01_数值调参'!M28&lt;0,'03_全链计算'!O69+1,0),IF('01_数值调参'!M29&lt;0,'03_全链计算'!P69+1,0),IF('01_数值调参'!M30&lt;0,'03_全链计算'!Q69+1,0),IF('01_数值调参'!M31&lt;0,'03_全链计算'!R69+1,0),IF('01_数值调参'!M32&lt;0,'03_全链计算'!S69+1,0),IF('01_数值调参'!M33&lt;0,'03_全链计算'!T69+1,0),IF('01_数值调参'!M34&lt;0,'03_全链计算'!U69+1,0),IF('01_数值调参'!M35&lt;0,'03_全链计算'!V69+1,0),IF('01_数值调参'!M36&lt;0,'03_全链计算'!W69+1,0),IF('01_数值调参'!M37&lt;0,'03_全链计算'!X69+1,0),IF('01_数值调参'!M38&lt;0,'03_全链计算'!Y69+1,0),IF('01_数值调参'!M39&lt;0,'03_全链计算'!Z69+1,0),IF('01_数值调参'!M40&lt;0,'03_全链计算'!AA69+1,0),IF('01_数值调参'!M41&lt;0,'03_全链计算'!AB69+1,0),IF('01_数值调参'!M42&lt;0,'03_全链计算'!AC69+1,0),IF('01_数值调参'!M43&lt;0,'03_全链计算'!AD69+1,0),IF('01_数值调参'!M44&lt;0,'03_全链计算'!AE69+1,0),IF('01_数值调参'!M45&lt;0,'03_全链计算'!AF69+1,0),IF('01_数值调参'!M46&lt;0,'03_全链计算'!AG69+1,0),IF('01_数值调参'!M47&lt;0,'03_全链计算'!AH69+1,0),IF('01_数值调参'!M48&lt;0,'03_全链计算'!AI69+1,0),IF('01_数值调参'!M49&lt;0,'03_全链计算'!AJ69+1,0),IF('01_数值调参'!M50&lt;0,'03_全链计算'!AK69+1,0),IF('01_数值调参'!M51&lt;0,'03_全链计算'!AL69+1,0),IF('01_数值调参'!M52&lt;0,'03_全链计算'!AM69+1,0))</x:f>
        <x:v>0</x:v>
      </x:c>
      <x:c r="N70" s="9" t="n">
        <x:f>MAX(IF('01_数值调参'!N18&lt;0,'03_全链计算'!E69+1,0),IF('01_数值调参'!N19&lt;0,'03_全链计算'!F69+1,0),IF('01_数值调参'!N20&lt;0,'03_全链计算'!G69+1,0),IF('01_数值调参'!N21&lt;0,'03_全链计算'!H69+1,0),IF('01_数值调参'!N22&lt;0,'03_全链计算'!I69+1,0),IF('01_数值调参'!N23&lt;0,'03_全链计算'!J69+1,0),IF('01_数值调参'!N24&lt;0,'03_全链计算'!K69+1,0),IF('01_数值调参'!N25&lt;0,'03_全链计算'!L69+1,0),IF('01_数值调参'!N26&lt;0,'03_全链计算'!M69+1,0),IF('01_数值调参'!N27&lt;0,'03_全链计算'!N69+1,0),IF('01_数值调参'!N28&lt;0,'03_全链计算'!O69+1,0),IF('01_数值调参'!N29&lt;0,'03_全链计算'!P69+1,0),IF('01_数值调参'!N30&lt;0,'03_全链计算'!Q69+1,0),IF('01_数值调参'!N31&lt;0,'03_全链计算'!R69+1,0),IF('01_数值调参'!N32&lt;0,'03_全链计算'!S69+1,0),IF('01_数值调参'!N33&lt;0,'03_全链计算'!T69+1,0),IF('01_数值调参'!N34&lt;0,'03_全链计算'!U69+1,0),IF('01_数值调参'!N35&lt;0,'03_全链计算'!V69+1,0),IF('01_数值调参'!N36&lt;0,'03_全链计算'!W69+1,0),IF('01_数值调参'!N37&lt;0,'03_全链计算'!X69+1,0),IF('01_数值调参'!N38&lt;0,'03_全链计算'!Y69+1,0),IF('01_数值调参'!N39&lt;0,'03_全链计算'!Z69+1,0),IF('01_数值调参'!N40&lt;0,'03_全链计算'!AA69+1,0),IF('01_数值调参'!N41&lt;0,'03_全链计算'!AB69+1,0),IF('01_数值调参'!N42&lt;0,'03_全链计算'!AC69+1,0),IF('01_数值调参'!N43&lt;0,'03_全链计算'!AD69+1,0),IF('01_数值调参'!N44&lt;0,'03_全链计算'!AE69+1,0),IF('01_数值调参'!N45&lt;0,'03_全链计算'!AF69+1,0),IF('01_数值调参'!N46&lt;0,'03_全链计算'!AG69+1,0),IF('01_数值调参'!N47&lt;0,'03_全链计算'!AH69+1,0),IF('01_数值调参'!N48&lt;0,'03_全链计算'!AI69+1,0),IF('01_数值调参'!N49&lt;0,'03_全链计算'!AJ69+1,0),IF('01_数值调参'!N50&lt;0,'03_全链计算'!AK69+1,0),IF('01_数值调参'!N51&lt;0,'03_全链计算'!AL69+1,0),IF('01_数值调参'!N52&lt;0,'03_全链计算'!AM69+1,0))</x:f>
        <x:v>1</x:v>
      </x:c>
      <x:c r="O70" s="9" t="n">
        <x:f>MAX(IF('01_数值调参'!O18&lt;0,'03_全链计算'!E69+1,0),IF('01_数值调参'!O19&lt;0,'03_全链计算'!F69+1,0),IF('01_数值调参'!O20&lt;0,'03_全链计算'!G69+1,0),IF('01_数值调参'!O21&lt;0,'03_全链计算'!H69+1,0),IF('01_数值调参'!O22&lt;0,'03_全链计算'!I69+1,0),IF('01_数值调参'!O23&lt;0,'03_全链计算'!J69+1,0),IF('01_数值调参'!O24&lt;0,'03_全链计算'!K69+1,0),IF('01_数值调参'!O25&lt;0,'03_全链计算'!L69+1,0),IF('01_数值调参'!O26&lt;0,'03_全链计算'!M69+1,0),IF('01_数值调参'!O27&lt;0,'03_全链计算'!N69+1,0),IF('01_数值调参'!O28&lt;0,'03_全链计算'!O69+1,0),IF('01_数值调参'!O29&lt;0,'03_全链计算'!P69+1,0),IF('01_数值调参'!O30&lt;0,'03_全链计算'!Q69+1,0),IF('01_数值调参'!O31&lt;0,'03_全链计算'!R69+1,0),IF('01_数值调参'!O32&lt;0,'03_全链计算'!S69+1,0),IF('01_数值调参'!O33&lt;0,'03_全链计算'!T69+1,0),IF('01_数值调参'!O34&lt;0,'03_全链计算'!U69+1,0),IF('01_数值调参'!O35&lt;0,'03_全链计算'!V69+1,0),IF('01_数值调参'!O36&lt;0,'03_全链计算'!W69+1,0),IF('01_数值调参'!O37&lt;0,'03_全链计算'!X69+1,0),IF('01_数值调参'!O38&lt;0,'03_全链计算'!Y69+1,0),IF('01_数值调参'!O39&lt;0,'03_全链计算'!Z69+1,0),IF('01_数值调参'!O40&lt;0,'03_全链计算'!AA69+1,0),IF('01_数值调参'!O41&lt;0,'03_全链计算'!AB69+1,0),IF('01_数值调参'!O42&lt;0,'03_全链计算'!AC69+1,0),IF('01_数值调参'!O43&lt;0,'03_全链计算'!AD69+1,0),IF('01_数值调参'!O44&lt;0,'03_全链计算'!AE69+1,0),IF('01_数值调参'!O45&lt;0,'03_全链计算'!AF69+1,0),IF('01_数值调参'!O46&lt;0,'03_全链计算'!AG69+1,0),IF('01_数值调参'!O47&lt;0,'03_全链计算'!AH69+1,0),IF('01_数值调参'!O48&lt;0,'03_全链计算'!AI69+1,0),IF('01_数值调参'!O49&lt;0,'03_全链计算'!AJ69+1,0),IF('01_数值调参'!O50&lt;0,'03_全链计算'!AK69+1,0),IF('01_数值调参'!O51&lt;0,'03_全链计算'!AL69+1,0),IF('01_数值调参'!O52&lt;0,'03_全链计算'!AM69+1,0))</x:f>
        <x:v>1</x:v>
      </x:c>
      <x:c r="P70" s="9" t="n">
        <x:f>MAX(IF('01_数值调参'!P18&lt;0,'03_全链计算'!E69+1,0),IF('01_数值调参'!P19&lt;0,'03_全链计算'!F69+1,0),IF('01_数值调参'!P20&lt;0,'03_全链计算'!G69+1,0),IF('01_数值调参'!P21&lt;0,'03_全链计算'!H69+1,0),IF('01_数值调参'!P22&lt;0,'03_全链计算'!I69+1,0),IF('01_数值调参'!P23&lt;0,'03_全链计算'!J69+1,0),IF('01_数值调参'!P24&lt;0,'03_全链计算'!K69+1,0),IF('01_数值调参'!P25&lt;0,'03_全链计算'!L69+1,0),IF('01_数值调参'!P26&lt;0,'03_全链计算'!M69+1,0),IF('01_数值调参'!P27&lt;0,'03_全链计算'!N69+1,0),IF('01_数值调参'!P28&lt;0,'03_全链计算'!O69+1,0),IF('01_数值调参'!P29&lt;0,'03_全链计算'!P69+1,0),IF('01_数值调参'!P30&lt;0,'03_全链计算'!Q69+1,0),IF('01_数值调参'!P31&lt;0,'03_全链计算'!R69+1,0),IF('01_数值调参'!P32&lt;0,'03_全链计算'!S69+1,0),IF('01_数值调参'!P33&lt;0,'03_全链计算'!T69+1,0),IF('01_数值调参'!P34&lt;0,'03_全链计算'!U69+1,0),IF('01_数值调参'!P35&lt;0,'03_全链计算'!V69+1,0),IF('01_数值调参'!P36&lt;0,'03_全链计算'!W69+1,0),IF('01_数值调参'!P37&lt;0,'03_全链计算'!X69+1,0),IF('01_数值调参'!P38&lt;0,'03_全链计算'!Y69+1,0),IF('01_数值调参'!P39&lt;0,'03_全链计算'!Z69+1,0),IF('01_数值调参'!P40&lt;0,'03_全链计算'!AA69+1,0),IF('01_数值调参'!P41&lt;0,'03_全链计算'!AB69+1,0),IF('01_数值调参'!P42&lt;0,'03_全链计算'!AC69+1,0),IF('01_数值调参'!P43&lt;0,'03_全链计算'!AD69+1,0),IF('01_数值调参'!P44&lt;0,'03_全链计算'!AE69+1,0),IF('01_数值调参'!P45&lt;0,'03_全链计算'!AF69+1,0),IF('01_数值调参'!P46&lt;0,'03_全链计算'!AG69+1,0),IF('01_数值调参'!P47&lt;0,'03_全链计算'!AH69+1,0),IF('01_数值调参'!P48&lt;0,'03_全链计算'!AI69+1,0),IF('01_数值调参'!P49&lt;0,'03_全链计算'!AJ69+1,0),IF('01_数值调参'!P50&lt;0,'03_全链计算'!AK69+1,0),IF('01_数值调参'!P51&lt;0,'03_全链计算'!AL69+1,0),IF('01_数值调参'!P52&lt;0,'03_全链计算'!AM69+1,0))</x:f>
        <x:v>1</x:v>
      </x:c>
      <x:c r="Q70" s="9" t="n">
        <x:f>MAX(IF('01_数值调参'!Q18&lt;0,'03_全链计算'!E69+1,0),IF('01_数值调参'!Q19&lt;0,'03_全链计算'!F69+1,0),IF('01_数值调参'!Q20&lt;0,'03_全链计算'!G69+1,0),IF('01_数值调参'!Q21&lt;0,'03_全链计算'!H69+1,0),IF('01_数值调参'!Q22&lt;0,'03_全链计算'!I69+1,0),IF('01_数值调参'!Q23&lt;0,'03_全链计算'!J69+1,0),IF('01_数值调参'!Q24&lt;0,'03_全链计算'!K69+1,0),IF('01_数值调参'!Q25&lt;0,'03_全链计算'!L69+1,0),IF('01_数值调参'!Q26&lt;0,'03_全链计算'!M69+1,0),IF('01_数值调参'!Q27&lt;0,'03_全链计算'!N69+1,0),IF('01_数值调参'!Q28&lt;0,'03_全链计算'!O69+1,0),IF('01_数值调参'!Q29&lt;0,'03_全链计算'!P69+1,0),IF('01_数值调参'!Q30&lt;0,'03_全链计算'!Q69+1,0),IF('01_数值调参'!Q31&lt;0,'03_全链计算'!R69+1,0),IF('01_数值调参'!Q32&lt;0,'03_全链计算'!S69+1,0),IF('01_数值调参'!Q33&lt;0,'03_全链计算'!T69+1,0),IF('01_数值调参'!Q34&lt;0,'03_全链计算'!U69+1,0),IF('01_数值调参'!Q35&lt;0,'03_全链计算'!V69+1,0),IF('01_数值调参'!Q36&lt;0,'03_全链计算'!W69+1,0),IF('01_数值调参'!Q37&lt;0,'03_全链计算'!X69+1,0),IF('01_数值调参'!Q38&lt;0,'03_全链计算'!Y69+1,0),IF('01_数值调参'!Q39&lt;0,'03_全链计算'!Z69+1,0),IF('01_数值调参'!Q40&lt;0,'03_全链计算'!AA69+1,0),IF('01_数值调参'!Q41&lt;0,'03_全链计算'!AB69+1,0),IF('01_数值调参'!Q42&lt;0,'03_全链计算'!AC69+1,0),IF('01_数值调参'!Q43&lt;0,'03_全链计算'!AD69+1,0),IF('01_数值调参'!Q44&lt;0,'03_全链计算'!AE69+1,0),IF('01_数值调参'!Q45&lt;0,'03_全链计算'!AF69+1,0),IF('01_数值调参'!Q46&lt;0,'03_全链计算'!AG69+1,0),IF('01_数值调参'!Q47&lt;0,'03_全链计算'!AH69+1,0),IF('01_数值调参'!Q48&lt;0,'03_全链计算'!AI69+1,0),IF('01_数值调参'!Q49&lt;0,'03_全链计算'!AJ69+1,0),IF('01_数值调参'!Q50&lt;0,'03_全链计算'!AK69+1,0),IF('01_数值调参'!Q51&lt;0,'03_全链计算'!AL69+1,0),IF('01_数值调参'!Q52&lt;0,'03_全链计算'!AM69+1,0))</x:f>
        <x:v>1</x:v>
      </x:c>
      <x:c r="R70" s="9" t="n">
        <x:f>MAX(IF('01_数值调参'!R18&lt;0,'03_全链计算'!E69+1,0),IF('01_数值调参'!R19&lt;0,'03_全链计算'!F69+1,0),IF('01_数值调参'!R20&lt;0,'03_全链计算'!G69+1,0),IF('01_数值调参'!R21&lt;0,'03_全链计算'!H69+1,0),IF('01_数值调参'!R22&lt;0,'03_全链计算'!I69+1,0),IF('01_数值调参'!R23&lt;0,'03_全链计算'!J69+1,0),IF('01_数值调参'!R24&lt;0,'03_全链计算'!K69+1,0),IF('01_数值调参'!R25&lt;0,'03_全链计算'!L69+1,0),IF('01_数值调参'!R26&lt;0,'03_全链计算'!M69+1,0),IF('01_数值调参'!R27&lt;0,'03_全链计算'!N69+1,0),IF('01_数值调参'!R28&lt;0,'03_全链计算'!O69+1,0),IF('01_数值调参'!R29&lt;0,'03_全链计算'!P69+1,0),IF('01_数值调参'!R30&lt;0,'03_全链计算'!Q69+1,0),IF('01_数值调参'!R31&lt;0,'03_全链计算'!R69+1,0),IF('01_数值调参'!R32&lt;0,'03_全链计算'!S69+1,0),IF('01_数值调参'!R33&lt;0,'03_全链计算'!T69+1,0),IF('01_数值调参'!R34&lt;0,'03_全链计算'!U69+1,0),IF('01_数值调参'!R35&lt;0,'03_全链计算'!V69+1,0),IF('01_数值调参'!R36&lt;0,'03_全链计算'!W69+1,0),IF('01_数值调参'!R37&lt;0,'03_全链计算'!X69+1,0),IF('01_数值调参'!R38&lt;0,'03_全链计算'!Y69+1,0),IF('01_数值调参'!R39&lt;0,'03_全链计算'!Z69+1,0),IF('01_数值调参'!R40&lt;0,'03_全链计算'!AA69+1,0),IF('01_数值调参'!R41&lt;0,'03_全链计算'!AB69+1,0),IF('01_数值调参'!R42&lt;0,'03_全链计算'!AC69+1,0),IF('01_数值调参'!R43&lt;0,'03_全链计算'!AD69+1,0),IF('01_数值调参'!R44&lt;0,'03_全链计算'!AE69+1,0),IF('01_数值调参'!R45&lt;0,'03_全链计算'!AF69+1,0),IF('01_数值调参'!R46&lt;0,'03_全链计算'!AG69+1,0),IF('01_数值调参'!R47&lt;0,'03_全链计算'!AH69+1,0),IF('01_数值调参'!R48&lt;0,'03_全链计算'!AI69+1,0),IF('01_数值调参'!R49&lt;0,'03_全链计算'!AJ69+1,0),IF('01_数值调参'!R50&lt;0,'03_全链计算'!AK69+1,0),IF('01_数值调参'!R51&lt;0,'03_全链计算'!AL69+1,0),IF('01_数值调参'!R52&lt;0,'03_全链计算'!AM69+1,0))</x:f>
        <x:v>1</x:v>
      </x:c>
      <x:c r="S70" s="9" t="n">
        <x:f>MAX(IF('01_数值调参'!S18&lt;0,'03_全链计算'!E69+1,0),IF('01_数值调参'!S19&lt;0,'03_全链计算'!F69+1,0),IF('01_数值调参'!S20&lt;0,'03_全链计算'!G69+1,0),IF('01_数值调参'!S21&lt;0,'03_全链计算'!H69+1,0),IF('01_数值调参'!S22&lt;0,'03_全链计算'!I69+1,0),IF('01_数值调参'!S23&lt;0,'03_全链计算'!J69+1,0),IF('01_数值调参'!S24&lt;0,'03_全链计算'!K69+1,0),IF('01_数值调参'!S25&lt;0,'03_全链计算'!L69+1,0),IF('01_数值调参'!S26&lt;0,'03_全链计算'!M69+1,0),IF('01_数值调参'!S27&lt;0,'03_全链计算'!N69+1,0),IF('01_数值调参'!S28&lt;0,'03_全链计算'!O69+1,0),IF('01_数值调参'!S29&lt;0,'03_全链计算'!P69+1,0),IF('01_数值调参'!S30&lt;0,'03_全链计算'!Q69+1,0),IF('01_数值调参'!S31&lt;0,'03_全链计算'!R69+1,0),IF('01_数值调参'!S32&lt;0,'03_全链计算'!S69+1,0),IF('01_数值调参'!S33&lt;0,'03_全链计算'!T69+1,0),IF('01_数值调参'!S34&lt;0,'03_全链计算'!U69+1,0),IF('01_数值调参'!S35&lt;0,'03_全链计算'!V69+1,0),IF('01_数值调参'!S36&lt;0,'03_全链计算'!W69+1,0),IF('01_数值调参'!S37&lt;0,'03_全链计算'!X69+1,0),IF('01_数值调参'!S38&lt;0,'03_全链计算'!Y69+1,0),IF('01_数值调参'!S39&lt;0,'03_全链计算'!Z69+1,0),IF('01_数值调参'!S40&lt;0,'03_全链计算'!AA69+1,0),IF('01_数值调参'!S41&lt;0,'03_全链计算'!AB69+1,0),IF('01_数值调参'!S42&lt;0,'03_全链计算'!AC69+1,0),IF('01_数值调参'!S43&lt;0,'03_全链计算'!AD69+1,0),IF('01_数值调参'!S44&lt;0,'03_全链计算'!AE69+1,0),IF('01_数值调参'!S45&lt;0,'03_全链计算'!AF69+1,0),IF('01_数值调参'!S46&lt;0,'03_全链计算'!AG69+1,0),IF('01_数值调参'!S47&lt;0,'03_全链计算'!AH69+1,0),IF('01_数值调参'!S48&lt;0,'03_全链计算'!AI69+1,0),IF('01_数值调参'!S49&lt;0,'03_全链计算'!AJ69+1,0),IF('01_数值调参'!S50&lt;0,'03_全链计算'!AK69+1,0),IF('01_数值调参'!S51&lt;0,'03_全链计算'!AL69+1,0),IF('01_数值调参'!S52&lt;0,'03_全链计算'!AM69+1,0))</x:f>
        <x:v>1</x:v>
      </x:c>
      <x:c r="T70" s="9" t="n">
        <x:f>MAX(IF('01_数值调参'!T18&lt;0,'03_全链计算'!E69+1,0),IF('01_数值调参'!T19&lt;0,'03_全链计算'!F69+1,0),IF('01_数值调参'!T20&lt;0,'03_全链计算'!G69+1,0),IF('01_数值调参'!T21&lt;0,'03_全链计算'!H69+1,0),IF('01_数值调参'!T22&lt;0,'03_全链计算'!I69+1,0),IF('01_数值调参'!T23&lt;0,'03_全链计算'!J69+1,0),IF('01_数值调参'!T24&lt;0,'03_全链计算'!K69+1,0),IF('01_数值调参'!T25&lt;0,'03_全链计算'!L69+1,0),IF('01_数值调参'!T26&lt;0,'03_全链计算'!M69+1,0),IF('01_数值调参'!T27&lt;0,'03_全链计算'!N69+1,0),IF('01_数值调参'!T28&lt;0,'03_全链计算'!O69+1,0),IF('01_数值调参'!T29&lt;0,'03_全链计算'!P69+1,0),IF('01_数值调参'!T30&lt;0,'03_全链计算'!Q69+1,0),IF('01_数值调参'!T31&lt;0,'03_全链计算'!R69+1,0),IF('01_数值调参'!T32&lt;0,'03_全链计算'!S69+1,0),IF('01_数值调参'!T33&lt;0,'03_全链计算'!T69+1,0),IF('01_数值调参'!T34&lt;0,'03_全链计算'!U69+1,0),IF('01_数值调参'!T35&lt;0,'03_全链计算'!V69+1,0),IF('01_数值调参'!T36&lt;0,'03_全链计算'!W69+1,0),IF('01_数值调参'!T37&lt;0,'03_全链计算'!X69+1,0),IF('01_数值调参'!T38&lt;0,'03_全链计算'!Y69+1,0),IF('01_数值调参'!T39&lt;0,'03_全链计算'!Z69+1,0),IF('01_数值调参'!T40&lt;0,'03_全链计算'!AA69+1,0),IF('01_数值调参'!T41&lt;0,'03_全链计算'!AB69+1,0),IF('01_数值调参'!T42&lt;0,'03_全链计算'!AC69+1,0),IF('01_数值调参'!T43&lt;0,'03_全链计算'!AD69+1,0),IF('01_数值调参'!T44&lt;0,'03_全链计算'!AE69+1,0),IF('01_数值调参'!T45&lt;0,'03_全链计算'!AF69+1,0),IF('01_数值调参'!T46&lt;0,'03_全链计算'!AG69+1,0),IF('01_数值调参'!T47&lt;0,'03_全链计算'!AH69+1,0),IF('01_数值调参'!T48&lt;0,'03_全链计算'!AI69+1,0),IF('01_数值调参'!T49&lt;0,'03_全链计算'!AJ69+1,0),IF('01_数值调参'!T50&lt;0,'03_全链计算'!AK69+1,0),IF('01_数值调参'!T51&lt;0,'03_全链计算'!AL69+1,0),IF('01_数值调参'!T52&lt;0,'03_全链计算'!AM69+1,0))</x:f>
        <x:v>1</x:v>
      </x:c>
      <x:c r="U70" s="9" t="n">
        <x:f>MAX(IF('01_数值调参'!U18&lt;0,'03_全链计算'!E69+1,0),IF('01_数值调参'!U19&lt;0,'03_全链计算'!F69+1,0),IF('01_数值调参'!U20&lt;0,'03_全链计算'!G69+1,0),IF('01_数值调参'!U21&lt;0,'03_全链计算'!H69+1,0),IF('01_数值调参'!U22&lt;0,'03_全链计算'!I69+1,0),IF('01_数值调参'!U23&lt;0,'03_全链计算'!J69+1,0),IF('01_数值调参'!U24&lt;0,'03_全链计算'!K69+1,0),IF('01_数值调参'!U25&lt;0,'03_全链计算'!L69+1,0),IF('01_数值调参'!U26&lt;0,'03_全链计算'!M69+1,0),IF('01_数值调参'!U27&lt;0,'03_全链计算'!N69+1,0),IF('01_数值调参'!U28&lt;0,'03_全链计算'!O69+1,0),IF('01_数值调参'!U29&lt;0,'03_全链计算'!P69+1,0),IF('01_数值调参'!U30&lt;0,'03_全链计算'!Q69+1,0),IF('01_数值调参'!U31&lt;0,'03_全链计算'!R69+1,0),IF('01_数值调参'!U32&lt;0,'03_全链计算'!S69+1,0),IF('01_数值调参'!U33&lt;0,'03_全链计算'!T69+1,0),IF('01_数值调参'!U34&lt;0,'03_全链计算'!U69+1,0),IF('01_数值调参'!U35&lt;0,'03_全链计算'!V69+1,0),IF('01_数值调参'!U36&lt;0,'03_全链计算'!W69+1,0),IF('01_数值调参'!U37&lt;0,'03_全链计算'!X69+1,0),IF('01_数值调参'!U38&lt;0,'03_全链计算'!Y69+1,0),IF('01_数值调参'!U39&lt;0,'03_全链计算'!Z69+1,0),IF('01_数值调参'!U40&lt;0,'03_全链计算'!AA69+1,0),IF('01_数值调参'!U41&lt;0,'03_全链计算'!AB69+1,0),IF('01_数值调参'!U42&lt;0,'03_全链计算'!AC69+1,0),IF('01_数值调参'!U43&lt;0,'03_全链计算'!AD69+1,0),IF('01_数值调参'!U44&lt;0,'03_全链计算'!AE69+1,0),IF('01_数值调参'!U45&lt;0,'03_全链计算'!AF69+1,0),IF('01_数值调参'!U46&lt;0,'03_全链计算'!AG69+1,0),IF('01_数值调参'!U47&lt;0,'03_全链计算'!AH69+1,0),IF('01_数值调参'!U48&lt;0,'03_全链计算'!AI69+1,0),IF('01_数值调参'!U49&lt;0,'03_全链计算'!AJ69+1,0),IF('01_数值调参'!U50&lt;0,'03_全链计算'!AK69+1,0),IF('01_数值调参'!U51&lt;0,'03_全链计算'!AL69+1,0),IF('01_数值调参'!U52&lt;0,'03_全链计算'!AM69+1,0))</x:f>
        <x:v>1</x:v>
      </x:c>
      <x:c r="V70" s="9" t="n">
        <x:f>MAX(IF('01_数值调参'!V18&lt;0,'03_全链计算'!E69+1,0),IF('01_数值调参'!V19&lt;0,'03_全链计算'!F69+1,0),IF('01_数值调参'!V20&lt;0,'03_全链计算'!G69+1,0),IF('01_数值调参'!V21&lt;0,'03_全链计算'!H69+1,0),IF('01_数值调参'!V22&lt;0,'03_全链计算'!I69+1,0),IF('01_数值调参'!V23&lt;0,'03_全链计算'!J69+1,0),IF('01_数值调参'!V24&lt;0,'03_全链计算'!K69+1,0),IF('01_数值调参'!V25&lt;0,'03_全链计算'!L69+1,0),IF('01_数值调参'!V26&lt;0,'03_全链计算'!M69+1,0),IF('01_数值调参'!V27&lt;0,'03_全链计算'!N69+1,0),IF('01_数值调参'!V28&lt;0,'03_全链计算'!O69+1,0),IF('01_数值调参'!V29&lt;0,'03_全链计算'!P69+1,0),IF('01_数值调参'!V30&lt;0,'03_全链计算'!Q69+1,0),IF('01_数值调参'!V31&lt;0,'03_全链计算'!R69+1,0),IF('01_数值调参'!V32&lt;0,'03_全链计算'!S69+1,0),IF('01_数值调参'!V33&lt;0,'03_全链计算'!T69+1,0),IF('01_数值调参'!V34&lt;0,'03_全链计算'!U69+1,0),IF('01_数值调参'!V35&lt;0,'03_全链计算'!V69+1,0),IF('01_数值调参'!V36&lt;0,'03_全链计算'!W69+1,0),IF('01_数值调参'!V37&lt;0,'03_全链计算'!X69+1,0),IF('01_数值调参'!V38&lt;0,'03_全链计算'!Y69+1,0),IF('01_数值调参'!V39&lt;0,'03_全链计算'!Z69+1,0),IF('01_数值调参'!V40&lt;0,'03_全链计算'!AA69+1,0),IF('01_数值调参'!V41&lt;0,'03_全链计算'!AB69+1,0),IF('01_数值调参'!V42&lt;0,'03_全链计算'!AC69+1,0),IF('01_数值调参'!V43&lt;0,'03_全链计算'!AD69+1,0),IF('01_数值调参'!V44&lt;0,'03_全链计算'!AE69+1,0),IF('01_数值调参'!V45&lt;0,'03_全链计算'!AF69+1,0),IF('01_数值调参'!V46&lt;0,'03_全链计算'!AG69+1,0),IF('01_数值调参'!V47&lt;0,'03_全链计算'!AH69+1,0),IF('01_数值调参'!V48&lt;0,'03_全链计算'!AI69+1,0),IF('01_数值调参'!V49&lt;0,'03_全链计算'!AJ69+1,0),IF('01_数值调参'!V50&lt;0,'03_全链计算'!AK69+1,0),IF('01_数值调参'!V51&lt;0,'03_全链计算'!AL69+1,0),IF('01_数值调参'!V52&lt;0,'03_全链计算'!AM69+1,0))</x:f>
        <x:v>1</x:v>
      </x:c>
      <x:c r="W70" s="9" t="n">
        <x:f>MAX(IF('01_数值调参'!W18&lt;0,'03_全链计算'!E69+1,0),IF('01_数值调参'!W19&lt;0,'03_全链计算'!F69+1,0),IF('01_数值调参'!W20&lt;0,'03_全链计算'!G69+1,0),IF('01_数值调参'!W21&lt;0,'03_全链计算'!H69+1,0),IF('01_数值调参'!W22&lt;0,'03_全链计算'!I69+1,0),IF('01_数值调参'!W23&lt;0,'03_全链计算'!J69+1,0),IF('01_数值调参'!W24&lt;0,'03_全链计算'!K69+1,0),IF('01_数值调参'!W25&lt;0,'03_全链计算'!L69+1,0),IF('01_数值调参'!W26&lt;0,'03_全链计算'!M69+1,0),IF('01_数值调参'!W27&lt;0,'03_全链计算'!N69+1,0),IF('01_数值调参'!W28&lt;0,'03_全链计算'!O69+1,0),IF('01_数值调参'!W29&lt;0,'03_全链计算'!P69+1,0),IF('01_数值调参'!W30&lt;0,'03_全链计算'!Q69+1,0),IF('01_数值调参'!W31&lt;0,'03_全链计算'!R69+1,0),IF('01_数值调参'!W32&lt;0,'03_全链计算'!S69+1,0),IF('01_数值调参'!W33&lt;0,'03_全链计算'!T69+1,0),IF('01_数值调参'!W34&lt;0,'03_全链计算'!U69+1,0),IF('01_数值调参'!W35&lt;0,'03_全链计算'!V69+1,0),IF('01_数值调参'!W36&lt;0,'03_全链计算'!W69+1,0),IF('01_数值调参'!W37&lt;0,'03_全链计算'!X69+1,0),IF('01_数值调参'!W38&lt;0,'03_全链计算'!Y69+1,0),IF('01_数值调参'!W39&lt;0,'03_全链计算'!Z69+1,0),IF('01_数值调参'!W40&lt;0,'03_全链计算'!AA69+1,0),IF('01_数值调参'!W41&lt;0,'03_全链计算'!AB69+1,0),IF('01_数值调参'!W42&lt;0,'03_全链计算'!AC69+1,0),IF('01_数值调参'!W43&lt;0,'03_全链计算'!AD69+1,0),IF('01_数值调参'!W44&lt;0,'03_全链计算'!AE69+1,0),IF('01_数值调参'!W45&lt;0,'03_全链计算'!AF69+1,0),IF('01_数值调参'!W46&lt;0,'03_全链计算'!AG69+1,0),IF('01_数值调参'!W47&lt;0,'03_全链计算'!AH69+1,0),IF('01_数值调参'!W48&lt;0,'03_全链计算'!AI69+1,0),IF('01_数值调参'!W49&lt;0,'03_全链计算'!AJ69+1,0),IF('01_数值调参'!W50&lt;0,'03_全链计算'!AK69+1,0),IF('01_数值调参'!W51&lt;0,'03_全链计算'!AL69+1,0),IF('01_数值调参'!W52&lt;0,'03_全链计算'!AM69+1,0))</x:f>
        <x:v>1</x:v>
      </x:c>
      <x:c r="X70" s="9" t="n">
        <x:f>MAX(IF('01_数值调参'!X18&lt;0,'03_全链计算'!E69+1,0),IF('01_数值调参'!X19&lt;0,'03_全链计算'!F69+1,0),IF('01_数值调参'!X20&lt;0,'03_全链计算'!G69+1,0),IF('01_数值调参'!X21&lt;0,'03_全链计算'!H69+1,0),IF('01_数值调参'!X22&lt;0,'03_全链计算'!I69+1,0),IF('01_数值调参'!X23&lt;0,'03_全链计算'!J69+1,0),IF('01_数值调参'!X24&lt;0,'03_全链计算'!K69+1,0),IF('01_数值调参'!X25&lt;0,'03_全链计算'!L69+1,0),IF('01_数值调参'!X26&lt;0,'03_全链计算'!M69+1,0),IF('01_数值调参'!X27&lt;0,'03_全链计算'!N69+1,0),IF('01_数值调参'!X28&lt;0,'03_全链计算'!O69+1,0),IF('01_数值调参'!X29&lt;0,'03_全链计算'!P69+1,0),IF('01_数值调参'!X30&lt;0,'03_全链计算'!Q69+1,0),IF('01_数值调参'!X31&lt;0,'03_全链计算'!R69+1,0),IF('01_数值调参'!X32&lt;0,'03_全链计算'!S69+1,0),IF('01_数值调参'!X33&lt;0,'03_全链计算'!T69+1,0),IF('01_数值调参'!X34&lt;0,'03_全链计算'!U69+1,0),IF('01_数值调参'!X35&lt;0,'03_全链计算'!V69+1,0),IF('01_数值调参'!X36&lt;0,'03_全链计算'!W69+1,0),IF('01_数值调参'!X37&lt;0,'03_全链计算'!X69+1,0),IF('01_数值调参'!X38&lt;0,'03_全链计算'!Y69+1,0),IF('01_数值调参'!X39&lt;0,'03_全链计算'!Z69+1,0),IF('01_数值调参'!X40&lt;0,'03_全链计算'!AA69+1,0),IF('01_数值调参'!X41&lt;0,'03_全链计算'!AB69+1,0),IF('01_数值调参'!X42&lt;0,'03_全链计算'!AC69+1,0),IF('01_数值调参'!X43&lt;0,'03_全链计算'!AD69+1,0),IF('01_数值调参'!X44&lt;0,'03_全链计算'!AE69+1,0),IF('01_数值调参'!X45&lt;0,'03_全链计算'!AF69+1,0),IF('01_数值调参'!X46&lt;0,'03_全链计算'!AG69+1,0),IF('01_数值调参'!X47&lt;0,'03_全链计算'!AH69+1,0),IF('01_数值调参'!X48&lt;0,'03_全链计算'!AI69+1,0),IF('01_数值调参'!X49&lt;0,'03_全链计算'!AJ69+1,0),IF('01_数值调参'!X50&lt;0,'03_全链计算'!AK69+1,0),IF('01_数值调参'!X51&lt;0,'03_全链计算'!AL69+1,0),IF('01_数值调参'!X52&lt;0,'03_全链计算'!AM69+1,0))</x:f>
        <x:v>2</x:v>
      </x:c>
      <x:c r="Y70" s="9" t="n">
        <x:f>MAX(IF('01_数值调参'!Y18&lt;0,'03_全链计算'!E69+1,0),IF('01_数值调参'!Y19&lt;0,'03_全链计算'!F69+1,0),IF('01_数值调参'!Y20&lt;0,'03_全链计算'!G69+1,0),IF('01_数值调参'!Y21&lt;0,'03_全链计算'!H69+1,0),IF('01_数值调参'!Y22&lt;0,'03_全链计算'!I69+1,0),IF('01_数值调参'!Y23&lt;0,'03_全链计算'!J69+1,0),IF('01_数值调参'!Y24&lt;0,'03_全链计算'!K69+1,0),IF('01_数值调参'!Y25&lt;0,'03_全链计算'!L69+1,0),IF('01_数值调参'!Y26&lt;0,'03_全链计算'!M69+1,0),IF('01_数值调参'!Y27&lt;0,'03_全链计算'!N69+1,0),IF('01_数值调参'!Y28&lt;0,'03_全链计算'!O69+1,0),IF('01_数值调参'!Y29&lt;0,'03_全链计算'!P69+1,0),IF('01_数值调参'!Y30&lt;0,'03_全链计算'!Q69+1,0),IF('01_数值调参'!Y31&lt;0,'03_全链计算'!R69+1,0),IF('01_数值调参'!Y32&lt;0,'03_全链计算'!S69+1,0),IF('01_数值调参'!Y33&lt;0,'03_全链计算'!T69+1,0),IF('01_数值调参'!Y34&lt;0,'03_全链计算'!U69+1,0),IF('01_数值调参'!Y35&lt;0,'03_全链计算'!V69+1,0),IF('01_数值调参'!Y36&lt;0,'03_全链计算'!W69+1,0),IF('01_数值调参'!Y37&lt;0,'03_全链计算'!X69+1,0),IF('01_数值调参'!Y38&lt;0,'03_全链计算'!Y69+1,0),IF('01_数值调参'!Y39&lt;0,'03_全链计算'!Z69+1,0),IF('01_数值调参'!Y40&lt;0,'03_全链计算'!AA69+1,0),IF('01_数值调参'!Y41&lt;0,'03_全链计算'!AB69+1,0),IF('01_数值调参'!Y42&lt;0,'03_全链计算'!AC69+1,0),IF('01_数值调参'!Y43&lt;0,'03_全链计算'!AD69+1,0),IF('01_数值调参'!Y44&lt;0,'03_全链计算'!AE69+1,0),IF('01_数值调参'!Y45&lt;0,'03_全链计算'!AF69+1,0),IF('01_数值调参'!Y46&lt;0,'03_全链计算'!AG69+1,0),IF('01_数值调参'!Y47&lt;0,'03_全链计算'!AH69+1,0),IF('01_数值调参'!Y48&lt;0,'03_全链计算'!AI69+1,0),IF('01_数值调参'!Y49&lt;0,'03_全链计算'!AJ69+1,0),IF('01_数值调参'!Y50&lt;0,'03_全链计算'!AK69+1,0),IF('01_数值调参'!Y51&lt;0,'03_全链计算'!AL69+1,0),IF('01_数值调参'!Y52&lt;0,'03_全链计算'!AM69+1,0))</x:f>
        <x:v>2</x:v>
      </x:c>
      <x:c r="Z70" s="9" t="n">
        <x:f>MAX(IF('01_数值调参'!Z18&lt;0,'03_全链计算'!E69+1,0),IF('01_数值调参'!Z19&lt;0,'03_全链计算'!F69+1,0),IF('01_数值调参'!Z20&lt;0,'03_全链计算'!G69+1,0),IF('01_数值调参'!Z21&lt;0,'03_全链计算'!H69+1,0),IF('01_数值调参'!Z22&lt;0,'03_全链计算'!I69+1,0),IF('01_数值调参'!Z23&lt;0,'03_全链计算'!J69+1,0),IF('01_数值调参'!Z24&lt;0,'03_全链计算'!K69+1,0),IF('01_数值调参'!Z25&lt;0,'03_全链计算'!L69+1,0),IF('01_数值调参'!Z26&lt;0,'03_全链计算'!M69+1,0),IF('01_数值调参'!Z27&lt;0,'03_全链计算'!N69+1,0),IF('01_数值调参'!Z28&lt;0,'03_全链计算'!O69+1,0),IF('01_数值调参'!Z29&lt;0,'03_全链计算'!P69+1,0),IF('01_数值调参'!Z30&lt;0,'03_全链计算'!Q69+1,0),IF('01_数值调参'!Z31&lt;0,'03_全链计算'!R69+1,0),IF('01_数值调参'!Z32&lt;0,'03_全链计算'!S69+1,0),IF('01_数值调参'!Z33&lt;0,'03_全链计算'!T69+1,0),IF('01_数值调参'!Z34&lt;0,'03_全链计算'!U69+1,0),IF('01_数值调参'!Z35&lt;0,'03_全链计算'!V69+1,0),IF('01_数值调参'!Z36&lt;0,'03_全链计算'!W69+1,0),IF('01_数值调参'!Z37&lt;0,'03_全链计算'!X69+1,0),IF('01_数值调参'!Z38&lt;0,'03_全链计算'!Y69+1,0),IF('01_数值调参'!Z39&lt;0,'03_全链计算'!Z69+1,0),IF('01_数值调参'!Z40&lt;0,'03_全链计算'!AA69+1,0),IF('01_数值调参'!Z41&lt;0,'03_全链计算'!AB69+1,0),IF('01_数值调参'!Z42&lt;0,'03_全链计算'!AC69+1,0),IF('01_数值调参'!Z43&lt;0,'03_全链计算'!AD69+1,0),IF('01_数值调参'!Z44&lt;0,'03_全链计算'!AE69+1,0),IF('01_数值调参'!Z45&lt;0,'03_全链计算'!AF69+1,0),IF('01_数值调参'!Z46&lt;0,'03_全链计算'!AG69+1,0),IF('01_数值调参'!Z47&lt;0,'03_全链计算'!AH69+1,0),IF('01_数值调参'!Z48&lt;0,'03_全链计算'!AI69+1,0),IF('01_数值调参'!Z49&lt;0,'03_全链计算'!AJ69+1,0),IF('01_数值调参'!Z50&lt;0,'03_全链计算'!AK69+1,0),IF('01_数值调参'!Z51&lt;0,'03_全链计算'!AL69+1,0),IF('01_数值调参'!Z52&lt;0,'03_全链计算'!AM69+1,0))</x:f>
        <x:v>2</x:v>
      </x:c>
      <x:c r="AA70" s="9" t="n">
        <x:f>MAX(IF('01_数值调参'!AA18&lt;0,'03_全链计算'!E69+1,0),IF('01_数值调参'!AA19&lt;0,'03_全链计算'!F69+1,0),IF('01_数值调参'!AA20&lt;0,'03_全链计算'!G69+1,0),IF('01_数值调参'!AA21&lt;0,'03_全链计算'!H69+1,0),IF('01_数值调参'!AA22&lt;0,'03_全链计算'!I69+1,0),IF('01_数值调参'!AA23&lt;0,'03_全链计算'!J69+1,0),IF('01_数值调参'!AA24&lt;0,'03_全链计算'!K69+1,0),IF('01_数值调参'!AA25&lt;0,'03_全链计算'!L69+1,0),IF('01_数值调参'!AA26&lt;0,'03_全链计算'!M69+1,0),IF('01_数值调参'!AA27&lt;0,'03_全链计算'!N69+1,0),IF('01_数值调参'!AA28&lt;0,'03_全链计算'!O69+1,0),IF('01_数值调参'!AA29&lt;0,'03_全链计算'!P69+1,0),IF('01_数值调参'!AA30&lt;0,'03_全链计算'!Q69+1,0),IF('01_数值调参'!AA31&lt;0,'03_全链计算'!R69+1,0),IF('01_数值调参'!AA32&lt;0,'03_全链计算'!S69+1,0),IF('01_数值调参'!AA33&lt;0,'03_全链计算'!T69+1,0),IF('01_数值调参'!AA34&lt;0,'03_全链计算'!U69+1,0),IF('01_数值调参'!AA35&lt;0,'03_全链计算'!V69+1,0),IF('01_数值调参'!AA36&lt;0,'03_全链计算'!W69+1,0),IF('01_数值调参'!AA37&lt;0,'03_全链计算'!X69+1,0),IF('01_数值调参'!AA38&lt;0,'03_全链计算'!Y69+1,0),IF('01_数值调参'!AA39&lt;0,'03_全链计算'!Z69+1,0),IF('01_数值调参'!AA40&lt;0,'03_全链计算'!AA69+1,0),IF('01_数值调参'!AA41&lt;0,'03_全链计算'!AB69+1,0),IF('01_数值调参'!AA42&lt;0,'03_全链计算'!AC69+1,0),IF('01_数值调参'!AA43&lt;0,'03_全链计算'!AD69+1,0),IF('01_数值调参'!AA44&lt;0,'03_全链计算'!AE69+1,0),IF('01_数值调参'!AA45&lt;0,'03_全链计算'!AF69+1,0),IF('01_数值调参'!AA46&lt;0,'03_全链计算'!AG69+1,0),IF('01_数值调参'!AA47&lt;0,'03_全链计算'!AH69+1,0),IF('01_数值调参'!AA48&lt;0,'03_全链计算'!AI69+1,0),IF('01_数值调参'!AA49&lt;0,'03_全链计算'!AJ69+1,0),IF('01_数值调参'!AA50&lt;0,'03_全链计算'!AK69+1,0),IF('01_数值调参'!AA51&lt;0,'03_全链计算'!AL69+1,0),IF('01_数值调参'!AA52&lt;0,'03_全链计算'!AM69+1,0))</x:f>
        <x:v>2</x:v>
      </x:c>
      <x:c r="AB70" s="9" t="n">
        <x:f>MAX(IF('01_数值调参'!AB18&lt;0,'03_全链计算'!E69+1,0),IF('01_数值调参'!AB19&lt;0,'03_全链计算'!F69+1,0),IF('01_数值调参'!AB20&lt;0,'03_全链计算'!G69+1,0),IF('01_数值调参'!AB21&lt;0,'03_全链计算'!H69+1,0),IF('01_数值调参'!AB22&lt;0,'03_全链计算'!I69+1,0),IF('01_数值调参'!AB23&lt;0,'03_全链计算'!J69+1,0),IF('01_数值调参'!AB24&lt;0,'03_全链计算'!K69+1,0),IF('01_数值调参'!AB25&lt;0,'03_全链计算'!L69+1,0),IF('01_数值调参'!AB26&lt;0,'03_全链计算'!M69+1,0),IF('01_数值调参'!AB27&lt;0,'03_全链计算'!N69+1,0),IF('01_数值调参'!AB28&lt;0,'03_全链计算'!O69+1,0),IF('01_数值调参'!AB29&lt;0,'03_全链计算'!P69+1,0),IF('01_数值调参'!AB30&lt;0,'03_全链计算'!Q69+1,0),IF('01_数值调参'!AB31&lt;0,'03_全链计算'!R69+1,0),IF('01_数值调参'!AB32&lt;0,'03_全链计算'!S69+1,0),IF('01_数值调参'!AB33&lt;0,'03_全链计算'!T69+1,0),IF('01_数值调参'!AB34&lt;0,'03_全链计算'!U69+1,0),IF('01_数值调参'!AB35&lt;0,'03_全链计算'!V69+1,0),IF('01_数值调参'!AB36&lt;0,'03_全链计算'!W69+1,0),IF('01_数值调参'!AB37&lt;0,'03_全链计算'!X69+1,0),IF('01_数值调参'!AB38&lt;0,'03_全链计算'!Y69+1,0),IF('01_数值调参'!AB39&lt;0,'03_全链计算'!Z69+1,0),IF('01_数值调参'!AB40&lt;0,'03_全链计算'!AA69+1,0),IF('01_数值调参'!AB41&lt;0,'03_全链计算'!AB69+1,0),IF('01_数值调参'!AB42&lt;0,'03_全链计算'!AC69+1,0),IF('01_数值调参'!AB43&lt;0,'03_全链计算'!AD69+1,0),IF('01_数值调参'!AB44&lt;0,'03_全链计算'!AE69+1,0),IF('01_数值调参'!AB45&lt;0,'03_全链计算'!AF69+1,0),IF('01_数值调参'!AB46&lt;0,'03_全链计算'!AG69+1,0),IF('01_数值调参'!AB47&lt;0,'03_全链计算'!AH69+1,0),IF('01_数值调参'!AB48&lt;0,'03_全链计算'!AI69+1,0),IF('01_数值调参'!AB49&lt;0,'03_全链计算'!AJ69+1,0),IF('01_数值调参'!AB50&lt;0,'03_全链计算'!AK69+1,0),IF('01_数值调参'!AB51&lt;0,'03_全链计算'!AL69+1,0),IF('01_数值调参'!AB52&lt;0,'03_全链计算'!AM69+1,0))</x:f>
        <x:v>2</x:v>
      </x:c>
      <x:c r="AC70" s="9" t="n">
        <x:f>MAX(IF('01_数值调参'!AC18&lt;0,'03_全链计算'!E69+1,0),IF('01_数值调参'!AC19&lt;0,'03_全链计算'!F69+1,0),IF('01_数值调参'!AC20&lt;0,'03_全链计算'!G69+1,0),IF('01_数值调参'!AC21&lt;0,'03_全链计算'!H69+1,0),IF('01_数值调参'!AC22&lt;0,'03_全链计算'!I69+1,0),IF('01_数值调参'!AC23&lt;0,'03_全链计算'!J69+1,0),IF('01_数值调参'!AC24&lt;0,'03_全链计算'!K69+1,0),IF('01_数值调参'!AC25&lt;0,'03_全链计算'!L69+1,0),IF('01_数值调参'!AC26&lt;0,'03_全链计算'!M69+1,0),IF('01_数值调参'!AC27&lt;0,'03_全链计算'!N69+1,0),IF('01_数值调参'!AC28&lt;0,'03_全链计算'!O69+1,0),IF('01_数值调参'!AC29&lt;0,'03_全链计算'!P69+1,0),IF('01_数值调参'!AC30&lt;0,'03_全链计算'!Q69+1,0),IF('01_数值调参'!AC31&lt;0,'03_全链计算'!R69+1,0),IF('01_数值调参'!AC32&lt;0,'03_全链计算'!S69+1,0),IF('01_数值调参'!AC33&lt;0,'03_全链计算'!T69+1,0),IF('01_数值调参'!AC34&lt;0,'03_全链计算'!U69+1,0),IF('01_数值调参'!AC35&lt;0,'03_全链计算'!V69+1,0),IF('01_数值调参'!AC36&lt;0,'03_全链计算'!W69+1,0),IF('01_数值调参'!AC37&lt;0,'03_全链计算'!X69+1,0),IF('01_数值调参'!AC38&lt;0,'03_全链计算'!Y69+1,0),IF('01_数值调参'!AC39&lt;0,'03_全链计算'!Z69+1,0),IF('01_数值调参'!AC40&lt;0,'03_全链计算'!AA69+1,0),IF('01_数值调参'!AC41&lt;0,'03_全链计算'!AB69+1,0),IF('01_数值调参'!AC42&lt;0,'03_全链计算'!AC69+1,0),IF('01_数值调参'!AC43&lt;0,'03_全链计算'!AD69+1,0),IF('01_数值调参'!AC44&lt;0,'03_全链计算'!AE69+1,0),IF('01_数值调参'!AC45&lt;0,'03_全链计算'!AF69+1,0),IF('01_数值调参'!AC46&lt;0,'03_全链计算'!AG69+1,0),IF('01_数值调参'!AC47&lt;0,'03_全链计算'!AH69+1,0),IF('01_数值调参'!AC48&lt;0,'03_全链计算'!AI69+1,0),IF('01_数值调参'!AC49&lt;0,'03_全链计算'!AJ69+1,0),IF('01_数值调参'!AC50&lt;0,'03_全链计算'!AK69+1,0),IF('01_数值调参'!AC51&lt;0,'03_全链计算'!AL69+1,0),IF('01_数值调参'!AC52&lt;0,'03_全链计算'!AM69+1,0))</x:f>
        <x:v>2</x:v>
      </x:c>
      <x:c r="AD70" s="9" t="n">
        <x:f>MAX(IF('01_数值调参'!AD18&lt;0,'03_全链计算'!E69+1,0),IF('01_数值调参'!AD19&lt;0,'03_全链计算'!F69+1,0),IF('01_数值调参'!AD20&lt;0,'03_全链计算'!G69+1,0),IF('01_数值调参'!AD21&lt;0,'03_全链计算'!H69+1,0),IF('01_数值调参'!AD22&lt;0,'03_全链计算'!I69+1,0),IF('01_数值调参'!AD23&lt;0,'03_全链计算'!J69+1,0),IF('01_数值调参'!AD24&lt;0,'03_全链计算'!K69+1,0),IF('01_数值调参'!AD25&lt;0,'03_全链计算'!L69+1,0),IF('01_数值调参'!AD26&lt;0,'03_全链计算'!M69+1,0),IF('01_数值调参'!AD27&lt;0,'03_全链计算'!N69+1,0),IF('01_数值调参'!AD28&lt;0,'03_全链计算'!O69+1,0),IF('01_数值调参'!AD29&lt;0,'03_全链计算'!P69+1,0),IF('01_数值调参'!AD30&lt;0,'03_全链计算'!Q69+1,0),IF('01_数值调参'!AD31&lt;0,'03_全链计算'!R69+1,0),IF('01_数值调参'!AD32&lt;0,'03_全链计算'!S69+1,0),IF('01_数值调参'!AD33&lt;0,'03_全链计算'!T69+1,0),IF('01_数值调参'!AD34&lt;0,'03_全链计算'!U69+1,0),IF('01_数值调参'!AD35&lt;0,'03_全链计算'!V69+1,0),IF('01_数值调参'!AD36&lt;0,'03_全链计算'!W69+1,0),IF('01_数值调参'!AD37&lt;0,'03_全链计算'!X69+1,0),IF('01_数值调参'!AD38&lt;0,'03_全链计算'!Y69+1,0),IF('01_数值调参'!AD39&lt;0,'03_全链计算'!Z69+1,0),IF('01_数值调参'!AD40&lt;0,'03_全链计算'!AA69+1,0),IF('01_数值调参'!AD41&lt;0,'03_全链计算'!AB69+1,0),IF('01_数值调参'!AD42&lt;0,'03_全链计算'!AC69+1,0),IF('01_数值调参'!AD43&lt;0,'03_全链计算'!AD69+1,0),IF('01_数值调参'!AD44&lt;0,'03_全链计算'!AE69+1,0),IF('01_数值调参'!AD45&lt;0,'03_全链计算'!AF69+1,0),IF('01_数值调参'!AD46&lt;0,'03_全链计算'!AG69+1,0),IF('01_数值调参'!AD47&lt;0,'03_全链计算'!AH69+1,0),IF('01_数值调参'!AD48&lt;0,'03_全链计算'!AI69+1,0),IF('01_数值调参'!AD49&lt;0,'03_全链计算'!AJ69+1,0),IF('01_数值调参'!AD50&lt;0,'03_全链计算'!AK69+1,0),IF('01_数值调参'!AD51&lt;0,'03_全链计算'!AL69+1,0),IF('01_数值调参'!AD52&lt;0,'03_全链计算'!AM69+1,0))</x:f>
        <x:v>1</x:v>
      </x:c>
      <x:c r="AE70" s="9" t="n">
        <x:f>MAX(IF('01_数值调参'!AE18&lt;0,'03_全链计算'!E69+1,0),IF('01_数值调参'!AE19&lt;0,'03_全链计算'!F69+1,0),IF('01_数值调参'!AE20&lt;0,'03_全链计算'!G69+1,0),IF('01_数值调参'!AE21&lt;0,'03_全链计算'!H69+1,0),IF('01_数值调参'!AE22&lt;0,'03_全链计算'!I69+1,0),IF('01_数值调参'!AE23&lt;0,'03_全链计算'!J69+1,0),IF('01_数值调参'!AE24&lt;0,'03_全链计算'!K69+1,0),IF('01_数值调参'!AE25&lt;0,'03_全链计算'!L69+1,0),IF('01_数值调参'!AE26&lt;0,'03_全链计算'!M69+1,0),IF('01_数值调参'!AE27&lt;0,'03_全链计算'!N69+1,0),IF('01_数值调参'!AE28&lt;0,'03_全链计算'!O69+1,0),IF('01_数值调参'!AE29&lt;0,'03_全链计算'!P69+1,0),IF('01_数值调参'!AE30&lt;0,'03_全链计算'!Q69+1,0),IF('01_数值调参'!AE31&lt;0,'03_全链计算'!R69+1,0),IF('01_数值调参'!AE32&lt;0,'03_全链计算'!S69+1,0),IF('01_数值调参'!AE33&lt;0,'03_全链计算'!T69+1,0),IF('01_数值调参'!AE34&lt;0,'03_全链计算'!U69+1,0),IF('01_数值调参'!AE35&lt;0,'03_全链计算'!V69+1,0),IF('01_数值调参'!AE36&lt;0,'03_全链计算'!W69+1,0),IF('01_数值调参'!AE37&lt;0,'03_全链计算'!X69+1,0),IF('01_数值调参'!AE38&lt;0,'03_全链计算'!Y69+1,0),IF('01_数值调参'!AE39&lt;0,'03_全链计算'!Z69+1,0),IF('01_数值调参'!AE40&lt;0,'03_全链计算'!AA69+1,0),IF('01_数值调参'!AE41&lt;0,'03_全链计算'!AB69+1,0),IF('01_数值调参'!AE42&lt;0,'03_全链计算'!AC69+1,0),IF('01_数值调参'!AE43&lt;0,'03_全链计算'!AD69+1,0),IF('01_数值调参'!AE44&lt;0,'03_全链计算'!AE69+1,0),IF('01_数值调参'!AE45&lt;0,'03_全链计算'!AF69+1,0),IF('01_数值调参'!AE46&lt;0,'03_全链计算'!AG69+1,0),IF('01_数值调参'!AE47&lt;0,'03_全链计算'!AH69+1,0),IF('01_数值调参'!AE48&lt;0,'03_全链计算'!AI69+1,0),IF('01_数值调参'!AE49&lt;0,'03_全链计算'!AJ69+1,0),IF('01_数值调参'!AE50&lt;0,'03_全链计算'!AK69+1,0),IF('01_数值调参'!AE51&lt;0,'03_全链计算'!AL69+1,0),IF('01_数值调参'!AE52&lt;0,'03_全链计算'!AM69+1,0))</x:f>
        <x:v>1</x:v>
      </x:c>
      <x:c r="AF70" s="9" t="n">
        <x:f>MAX(IF('01_数值调参'!AF18&lt;0,'03_全链计算'!E69+1,0),IF('01_数值调参'!AF19&lt;0,'03_全链计算'!F69+1,0),IF('01_数值调参'!AF20&lt;0,'03_全链计算'!G69+1,0),IF('01_数值调参'!AF21&lt;0,'03_全链计算'!H69+1,0),IF('01_数值调参'!AF22&lt;0,'03_全链计算'!I69+1,0),IF('01_数值调参'!AF23&lt;0,'03_全链计算'!J69+1,0),IF('01_数值调参'!AF24&lt;0,'03_全链计算'!K69+1,0),IF('01_数值调参'!AF25&lt;0,'03_全链计算'!L69+1,0),IF('01_数值调参'!AF26&lt;0,'03_全链计算'!M69+1,0),IF('01_数值调参'!AF27&lt;0,'03_全链计算'!N69+1,0),IF('01_数值调参'!AF28&lt;0,'03_全链计算'!O69+1,0),IF('01_数值调参'!AF29&lt;0,'03_全链计算'!P69+1,0),IF('01_数值调参'!AF30&lt;0,'03_全链计算'!Q69+1,0),IF('01_数值调参'!AF31&lt;0,'03_全链计算'!R69+1,0),IF('01_数值调参'!AF32&lt;0,'03_全链计算'!S69+1,0),IF('01_数值调参'!AF33&lt;0,'03_全链计算'!T69+1,0),IF('01_数值调参'!AF34&lt;0,'03_全链计算'!U69+1,0),IF('01_数值调参'!AF35&lt;0,'03_全链计算'!V69+1,0),IF('01_数值调参'!AF36&lt;0,'03_全链计算'!W69+1,0),IF('01_数值调参'!AF37&lt;0,'03_全链计算'!X69+1,0),IF('01_数值调参'!AF38&lt;0,'03_全链计算'!Y69+1,0),IF('01_数值调参'!AF39&lt;0,'03_全链计算'!Z69+1,0),IF('01_数值调参'!AF40&lt;0,'03_全链计算'!AA69+1,0),IF('01_数值调参'!AF41&lt;0,'03_全链计算'!AB69+1,0),IF('01_数值调参'!AF42&lt;0,'03_全链计算'!AC69+1,0),IF('01_数值调参'!AF43&lt;0,'03_全链计算'!AD69+1,0),IF('01_数值调参'!AF44&lt;0,'03_全链计算'!AE69+1,0),IF('01_数值调参'!AF45&lt;0,'03_全链计算'!AF69+1,0),IF('01_数值调参'!AF46&lt;0,'03_全链计算'!AG69+1,0),IF('01_数值调参'!AF47&lt;0,'03_全链计算'!AH69+1,0),IF('01_数值调参'!AF48&lt;0,'03_全链计算'!AI69+1,0),IF('01_数值调参'!AF49&lt;0,'03_全链计算'!AJ69+1,0),IF('01_数值调参'!AF50&lt;0,'03_全链计算'!AK69+1,0),IF('01_数值调参'!AF51&lt;0,'03_全链计算'!AL69+1,0),IF('01_数值调参'!AF52&lt;0,'03_全链计算'!AM69+1,0))</x:f>
        <x:v>1</x:v>
      </x:c>
      <x:c r="AG70" s="9" t="n">
        <x:f>MAX(IF('01_数值调参'!AG18&lt;0,'03_全链计算'!E69+1,0),IF('01_数值调参'!AG19&lt;0,'03_全链计算'!F69+1,0),IF('01_数值调参'!AG20&lt;0,'03_全链计算'!G69+1,0),IF('01_数值调参'!AG21&lt;0,'03_全链计算'!H69+1,0),IF('01_数值调参'!AG22&lt;0,'03_全链计算'!I69+1,0),IF('01_数值调参'!AG23&lt;0,'03_全链计算'!J69+1,0),IF('01_数值调参'!AG24&lt;0,'03_全链计算'!K69+1,0),IF('01_数值调参'!AG25&lt;0,'03_全链计算'!L69+1,0),IF('01_数值调参'!AG26&lt;0,'03_全链计算'!M69+1,0),IF('01_数值调参'!AG27&lt;0,'03_全链计算'!N69+1,0),IF('01_数值调参'!AG28&lt;0,'03_全链计算'!O69+1,0),IF('01_数值调参'!AG29&lt;0,'03_全链计算'!P69+1,0),IF('01_数值调参'!AG30&lt;0,'03_全链计算'!Q69+1,0),IF('01_数值调参'!AG31&lt;0,'03_全链计算'!R69+1,0),IF('01_数值调参'!AG32&lt;0,'03_全链计算'!S69+1,0),IF('01_数值调参'!AG33&lt;0,'03_全链计算'!T69+1,0),IF('01_数值调参'!AG34&lt;0,'03_全链计算'!U69+1,0),IF('01_数值调参'!AG35&lt;0,'03_全链计算'!V69+1,0),IF('01_数值调参'!AG36&lt;0,'03_全链计算'!W69+1,0),IF('01_数值调参'!AG37&lt;0,'03_全链计算'!X69+1,0),IF('01_数值调参'!AG38&lt;0,'03_全链计算'!Y69+1,0),IF('01_数值调参'!AG39&lt;0,'03_全链计算'!Z69+1,0),IF('01_数值调参'!AG40&lt;0,'03_全链计算'!AA69+1,0),IF('01_数值调参'!AG41&lt;0,'03_全链计算'!AB69+1,0),IF('01_数值调参'!AG42&lt;0,'03_全链计算'!AC69+1,0),IF('01_数值调参'!AG43&lt;0,'03_全链计算'!AD69+1,0),IF('01_数值调参'!AG44&lt;0,'03_全链计算'!AE69+1,0),IF('01_数值调参'!AG45&lt;0,'03_全链计算'!AF69+1,0),IF('01_数值调参'!AG46&lt;0,'03_全链计算'!AG69+1,0),IF('01_数值调参'!AG47&lt;0,'03_全链计算'!AH69+1,0),IF('01_数值调参'!AG48&lt;0,'03_全链计算'!AI69+1,0),IF('01_数值调参'!AG49&lt;0,'03_全链计算'!AJ69+1,0),IF('01_数值调参'!AG50&lt;0,'03_全链计算'!AK69+1,0),IF('01_数值调参'!AG51&lt;0,'03_全链计算'!AL69+1,0),IF('01_数值调参'!AG52&lt;0,'03_全链计算'!AM69+1,0))</x:f>
        <x:v>1</x:v>
      </x:c>
      <x:c r="AH70" s="9" t="n">
        <x:f>MAX(IF('01_数值调参'!AH18&lt;0,'03_全链计算'!E69+1,0),IF('01_数值调参'!AH19&lt;0,'03_全链计算'!F69+1,0),IF('01_数值调参'!AH20&lt;0,'03_全链计算'!G69+1,0),IF('01_数值调参'!AH21&lt;0,'03_全链计算'!H69+1,0),IF('01_数值调参'!AH22&lt;0,'03_全链计算'!I69+1,0),IF('01_数值调参'!AH23&lt;0,'03_全链计算'!J69+1,0),IF('01_数值调参'!AH24&lt;0,'03_全链计算'!K69+1,0),IF('01_数值调参'!AH25&lt;0,'03_全链计算'!L69+1,0),IF('01_数值调参'!AH26&lt;0,'03_全链计算'!M69+1,0),IF('01_数值调参'!AH27&lt;0,'03_全链计算'!N69+1,0),IF('01_数值调参'!AH28&lt;0,'03_全链计算'!O69+1,0),IF('01_数值调参'!AH29&lt;0,'03_全链计算'!P69+1,0),IF('01_数值调参'!AH30&lt;0,'03_全链计算'!Q69+1,0),IF('01_数值调参'!AH31&lt;0,'03_全链计算'!R69+1,0),IF('01_数值调参'!AH32&lt;0,'03_全链计算'!S69+1,0),IF('01_数值调参'!AH33&lt;0,'03_全链计算'!T69+1,0),IF('01_数值调参'!AH34&lt;0,'03_全链计算'!U69+1,0),IF('01_数值调参'!AH35&lt;0,'03_全链计算'!V69+1,0),IF('01_数值调参'!AH36&lt;0,'03_全链计算'!W69+1,0),IF('01_数值调参'!AH37&lt;0,'03_全链计算'!X69+1,0),IF('01_数值调参'!AH38&lt;0,'03_全链计算'!Y69+1,0),IF('01_数值调参'!AH39&lt;0,'03_全链计算'!Z69+1,0),IF('01_数值调参'!AH40&lt;0,'03_全链计算'!AA69+1,0),IF('01_数值调参'!AH41&lt;0,'03_全链计算'!AB69+1,0),IF('01_数值调参'!AH42&lt;0,'03_全链计算'!AC69+1,0),IF('01_数值调参'!AH43&lt;0,'03_全链计算'!AD69+1,0),IF('01_数值调参'!AH44&lt;0,'03_全链计算'!AE69+1,0),IF('01_数值调参'!AH45&lt;0,'03_全链计算'!AF69+1,0),IF('01_数值调参'!AH46&lt;0,'03_全链计算'!AG69+1,0),IF('01_数值调参'!AH47&lt;0,'03_全链计算'!AH69+1,0),IF('01_数值调参'!AH48&lt;0,'03_全链计算'!AI69+1,0),IF('01_数值调参'!AH49&lt;0,'03_全链计算'!AJ69+1,0),IF('01_数值调参'!AH50&lt;0,'03_全链计算'!AK69+1,0),IF('01_数值调参'!AH51&lt;0,'03_全链计算'!AL69+1,0),IF('01_数值调参'!AH52&lt;0,'03_全链计算'!AM69+1,0))</x:f>
        <x:v>2</x:v>
      </x:c>
      <x:c r="AI70" s="9" t="n">
        <x:f>MAX(IF('01_数值调参'!AI18&lt;0,'03_全链计算'!E69+1,0),IF('01_数值调参'!AI19&lt;0,'03_全链计算'!F69+1,0),IF('01_数值调参'!AI20&lt;0,'03_全链计算'!G69+1,0),IF('01_数值调参'!AI21&lt;0,'03_全链计算'!H69+1,0),IF('01_数值调参'!AI22&lt;0,'03_全链计算'!I69+1,0),IF('01_数值调参'!AI23&lt;0,'03_全链计算'!J69+1,0),IF('01_数值调参'!AI24&lt;0,'03_全链计算'!K69+1,0),IF('01_数值调参'!AI25&lt;0,'03_全链计算'!L69+1,0),IF('01_数值调参'!AI26&lt;0,'03_全链计算'!M69+1,0),IF('01_数值调参'!AI27&lt;0,'03_全链计算'!N69+1,0),IF('01_数值调参'!AI28&lt;0,'03_全链计算'!O69+1,0),IF('01_数值调参'!AI29&lt;0,'03_全链计算'!P69+1,0),IF('01_数值调参'!AI30&lt;0,'03_全链计算'!Q69+1,0),IF('01_数值调参'!AI31&lt;0,'03_全链计算'!R69+1,0),IF('01_数值调参'!AI32&lt;0,'03_全链计算'!S69+1,0),IF('01_数值调参'!AI33&lt;0,'03_全链计算'!T69+1,0),IF('01_数值调参'!AI34&lt;0,'03_全链计算'!U69+1,0),IF('01_数值调参'!AI35&lt;0,'03_全链计算'!V69+1,0),IF('01_数值调参'!AI36&lt;0,'03_全链计算'!W69+1,0),IF('01_数值调参'!AI37&lt;0,'03_全链计算'!X69+1,0),IF('01_数值调参'!AI38&lt;0,'03_全链计算'!Y69+1,0),IF('01_数值调参'!AI39&lt;0,'03_全链计算'!Z69+1,0),IF('01_数值调参'!AI40&lt;0,'03_全链计算'!AA69+1,0),IF('01_数值调参'!AI41&lt;0,'03_全链计算'!AB69+1,0),IF('01_数值调参'!AI42&lt;0,'03_全链计算'!AC69+1,0),IF('01_数值调参'!AI43&lt;0,'03_全链计算'!AD69+1,0),IF('01_数值调参'!AI44&lt;0,'03_全链计算'!AE69+1,0),IF('01_数值调参'!AI45&lt;0,'03_全链计算'!AF69+1,0),IF('01_数值调参'!AI46&lt;0,'03_全链计算'!AG69+1,0),IF('01_数值调参'!AI47&lt;0,'03_全链计算'!AH69+1,0),IF('01_数值调参'!AI48&lt;0,'03_全链计算'!AI69+1,0),IF('01_数值调参'!AI49&lt;0,'03_全链计算'!AJ69+1,0),IF('01_数值调参'!AI50&lt;0,'03_全链计算'!AK69+1,0),IF('01_数值调参'!AI51&lt;0,'03_全链计算'!AL69+1,0),IF('01_数值调参'!AI52&lt;0,'03_全链计算'!AM69+1,0))</x:f>
        <x:v>2</x:v>
      </x:c>
      <x:c r="AJ70" s="9" t="n">
        <x:f>MAX(IF('01_数值调参'!AJ18&lt;0,'03_全链计算'!E69+1,0),IF('01_数值调参'!AJ19&lt;0,'03_全链计算'!F69+1,0),IF('01_数值调参'!AJ20&lt;0,'03_全链计算'!G69+1,0),IF('01_数值调参'!AJ21&lt;0,'03_全链计算'!H69+1,0),IF('01_数值调参'!AJ22&lt;0,'03_全链计算'!I69+1,0),IF('01_数值调参'!AJ23&lt;0,'03_全链计算'!J69+1,0),IF('01_数值调参'!AJ24&lt;0,'03_全链计算'!K69+1,0),IF('01_数值调参'!AJ25&lt;0,'03_全链计算'!L69+1,0),IF('01_数值调参'!AJ26&lt;0,'03_全链计算'!M69+1,0),IF('01_数值调参'!AJ27&lt;0,'03_全链计算'!N69+1,0),IF('01_数值调参'!AJ28&lt;0,'03_全链计算'!O69+1,0),IF('01_数值调参'!AJ29&lt;0,'03_全链计算'!P69+1,0),IF('01_数值调参'!AJ30&lt;0,'03_全链计算'!Q69+1,0),IF('01_数值调参'!AJ31&lt;0,'03_全链计算'!R69+1,0),IF('01_数值调参'!AJ32&lt;0,'03_全链计算'!S69+1,0),IF('01_数值调参'!AJ33&lt;0,'03_全链计算'!T69+1,0),IF('01_数值调参'!AJ34&lt;0,'03_全链计算'!U69+1,0),IF('01_数值调参'!AJ35&lt;0,'03_全链计算'!V69+1,0),IF('01_数值调参'!AJ36&lt;0,'03_全链计算'!W69+1,0),IF('01_数值调参'!AJ37&lt;0,'03_全链计算'!X69+1,0),IF('01_数值调参'!AJ38&lt;0,'03_全链计算'!Y69+1,0),IF('01_数值调参'!AJ39&lt;0,'03_全链计算'!Z69+1,0),IF('01_数值调参'!AJ40&lt;0,'03_全链计算'!AA69+1,0),IF('01_数值调参'!AJ41&lt;0,'03_全链计算'!AB69+1,0),IF('01_数值调参'!AJ42&lt;0,'03_全链计算'!AC69+1,0),IF('01_数值调参'!AJ43&lt;0,'03_全链计算'!AD69+1,0),IF('01_数值调参'!AJ44&lt;0,'03_全链计算'!AE69+1,0),IF('01_数值调参'!AJ45&lt;0,'03_全链计算'!AF69+1,0),IF('01_数值调参'!AJ46&lt;0,'03_全链计算'!AG69+1,0),IF('01_数值调参'!AJ47&lt;0,'03_全链计算'!AH69+1,0),IF('01_数值调参'!AJ48&lt;0,'03_全链计算'!AI69+1,0),IF('01_数值调参'!AJ49&lt;0,'03_全链计算'!AJ69+1,0),IF('01_数值调参'!AJ50&lt;0,'03_全链计算'!AK69+1,0),IF('01_数值调参'!AJ51&lt;0,'03_全链计算'!AL69+1,0),IF('01_数值调参'!AJ52&lt;0,'03_全链计算'!AM69+1,0))</x:f>
        <x:v>2</x:v>
      </x:c>
      <x:c r="AK70" s="9" t="n">
        <x:f>MAX(IF('01_数值调参'!AK18&lt;0,'03_全链计算'!E69+1,0),IF('01_数值调参'!AK19&lt;0,'03_全链计算'!F69+1,0),IF('01_数值调参'!AK20&lt;0,'03_全链计算'!G69+1,0),IF('01_数值调参'!AK21&lt;0,'03_全链计算'!H69+1,0),IF('01_数值调参'!AK22&lt;0,'03_全链计算'!I69+1,0),IF('01_数值调参'!AK23&lt;0,'03_全链计算'!J69+1,0),IF('01_数值调参'!AK24&lt;0,'03_全链计算'!K69+1,0),IF('01_数值调参'!AK25&lt;0,'03_全链计算'!L69+1,0),IF('01_数值调参'!AK26&lt;0,'03_全链计算'!M69+1,0),IF('01_数值调参'!AK27&lt;0,'03_全链计算'!N69+1,0),IF('01_数值调参'!AK28&lt;0,'03_全链计算'!O69+1,0),IF('01_数值调参'!AK29&lt;0,'03_全链计算'!P69+1,0),IF('01_数值调参'!AK30&lt;0,'03_全链计算'!Q69+1,0),IF('01_数值调参'!AK31&lt;0,'03_全链计算'!R69+1,0),IF('01_数值调参'!AK32&lt;0,'03_全链计算'!S69+1,0),IF('01_数值调参'!AK33&lt;0,'03_全链计算'!T69+1,0),IF('01_数值调参'!AK34&lt;0,'03_全链计算'!U69+1,0),IF('01_数值调参'!AK35&lt;0,'03_全链计算'!V69+1,0),IF('01_数值调参'!AK36&lt;0,'03_全链计算'!W69+1,0),IF('01_数值调参'!AK37&lt;0,'03_全链计算'!X69+1,0),IF('01_数值调参'!AK38&lt;0,'03_全链计算'!Y69+1,0),IF('01_数值调参'!AK39&lt;0,'03_全链计算'!Z69+1,0),IF('01_数值调参'!AK40&lt;0,'03_全链计算'!AA69+1,0),IF('01_数值调参'!AK41&lt;0,'03_全链计算'!AB69+1,0),IF('01_数值调参'!AK42&lt;0,'03_全链计算'!AC69+1,0),IF('01_数值调参'!AK43&lt;0,'03_全链计算'!AD69+1,0),IF('01_数值调参'!AK44&lt;0,'03_全链计算'!AE69+1,0),IF('01_数值调参'!AK45&lt;0,'03_全链计算'!AF69+1,0),IF('01_数值调参'!AK46&lt;0,'03_全链计算'!AG69+1,0),IF('01_数值调参'!AK47&lt;0,'03_全链计算'!AH69+1,0),IF('01_数值调参'!AK48&lt;0,'03_全链计算'!AI69+1,0),IF('01_数值调参'!AK49&lt;0,'03_全链计算'!AJ69+1,0),IF('01_数值调参'!AK50&lt;0,'03_全链计算'!AK69+1,0),IF('01_数值调参'!AK51&lt;0,'03_全链计算'!AL69+1,0),IF('01_数值调参'!AK52&lt;0,'03_全链计算'!AM69+1,0))</x:f>
        <x:v>2</x:v>
      </x:c>
      <x:c r="AL70" s="9" t="n">
        <x:f>MAX(IF('01_数值调参'!AL18&lt;0,'03_全链计算'!E69+1,0),IF('01_数值调参'!AL19&lt;0,'03_全链计算'!F69+1,0),IF('01_数值调参'!AL20&lt;0,'03_全链计算'!G69+1,0),IF('01_数值调参'!AL21&lt;0,'03_全链计算'!H69+1,0),IF('01_数值调参'!AL22&lt;0,'03_全链计算'!I69+1,0),IF('01_数值调参'!AL23&lt;0,'03_全链计算'!J69+1,0),IF('01_数值调参'!AL24&lt;0,'03_全链计算'!K69+1,0),IF('01_数值调参'!AL25&lt;0,'03_全链计算'!L69+1,0),IF('01_数值调参'!AL26&lt;0,'03_全链计算'!M69+1,0),IF('01_数值调参'!AL27&lt;0,'03_全链计算'!N69+1,0),IF('01_数值调参'!AL28&lt;0,'03_全链计算'!O69+1,0),IF('01_数值调参'!AL29&lt;0,'03_全链计算'!P69+1,0),IF('01_数值调参'!AL30&lt;0,'03_全链计算'!Q69+1,0),IF('01_数值调参'!AL31&lt;0,'03_全链计算'!R69+1,0),IF('01_数值调参'!AL32&lt;0,'03_全链计算'!S69+1,0),IF('01_数值调参'!AL33&lt;0,'03_全链计算'!T69+1,0),IF('01_数值调参'!AL34&lt;0,'03_全链计算'!U69+1,0),IF('01_数值调参'!AL35&lt;0,'03_全链计算'!V69+1,0),IF('01_数值调参'!AL36&lt;0,'03_全链计算'!W69+1,0),IF('01_数值调参'!AL37&lt;0,'03_全链计算'!X69+1,0),IF('01_数值调参'!AL38&lt;0,'03_全链计算'!Y69+1,0),IF('01_数值调参'!AL39&lt;0,'03_全链计算'!Z69+1,0),IF('01_数值调参'!AL40&lt;0,'03_全链计算'!AA69+1,0),IF('01_数值调参'!AL41&lt;0,'03_全链计算'!AB69+1,0),IF('01_数值调参'!AL42&lt;0,'03_全链计算'!AC69+1,0),IF('01_数值调参'!AL43&lt;0,'03_全链计算'!AD69+1,0),IF('01_数值调参'!AL44&lt;0,'03_全链计算'!AE69+1,0),IF('01_数值调参'!AL45&lt;0,'03_全链计算'!AF69+1,0),IF('01_数值调参'!AL46&lt;0,'03_全链计算'!AG69+1,0),IF('01_数值调参'!AL47&lt;0,'03_全链计算'!AH69+1,0),IF('01_数值调参'!AL48&lt;0,'03_全链计算'!AI69+1,0),IF('01_数值调参'!AL49&lt;0,'03_全链计算'!AJ69+1,0),IF('01_数值调参'!AL50&lt;0,'03_全链计算'!AK69+1,0),IF('01_数值调参'!AL51&lt;0,'03_全链计算'!AL69+1,0),IF('01_数值调参'!AL52&lt;0,'03_全链计算'!AM69+1,0))</x:f>
        <x:v>3</x:v>
      </x:c>
      <x:c r="AM70" s="9" t="n">
        <x:f>MAX(IF('01_数值调参'!AM18&lt;0,'03_全链计算'!E69+1,0),IF('01_数值调参'!AM19&lt;0,'03_全链计算'!F69+1,0),IF('01_数值调参'!AM20&lt;0,'03_全链计算'!G69+1,0),IF('01_数值调参'!AM21&lt;0,'03_全链计算'!H69+1,0),IF('01_数值调参'!AM22&lt;0,'03_全链计算'!I69+1,0),IF('01_数值调参'!AM23&lt;0,'03_全链计算'!J69+1,0),IF('01_数值调参'!AM24&lt;0,'03_全链计算'!K69+1,0),IF('01_数值调参'!AM25&lt;0,'03_全链计算'!L69+1,0),IF('01_数值调参'!AM26&lt;0,'03_全链计算'!M69+1,0),IF('01_数值调参'!AM27&lt;0,'03_全链计算'!N69+1,0),IF('01_数值调参'!AM28&lt;0,'03_全链计算'!O69+1,0),IF('01_数值调参'!AM29&lt;0,'03_全链计算'!P69+1,0),IF('01_数值调参'!AM30&lt;0,'03_全链计算'!Q69+1,0),IF('01_数值调参'!AM31&lt;0,'03_全链计算'!R69+1,0),IF('01_数值调参'!AM32&lt;0,'03_全链计算'!S69+1,0),IF('01_数值调参'!AM33&lt;0,'03_全链计算'!T69+1,0),IF('01_数值调参'!AM34&lt;0,'03_全链计算'!U69+1,0),IF('01_数值调参'!AM35&lt;0,'03_全链计算'!V69+1,0),IF('01_数值调参'!AM36&lt;0,'03_全链计算'!W69+1,0),IF('01_数值调参'!AM37&lt;0,'03_全链计算'!X69+1,0),IF('01_数值调参'!AM38&lt;0,'03_全链计算'!Y69+1,0),IF('01_数值调参'!AM39&lt;0,'03_全链计算'!Z69+1,0),IF('01_数值调参'!AM40&lt;0,'03_全链计算'!AA69+1,0),IF('01_数值调参'!AM41&lt;0,'03_全链计算'!AB69+1,0),IF('01_数值调参'!AM42&lt;0,'03_全链计算'!AC69+1,0),IF('01_数值调参'!AM43&lt;0,'03_全链计算'!AD69+1,0),IF('01_数值调参'!AM44&lt;0,'03_全链计算'!AE69+1,0),IF('01_数值调参'!AM45&lt;0,'03_全链计算'!AF69+1,0),IF('01_数值调参'!AM46&lt;0,'03_全链计算'!AG69+1,0),IF('01_数值调参'!AM47&lt;0,'03_全链计算'!AH69+1,0),IF('01_数值调参'!AM48&lt;0,'03_全链计算'!AI69+1,0),IF('01_数值调参'!AM49&lt;0,'03_全链计算'!AJ69+1,0),IF('01_数值调参'!AM50&lt;0,'03_全链计算'!AK69+1,0),IF('01_数值调参'!AM51&lt;0,'03_全链计算'!AL69+1,0),IF('01_数值调参'!AM52&lt;0,'03_全链计算'!AM69+1,0))</x:f>
        <x:v>3</x:v>
      </x:c>
    </x:row>
    <x:row r="71" ht="22" customHeight="1">
      <x:c r="A71" s="9" t="n">
        <x:v>26</x:v>
      </x:c>
      <x:c r="B71" s="9"/>
      <x:c r="C71" s="9"/>
      <x:c r="D71" s="9"/>
      <x:c r="E71" s="9" t="n">
        <x:f>MAX(IF('01_数值调参'!E18&lt;0,'03_全链计算'!E70+1,0),IF('01_数值调参'!E19&lt;0,'03_全链计算'!F70+1,0),IF('01_数值调参'!E20&lt;0,'03_全链计算'!G70+1,0),IF('01_数值调参'!E21&lt;0,'03_全链计算'!H70+1,0),IF('01_数值调参'!E22&lt;0,'03_全链计算'!I70+1,0),IF('01_数值调参'!E23&lt;0,'03_全链计算'!J70+1,0),IF('01_数值调参'!E24&lt;0,'03_全链计算'!K70+1,0),IF('01_数值调参'!E25&lt;0,'03_全链计算'!L70+1,0),IF('01_数值调参'!E26&lt;0,'03_全链计算'!M70+1,0),IF('01_数值调参'!E27&lt;0,'03_全链计算'!N70+1,0),IF('01_数值调参'!E28&lt;0,'03_全链计算'!O70+1,0),IF('01_数值调参'!E29&lt;0,'03_全链计算'!P70+1,0),IF('01_数值调参'!E30&lt;0,'03_全链计算'!Q70+1,0),IF('01_数值调参'!E31&lt;0,'03_全链计算'!R70+1,0),IF('01_数值调参'!E32&lt;0,'03_全链计算'!S70+1,0),IF('01_数值调参'!E33&lt;0,'03_全链计算'!T70+1,0),IF('01_数值调参'!E34&lt;0,'03_全链计算'!U70+1,0),IF('01_数值调参'!E35&lt;0,'03_全链计算'!V70+1,0),IF('01_数值调参'!E36&lt;0,'03_全链计算'!W70+1,0),IF('01_数值调参'!E37&lt;0,'03_全链计算'!X70+1,0),IF('01_数值调参'!E38&lt;0,'03_全链计算'!Y70+1,0),IF('01_数值调参'!E39&lt;0,'03_全链计算'!Z70+1,0),IF('01_数值调参'!E40&lt;0,'03_全链计算'!AA70+1,0),IF('01_数值调参'!E41&lt;0,'03_全链计算'!AB70+1,0),IF('01_数值调参'!E42&lt;0,'03_全链计算'!AC70+1,0),IF('01_数值调参'!E43&lt;0,'03_全链计算'!AD70+1,0),IF('01_数值调参'!E44&lt;0,'03_全链计算'!AE70+1,0),IF('01_数值调参'!E45&lt;0,'03_全链计算'!AF70+1,0),IF('01_数值调参'!E46&lt;0,'03_全链计算'!AG70+1,0),IF('01_数值调参'!E47&lt;0,'03_全链计算'!AH70+1,0),IF('01_数值调参'!E48&lt;0,'03_全链计算'!AI70+1,0),IF('01_数值调参'!E49&lt;0,'03_全链计算'!AJ70+1,0),IF('01_数值调参'!E50&lt;0,'03_全链计算'!AK70+1,0),IF('01_数值调参'!E51&lt;0,'03_全链计算'!AL70+1,0),IF('01_数值调参'!E52&lt;0,'03_全链计算'!AM70+1,0))</x:f>
        <x:v>0</x:v>
      </x:c>
      <x:c r="F71" s="9" t="n">
        <x:f>MAX(IF('01_数值调参'!F18&lt;0,'03_全链计算'!E70+1,0),IF('01_数值调参'!F19&lt;0,'03_全链计算'!F70+1,0),IF('01_数值调参'!F20&lt;0,'03_全链计算'!G70+1,0),IF('01_数值调参'!F21&lt;0,'03_全链计算'!H70+1,0),IF('01_数值调参'!F22&lt;0,'03_全链计算'!I70+1,0),IF('01_数值调参'!F23&lt;0,'03_全链计算'!J70+1,0),IF('01_数值调参'!F24&lt;0,'03_全链计算'!K70+1,0),IF('01_数值调参'!F25&lt;0,'03_全链计算'!L70+1,0),IF('01_数值调参'!F26&lt;0,'03_全链计算'!M70+1,0),IF('01_数值调参'!F27&lt;0,'03_全链计算'!N70+1,0),IF('01_数值调参'!F28&lt;0,'03_全链计算'!O70+1,0),IF('01_数值调参'!F29&lt;0,'03_全链计算'!P70+1,0),IF('01_数值调参'!F30&lt;0,'03_全链计算'!Q70+1,0),IF('01_数值调参'!F31&lt;0,'03_全链计算'!R70+1,0),IF('01_数值调参'!F32&lt;0,'03_全链计算'!S70+1,0),IF('01_数值调参'!F33&lt;0,'03_全链计算'!T70+1,0),IF('01_数值调参'!F34&lt;0,'03_全链计算'!U70+1,0),IF('01_数值调参'!F35&lt;0,'03_全链计算'!V70+1,0),IF('01_数值调参'!F36&lt;0,'03_全链计算'!W70+1,0),IF('01_数值调参'!F37&lt;0,'03_全链计算'!X70+1,0),IF('01_数值调参'!F38&lt;0,'03_全链计算'!Y70+1,0),IF('01_数值调参'!F39&lt;0,'03_全链计算'!Z70+1,0),IF('01_数值调参'!F40&lt;0,'03_全链计算'!AA70+1,0),IF('01_数值调参'!F41&lt;0,'03_全链计算'!AB70+1,0),IF('01_数值调参'!F42&lt;0,'03_全链计算'!AC70+1,0),IF('01_数值调参'!F43&lt;0,'03_全链计算'!AD70+1,0),IF('01_数值调参'!F44&lt;0,'03_全链计算'!AE70+1,0),IF('01_数值调参'!F45&lt;0,'03_全链计算'!AF70+1,0),IF('01_数值调参'!F46&lt;0,'03_全链计算'!AG70+1,0),IF('01_数值调参'!F47&lt;0,'03_全链计算'!AH70+1,0),IF('01_数值调参'!F48&lt;0,'03_全链计算'!AI70+1,0),IF('01_数值调参'!F49&lt;0,'03_全链计算'!AJ70+1,0),IF('01_数值调参'!F50&lt;0,'03_全链计算'!AK70+1,0),IF('01_数值调参'!F51&lt;0,'03_全链计算'!AL70+1,0),IF('01_数值调参'!F52&lt;0,'03_全链计算'!AM70+1,0))</x:f>
        <x:v>0</x:v>
      </x:c>
      <x:c r="G71" s="9" t="n">
        <x:f>MAX(IF('01_数值调参'!G18&lt;0,'03_全链计算'!E70+1,0),IF('01_数值调参'!G19&lt;0,'03_全链计算'!F70+1,0),IF('01_数值调参'!G20&lt;0,'03_全链计算'!G70+1,0),IF('01_数值调参'!G21&lt;0,'03_全链计算'!H70+1,0),IF('01_数值调参'!G22&lt;0,'03_全链计算'!I70+1,0),IF('01_数值调参'!G23&lt;0,'03_全链计算'!J70+1,0),IF('01_数值调参'!G24&lt;0,'03_全链计算'!K70+1,0),IF('01_数值调参'!G25&lt;0,'03_全链计算'!L70+1,0),IF('01_数值调参'!G26&lt;0,'03_全链计算'!M70+1,0),IF('01_数值调参'!G27&lt;0,'03_全链计算'!N70+1,0),IF('01_数值调参'!G28&lt;0,'03_全链计算'!O70+1,0),IF('01_数值调参'!G29&lt;0,'03_全链计算'!P70+1,0),IF('01_数值调参'!G30&lt;0,'03_全链计算'!Q70+1,0),IF('01_数值调参'!G31&lt;0,'03_全链计算'!R70+1,0),IF('01_数值调参'!G32&lt;0,'03_全链计算'!S70+1,0),IF('01_数值调参'!G33&lt;0,'03_全链计算'!T70+1,0),IF('01_数值调参'!G34&lt;0,'03_全链计算'!U70+1,0),IF('01_数值调参'!G35&lt;0,'03_全链计算'!V70+1,0),IF('01_数值调参'!G36&lt;0,'03_全链计算'!W70+1,0),IF('01_数值调参'!G37&lt;0,'03_全链计算'!X70+1,0),IF('01_数值调参'!G38&lt;0,'03_全链计算'!Y70+1,0),IF('01_数值调参'!G39&lt;0,'03_全链计算'!Z70+1,0),IF('01_数值调参'!G40&lt;0,'03_全链计算'!AA70+1,0),IF('01_数值调参'!G41&lt;0,'03_全链计算'!AB70+1,0),IF('01_数值调参'!G42&lt;0,'03_全链计算'!AC70+1,0),IF('01_数值调参'!G43&lt;0,'03_全链计算'!AD70+1,0),IF('01_数值调参'!G44&lt;0,'03_全链计算'!AE70+1,0),IF('01_数值调参'!G45&lt;0,'03_全链计算'!AF70+1,0),IF('01_数值调参'!G46&lt;0,'03_全链计算'!AG70+1,0),IF('01_数值调参'!G47&lt;0,'03_全链计算'!AH70+1,0),IF('01_数值调参'!G48&lt;0,'03_全链计算'!AI70+1,0),IF('01_数值调参'!G49&lt;0,'03_全链计算'!AJ70+1,0),IF('01_数值调参'!G50&lt;0,'03_全链计算'!AK70+1,0),IF('01_数值调参'!G51&lt;0,'03_全链计算'!AL70+1,0),IF('01_数值调参'!G52&lt;0,'03_全链计算'!AM70+1,0))</x:f>
        <x:v>0</x:v>
      </x:c>
      <x:c r="H71" s="9" t="n">
        <x:f>MAX(IF('01_数值调参'!H18&lt;0,'03_全链计算'!E70+1,0),IF('01_数值调参'!H19&lt;0,'03_全链计算'!F70+1,0),IF('01_数值调参'!H20&lt;0,'03_全链计算'!G70+1,0),IF('01_数值调参'!H21&lt;0,'03_全链计算'!H70+1,0),IF('01_数值调参'!H22&lt;0,'03_全链计算'!I70+1,0),IF('01_数值调参'!H23&lt;0,'03_全链计算'!J70+1,0),IF('01_数值调参'!H24&lt;0,'03_全链计算'!K70+1,0),IF('01_数值调参'!H25&lt;0,'03_全链计算'!L70+1,0),IF('01_数值调参'!H26&lt;0,'03_全链计算'!M70+1,0),IF('01_数值调参'!H27&lt;0,'03_全链计算'!N70+1,0),IF('01_数值调参'!H28&lt;0,'03_全链计算'!O70+1,0),IF('01_数值调参'!H29&lt;0,'03_全链计算'!P70+1,0),IF('01_数值调参'!H30&lt;0,'03_全链计算'!Q70+1,0),IF('01_数值调参'!H31&lt;0,'03_全链计算'!R70+1,0),IF('01_数值调参'!H32&lt;0,'03_全链计算'!S70+1,0),IF('01_数值调参'!H33&lt;0,'03_全链计算'!T70+1,0),IF('01_数值调参'!H34&lt;0,'03_全链计算'!U70+1,0),IF('01_数值调参'!H35&lt;0,'03_全链计算'!V70+1,0),IF('01_数值调参'!H36&lt;0,'03_全链计算'!W70+1,0),IF('01_数值调参'!H37&lt;0,'03_全链计算'!X70+1,0),IF('01_数值调参'!H38&lt;0,'03_全链计算'!Y70+1,0),IF('01_数值调参'!H39&lt;0,'03_全链计算'!Z70+1,0),IF('01_数值调参'!H40&lt;0,'03_全链计算'!AA70+1,0),IF('01_数值调参'!H41&lt;0,'03_全链计算'!AB70+1,0),IF('01_数值调参'!H42&lt;0,'03_全链计算'!AC70+1,0),IF('01_数值调参'!H43&lt;0,'03_全链计算'!AD70+1,0),IF('01_数值调参'!H44&lt;0,'03_全链计算'!AE70+1,0),IF('01_数值调参'!H45&lt;0,'03_全链计算'!AF70+1,0),IF('01_数值调参'!H46&lt;0,'03_全链计算'!AG70+1,0),IF('01_数值调参'!H47&lt;0,'03_全链计算'!AH70+1,0),IF('01_数值调参'!H48&lt;0,'03_全链计算'!AI70+1,0),IF('01_数值调参'!H49&lt;0,'03_全链计算'!AJ70+1,0),IF('01_数值调参'!H50&lt;0,'03_全链计算'!AK70+1,0),IF('01_数值调参'!H51&lt;0,'03_全链计算'!AL70+1,0),IF('01_数值调参'!H52&lt;0,'03_全链计算'!AM70+1,0))</x:f>
        <x:v>0</x:v>
      </x:c>
      <x:c r="I71" s="9" t="n">
        <x:f>MAX(IF('01_数值调参'!I18&lt;0,'03_全链计算'!E70+1,0),IF('01_数值调参'!I19&lt;0,'03_全链计算'!F70+1,0),IF('01_数值调参'!I20&lt;0,'03_全链计算'!G70+1,0),IF('01_数值调参'!I21&lt;0,'03_全链计算'!H70+1,0),IF('01_数值调参'!I22&lt;0,'03_全链计算'!I70+1,0),IF('01_数值调参'!I23&lt;0,'03_全链计算'!J70+1,0),IF('01_数值调参'!I24&lt;0,'03_全链计算'!K70+1,0),IF('01_数值调参'!I25&lt;0,'03_全链计算'!L70+1,0),IF('01_数值调参'!I26&lt;0,'03_全链计算'!M70+1,0),IF('01_数值调参'!I27&lt;0,'03_全链计算'!N70+1,0),IF('01_数值调参'!I28&lt;0,'03_全链计算'!O70+1,0),IF('01_数值调参'!I29&lt;0,'03_全链计算'!P70+1,0),IF('01_数值调参'!I30&lt;0,'03_全链计算'!Q70+1,0),IF('01_数值调参'!I31&lt;0,'03_全链计算'!R70+1,0),IF('01_数值调参'!I32&lt;0,'03_全链计算'!S70+1,0),IF('01_数值调参'!I33&lt;0,'03_全链计算'!T70+1,0),IF('01_数值调参'!I34&lt;0,'03_全链计算'!U70+1,0),IF('01_数值调参'!I35&lt;0,'03_全链计算'!V70+1,0),IF('01_数值调参'!I36&lt;0,'03_全链计算'!W70+1,0),IF('01_数值调参'!I37&lt;0,'03_全链计算'!X70+1,0),IF('01_数值调参'!I38&lt;0,'03_全链计算'!Y70+1,0),IF('01_数值调参'!I39&lt;0,'03_全链计算'!Z70+1,0),IF('01_数值调参'!I40&lt;0,'03_全链计算'!AA70+1,0),IF('01_数值调参'!I41&lt;0,'03_全链计算'!AB70+1,0),IF('01_数值调参'!I42&lt;0,'03_全链计算'!AC70+1,0),IF('01_数值调参'!I43&lt;0,'03_全链计算'!AD70+1,0),IF('01_数值调参'!I44&lt;0,'03_全链计算'!AE70+1,0),IF('01_数值调参'!I45&lt;0,'03_全链计算'!AF70+1,0),IF('01_数值调参'!I46&lt;0,'03_全链计算'!AG70+1,0),IF('01_数值调参'!I47&lt;0,'03_全链计算'!AH70+1,0),IF('01_数值调参'!I48&lt;0,'03_全链计算'!AI70+1,0),IF('01_数值调参'!I49&lt;0,'03_全链计算'!AJ70+1,0),IF('01_数值调参'!I50&lt;0,'03_全链计算'!AK70+1,0),IF('01_数值调参'!I51&lt;0,'03_全链计算'!AL70+1,0),IF('01_数值调参'!I52&lt;0,'03_全链计算'!AM70+1,0))</x:f>
        <x:v>0</x:v>
      </x:c>
      <x:c r="J71" s="9" t="n">
        <x:f>MAX(IF('01_数值调参'!J18&lt;0,'03_全链计算'!E70+1,0),IF('01_数值调参'!J19&lt;0,'03_全链计算'!F70+1,0),IF('01_数值调参'!J20&lt;0,'03_全链计算'!G70+1,0),IF('01_数值调参'!J21&lt;0,'03_全链计算'!H70+1,0),IF('01_数值调参'!J22&lt;0,'03_全链计算'!I70+1,0),IF('01_数值调参'!J23&lt;0,'03_全链计算'!J70+1,0),IF('01_数值调参'!J24&lt;0,'03_全链计算'!K70+1,0),IF('01_数值调参'!J25&lt;0,'03_全链计算'!L70+1,0),IF('01_数值调参'!J26&lt;0,'03_全链计算'!M70+1,0),IF('01_数值调参'!J27&lt;0,'03_全链计算'!N70+1,0),IF('01_数值调参'!J28&lt;0,'03_全链计算'!O70+1,0),IF('01_数值调参'!J29&lt;0,'03_全链计算'!P70+1,0),IF('01_数值调参'!J30&lt;0,'03_全链计算'!Q70+1,0),IF('01_数值调参'!J31&lt;0,'03_全链计算'!R70+1,0),IF('01_数值调参'!J32&lt;0,'03_全链计算'!S70+1,0),IF('01_数值调参'!J33&lt;0,'03_全链计算'!T70+1,0),IF('01_数值调参'!J34&lt;0,'03_全链计算'!U70+1,0),IF('01_数值调参'!J35&lt;0,'03_全链计算'!V70+1,0),IF('01_数值调参'!J36&lt;0,'03_全链计算'!W70+1,0),IF('01_数值调参'!J37&lt;0,'03_全链计算'!X70+1,0),IF('01_数值调参'!J38&lt;0,'03_全链计算'!Y70+1,0),IF('01_数值调参'!J39&lt;0,'03_全链计算'!Z70+1,0),IF('01_数值调参'!J40&lt;0,'03_全链计算'!AA70+1,0),IF('01_数值调参'!J41&lt;0,'03_全链计算'!AB70+1,0),IF('01_数值调参'!J42&lt;0,'03_全链计算'!AC70+1,0),IF('01_数值调参'!J43&lt;0,'03_全链计算'!AD70+1,0),IF('01_数值调参'!J44&lt;0,'03_全链计算'!AE70+1,0),IF('01_数值调参'!J45&lt;0,'03_全链计算'!AF70+1,0),IF('01_数值调参'!J46&lt;0,'03_全链计算'!AG70+1,0),IF('01_数值调参'!J47&lt;0,'03_全链计算'!AH70+1,0),IF('01_数值调参'!J48&lt;0,'03_全链计算'!AI70+1,0),IF('01_数值调参'!J49&lt;0,'03_全链计算'!AJ70+1,0),IF('01_数值调参'!J50&lt;0,'03_全链计算'!AK70+1,0),IF('01_数值调参'!J51&lt;0,'03_全链计算'!AL70+1,0),IF('01_数值调参'!J52&lt;0,'03_全链计算'!AM70+1,0))</x:f>
        <x:v>0</x:v>
      </x:c>
      <x:c r="K71" s="9" t="n">
        <x:f>MAX(IF('01_数值调参'!K18&lt;0,'03_全链计算'!E70+1,0),IF('01_数值调参'!K19&lt;0,'03_全链计算'!F70+1,0),IF('01_数值调参'!K20&lt;0,'03_全链计算'!G70+1,0),IF('01_数值调参'!K21&lt;0,'03_全链计算'!H70+1,0),IF('01_数值调参'!K22&lt;0,'03_全链计算'!I70+1,0),IF('01_数值调参'!K23&lt;0,'03_全链计算'!J70+1,0),IF('01_数值调参'!K24&lt;0,'03_全链计算'!K70+1,0),IF('01_数值调参'!K25&lt;0,'03_全链计算'!L70+1,0),IF('01_数值调参'!K26&lt;0,'03_全链计算'!M70+1,0),IF('01_数值调参'!K27&lt;0,'03_全链计算'!N70+1,0),IF('01_数值调参'!K28&lt;0,'03_全链计算'!O70+1,0),IF('01_数值调参'!K29&lt;0,'03_全链计算'!P70+1,0),IF('01_数值调参'!K30&lt;0,'03_全链计算'!Q70+1,0),IF('01_数值调参'!K31&lt;0,'03_全链计算'!R70+1,0),IF('01_数值调参'!K32&lt;0,'03_全链计算'!S70+1,0),IF('01_数值调参'!K33&lt;0,'03_全链计算'!T70+1,0),IF('01_数值调参'!K34&lt;0,'03_全链计算'!U70+1,0),IF('01_数值调参'!K35&lt;0,'03_全链计算'!V70+1,0),IF('01_数值调参'!K36&lt;0,'03_全链计算'!W70+1,0),IF('01_数值调参'!K37&lt;0,'03_全链计算'!X70+1,0),IF('01_数值调参'!K38&lt;0,'03_全链计算'!Y70+1,0),IF('01_数值调参'!K39&lt;0,'03_全链计算'!Z70+1,0),IF('01_数值调参'!K40&lt;0,'03_全链计算'!AA70+1,0),IF('01_数值调参'!K41&lt;0,'03_全链计算'!AB70+1,0),IF('01_数值调参'!K42&lt;0,'03_全链计算'!AC70+1,0),IF('01_数值调参'!K43&lt;0,'03_全链计算'!AD70+1,0),IF('01_数值调参'!K44&lt;0,'03_全链计算'!AE70+1,0),IF('01_数值调参'!K45&lt;0,'03_全链计算'!AF70+1,0),IF('01_数值调参'!K46&lt;0,'03_全链计算'!AG70+1,0),IF('01_数值调参'!K47&lt;0,'03_全链计算'!AH70+1,0),IF('01_数值调参'!K48&lt;0,'03_全链计算'!AI70+1,0),IF('01_数值调参'!K49&lt;0,'03_全链计算'!AJ70+1,0),IF('01_数值调参'!K50&lt;0,'03_全链计算'!AK70+1,0),IF('01_数值调参'!K51&lt;0,'03_全链计算'!AL70+1,0),IF('01_数值调参'!K52&lt;0,'03_全链计算'!AM70+1,0))</x:f>
        <x:v>0</x:v>
      </x:c>
      <x:c r="L71" s="9" t="n">
        <x:f>MAX(IF('01_数值调参'!L18&lt;0,'03_全链计算'!E70+1,0),IF('01_数值调参'!L19&lt;0,'03_全链计算'!F70+1,0),IF('01_数值调参'!L20&lt;0,'03_全链计算'!G70+1,0),IF('01_数值调参'!L21&lt;0,'03_全链计算'!H70+1,0),IF('01_数值调参'!L22&lt;0,'03_全链计算'!I70+1,0),IF('01_数值调参'!L23&lt;0,'03_全链计算'!J70+1,0),IF('01_数值调参'!L24&lt;0,'03_全链计算'!K70+1,0),IF('01_数值调参'!L25&lt;0,'03_全链计算'!L70+1,0),IF('01_数值调参'!L26&lt;0,'03_全链计算'!M70+1,0),IF('01_数值调参'!L27&lt;0,'03_全链计算'!N70+1,0),IF('01_数值调参'!L28&lt;0,'03_全链计算'!O70+1,0),IF('01_数值调参'!L29&lt;0,'03_全链计算'!P70+1,0),IF('01_数值调参'!L30&lt;0,'03_全链计算'!Q70+1,0),IF('01_数值调参'!L31&lt;0,'03_全链计算'!R70+1,0),IF('01_数值调参'!L32&lt;0,'03_全链计算'!S70+1,0),IF('01_数值调参'!L33&lt;0,'03_全链计算'!T70+1,0),IF('01_数值调参'!L34&lt;0,'03_全链计算'!U70+1,0),IF('01_数值调参'!L35&lt;0,'03_全链计算'!V70+1,0),IF('01_数值调参'!L36&lt;0,'03_全链计算'!W70+1,0),IF('01_数值调参'!L37&lt;0,'03_全链计算'!X70+1,0),IF('01_数值调参'!L38&lt;0,'03_全链计算'!Y70+1,0),IF('01_数值调参'!L39&lt;0,'03_全链计算'!Z70+1,0),IF('01_数值调参'!L40&lt;0,'03_全链计算'!AA70+1,0),IF('01_数值调参'!L41&lt;0,'03_全链计算'!AB70+1,0),IF('01_数值调参'!L42&lt;0,'03_全链计算'!AC70+1,0),IF('01_数值调参'!L43&lt;0,'03_全链计算'!AD70+1,0),IF('01_数值调参'!L44&lt;0,'03_全链计算'!AE70+1,0),IF('01_数值调参'!L45&lt;0,'03_全链计算'!AF70+1,0),IF('01_数值调参'!L46&lt;0,'03_全链计算'!AG70+1,0),IF('01_数值调参'!L47&lt;0,'03_全链计算'!AH70+1,0),IF('01_数值调参'!L48&lt;0,'03_全链计算'!AI70+1,0),IF('01_数值调参'!L49&lt;0,'03_全链计算'!AJ70+1,0),IF('01_数值调参'!L50&lt;0,'03_全链计算'!AK70+1,0),IF('01_数值调参'!L51&lt;0,'03_全链计算'!AL70+1,0),IF('01_数值调参'!L52&lt;0,'03_全链计算'!AM70+1,0))</x:f>
        <x:v>0</x:v>
      </x:c>
      <x:c r="M71" s="9" t="n">
        <x:f>MAX(IF('01_数值调参'!M18&lt;0,'03_全链计算'!E70+1,0),IF('01_数值调参'!M19&lt;0,'03_全链计算'!F70+1,0),IF('01_数值调参'!M20&lt;0,'03_全链计算'!G70+1,0),IF('01_数值调参'!M21&lt;0,'03_全链计算'!H70+1,0),IF('01_数值调参'!M22&lt;0,'03_全链计算'!I70+1,0),IF('01_数值调参'!M23&lt;0,'03_全链计算'!J70+1,0),IF('01_数值调参'!M24&lt;0,'03_全链计算'!K70+1,0),IF('01_数值调参'!M25&lt;0,'03_全链计算'!L70+1,0),IF('01_数值调参'!M26&lt;0,'03_全链计算'!M70+1,0),IF('01_数值调参'!M27&lt;0,'03_全链计算'!N70+1,0),IF('01_数值调参'!M28&lt;0,'03_全链计算'!O70+1,0),IF('01_数值调参'!M29&lt;0,'03_全链计算'!P70+1,0),IF('01_数值调参'!M30&lt;0,'03_全链计算'!Q70+1,0),IF('01_数值调参'!M31&lt;0,'03_全链计算'!R70+1,0),IF('01_数值调参'!M32&lt;0,'03_全链计算'!S70+1,0),IF('01_数值调参'!M33&lt;0,'03_全链计算'!T70+1,0),IF('01_数值调参'!M34&lt;0,'03_全链计算'!U70+1,0),IF('01_数值调参'!M35&lt;0,'03_全链计算'!V70+1,0),IF('01_数值调参'!M36&lt;0,'03_全链计算'!W70+1,0),IF('01_数值调参'!M37&lt;0,'03_全链计算'!X70+1,0),IF('01_数值调参'!M38&lt;0,'03_全链计算'!Y70+1,0),IF('01_数值调参'!M39&lt;0,'03_全链计算'!Z70+1,0),IF('01_数值调参'!M40&lt;0,'03_全链计算'!AA70+1,0),IF('01_数值调参'!M41&lt;0,'03_全链计算'!AB70+1,0),IF('01_数值调参'!M42&lt;0,'03_全链计算'!AC70+1,0),IF('01_数值调参'!M43&lt;0,'03_全链计算'!AD70+1,0),IF('01_数值调参'!M44&lt;0,'03_全链计算'!AE70+1,0),IF('01_数值调参'!M45&lt;0,'03_全链计算'!AF70+1,0),IF('01_数值调参'!M46&lt;0,'03_全链计算'!AG70+1,0),IF('01_数值调参'!M47&lt;0,'03_全链计算'!AH70+1,0),IF('01_数值调参'!M48&lt;0,'03_全链计算'!AI70+1,0),IF('01_数值调参'!M49&lt;0,'03_全链计算'!AJ70+1,0),IF('01_数值调参'!M50&lt;0,'03_全链计算'!AK70+1,0),IF('01_数值调参'!M51&lt;0,'03_全链计算'!AL70+1,0),IF('01_数值调参'!M52&lt;0,'03_全链计算'!AM70+1,0))</x:f>
        <x:v>0</x:v>
      </x:c>
      <x:c r="N71" s="9" t="n">
        <x:f>MAX(IF('01_数值调参'!N18&lt;0,'03_全链计算'!E70+1,0),IF('01_数值调参'!N19&lt;0,'03_全链计算'!F70+1,0),IF('01_数值调参'!N20&lt;0,'03_全链计算'!G70+1,0),IF('01_数值调参'!N21&lt;0,'03_全链计算'!H70+1,0),IF('01_数值调参'!N22&lt;0,'03_全链计算'!I70+1,0),IF('01_数值调参'!N23&lt;0,'03_全链计算'!J70+1,0),IF('01_数值调参'!N24&lt;0,'03_全链计算'!K70+1,0),IF('01_数值调参'!N25&lt;0,'03_全链计算'!L70+1,0),IF('01_数值调参'!N26&lt;0,'03_全链计算'!M70+1,0),IF('01_数值调参'!N27&lt;0,'03_全链计算'!N70+1,0),IF('01_数值调参'!N28&lt;0,'03_全链计算'!O70+1,0),IF('01_数值调参'!N29&lt;0,'03_全链计算'!P70+1,0),IF('01_数值调参'!N30&lt;0,'03_全链计算'!Q70+1,0),IF('01_数值调参'!N31&lt;0,'03_全链计算'!R70+1,0),IF('01_数值调参'!N32&lt;0,'03_全链计算'!S70+1,0),IF('01_数值调参'!N33&lt;0,'03_全链计算'!T70+1,0),IF('01_数值调参'!N34&lt;0,'03_全链计算'!U70+1,0),IF('01_数值调参'!N35&lt;0,'03_全链计算'!V70+1,0),IF('01_数值调参'!N36&lt;0,'03_全链计算'!W70+1,0),IF('01_数值调参'!N37&lt;0,'03_全链计算'!X70+1,0),IF('01_数值调参'!N38&lt;0,'03_全链计算'!Y70+1,0),IF('01_数值调参'!N39&lt;0,'03_全链计算'!Z70+1,0),IF('01_数值调参'!N40&lt;0,'03_全链计算'!AA70+1,0),IF('01_数值调参'!N41&lt;0,'03_全链计算'!AB70+1,0),IF('01_数值调参'!N42&lt;0,'03_全链计算'!AC70+1,0),IF('01_数值调参'!N43&lt;0,'03_全链计算'!AD70+1,0),IF('01_数值调参'!N44&lt;0,'03_全链计算'!AE70+1,0),IF('01_数值调参'!N45&lt;0,'03_全链计算'!AF70+1,0),IF('01_数值调参'!N46&lt;0,'03_全链计算'!AG70+1,0),IF('01_数值调参'!N47&lt;0,'03_全链计算'!AH70+1,0),IF('01_数值调参'!N48&lt;0,'03_全链计算'!AI70+1,0),IF('01_数值调参'!N49&lt;0,'03_全链计算'!AJ70+1,0),IF('01_数值调参'!N50&lt;0,'03_全链计算'!AK70+1,0),IF('01_数值调参'!N51&lt;0,'03_全链计算'!AL70+1,0),IF('01_数值调参'!N52&lt;0,'03_全链计算'!AM70+1,0))</x:f>
        <x:v>1</x:v>
      </x:c>
      <x:c r="O71" s="9" t="n">
        <x:f>MAX(IF('01_数值调参'!O18&lt;0,'03_全链计算'!E70+1,0),IF('01_数值调参'!O19&lt;0,'03_全链计算'!F70+1,0),IF('01_数值调参'!O20&lt;0,'03_全链计算'!G70+1,0),IF('01_数值调参'!O21&lt;0,'03_全链计算'!H70+1,0),IF('01_数值调参'!O22&lt;0,'03_全链计算'!I70+1,0),IF('01_数值调参'!O23&lt;0,'03_全链计算'!J70+1,0),IF('01_数值调参'!O24&lt;0,'03_全链计算'!K70+1,0),IF('01_数值调参'!O25&lt;0,'03_全链计算'!L70+1,0),IF('01_数值调参'!O26&lt;0,'03_全链计算'!M70+1,0),IF('01_数值调参'!O27&lt;0,'03_全链计算'!N70+1,0),IF('01_数值调参'!O28&lt;0,'03_全链计算'!O70+1,0),IF('01_数值调参'!O29&lt;0,'03_全链计算'!P70+1,0),IF('01_数值调参'!O30&lt;0,'03_全链计算'!Q70+1,0),IF('01_数值调参'!O31&lt;0,'03_全链计算'!R70+1,0),IF('01_数值调参'!O32&lt;0,'03_全链计算'!S70+1,0),IF('01_数值调参'!O33&lt;0,'03_全链计算'!T70+1,0),IF('01_数值调参'!O34&lt;0,'03_全链计算'!U70+1,0),IF('01_数值调参'!O35&lt;0,'03_全链计算'!V70+1,0),IF('01_数值调参'!O36&lt;0,'03_全链计算'!W70+1,0),IF('01_数值调参'!O37&lt;0,'03_全链计算'!X70+1,0),IF('01_数值调参'!O38&lt;0,'03_全链计算'!Y70+1,0),IF('01_数值调参'!O39&lt;0,'03_全链计算'!Z70+1,0),IF('01_数值调参'!O40&lt;0,'03_全链计算'!AA70+1,0),IF('01_数值调参'!O41&lt;0,'03_全链计算'!AB70+1,0),IF('01_数值调参'!O42&lt;0,'03_全链计算'!AC70+1,0),IF('01_数值调参'!O43&lt;0,'03_全链计算'!AD70+1,0),IF('01_数值调参'!O44&lt;0,'03_全链计算'!AE70+1,0),IF('01_数值调参'!O45&lt;0,'03_全链计算'!AF70+1,0),IF('01_数值调参'!O46&lt;0,'03_全链计算'!AG70+1,0),IF('01_数值调参'!O47&lt;0,'03_全链计算'!AH70+1,0),IF('01_数值调参'!O48&lt;0,'03_全链计算'!AI70+1,0),IF('01_数值调参'!O49&lt;0,'03_全链计算'!AJ70+1,0),IF('01_数值调参'!O50&lt;0,'03_全链计算'!AK70+1,0),IF('01_数值调参'!O51&lt;0,'03_全链计算'!AL70+1,0),IF('01_数值调参'!O52&lt;0,'03_全链计算'!AM70+1,0))</x:f>
        <x:v>1</x:v>
      </x:c>
      <x:c r="P71" s="9" t="n">
        <x:f>MAX(IF('01_数值调参'!P18&lt;0,'03_全链计算'!E70+1,0),IF('01_数值调参'!P19&lt;0,'03_全链计算'!F70+1,0),IF('01_数值调参'!P20&lt;0,'03_全链计算'!G70+1,0),IF('01_数值调参'!P21&lt;0,'03_全链计算'!H70+1,0),IF('01_数值调参'!P22&lt;0,'03_全链计算'!I70+1,0),IF('01_数值调参'!P23&lt;0,'03_全链计算'!J70+1,0),IF('01_数值调参'!P24&lt;0,'03_全链计算'!K70+1,0),IF('01_数值调参'!P25&lt;0,'03_全链计算'!L70+1,0),IF('01_数值调参'!P26&lt;0,'03_全链计算'!M70+1,0),IF('01_数值调参'!P27&lt;0,'03_全链计算'!N70+1,0),IF('01_数值调参'!P28&lt;0,'03_全链计算'!O70+1,0),IF('01_数值调参'!P29&lt;0,'03_全链计算'!P70+1,0),IF('01_数值调参'!P30&lt;0,'03_全链计算'!Q70+1,0),IF('01_数值调参'!P31&lt;0,'03_全链计算'!R70+1,0),IF('01_数值调参'!P32&lt;0,'03_全链计算'!S70+1,0),IF('01_数值调参'!P33&lt;0,'03_全链计算'!T70+1,0),IF('01_数值调参'!P34&lt;0,'03_全链计算'!U70+1,0),IF('01_数值调参'!P35&lt;0,'03_全链计算'!V70+1,0),IF('01_数值调参'!P36&lt;0,'03_全链计算'!W70+1,0),IF('01_数值调参'!P37&lt;0,'03_全链计算'!X70+1,0),IF('01_数值调参'!P38&lt;0,'03_全链计算'!Y70+1,0),IF('01_数值调参'!P39&lt;0,'03_全链计算'!Z70+1,0),IF('01_数值调参'!P40&lt;0,'03_全链计算'!AA70+1,0),IF('01_数值调参'!P41&lt;0,'03_全链计算'!AB70+1,0),IF('01_数值调参'!P42&lt;0,'03_全链计算'!AC70+1,0),IF('01_数值调参'!P43&lt;0,'03_全链计算'!AD70+1,0),IF('01_数值调参'!P44&lt;0,'03_全链计算'!AE70+1,0),IF('01_数值调参'!P45&lt;0,'03_全链计算'!AF70+1,0),IF('01_数值调参'!P46&lt;0,'03_全链计算'!AG70+1,0),IF('01_数值调参'!P47&lt;0,'03_全链计算'!AH70+1,0),IF('01_数值调参'!P48&lt;0,'03_全链计算'!AI70+1,0),IF('01_数值调参'!P49&lt;0,'03_全链计算'!AJ70+1,0),IF('01_数值调参'!P50&lt;0,'03_全链计算'!AK70+1,0),IF('01_数值调参'!P51&lt;0,'03_全链计算'!AL70+1,0),IF('01_数值调参'!P52&lt;0,'03_全链计算'!AM70+1,0))</x:f>
        <x:v>1</x:v>
      </x:c>
      <x:c r="Q71" s="9" t="n">
        <x:f>MAX(IF('01_数值调参'!Q18&lt;0,'03_全链计算'!E70+1,0),IF('01_数值调参'!Q19&lt;0,'03_全链计算'!F70+1,0),IF('01_数值调参'!Q20&lt;0,'03_全链计算'!G70+1,0),IF('01_数值调参'!Q21&lt;0,'03_全链计算'!H70+1,0),IF('01_数值调参'!Q22&lt;0,'03_全链计算'!I70+1,0),IF('01_数值调参'!Q23&lt;0,'03_全链计算'!J70+1,0),IF('01_数值调参'!Q24&lt;0,'03_全链计算'!K70+1,0),IF('01_数值调参'!Q25&lt;0,'03_全链计算'!L70+1,0),IF('01_数值调参'!Q26&lt;0,'03_全链计算'!M70+1,0),IF('01_数值调参'!Q27&lt;0,'03_全链计算'!N70+1,0),IF('01_数值调参'!Q28&lt;0,'03_全链计算'!O70+1,0),IF('01_数值调参'!Q29&lt;0,'03_全链计算'!P70+1,0),IF('01_数值调参'!Q30&lt;0,'03_全链计算'!Q70+1,0),IF('01_数值调参'!Q31&lt;0,'03_全链计算'!R70+1,0),IF('01_数值调参'!Q32&lt;0,'03_全链计算'!S70+1,0),IF('01_数值调参'!Q33&lt;0,'03_全链计算'!T70+1,0),IF('01_数值调参'!Q34&lt;0,'03_全链计算'!U70+1,0),IF('01_数值调参'!Q35&lt;0,'03_全链计算'!V70+1,0),IF('01_数值调参'!Q36&lt;0,'03_全链计算'!W70+1,0),IF('01_数值调参'!Q37&lt;0,'03_全链计算'!X70+1,0),IF('01_数值调参'!Q38&lt;0,'03_全链计算'!Y70+1,0),IF('01_数值调参'!Q39&lt;0,'03_全链计算'!Z70+1,0),IF('01_数值调参'!Q40&lt;0,'03_全链计算'!AA70+1,0),IF('01_数值调参'!Q41&lt;0,'03_全链计算'!AB70+1,0),IF('01_数值调参'!Q42&lt;0,'03_全链计算'!AC70+1,0),IF('01_数值调参'!Q43&lt;0,'03_全链计算'!AD70+1,0),IF('01_数值调参'!Q44&lt;0,'03_全链计算'!AE70+1,0),IF('01_数值调参'!Q45&lt;0,'03_全链计算'!AF70+1,0),IF('01_数值调参'!Q46&lt;0,'03_全链计算'!AG70+1,0),IF('01_数值调参'!Q47&lt;0,'03_全链计算'!AH70+1,0),IF('01_数值调参'!Q48&lt;0,'03_全链计算'!AI70+1,0),IF('01_数值调参'!Q49&lt;0,'03_全链计算'!AJ70+1,0),IF('01_数值调参'!Q50&lt;0,'03_全链计算'!AK70+1,0),IF('01_数值调参'!Q51&lt;0,'03_全链计算'!AL70+1,0),IF('01_数值调参'!Q52&lt;0,'03_全链计算'!AM70+1,0))</x:f>
        <x:v>1</x:v>
      </x:c>
      <x:c r="R71" s="9" t="n">
        <x:f>MAX(IF('01_数值调参'!R18&lt;0,'03_全链计算'!E70+1,0),IF('01_数值调参'!R19&lt;0,'03_全链计算'!F70+1,0),IF('01_数值调参'!R20&lt;0,'03_全链计算'!G70+1,0),IF('01_数值调参'!R21&lt;0,'03_全链计算'!H70+1,0),IF('01_数值调参'!R22&lt;0,'03_全链计算'!I70+1,0),IF('01_数值调参'!R23&lt;0,'03_全链计算'!J70+1,0),IF('01_数值调参'!R24&lt;0,'03_全链计算'!K70+1,0),IF('01_数值调参'!R25&lt;0,'03_全链计算'!L70+1,0),IF('01_数值调参'!R26&lt;0,'03_全链计算'!M70+1,0),IF('01_数值调参'!R27&lt;0,'03_全链计算'!N70+1,0),IF('01_数值调参'!R28&lt;0,'03_全链计算'!O70+1,0),IF('01_数值调参'!R29&lt;0,'03_全链计算'!P70+1,0),IF('01_数值调参'!R30&lt;0,'03_全链计算'!Q70+1,0),IF('01_数值调参'!R31&lt;0,'03_全链计算'!R70+1,0),IF('01_数值调参'!R32&lt;0,'03_全链计算'!S70+1,0),IF('01_数值调参'!R33&lt;0,'03_全链计算'!T70+1,0),IF('01_数值调参'!R34&lt;0,'03_全链计算'!U70+1,0),IF('01_数值调参'!R35&lt;0,'03_全链计算'!V70+1,0),IF('01_数值调参'!R36&lt;0,'03_全链计算'!W70+1,0),IF('01_数值调参'!R37&lt;0,'03_全链计算'!X70+1,0),IF('01_数值调参'!R38&lt;0,'03_全链计算'!Y70+1,0),IF('01_数值调参'!R39&lt;0,'03_全链计算'!Z70+1,0),IF('01_数值调参'!R40&lt;0,'03_全链计算'!AA70+1,0),IF('01_数值调参'!R41&lt;0,'03_全链计算'!AB70+1,0),IF('01_数值调参'!R42&lt;0,'03_全链计算'!AC70+1,0),IF('01_数值调参'!R43&lt;0,'03_全链计算'!AD70+1,0),IF('01_数值调参'!R44&lt;0,'03_全链计算'!AE70+1,0),IF('01_数值调参'!R45&lt;0,'03_全链计算'!AF70+1,0),IF('01_数值调参'!R46&lt;0,'03_全链计算'!AG70+1,0),IF('01_数值调参'!R47&lt;0,'03_全链计算'!AH70+1,0),IF('01_数值调参'!R48&lt;0,'03_全链计算'!AI70+1,0),IF('01_数值调参'!R49&lt;0,'03_全链计算'!AJ70+1,0),IF('01_数值调参'!R50&lt;0,'03_全链计算'!AK70+1,0),IF('01_数值调参'!R51&lt;0,'03_全链计算'!AL70+1,0),IF('01_数值调参'!R52&lt;0,'03_全链计算'!AM70+1,0))</x:f>
        <x:v>1</x:v>
      </x:c>
      <x:c r="S71" s="9" t="n">
        <x:f>MAX(IF('01_数值调参'!S18&lt;0,'03_全链计算'!E70+1,0),IF('01_数值调参'!S19&lt;0,'03_全链计算'!F70+1,0),IF('01_数值调参'!S20&lt;0,'03_全链计算'!G70+1,0),IF('01_数值调参'!S21&lt;0,'03_全链计算'!H70+1,0),IF('01_数值调参'!S22&lt;0,'03_全链计算'!I70+1,0),IF('01_数值调参'!S23&lt;0,'03_全链计算'!J70+1,0),IF('01_数值调参'!S24&lt;0,'03_全链计算'!K70+1,0),IF('01_数值调参'!S25&lt;0,'03_全链计算'!L70+1,0),IF('01_数值调参'!S26&lt;0,'03_全链计算'!M70+1,0),IF('01_数值调参'!S27&lt;0,'03_全链计算'!N70+1,0),IF('01_数值调参'!S28&lt;0,'03_全链计算'!O70+1,0),IF('01_数值调参'!S29&lt;0,'03_全链计算'!P70+1,0),IF('01_数值调参'!S30&lt;0,'03_全链计算'!Q70+1,0),IF('01_数值调参'!S31&lt;0,'03_全链计算'!R70+1,0),IF('01_数值调参'!S32&lt;0,'03_全链计算'!S70+1,0),IF('01_数值调参'!S33&lt;0,'03_全链计算'!T70+1,0),IF('01_数值调参'!S34&lt;0,'03_全链计算'!U70+1,0),IF('01_数值调参'!S35&lt;0,'03_全链计算'!V70+1,0),IF('01_数值调参'!S36&lt;0,'03_全链计算'!W70+1,0),IF('01_数值调参'!S37&lt;0,'03_全链计算'!X70+1,0),IF('01_数值调参'!S38&lt;0,'03_全链计算'!Y70+1,0),IF('01_数值调参'!S39&lt;0,'03_全链计算'!Z70+1,0),IF('01_数值调参'!S40&lt;0,'03_全链计算'!AA70+1,0),IF('01_数值调参'!S41&lt;0,'03_全链计算'!AB70+1,0),IF('01_数值调参'!S42&lt;0,'03_全链计算'!AC70+1,0),IF('01_数值调参'!S43&lt;0,'03_全链计算'!AD70+1,0),IF('01_数值调参'!S44&lt;0,'03_全链计算'!AE70+1,0),IF('01_数值调参'!S45&lt;0,'03_全链计算'!AF70+1,0),IF('01_数值调参'!S46&lt;0,'03_全链计算'!AG70+1,0),IF('01_数值调参'!S47&lt;0,'03_全链计算'!AH70+1,0),IF('01_数值调参'!S48&lt;0,'03_全链计算'!AI70+1,0),IF('01_数值调参'!S49&lt;0,'03_全链计算'!AJ70+1,0),IF('01_数值调参'!S50&lt;0,'03_全链计算'!AK70+1,0),IF('01_数值调参'!S51&lt;0,'03_全链计算'!AL70+1,0),IF('01_数值调参'!S52&lt;0,'03_全链计算'!AM70+1,0))</x:f>
        <x:v>1</x:v>
      </x:c>
      <x:c r="T71" s="9" t="n">
        <x:f>MAX(IF('01_数值调参'!T18&lt;0,'03_全链计算'!E70+1,0),IF('01_数值调参'!T19&lt;0,'03_全链计算'!F70+1,0),IF('01_数值调参'!T20&lt;0,'03_全链计算'!G70+1,0),IF('01_数值调参'!T21&lt;0,'03_全链计算'!H70+1,0),IF('01_数值调参'!T22&lt;0,'03_全链计算'!I70+1,0),IF('01_数值调参'!T23&lt;0,'03_全链计算'!J70+1,0),IF('01_数值调参'!T24&lt;0,'03_全链计算'!K70+1,0),IF('01_数值调参'!T25&lt;0,'03_全链计算'!L70+1,0),IF('01_数值调参'!T26&lt;0,'03_全链计算'!M70+1,0),IF('01_数值调参'!T27&lt;0,'03_全链计算'!N70+1,0),IF('01_数值调参'!T28&lt;0,'03_全链计算'!O70+1,0),IF('01_数值调参'!T29&lt;0,'03_全链计算'!P70+1,0),IF('01_数值调参'!T30&lt;0,'03_全链计算'!Q70+1,0),IF('01_数值调参'!T31&lt;0,'03_全链计算'!R70+1,0),IF('01_数值调参'!T32&lt;0,'03_全链计算'!S70+1,0),IF('01_数值调参'!T33&lt;0,'03_全链计算'!T70+1,0),IF('01_数值调参'!T34&lt;0,'03_全链计算'!U70+1,0),IF('01_数值调参'!T35&lt;0,'03_全链计算'!V70+1,0),IF('01_数值调参'!T36&lt;0,'03_全链计算'!W70+1,0),IF('01_数值调参'!T37&lt;0,'03_全链计算'!X70+1,0),IF('01_数值调参'!T38&lt;0,'03_全链计算'!Y70+1,0),IF('01_数值调参'!T39&lt;0,'03_全链计算'!Z70+1,0),IF('01_数值调参'!T40&lt;0,'03_全链计算'!AA70+1,0),IF('01_数值调参'!T41&lt;0,'03_全链计算'!AB70+1,0),IF('01_数值调参'!T42&lt;0,'03_全链计算'!AC70+1,0),IF('01_数值调参'!T43&lt;0,'03_全链计算'!AD70+1,0),IF('01_数值调参'!T44&lt;0,'03_全链计算'!AE70+1,0),IF('01_数值调参'!T45&lt;0,'03_全链计算'!AF70+1,0),IF('01_数值调参'!T46&lt;0,'03_全链计算'!AG70+1,0),IF('01_数值调参'!T47&lt;0,'03_全链计算'!AH70+1,0),IF('01_数值调参'!T48&lt;0,'03_全链计算'!AI70+1,0),IF('01_数值调参'!T49&lt;0,'03_全链计算'!AJ70+1,0),IF('01_数值调参'!T50&lt;0,'03_全链计算'!AK70+1,0),IF('01_数值调参'!T51&lt;0,'03_全链计算'!AL70+1,0),IF('01_数值调参'!T52&lt;0,'03_全链计算'!AM70+1,0))</x:f>
        <x:v>1</x:v>
      </x:c>
      <x:c r="U71" s="9" t="n">
        <x:f>MAX(IF('01_数值调参'!U18&lt;0,'03_全链计算'!E70+1,0),IF('01_数值调参'!U19&lt;0,'03_全链计算'!F70+1,0),IF('01_数值调参'!U20&lt;0,'03_全链计算'!G70+1,0),IF('01_数值调参'!U21&lt;0,'03_全链计算'!H70+1,0),IF('01_数值调参'!U22&lt;0,'03_全链计算'!I70+1,0),IF('01_数值调参'!U23&lt;0,'03_全链计算'!J70+1,0),IF('01_数值调参'!U24&lt;0,'03_全链计算'!K70+1,0),IF('01_数值调参'!U25&lt;0,'03_全链计算'!L70+1,0),IF('01_数值调参'!U26&lt;0,'03_全链计算'!M70+1,0),IF('01_数值调参'!U27&lt;0,'03_全链计算'!N70+1,0),IF('01_数值调参'!U28&lt;0,'03_全链计算'!O70+1,0),IF('01_数值调参'!U29&lt;0,'03_全链计算'!P70+1,0),IF('01_数值调参'!U30&lt;0,'03_全链计算'!Q70+1,0),IF('01_数值调参'!U31&lt;0,'03_全链计算'!R70+1,0),IF('01_数值调参'!U32&lt;0,'03_全链计算'!S70+1,0),IF('01_数值调参'!U33&lt;0,'03_全链计算'!T70+1,0),IF('01_数值调参'!U34&lt;0,'03_全链计算'!U70+1,0),IF('01_数值调参'!U35&lt;0,'03_全链计算'!V70+1,0),IF('01_数值调参'!U36&lt;0,'03_全链计算'!W70+1,0),IF('01_数值调参'!U37&lt;0,'03_全链计算'!X70+1,0),IF('01_数值调参'!U38&lt;0,'03_全链计算'!Y70+1,0),IF('01_数值调参'!U39&lt;0,'03_全链计算'!Z70+1,0),IF('01_数值调参'!U40&lt;0,'03_全链计算'!AA70+1,0),IF('01_数值调参'!U41&lt;0,'03_全链计算'!AB70+1,0),IF('01_数值调参'!U42&lt;0,'03_全链计算'!AC70+1,0),IF('01_数值调参'!U43&lt;0,'03_全链计算'!AD70+1,0),IF('01_数值调参'!U44&lt;0,'03_全链计算'!AE70+1,0),IF('01_数值调参'!U45&lt;0,'03_全链计算'!AF70+1,0),IF('01_数值调参'!U46&lt;0,'03_全链计算'!AG70+1,0),IF('01_数值调参'!U47&lt;0,'03_全链计算'!AH70+1,0),IF('01_数值调参'!U48&lt;0,'03_全链计算'!AI70+1,0),IF('01_数值调参'!U49&lt;0,'03_全链计算'!AJ70+1,0),IF('01_数值调参'!U50&lt;0,'03_全链计算'!AK70+1,0),IF('01_数值调参'!U51&lt;0,'03_全链计算'!AL70+1,0),IF('01_数值调参'!U52&lt;0,'03_全链计算'!AM70+1,0))</x:f>
        <x:v>1</x:v>
      </x:c>
      <x:c r="V71" s="9" t="n">
        <x:f>MAX(IF('01_数值调参'!V18&lt;0,'03_全链计算'!E70+1,0),IF('01_数值调参'!V19&lt;0,'03_全链计算'!F70+1,0),IF('01_数值调参'!V20&lt;0,'03_全链计算'!G70+1,0),IF('01_数值调参'!V21&lt;0,'03_全链计算'!H70+1,0),IF('01_数值调参'!V22&lt;0,'03_全链计算'!I70+1,0),IF('01_数值调参'!V23&lt;0,'03_全链计算'!J70+1,0),IF('01_数值调参'!V24&lt;0,'03_全链计算'!K70+1,0),IF('01_数值调参'!V25&lt;0,'03_全链计算'!L70+1,0),IF('01_数值调参'!V26&lt;0,'03_全链计算'!M70+1,0),IF('01_数值调参'!V27&lt;0,'03_全链计算'!N70+1,0),IF('01_数值调参'!V28&lt;0,'03_全链计算'!O70+1,0),IF('01_数值调参'!V29&lt;0,'03_全链计算'!P70+1,0),IF('01_数值调参'!V30&lt;0,'03_全链计算'!Q70+1,0),IF('01_数值调参'!V31&lt;0,'03_全链计算'!R70+1,0),IF('01_数值调参'!V32&lt;0,'03_全链计算'!S70+1,0),IF('01_数值调参'!V33&lt;0,'03_全链计算'!T70+1,0),IF('01_数值调参'!V34&lt;0,'03_全链计算'!U70+1,0),IF('01_数值调参'!V35&lt;0,'03_全链计算'!V70+1,0),IF('01_数值调参'!V36&lt;0,'03_全链计算'!W70+1,0),IF('01_数值调参'!V37&lt;0,'03_全链计算'!X70+1,0),IF('01_数值调参'!V38&lt;0,'03_全链计算'!Y70+1,0),IF('01_数值调参'!V39&lt;0,'03_全链计算'!Z70+1,0),IF('01_数值调参'!V40&lt;0,'03_全链计算'!AA70+1,0),IF('01_数值调参'!V41&lt;0,'03_全链计算'!AB70+1,0),IF('01_数值调参'!V42&lt;0,'03_全链计算'!AC70+1,0),IF('01_数值调参'!V43&lt;0,'03_全链计算'!AD70+1,0),IF('01_数值调参'!V44&lt;0,'03_全链计算'!AE70+1,0),IF('01_数值调参'!V45&lt;0,'03_全链计算'!AF70+1,0),IF('01_数值调参'!V46&lt;0,'03_全链计算'!AG70+1,0),IF('01_数值调参'!V47&lt;0,'03_全链计算'!AH70+1,0),IF('01_数值调参'!V48&lt;0,'03_全链计算'!AI70+1,0),IF('01_数值调参'!V49&lt;0,'03_全链计算'!AJ70+1,0),IF('01_数值调参'!V50&lt;0,'03_全链计算'!AK70+1,0),IF('01_数值调参'!V51&lt;0,'03_全链计算'!AL70+1,0),IF('01_数值调参'!V52&lt;0,'03_全链计算'!AM70+1,0))</x:f>
        <x:v>1</x:v>
      </x:c>
      <x:c r="W71" s="9" t="n">
        <x:f>MAX(IF('01_数值调参'!W18&lt;0,'03_全链计算'!E70+1,0),IF('01_数值调参'!W19&lt;0,'03_全链计算'!F70+1,0),IF('01_数值调参'!W20&lt;0,'03_全链计算'!G70+1,0),IF('01_数值调参'!W21&lt;0,'03_全链计算'!H70+1,0),IF('01_数值调参'!W22&lt;0,'03_全链计算'!I70+1,0),IF('01_数值调参'!W23&lt;0,'03_全链计算'!J70+1,0),IF('01_数值调参'!W24&lt;0,'03_全链计算'!K70+1,0),IF('01_数值调参'!W25&lt;0,'03_全链计算'!L70+1,0),IF('01_数值调参'!W26&lt;0,'03_全链计算'!M70+1,0),IF('01_数值调参'!W27&lt;0,'03_全链计算'!N70+1,0),IF('01_数值调参'!W28&lt;0,'03_全链计算'!O70+1,0),IF('01_数值调参'!W29&lt;0,'03_全链计算'!P70+1,0),IF('01_数值调参'!W30&lt;0,'03_全链计算'!Q70+1,0),IF('01_数值调参'!W31&lt;0,'03_全链计算'!R70+1,0),IF('01_数值调参'!W32&lt;0,'03_全链计算'!S70+1,0),IF('01_数值调参'!W33&lt;0,'03_全链计算'!T70+1,0),IF('01_数值调参'!W34&lt;0,'03_全链计算'!U70+1,0),IF('01_数值调参'!W35&lt;0,'03_全链计算'!V70+1,0),IF('01_数值调参'!W36&lt;0,'03_全链计算'!W70+1,0),IF('01_数值调参'!W37&lt;0,'03_全链计算'!X70+1,0),IF('01_数值调参'!W38&lt;0,'03_全链计算'!Y70+1,0),IF('01_数值调参'!W39&lt;0,'03_全链计算'!Z70+1,0),IF('01_数值调参'!W40&lt;0,'03_全链计算'!AA70+1,0),IF('01_数值调参'!W41&lt;0,'03_全链计算'!AB70+1,0),IF('01_数值调参'!W42&lt;0,'03_全链计算'!AC70+1,0),IF('01_数值调参'!W43&lt;0,'03_全链计算'!AD70+1,0),IF('01_数值调参'!W44&lt;0,'03_全链计算'!AE70+1,0),IF('01_数值调参'!W45&lt;0,'03_全链计算'!AF70+1,0),IF('01_数值调参'!W46&lt;0,'03_全链计算'!AG70+1,0),IF('01_数值调参'!W47&lt;0,'03_全链计算'!AH70+1,0),IF('01_数值调参'!W48&lt;0,'03_全链计算'!AI70+1,0),IF('01_数值调参'!W49&lt;0,'03_全链计算'!AJ70+1,0),IF('01_数值调参'!W50&lt;0,'03_全链计算'!AK70+1,0),IF('01_数值调参'!W51&lt;0,'03_全链计算'!AL70+1,0),IF('01_数值调参'!W52&lt;0,'03_全链计算'!AM70+1,0))</x:f>
        <x:v>1</x:v>
      </x:c>
      <x:c r="X71" s="9" t="n">
        <x:f>MAX(IF('01_数值调参'!X18&lt;0,'03_全链计算'!E70+1,0),IF('01_数值调参'!X19&lt;0,'03_全链计算'!F70+1,0),IF('01_数值调参'!X20&lt;0,'03_全链计算'!G70+1,0),IF('01_数值调参'!X21&lt;0,'03_全链计算'!H70+1,0),IF('01_数值调参'!X22&lt;0,'03_全链计算'!I70+1,0),IF('01_数值调参'!X23&lt;0,'03_全链计算'!J70+1,0),IF('01_数值调参'!X24&lt;0,'03_全链计算'!K70+1,0),IF('01_数值调参'!X25&lt;0,'03_全链计算'!L70+1,0),IF('01_数值调参'!X26&lt;0,'03_全链计算'!M70+1,0),IF('01_数值调参'!X27&lt;0,'03_全链计算'!N70+1,0),IF('01_数值调参'!X28&lt;0,'03_全链计算'!O70+1,0),IF('01_数值调参'!X29&lt;0,'03_全链计算'!P70+1,0),IF('01_数值调参'!X30&lt;0,'03_全链计算'!Q70+1,0),IF('01_数值调参'!X31&lt;0,'03_全链计算'!R70+1,0),IF('01_数值调参'!X32&lt;0,'03_全链计算'!S70+1,0),IF('01_数值调参'!X33&lt;0,'03_全链计算'!T70+1,0),IF('01_数值调参'!X34&lt;0,'03_全链计算'!U70+1,0),IF('01_数值调参'!X35&lt;0,'03_全链计算'!V70+1,0),IF('01_数值调参'!X36&lt;0,'03_全链计算'!W70+1,0),IF('01_数值调参'!X37&lt;0,'03_全链计算'!X70+1,0),IF('01_数值调参'!X38&lt;0,'03_全链计算'!Y70+1,0),IF('01_数值调参'!X39&lt;0,'03_全链计算'!Z70+1,0),IF('01_数值调参'!X40&lt;0,'03_全链计算'!AA70+1,0),IF('01_数值调参'!X41&lt;0,'03_全链计算'!AB70+1,0),IF('01_数值调参'!X42&lt;0,'03_全链计算'!AC70+1,0),IF('01_数值调参'!X43&lt;0,'03_全链计算'!AD70+1,0),IF('01_数值调参'!X44&lt;0,'03_全链计算'!AE70+1,0),IF('01_数值调参'!X45&lt;0,'03_全链计算'!AF70+1,0),IF('01_数值调参'!X46&lt;0,'03_全链计算'!AG70+1,0),IF('01_数值调参'!X47&lt;0,'03_全链计算'!AH70+1,0),IF('01_数值调参'!X48&lt;0,'03_全链计算'!AI70+1,0),IF('01_数值调参'!X49&lt;0,'03_全链计算'!AJ70+1,0),IF('01_数值调参'!X50&lt;0,'03_全链计算'!AK70+1,0),IF('01_数值调参'!X51&lt;0,'03_全链计算'!AL70+1,0),IF('01_数值调参'!X52&lt;0,'03_全链计算'!AM70+1,0))</x:f>
        <x:v>2</x:v>
      </x:c>
      <x:c r="Y71" s="9" t="n">
        <x:f>MAX(IF('01_数值调参'!Y18&lt;0,'03_全链计算'!E70+1,0),IF('01_数值调参'!Y19&lt;0,'03_全链计算'!F70+1,0),IF('01_数值调参'!Y20&lt;0,'03_全链计算'!G70+1,0),IF('01_数值调参'!Y21&lt;0,'03_全链计算'!H70+1,0),IF('01_数值调参'!Y22&lt;0,'03_全链计算'!I70+1,0),IF('01_数值调参'!Y23&lt;0,'03_全链计算'!J70+1,0),IF('01_数值调参'!Y24&lt;0,'03_全链计算'!K70+1,0),IF('01_数值调参'!Y25&lt;0,'03_全链计算'!L70+1,0),IF('01_数值调参'!Y26&lt;0,'03_全链计算'!M70+1,0),IF('01_数值调参'!Y27&lt;0,'03_全链计算'!N70+1,0),IF('01_数值调参'!Y28&lt;0,'03_全链计算'!O70+1,0),IF('01_数值调参'!Y29&lt;0,'03_全链计算'!P70+1,0),IF('01_数值调参'!Y30&lt;0,'03_全链计算'!Q70+1,0),IF('01_数值调参'!Y31&lt;0,'03_全链计算'!R70+1,0),IF('01_数值调参'!Y32&lt;0,'03_全链计算'!S70+1,0),IF('01_数值调参'!Y33&lt;0,'03_全链计算'!T70+1,0),IF('01_数值调参'!Y34&lt;0,'03_全链计算'!U70+1,0),IF('01_数值调参'!Y35&lt;0,'03_全链计算'!V70+1,0),IF('01_数值调参'!Y36&lt;0,'03_全链计算'!W70+1,0),IF('01_数值调参'!Y37&lt;0,'03_全链计算'!X70+1,0),IF('01_数值调参'!Y38&lt;0,'03_全链计算'!Y70+1,0),IF('01_数值调参'!Y39&lt;0,'03_全链计算'!Z70+1,0),IF('01_数值调参'!Y40&lt;0,'03_全链计算'!AA70+1,0),IF('01_数值调参'!Y41&lt;0,'03_全链计算'!AB70+1,0),IF('01_数值调参'!Y42&lt;0,'03_全链计算'!AC70+1,0),IF('01_数值调参'!Y43&lt;0,'03_全链计算'!AD70+1,0),IF('01_数值调参'!Y44&lt;0,'03_全链计算'!AE70+1,0),IF('01_数值调参'!Y45&lt;0,'03_全链计算'!AF70+1,0),IF('01_数值调参'!Y46&lt;0,'03_全链计算'!AG70+1,0),IF('01_数值调参'!Y47&lt;0,'03_全链计算'!AH70+1,0),IF('01_数值调参'!Y48&lt;0,'03_全链计算'!AI70+1,0),IF('01_数值调参'!Y49&lt;0,'03_全链计算'!AJ70+1,0),IF('01_数值调参'!Y50&lt;0,'03_全链计算'!AK70+1,0),IF('01_数值调参'!Y51&lt;0,'03_全链计算'!AL70+1,0),IF('01_数值调参'!Y52&lt;0,'03_全链计算'!AM70+1,0))</x:f>
        <x:v>2</x:v>
      </x:c>
      <x:c r="Z71" s="9" t="n">
        <x:f>MAX(IF('01_数值调参'!Z18&lt;0,'03_全链计算'!E70+1,0),IF('01_数值调参'!Z19&lt;0,'03_全链计算'!F70+1,0),IF('01_数值调参'!Z20&lt;0,'03_全链计算'!G70+1,0),IF('01_数值调参'!Z21&lt;0,'03_全链计算'!H70+1,0),IF('01_数值调参'!Z22&lt;0,'03_全链计算'!I70+1,0),IF('01_数值调参'!Z23&lt;0,'03_全链计算'!J70+1,0),IF('01_数值调参'!Z24&lt;0,'03_全链计算'!K70+1,0),IF('01_数值调参'!Z25&lt;0,'03_全链计算'!L70+1,0),IF('01_数值调参'!Z26&lt;0,'03_全链计算'!M70+1,0),IF('01_数值调参'!Z27&lt;0,'03_全链计算'!N70+1,0),IF('01_数值调参'!Z28&lt;0,'03_全链计算'!O70+1,0),IF('01_数值调参'!Z29&lt;0,'03_全链计算'!P70+1,0),IF('01_数值调参'!Z30&lt;0,'03_全链计算'!Q70+1,0),IF('01_数值调参'!Z31&lt;0,'03_全链计算'!R70+1,0),IF('01_数值调参'!Z32&lt;0,'03_全链计算'!S70+1,0),IF('01_数值调参'!Z33&lt;0,'03_全链计算'!T70+1,0),IF('01_数值调参'!Z34&lt;0,'03_全链计算'!U70+1,0),IF('01_数值调参'!Z35&lt;0,'03_全链计算'!V70+1,0),IF('01_数值调参'!Z36&lt;0,'03_全链计算'!W70+1,0),IF('01_数值调参'!Z37&lt;0,'03_全链计算'!X70+1,0),IF('01_数值调参'!Z38&lt;0,'03_全链计算'!Y70+1,0),IF('01_数值调参'!Z39&lt;0,'03_全链计算'!Z70+1,0),IF('01_数值调参'!Z40&lt;0,'03_全链计算'!AA70+1,0),IF('01_数值调参'!Z41&lt;0,'03_全链计算'!AB70+1,0),IF('01_数值调参'!Z42&lt;0,'03_全链计算'!AC70+1,0),IF('01_数值调参'!Z43&lt;0,'03_全链计算'!AD70+1,0),IF('01_数值调参'!Z44&lt;0,'03_全链计算'!AE70+1,0),IF('01_数值调参'!Z45&lt;0,'03_全链计算'!AF70+1,0),IF('01_数值调参'!Z46&lt;0,'03_全链计算'!AG70+1,0),IF('01_数值调参'!Z47&lt;0,'03_全链计算'!AH70+1,0),IF('01_数值调参'!Z48&lt;0,'03_全链计算'!AI70+1,0),IF('01_数值调参'!Z49&lt;0,'03_全链计算'!AJ70+1,0),IF('01_数值调参'!Z50&lt;0,'03_全链计算'!AK70+1,0),IF('01_数值调参'!Z51&lt;0,'03_全链计算'!AL70+1,0),IF('01_数值调参'!Z52&lt;0,'03_全链计算'!AM70+1,0))</x:f>
        <x:v>2</x:v>
      </x:c>
      <x:c r="AA71" s="9" t="n">
        <x:f>MAX(IF('01_数值调参'!AA18&lt;0,'03_全链计算'!E70+1,0),IF('01_数值调参'!AA19&lt;0,'03_全链计算'!F70+1,0),IF('01_数值调参'!AA20&lt;0,'03_全链计算'!G70+1,0),IF('01_数值调参'!AA21&lt;0,'03_全链计算'!H70+1,0),IF('01_数值调参'!AA22&lt;0,'03_全链计算'!I70+1,0),IF('01_数值调参'!AA23&lt;0,'03_全链计算'!J70+1,0),IF('01_数值调参'!AA24&lt;0,'03_全链计算'!K70+1,0),IF('01_数值调参'!AA25&lt;0,'03_全链计算'!L70+1,0),IF('01_数值调参'!AA26&lt;0,'03_全链计算'!M70+1,0),IF('01_数值调参'!AA27&lt;0,'03_全链计算'!N70+1,0),IF('01_数值调参'!AA28&lt;0,'03_全链计算'!O70+1,0),IF('01_数值调参'!AA29&lt;0,'03_全链计算'!P70+1,0),IF('01_数值调参'!AA30&lt;0,'03_全链计算'!Q70+1,0),IF('01_数值调参'!AA31&lt;0,'03_全链计算'!R70+1,0),IF('01_数值调参'!AA32&lt;0,'03_全链计算'!S70+1,0),IF('01_数值调参'!AA33&lt;0,'03_全链计算'!T70+1,0),IF('01_数值调参'!AA34&lt;0,'03_全链计算'!U70+1,0),IF('01_数值调参'!AA35&lt;0,'03_全链计算'!V70+1,0),IF('01_数值调参'!AA36&lt;0,'03_全链计算'!W70+1,0),IF('01_数值调参'!AA37&lt;0,'03_全链计算'!X70+1,0),IF('01_数值调参'!AA38&lt;0,'03_全链计算'!Y70+1,0),IF('01_数值调参'!AA39&lt;0,'03_全链计算'!Z70+1,0),IF('01_数值调参'!AA40&lt;0,'03_全链计算'!AA70+1,0),IF('01_数值调参'!AA41&lt;0,'03_全链计算'!AB70+1,0),IF('01_数值调参'!AA42&lt;0,'03_全链计算'!AC70+1,0),IF('01_数值调参'!AA43&lt;0,'03_全链计算'!AD70+1,0),IF('01_数值调参'!AA44&lt;0,'03_全链计算'!AE70+1,0),IF('01_数值调参'!AA45&lt;0,'03_全链计算'!AF70+1,0),IF('01_数值调参'!AA46&lt;0,'03_全链计算'!AG70+1,0),IF('01_数值调参'!AA47&lt;0,'03_全链计算'!AH70+1,0),IF('01_数值调参'!AA48&lt;0,'03_全链计算'!AI70+1,0),IF('01_数值调参'!AA49&lt;0,'03_全链计算'!AJ70+1,0),IF('01_数值调参'!AA50&lt;0,'03_全链计算'!AK70+1,0),IF('01_数值调参'!AA51&lt;0,'03_全链计算'!AL70+1,0),IF('01_数值调参'!AA52&lt;0,'03_全链计算'!AM70+1,0))</x:f>
        <x:v>2</x:v>
      </x:c>
      <x:c r="AB71" s="9" t="n">
        <x:f>MAX(IF('01_数值调参'!AB18&lt;0,'03_全链计算'!E70+1,0),IF('01_数值调参'!AB19&lt;0,'03_全链计算'!F70+1,0),IF('01_数值调参'!AB20&lt;0,'03_全链计算'!G70+1,0),IF('01_数值调参'!AB21&lt;0,'03_全链计算'!H70+1,0),IF('01_数值调参'!AB22&lt;0,'03_全链计算'!I70+1,0),IF('01_数值调参'!AB23&lt;0,'03_全链计算'!J70+1,0),IF('01_数值调参'!AB24&lt;0,'03_全链计算'!K70+1,0),IF('01_数值调参'!AB25&lt;0,'03_全链计算'!L70+1,0),IF('01_数值调参'!AB26&lt;0,'03_全链计算'!M70+1,0),IF('01_数值调参'!AB27&lt;0,'03_全链计算'!N70+1,0),IF('01_数值调参'!AB28&lt;0,'03_全链计算'!O70+1,0),IF('01_数值调参'!AB29&lt;0,'03_全链计算'!P70+1,0),IF('01_数值调参'!AB30&lt;0,'03_全链计算'!Q70+1,0),IF('01_数值调参'!AB31&lt;0,'03_全链计算'!R70+1,0),IF('01_数值调参'!AB32&lt;0,'03_全链计算'!S70+1,0),IF('01_数值调参'!AB33&lt;0,'03_全链计算'!T70+1,0),IF('01_数值调参'!AB34&lt;0,'03_全链计算'!U70+1,0),IF('01_数值调参'!AB35&lt;0,'03_全链计算'!V70+1,0),IF('01_数值调参'!AB36&lt;0,'03_全链计算'!W70+1,0),IF('01_数值调参'!AB37&lt;0,'03_全链计算'!X70+1,0),IF('01_数值调参'!AB38&lt;0,'03_全链计算'!Y70+1,0),IF('01_数值调参'!AB39&lt;0,'03_全链计算'!Z70+1,0),IF('01_数值调参'!AB40&lt;0,'03_全链计算'!AA70+1,0),IF('01_数值调参'!AB41&lt;0,'03_全链计算'!AB70+1,0),IF('01_数值调参'!AB42&lt;0,'03_全链计算'!AC70+1,0),IF('01_数值调参'!AB43&lt;0,'03_全链计算'!AD70+1,0),IF('01_数值调参'!AB44&lt;0,'03_全链计算'!AE70+1,0),IF('01_数值调参'!AB45&lt;0,'03_全链计算'!AF70+1,0),IF('01_数值调参'!AB46&lt;0,'03_全链计算'!AG70+1,0),IF('01_数值调参'!AB47&lt;0,'03_全链计算'!AH70+1,0),IF('01_数值调参'!AB48&lt;0,'03_全链计算'!AI70+1,0),IF('01_数值调参'!AB49&lt;0,'03_全链计算'!AJ70+1,0),IF('01_数值调参'!AB50&lt;0,'03_全链计算'!AK70+1,0),IF('01_数值调参'!AB51&lt;0,'03_全链计算'!AL70+1,0),IF('01_数值调参'!AB52&lt;0,'03_全链计算'!AM70+1,0))</x:f>
        <x:v>2</x:v>
      </x:c>
      <x:c r="AC71" s="9" t="n">
        <x:f>MAX(IF('01_数值调参'!AC18&lt;0,'03_全链计算'!E70+1,0),IF('01_数值调参'!AC19&lt;0,'03_全链计算'!F70+1,0),IF('01_数值调参'!AC20&lt;0,'03_全链计算'!G70+1,0),IF('01_数值调参'!AC21&lt;0,'03_全链计算'!H70+1,0),IF('01_数值调参'!AC22&lt;0,'03_全链计算'!I70+1,0),IF('01_数值调参'!AC23&lt;0,'03_全链计算'!J70+1,0),IF('01_数值调参'!AC24&lt;0,'03_全链计算'!K70+1,0),IF('01_数值调参'!AC25&lt;0,'03_全链计算'!L70+1,0),IF('01_数值调参'!AC26&lt;0,'03_全链计算'!M70+1,0),IF('01_数值调参'!AC27&lt;0,'03_全链计算'!N70+1,0),IF('01_数值调参'!AC28&lt;0,'03_全链计算'!O70+1,0),IF('01_数值调参'!AC29&lt;0,'03_全链计算'!P70+1,0),IF('01_数值调参'!AC30&lt;0,'03_全链计算'!Q70+1,0),IF('01_数值调参'!AC31&lt;0,'03_全链计算'!R70+1,0),IF('01_数值调参'!AC32&lt;0,'03_全链计算'!S70+1,0),IF('01_数值调参'!AC33&lt;0,'03_全链计算'!T70+1,0),IF('01_数值调参'!AC34&lt;0,'03_全链计算'!U70+1,0),IF('01_数值调参'!AC35&lt;0,'03_全链计算'!V70+1,0),IF('01_数值调参'!AC36&lt;0,'03_全链计算'!W70+1,0),IF('01_数值调参'!AC37&lt;0,'03_全链计算'!X70+1,0),IF('01_数值调参'!AC38&lt;0,'03_全链计算'!Y70+1,0),IF('01_数值调参'!AC39&lt;0,'03_全链计算'!Z70+1,0),IF('01_数值调参'!AC40&lt;0,'03_全链计算'!AA70+1,0),IF('01_数值调参'!AC41&lt;0,'03_全链计算'!AB70+1,0),IF('01_数值调参'!AC42&lt;0,'03_全链计算'!AC70+1,0),IF('01_数值调参'!AC43&lt;0,'03_全链计算'!AD70+1,0),IF('01_数值调参'!AC44&lt;0,'03_全链计算'!AE70+1,0),IF('01_数值调参'!AC45&lt;0,'03_全链计算'!AF70+1,0),IF('01_数值调参'!AC46&lt;0,'03_全链计算'!AG70+1,0),IF('01_数值调参'!AC47&lt;0,'03_全链计算'!AH70+1,0),IF('01_数值调参'!AC48&lt;0,'03_全链计算'!AI70+1,0),IF('01_数值调参'!AC49&lt;0,'03_全链计算'!AJ70+1,0),IF('01_数值调参'!AC50&lt;0,'03_全链计算'!AK70+1,0),IF('01_数值调参'!AC51&lt;0,'03_全链计算'!AL70+1,0),IF('01_数值调参'!AC52&lt;0,'03_全链计算'!AM70+1,0))</x:f>
        <x:v>2</x:v>
      </x:c>
      <x:c r="AD71" s="9" t="n">
        <x:f>MAX(IF('01_数值调参'!AD18&lt;0,'03_全链计算'!E70+1,0),IF('01_数值调参'!AD19&lt;0,'03_全链计算'!F70+1,0),IF('01_数值调参'!AD20&lt;0,'03_全链计算'!G70+1,0),IF('01_数值调参'!AD21&lt;0,'03_全链计算'!H70+1,0),IF('01_数值调参'!AD22&lt;0,'03_全链计算'!I70+1,0),IF('01_数值调参'!AD23&lt;0,'03_全链计算'!J70+1,0),IF('01_数值调参'!AD24&lt;0,'03_全链计算'!K70+1,0),IF('01_数值调参'!AD25&lt;0,'03_全链计算'!L70+1,0),IF('01_数值调参'!AD26&lt;0,'03_全链计算'!M70+1,0),IF('01_数值调参'!AD27&lt;0,'03_全链计算'!N70+1,0),IF('01_数值调参'!AD28&lt;0,'03_全链计算'!O70+1,0),IF('01_数值调参'!AD29&lt;0,'03_全链计算'!P70+1,0),IF('01_数值调参'!AD30&lt;0,'03_全链计算'!Q70+1,0),IF('01_数值调参'!AD31&lt;0,'03_全链计算'!R70+1,0),IF('01_数值调参'!AD32&lt;0,'03_全链计算'!S70+1,0),IF('01_数值调参'!AD33&lt;0,'03_全链计算'!T70+1,0),IF('01_数值调参'!AD34&lt;0,'03_全链计算'!U70+1,0),IF('01_数值调参'!AD35&lt;0,'03_全链计算'!V70+1,0),IF('01_数值调参'!AD36&lt;0,'03_全链计算'!W70+1,0),IF('01_数值调参'!AD37&lt;0,'03_全链计算'!X70+1,0),IF('01_数值调参'!AD38&lt;0,'03_全链计算'!Y70+1,0),IF('01_数值调参'!AD39&lt;0,'03_全链计算'!Z70+1,0),IF('01_数值调参'!AD40&lt;0,'03_全链计算'!AA70+1,0),IF('01_数值调参'!AD41&lt;0,'03_全链计算'!AB70+1,0),IF('01_数值调参'!AD42&lt;0,'03_全链计算'!AC70+1,0),IF('01_数值调参'!AD43&lt;0,'03_全链计算'!AD70+1,0),IF('01_数值调参'!AD44&lt;0,'03_全链计算'!AE70+1,0),IF('01_数值调参'!AD45&lt;0,'03_全链计算'!AF70+1,0),IF('01_数值调参'!AD46&lt;0,'03_全链计算'!AG70+1,0),IF('01_数值调参'!AD47&lt;0,'03_全链计算'!AH70+1,0),IF('01_数值调参'!AD48&lt;0,'03_全链计算'!AI70+1,0),IF('01_数值调参'!AD49&lt;0,'03_全链计算'!AJ70+1,0),IF('01_数值调参'!AD50&lt;0,'03_全链计算'!AK70+1,0),IF('01_数值调参'!AD51&lt;0,'03_全链计算'!AL70+1,0),IF('01_数值调参'!AD52&lt;0,'03_全链计算'!AM70+1,0))</x:f>
        <x:v>1</x:v>
      </x:c>
      <x:c r="AE71" s="9" t="n">
        <x:f>MAX(IF('01_数值调参'!AE18&lt;0,'03_全链计算'!E70+1,0),IF('01_数值调参'!AE19&lt;0,'03_全链计算'!F70+1,0),IF('01_数值调参'!AE20&lt;0,'03_全链计算'!G70+1,0),IF('01_数值调参'!AE21&lt;0,'03_全链计算'!H70+1,0),IF('01_数值调参'!AE22&lt;0,'03_全链计算'!I70+1,0),IF('01_数值调参'!AE23&lt;0,'03_全链计算'!J70+1,0),IF('01_数值调参'!AE24&lt;0,'03_全链计算'!K70+1,0),IF('01_数值调参'!AE25&lt;0,'03_全链计算'!L70+1,0),IF('01_数值调参'!AE26&lt;0,'03_全链计算'!M70+1,0),IF('01_数值调参'!AE27&lt;0,'03_全链计算'!N70+1,0),IF('01_数值调参'!AE28&lt;0,'03_全链计算'!O70+1,0),IF('01_数值调参'!AE29&lt;0,'03_全链计算'!P70+1,0),IF('01_数值调参'!AE30&lt;0,'03_全链计算'!Q70+1,0),IF('01_数值调参'!AE31&lt;0,'03_全链计算'!R70+1,0),IF('01_数值调参'!AE32&lt;0,'03_全链计算'!S70+1,0),IF('01_数值调参'!AE33&lt;0,'03_全链计算'!T70+1,0),IF('01_数值调参'!AE34&lt;0,'03_全链计算'!U70+1,0),IF('01_数值调参'!AE35&lt;0,'03_全链计算'!V70+1,0),IF('01_数值调参'!AE36&lt;0,'03_全链计算'!W70+1,0),IF('01_数值调参'!AE37&lt;0,'03_全链计算'!X70+1,0),IF('01_数值调参'!AE38&lt;0,'03_全链计算'!Y70+1,0),IF('01_数值调参'!AE39&lt;0,'03_全链计算'!Z70+1,0),IF('01_数值调参'!AE40&lt;0,'03_全链计算'!AA70+1,0),IF('01_数值调参'!AE41&lt;0,'03_全链计算'!AB70+1,0),IF('01_数值调参'!AE42&lt;0,'03_全链计算'!AC70+1,0),IF('01_数值调参'!AE43&lt;0,'03_全链计算'!AD70+1,0),IF('01_数值调参'!AE44&lt;0,'03_全链计算'!AE70+1,0),IF('01_数值调参'!AE45&lt;0,'03_全链计算'!AF70+1,0),IF('01_数值调参'!AE46&lt;0,'03_全链计算'!AG70+1,0),IF('01_数值调参'!AE47&lt;0,'03_全链计算'!AH70+1,0),IF('01_数值调参'!AE48&lt;0,'03_全链计算'!AI70+1,0),IF('01_数值调参'!AE49&lt;0,'03_全链计算'!AJ70+1,0),IF('01_数值调参'!AE50&lt;0,'03_全链计算'!AK70+1,0),IF('01_数值调参'!AE51&lt;0,'03_全链计算'!AL70+1,0),IF('01_数值调参'!AE52&lt;0,'03_全链计算'!AM70+1,0))</x:f>
        <x:v>1</x:v>
      </x:c>
      <x:c r="AF71" s="9" t="n">
        <x:f>MAX(IF('01_数值调参'!AF18&lt;0,'03_全链计算'!E70+1,0),IF('01_数值调参'!AF19&lt;0,'03_全链计算'!F70+1,0),IF('01_数值调参'!AF20&lt;0,'03_全链计算'!G70+1,0),IF('01_数值调参'!AF21&lt;0,'03_全链计算'!H70+1,0),IF('01_数值调参'!AF22&lt;0,'03_全链计算'!I70+1,0),IF('01_数值调参'!AF23&lt;0,'03_全链计算'!J70+1,0),IF('01_数值调参'!AF24&lt;0,'03_全链计算'!K70+1,0),IF('01_数值调参'!AF25&lt;0,'03_全链计算'!L70+1,0),IF('01_数值调参'!AF26&lt;0,'03_全链计算'!M70+1,0),IF('01_数值调参'!AF27&lt;0,'03_全链计算'!N70+1,0),IF('01_数值调参'!AF28&lt;0,'03_全链计算'!O70+1,0),IF('01_数值调参'!AF29&lt;0,'03_全链计算'!P70+1,0),IF('01_数值调参'!AF30&lt;0,'03_全链计算'!Q70+1,0),IF('01_数值调参'!AF31&lt;0,'03_全链计算'!R70+1,0),IF('01_数值调参'!AF32&lt;0,'03_全链计算'!S70+1,0),IF('01_数值调参'!AF33&lt;0,'03_全链计算'!T70+1,0),IF('01_数值调参'!AF34&lt;0,'03_全链计算'!U70+1,0),IF('01_数值调参'!AF35&lt;0,'03_全链计算'!V70+1,0),IF('01_数值调参'!AF36&lt;0,'03_全链计算'!W70+1,0),IF('01_数值调参'!AF37&lt;0,'03_全链计算'!X70+1,0),IF('01_数值调参'!AF38&lt;0,'03_全链计算'!Y70+1,0),IF('01_数值调参'!AF39&lt;0,'03_全链计算'!Z70+1,0),IF('01_数值调参'!AF40&lt;0,'03_全链计算'!AA70+1,0),IF('01_数值调参'!AF41&lt;0,'03_全链计算'!AB70+1,0),IF('01_数值调参'!AF42&lt;0,'03_全链计算'!AC70+1,0),IF('01_数值调参'!AF43&lt;0,'03_全链计算'!AD70+1,0),IF('01_数值调参'!AF44&lt;0,'03_全链计算'!AE70+1,0),IF('01_数值调参'!AF45&lt;0,'03_全链计算'!AF70+1,0),IF('01_数值调参'!AF46&lt;0,'03_全链计算'!AG70+1,0),IF('01_数值调参'!AF47&lt;0,'03_全链计算'!AH70+1,0),IF('01_数值调参'!AF48&lt;0,'03_全链计算'!AI70+1,0),IF('01_数值调参'!AF49&lt;0,'03_全链计算'!AJ70+1,0),IF('01_数值调参'!AF50&lt;0,'03_全链计算'!AK70+1,0),IF('01_数值调参'!AF51&lt;0,'03_全链计算'!AL70+1,0),IF('01_数值调参'!AF52&lt;0,'03_全链计算'!AM70+1,0))</x:f>
        <x:v>1</x:v>
      </x:c>
      <x:c r="AG71" s="9" t="n">
        <x:f>MAX(IF('01_数值调参'!AG18&lt;0,'03_全链计算'!E70+1,0),IF('01_数值调参'!AG19&lt;0,'03_全链计算'!F70+1,0),IF('01_数值调参'!AG20&lt;0,'03_全链计算'!G70+1,0),IF('01_数值调参'!AG21&lt;0,'03_全链计算'!H70+1,0),IF('01_数值调参'!AG22&lt;0,'03_全链计算'!I70+1,0),IF('01_数值调参'!AG23&lt;0,'03_全链计算'!J70+1,0),IF('01_数值调参'!AG24&lt;0,'03_全链计算'!K70+1,0),IF('01_数值调参'!AG25&lt;0,'03_全链计算'!L70+1,0),IF('01_数值调参'!AG26&lt;0,'03_全链计算'!M70+1,0),IF('01_数值调参'!AG27&lt;0,'03_全链计算'!N70+1,0),IF('01_数值调参'!AG28&lt;0,'03_全链计算'!O70+1,0),IF('01_数值调参'!AG29&lt;0,'03_全链计算'!P70+1,0),IF('01_数值调参'!AG30&lt;0,'03_全链计算'!Q70+1,0),IF('01_数值调参'!AG31&lt;0,'03_全链计算'!R70+1,0),IF('01_数值调参'!AG32&lt;0,'03_全链计算'!S70+1,0),IF('01_数值调参'!AG33&lt;0,'03_全链计算'!T70+1,0),IF('01_数值调参'!AG34&lt;0,'03_全链计算'!U70+1,0),IF('01_数值调参'!AG35&lt;0,'03_全链计算'!V70+1,0),IF('01_数值调参'!AG36&lt;0,'03_全链计算'!W70+1,0),IF('01_数值调参'!AG37&lt;0,'03_全链计算'!X70+1,0),IF('01_数值调参'!AG38&lt;0,'03_全链计算'!Y70+1,0),IF('01_数值调参'!AG39&lt;0,'03_全链计算'!Z70+1,0),IF('01_数值调参'!AG40&lt;0,'03_全链计算'!AA70+1,0),IF('01_数值调参'!AG41&lt;0,'03_全链计算'!AB70+1,0),IF('01_数值调参'!AG42&lt;0,'03_全链计算'!AC70+1,0),IF('01_数值调参'!AG43&lt;0,'03_全链计算'!AD70+1,0),IF('01_数值调参'!AG44&lt;0,'03_全链计算'!AE70+1,0),IF('01_数值调参'!AG45&lt;0,'03_全链计算'!AF70+1,0),IF('01_数值调参'!AG46&lt;0,'03_全链计算'!AG70+1,0),IF('01_数值调参'!AG47&lt;0,'03_全链计算'!AH70+1,0),IF('01_数值调参'!AG48&lt;0,'03_全链计算'!AI70+1,0),IF('01_数值调参'!AG49&lt;0,'03_全链计算'!AJ70+1,0),IF('01_数值调参'!AG50&lt;0,'03_全链计算'!AK70+1,0),IF('01_数值调参'!AG51&lt;0,'03_全链计算'!AL70+1,0),IF('01_数值调参'!AG52&lt;0,'03_全链计算'!AM70+1,0))</x:f>
        <x:v>1</x:v>
      </x:c>
      <x:c r="AH71" s="9" t="n">
        <x:f>MAX(IF('01_数值调参'!AH18&lt;0,'03_全链计算'!E70+1,0),IF('01_数值调参'!AH19&lt;0,'03_全链计算'!F70+1,0),IF('01_数值调参'!AH20&lt;0,'03_全链计算'!G70+1,0),IF('01_数值调参'!AH21&lt;0,'03_全链计算'!H70+1,0),IF('01_数值调参'!AH22&lt;0,'03_全链计算'!I70+1,0),IF('01_数值调参'!AH23&lt;0,'03_全链计算'!J70+1,0),IF('01_数值调参'!AH24&lt;0,'03_全链计算'!K70+1,0),IF('01_数值调参'!AH25&lt;0,'03_全链计算'!L70+1,0),IF('01_数值调参'!AH26&lt;0,'03_全链计算'!M70+1,0),IF('01_数值调参'!AH27&lt;0,'03_全链计算'!N70+1,0),IF('01_数值调参'!AH28&lt;0,'03_全链计算'!O70+1,0),IF('01_数值调参'!AH29&lt;0,'03_全链计算'!P70+1,0),IF('01_数值调参'!AH30&lt;0,'03_全链计算'!Q70+1,0),IF('01_数值调参'!AH31&lt;0,'03_全链计算'!R70+1,0),IF('01_数值调参'!AH32&lt;0,'03_全链计算'!S70+1,0),IF('01_数值调参'!AH33&lt;0,'03_全链计算'!T70+1,0),IF('01_数值调参'!AH34&lt;0,'03_全链计算'!U70+1,0),IF('01_数值调参'!AH35&lt;0,'03_全链计算'!V70+1,0),IF('01_数值调参'!AH36&lt;0,'03_全链计算'!W70+1,0),IF('01_数值调参'!AH37&lt;0,'03_全链计算'!X70+1,0),IF('01_数值调参'!AH38&lt;0,'03_全链计算'!Y70+1,0),IF('01_数值调参'!AH39&lt;0,'03_全链计算'!Z70+1,0),IF('01_数值调参'!AH40&lt;0,'03_全链计算'!AA70+1,0),IF('01_数值调参'!AH41&lt;0,'03_全链计算'!AB70+1,0),IF('01_数值调参'!AH42&lt;0,'03_全链计算'!AC70+1,0),IF('01_数值调参'!AH43&lt;0,'03_全链计算'!AD70+1,0),IF('01_数值调参'!AH44&lt;0,'03_全链计算'!AE70+1,0),IF('01_数值调参'!AH45&lt;0,'03_全链计算'!AF70+1,0),IF('01_数值调参'!AH46&lt;0,'03_全链计算'!AG70+1,0),IF('01_数值调参'!AH47&lt;0,'03_全链计算'!AH70+1,0),IF('01_数值调参'!AH48&lt;0,'03_全链计算'!AI70+1,0),IF('01_数值调参'!AH49&lt;0,'03_全链计算'!AJ70+1,0),IF('01_数值调参'!AH50&lt;0,'03_全链计算'!AK70+1,0),IF('01_数值调参'!AH51&lt;0,'03_全链计算'!AL70+1,0),IF('01_数值调参'!AH52&lt;0,'03_全链计算'!AM70+1,0))</x:f>
        <x:v>2</x:v>
      </x:c>
      <x:c r="AI71" s="9" t="n">
        <x:f>MAX(IF('01_数值调参'!AI18&lt;0,'03_全链计算'!E70+1,0),IF('01_数值调参'!AI19&lt;0,'03_全链计算'!F70+1,0),IF('01_数值调参'!AI20&lt;0,'03_全链计算'!G70+1,0),IF('01_数值调参'!AI21&lt;0,'03_全链计算'!H70+1,0),IF('01_数值调参'!AI22&lt;0,'03_全链计算'!I70+1,0),IF('01_数值调参'!AI23&lt;0,'03_全链计算'!J70+1,0),IF('01_数值调参'!AI24&lt;0,'03_全链计算'!K70+1,0),IF('01_数值调参'!AI25&lt;0,'03_全链计算'!L70+1,0),IF('01_数值调参'!AI26&lt;0,'03_全链计算'!M70+1,0),IF('01_数值调参'!AI27&lt;0,'03_全链计算'!N70+1,0),IF('01_数值调参'!AI28&lt;0,'03_全链计算'!O70+1,0),IF('01_数值调参'!AI29&lt;0,'03_全链计算'!P70+1,0),IF('01_数值调参'!AI30&lt;0,'03_全链计算'!Q70+1,0),IF('01_数值调参'!AI31&lt;0,'03_全链计算'!R70+1,0),IF('01_数值调参'!AI32&lt;0,'03_全链计算'!S70+1,0),IF('01_数值调参'!AI33&lt;0,'03_全链计算'!T70+1,0),IF('01_数值调参'!AI34&lt;0,'03_全链计算'!U70+1,0),IF('01_数值调参'!AI35&lt;0,'03_全链计算'!V70+1,0),IF('01_数值调参'!AI36&lt;0,'03_全链计算'!W70+1,0),IF('01_数值调参'!AI37&lt;0,'03_全链计算'!X70+1,0),IF('01_数值调参'!AI38&lt;0,'03_全链计算'!Y70+1,0),IF('01_数值调参'!AI39&lt;0,'03_全链计算'!Z70+1,0),IF('01_数值调参'!AI40&lt;0,'03_全链计算'!AA70+1,0),IF('01_数值调参'!AI41&lt;0,'03_全链计算'!AB70+1,0),IF('01_数值调参'!AI42&lt;0,'03_全链计算'!AC70+1,0),IF('01_数值调参'!AI43&lt;0,'03_全链计算'!AD70+1,0),IF('01_数值调参'!AI44&lt;0,'03_全链计算'!AE70+1,0),IF('01_数值调参'!AI45&lt;0,'03_全链计算'!AF70+1,0),IF('01_数值调参'!AI46&lt;0,'03_全链计算'!AG70+1,0),IF('01_数值调参'!AI47&lt;0,'03_全链计算'!AH70+1,0),IF('01_数值调参'!AI48&lt;0,'03_全链计算'!AI70+1,0),IF('01_数值调参'!AI49&lt;0,'03_全链计算'!AJ70+1,0),IF('01_数值调参'!AI50&lt;0,'03_全链计算'!AK70+1,0),IF('01_数值调参'!AI51&lt;0,'03_全链计算'!AL70+1,0),IF('01_数值调参'!AI52&lt;0,'03_全链计算'!AM70+1,0))</x:f>
        <x:v>2</x:v>
      </x:c>
      <x:c r="AJ71" s="9" t="n">
        <x:f>MAX(IF('01_数值调参'!AJ18&lt;0,'03_全链计算'!E70+1,0),IF('01_数值调参'!AJ19&lt;0,'03_全链计算'!F70+1,0),IF('01_数值调参'!AJ20&lt;0,'03_全链计算'!G70+1,0),IF('01_数值调参'!AJ21&lt;0,'03_全链计算'!H70+1,0),IF('01_数值调参'!AJ22&lt;0,'03_全链计算'!I70+1,0),IF('01_数值调参'!AJ23&lt;0,'03_全链计算'!J70+1,0),IF('01_数值调参'!AJ24&lt;0,'03_全链计算'!K70+1,0),IF('01_数值调参'!AJ25&lt;0,'03_全链计算'!L70+1,0),IF('01_数值调参'!AJ26&lt;0,'03_全链计算'!M70+1,0),IF('01_数值调参'!AJ27&lt;0,'03_全链计算'!N70+1,0),IF('01_数值调参'!AJ28&lt;0,'03_全链计算'!O70+1,0),IF('01_数值调参'!AJ29&lt;0,'03_全链计算'!P70+1,0),IF('01_数值调参'!AJ30&lt;0,'03_全链计算'!Q70+1,0),IF('01_数值调参'!AJ31&lt;0,'03_全链计算'!R70+1,0),IF('01_数值调参'!AJ32&lt;0,'03_全链计算'!S70+1,0),IF('01_数值调参'!AJ33&lt;0,'03_全链计算'!T70+1,0),IF('01_数值调参'!AJ34&lt;0,'03_全链计算'!U70+1,0),IF('01_数值调参'!AJ35&lt;0,'03_全链计算'!V70+1,0),IF('01_数值调参'!AJ36&lt;0,'03_全链计算'!W70+1,0),IF('01_数值调参'!AJ37&lt;0,'03_全链计算'!X70+1,0),IF('01_数值调参'!AJ38&lt;0,'03_全链计算'!Y70+1,0),IF('01_数值调参'!AJ39&lt;0,'03_全链计算'!Z70+1,0),IF('01_数值调参'!AJ40&lt;0,'03_全链计算'!AA70+1,0),IF('01_数值调参'!AJ41&lt;0,'03_全链计算'!AB70+1,0),IF('01_数值调参'!AJ42&lt;0,'03_全链计算'!AC70+1,0),IF('01_数值调参'!AJ43&lt;0,'03_全链计算'!AD70+1,0),IF('01_数值调参'!AJ44&lt;0,'03_全链计算'!AE70+1,0),IF('01_数值调参'!AJ45&lt;0,'03_全链计算'!AF70+1,0),IF('01_数值调参'!AJ46&lt;0,'03_全链计算'!AG70+1,0),IF('01_数值调参'!AJ47&lt;0,'03_全链计算'!AH70+1,0),IF('01_数值调参'!AJ48&lt;0,'03_全链计算'!AI70+1,0),IF('01_数值调参'!AJ49&lt;0,'03_全链计算'!AJ70+1,0),IF('01_数值调参'!AJ50&lt;0,'03_全链计算'!AK70+1,0),IF('01_数值调参'!AJ51&lt;0,'03_全链计算'!AL70+1,0),IF('01_数值调参'!AJ52&lt;0,'03_全链计算'!AM70+1,0))</x:f>
        <x:v>2</x:v>
      </x:c>
      <x:c r="AK71" s="9" t="n">
        <x:f>MAX(IF('01_数值调参'!AK18&lt;0,'03_全链计算'!E70+1,0),IF('01_数值调参'!AK19&lt;0,'03_全链计算'!F70+1,0),IF('01_数值调参'!AK20&lt;0,'03_全链计算'!G70+1,0),IF('01_数值调参'!AK21&lt;0,'03_全链计算'!H70+1,0),IF('01_数值调参'!AK22&lt;0,'03_全链计算'!I70+1,0),IF('01_数值调参'!AK23&lt;0,'03_全链计算'!J70+1,0),IF('01_数值调参'!AK24&lt;0,'03_全链计算'!K70+1,0),IF('01_数值调参'!AK25&lt;0,'03_全链计算'!L70+1,0),IF('01_数值调参'!AK26&lt;0,'03_全链计算'!M70+1,0),IF('01_数值调参'!AK27&lt;0,'03_全链计算'!N70+1,0),IF('01_数值调参'!AK28&lt;0,'03_全链计算'!O70+1,0),IF('01_数值调参'!AK29&lt;0,'03_全链计算'!P70+1,0),IF('01_数值调参'!AK30&lt;0,'03_全链计算'!Q70+1,0),IF('01_数值调参'!AK31&lt;0,'03_全链计算'!R70+1,0),IF('01_数值调参'!AK32&lt;0,'03_全链计算'!S70+1,0),IF('01_数值调参'!AK33&lt;0,'03_全链计算'!T70+1,0),IF('01_数值调参'!AK34&lt;0,'03_全链计算'!U70+1,0),IF('01_数值调参'!AK35&lt;0,'03_全链计算'!V70+1,0),IF('01_数值调参'!AK36&lt;0,'03_全链计算'!W70+1,0),IF('01_数值调参'!AK37&lt;0,'03_全链计算'!X70+1,0),IF('01_数值调参'!AK38&lt;0,'03_全链计算'!Y70+1,0),IF('01_数值调参'!AK39&lt;0,'03_全链计算'!Z70+1,0),IF('01_数值调参'!AK40&lt;0,'03_全链计算'!AA70+1,0),IF('01_数值调参'!AK41&lt;0,'03_全链计算'!AB70+1,0),IF('01_数值调参'!AK42&lt;0,'03_全链计算'!AC70+1,0),IF('01_数值调参'!AK43&lt;0,'03_全链计算'!AD70+1,0),IF('01_数值调参'!AK44&lt;0,'03_全链计算'!AE70+1,0),IF('01_数值调参'!AK45&lt;0,'03_全链计算'!AF70+1,0),IF('01_数值调参'!AK46&lt;0,'03_全链计算'!AG70+1,0),IF('01_数值调参'!AK47&lt;0,'03_全链计算'!AH70+1,0),IF('01_数值调参'!AK48&lt;0,'03_全链计算'!AI70+1,0),IF('01_数值调参'!AK49&lt;0,'03_全链计算'!AJ70+1,0),IF('01_数值调参'!AK50&lt;0,'03_全链计算'!AK70+1,0),IF('01_数值调参'!AK51&lt;0,'03_全链计算'!AL70+1,0),IF('01_数值调参'!AK52&lt;0,'03_全链计算'!AM70+1,0))</x:f>
        <x:v>2</x:v>
      </x:c>
      <x:c r="AL71" s="9" t="n">
        <x:f>MAX(IF('01_数值调参'!AL18&lt;0,'03_全链计算'!E70+1,0),IF('01_数值调参'!AL19&lt;0,'03_全链计算'!F70+1,0),IF('01_数值调参'!AL20&lt;0,'03_全链计算'!G70+1,0),IF('01_数值调参'!AL21&lt;0,'03_全链计算'!H70+1,0),IF('01_数值调参'!AL22&lt;0,'03_全链计算'!I70+1,0),IF('01_数值调参'!AL23&lt;0,'03_全链计算'!J70+1,0),IF('01_数值调参'!AL24&lt;0,'03_全链计算'!K70+1,0),IF('01_数值调参'!AL25&lt;0,'03_全链计算'!L70+1,0),IF('01_数值调参'!AL26&lt;0,'03_全链计算'!M70+1,0),IF('01_数值调参'!AL27&lt;0,'03_全链计算'!N70+1,0),IF('01_数值调参'!AL28&lt;0,'03_全链计算'!O70+1,0),IF('01_数值调参'!AL29&lt;0,'03_全链计算'!P70+1,0),IF('01_数值调参'!AL30&lt;0,'03_全链计算'!Q70+1,0),IF('01_数值调参'!AL31&lt;0,'03_全链计算'!R70+1,0),IF('01_数值调参'!AL32&lt;0,'03_全链计算'!S70+1,0),IF('01_数值调参'!AL33&lt;0,'03_全链计算'!T70+1,0),IF('01_数值调参'!AL34&lt;0,'03_全链计算'!U70+1,0),IF('01_数值调参'!AL35&lt;0,'03_全链计算'!V70+1,0),IF('01_数值调参'!AL36&lt;0,'03_全链计算'!W70+1,0),IF('01_数值调参'!AL37&lt;0,'03_全链计算'!X70+1,0),IF('01_数值调参'!AL38&lt;0,'03_全链计算'!Y70+1,0),IF('01_数值调参'!AL39&lt;0,'03_全链计算'!Z70+1,0),IF('01_数值调参'!AL40&lt;0,'03_全链计算'!AA70+1,0),IF('01_数值调参'!AL41&lt;0,'03_全链计算'!AB70+1,0),IF('01_数值调参'!AL42&lt;0,'03_全链计算'!AC70+1,0),IF('01_数值调参'!AL43&lt;0,'03_全链计算'!AD70+1,0),IF('01_数值调参'!AL44&lt;0,'03_全链计算'!AE70+1,0),IF('01_数值调参'!AL45&lt;0,'03_全链计算'!AF70+1,0),IF('01_数值调参'!AL46&lt;0,'03_全链计算'!AG70+1,0),IF('01_数值调参'!AL47&lt;0,'03_全链计算'!AH70+1,0),IF('01_数值调参'!AL48&lt;0,'03_全链计算'!AI70+1,0),IF('01_数值调参'!AL49&lt;0,'03_全链计算'!AJ70+1,0),IF('01_数值调参'!AL50&lt;0,'03_全链计算'!AK70+1,0),IF('01_数值调参'!AL51&lt;0,'03_全链计算'!AL70+1,0),IF('01_数值调参'!AL52&lt;0,'03_全链计算'!AM70+1,0))</x:f>
        <x:v>3</x:v>
      </x:c>
      <x:c r="AM71" s="9" t="n">
        <x:f>MAX(IF('01_数值调参'!AM18&lt;0,'03_全链计算'!E70+1,0),IF('01_数值调参'!AM19&lt;0,'03_全链计算'!F70+1,0),IF('01_数值调参'!AM20&lt;0,'03_全链计算'!G70+1,0),IF('01_数值调参'!AM21&lt;0,'03_全链计算'!H70+1,0),IF('01_数值调参'!AM22&lt;0,'03_全链计算'!I70+1,0),IF('01_数值调参'!AM23&lt;0,'03_全链计算'!J70+1,0),IF('01_数值调参'!AM24&lt;0,'03_全链计算'!K70+1,0),IF('01_数值调参'!AM25&lt;0,'03_全链计算'!L70+1,0),IF('01_数值调参'!AM26&lt;0,'03_全链计算'!M70+1,0),IF('01_数值调参'!AM27&lt;0,'03_全链计算'!N70+1,0),IF('01_数值调参'!AM28&lt;0,'03_全链计算'!O70+1,0),IF('01_数值调参'!AM29&lt;0,'03_全链计算'!P70+1,0),IF('01_数值调参'!AM30&lt;0,'03_全链计算'!Q70+1,0),IF('01_数值调参'!AM31&lt;0,'03_全链计算'!R70+1,0),IF('01_数值调参'!AM32&lt;0,'03_全链计算'!S70+1,0),IF('01_数值调参'!AM33&lt;0,'03_全链计算'!T70+1,0),IF('01_数值调参'!AM34&lt;0,'03_全链计算'!U70+1,0),IF('01_数值调参'!AM35&lt;0,'03_全链计算'!V70+1,0),IF('01_数值调参'!AM36&lt;0,'03_全链计算'!W70+1,0),IF('01_数值调参'!AM37&lt;0,'03_全链计算'!X70+1,0),IF('01_数值调参'!AM38&lt;0,'03_全链计算'!Y70+1,0),IF('01_数值调参'!AM39&lt;0,'03_全链计算'!Z70+1,0),IF('01_数值调参'!AM40&lt;0,'03_全链计算'!AA70+1,0),IF('01_数值调参'!AM41&lt;0,'03_全链计算'!AB70+1,0),IF('01_数值调参'!AM42&lt;0,'03_全链计算'!AC70+1,0),IF('01_数值调参'!AM43&lt;0,'03_全链计算'!AD70+1,0),IF('01_数值调参'!AM44&lt;0,'03_全链计算'!AE70+1,0),IF('01_数值调参'!AM45&lt;0,'03_全链计算'!AF70+1,0),IF('01_数值调参'!AM46&lt;0,'03_全链计算'!AG70+1,0),IF('01_数值调参'!AM47&lt;0,'03_全链计算'!AH70+1,0),IF('01_数值调参'!AM48&lt;0,'03_全链计算'!AI70+1,0),IF('01_数值调参'!AM49&lt;0,'03_全链计算'!AJ70+1,0),IF('01_数值调参'!AM50&lt;0,'03_全链计算'!AK70+1,0),IF('01_数值调参'!AM51&lt;0,'03_全链计算'!AL70+1,0),IF('01_数值调参'!AM52&lt;0,'03_全链计算'!AM70+1,0))</x:f>
        <x:v>3</x:v>
      </x:c>
    </x:row>
    <x:row r="72" ht="22" customHeight="1">
      <x:c r="A72" s="9" t="n">
        <x:v>27</x:v>
      </x:c>
      <x:c r="B72" s="9"/>
      <x:c r="C72" s="9"/>
      <x:c r="D72" s="9"/>
      <x:c r="E72" s="9" t="n">
        <x:f>MAX(IF('01_数值调参'!E18&lt;0,'03_全链计算'!E71+1,0),IF('01_数值调参'!E19&lt;0,'03_全链计算'!F71+1,0),IF('01_数值调参'!E20&lt;0,'03_全链计算'!G71+1,0),IF('01_数值调参'!E21&lt;0,'03_全链计算'!H71+1,0),IF('01_数值调参'!E22&lt;0,'03_全链计算'!I71+1,0),IF('01_数值调参'!E23&lt;0,'03_全链计算'!J71+1,0),IF('01_数值调参'!E24&lt;0,'03_全链计算'!K71+1,0),IF('01_数值调参'!E25&lt;0,'03_全链计算'!L71+1,0),IF('01_数值调参'!E26&lt;0,'03_全链计算'!M71+1,0),IF('01_数值调参'!E27&lt;0,'03_全链计算'!N71+1,0),IF('01_数值调参'!E28&lt;0,'03_全链计算'!O71+1,0),IF('01_数值调参'!E29&lt;0,'03_全链计算'!P71+1,0),IF('01_数值调参'!E30&lt;0,'03_全链计算'!Q71+1,0),IF('01_数值调参'!E31&lt;0,'03_全链计算'!R71+1,0),IF('01_数值调参'!E32&lt;0,'03_全链计算'!S71+1,0),IF('01_数值调参'!E33&lt;0,'03_全链计算'!T71+1,0),IF('01_数值调参'!E34&lt;0,'03_全链计算'!U71+1,0),IF('01_数值调参'!E35&lt;0,'03_全链计算'!V71+1,0),IF('01_数值调参'!E36&lt;0,'03_全链计算'!W71+1,0),IF('01_数值调参'!E37&lt;0,'03_全链计算'!X71+1,0),IF('01_数值调参'!E38&lt;0,'03_全链计算'!Y71+1,0),IF('01_数值调参'!E39&lt;0,'03_全链计算'!Z71+1,0),IF('01_数值调参'!E40&lt;0,'03_全链计算'!AA71+1,0),IF('01_数值调参'!E41&lt;0,'03_全链计算'!AB71+1,0),IF('01_数值调参'!E42&lt;0,'03_全链计算'!AC71+1,0),IF('01_数值调参'!E43&lt;0,'03_全链计算'!AD71+1,0),IF('01_数值调参'!E44&lt;0,'03_全链计算'!AE71+1,0),IF('01_数值调参'!E45&lt;0,'03_全链计算'!AF71+1,0),IF('01_数值调参'!E46&lt;0,'03_全链计算'!AG71+1,0),IF('01_数值调参'!E47&lt;0,'03_全链计算'!AH71+1,0),IF('01_数值调参'!E48&lt;0,'03_全链计算'!AI71+1,0),IF('01_数值调参'!E49&lt;0,'03_全链计算'!AJ71+1,0),IF('01_数值调参'!E50&lt;0,'03_全链计算'!AK71+1,0),IF('01_数值调参'!E51&lt;0,'03_全链计算'!AL71+1,0),IF('01_数值调参'!E52&lt;0,'03_全链计算'!AM71+1,0))</x:f>
        <x:v>0</x:v>
      </x:c>
      <x:c r="F72" s="9" t="n">
        <x:f>MAX(IF('01_数值调参'!F18&lt;0,'03_全链计算'!E71+1,0),IF('01_数值调参'!F19&lt;0,'03_全链计算'!F71+1,0),IF('01_数值调参'!F20&lt;0,'03_全链计算'!G71+1,0),IF('01_数值调参'!F21&lt;0,'03_全链计算'!H71+1,0),IF('01_数值调参'!F22&lt;0,'03_全链计算'!I71+1,0),IF('01_数值调参'!F23&lt;0,'03_全链计算'!J71+1,0),IF('01_数值调参'!F24&lt;0,'03_全链计算'!K71+1,0),IF('01_数值调参'!F25&lt;0,'03_全链计算'!L71+1,0),IF('01_数值调参'!F26&lt;0,'03_全链计算'!M71+1,0),IF('01_数值调参'!F27&lt;0,'03_全链计算'!N71+1,0),IF('01_数值调参'!F28&lt;0,'03_全链计算'!O71+1,0),IF('01_数值调参'!F29&lt;0,'03_全链计算'!P71+1,0),IF('01_数值调参'!F30&lt;0,'03_全链计算'!Q71+1,0),IF('01_数值调参'!F31&lt;0,'03_全链计算'!R71+1,0),IF('01_数值调参'!F32&lt;0,'03_全链计算'!S71+1,0),IF('01_数值调参'!F33&lt;0,'03_全链计算'!T71+1,0),IF('01_数值调参'!F34&lt;0,'03_全链计算'!U71+1,0),IF('01_数值调参'!F35&lt;0,'03_全链计算'!V71+1,0),IF('01_数值调参'!F36&lt;0,'03_全链计算'!W71+1,0),IF('01_数值调参'!F37&lt;0,'03_全链计算'!X71+1,0),IF('01_数值调参'!F38&lt;0,'03_全链计算'!Y71+1,0),IF('01_数值调参'!F39&lt;0,'03_全链计算'!Z71+1,0),IF('01_数值调参'!F40&lt;0,'03_全链计算'!AA71+1,0),IF('01_数值调参'!F41&lt;0,'03_全链计算'!AB71+1,0),IF('01_数值调参'!F42&lt;0,'03_全链计算'!AC71+1,0),IF('01_数值调参'!F43&lt;0,'03_全链计算'!AD71+1,0),IF('01_数值调参'!F44&lt;0,'03_全链计算'!AE71+1,0),IF('01_数值调参'!F45&lt;0,'03_全链计算'!AF71+1,0),IF('01_数值调参'!F46&lt;0,'03_全链计算'!AG71+1,0),IF('01_数值调参'!F47&lt;0,'03_全链计算'!AH71+1,0),IF('01_数值调参'!F48&lt;0,'03_全链计算'!AI71+1,0),IF('01_数值调参'!F49&lt;0,'03_全链计算'!AJ71+1,0),IF('01_数值调参'!F50&lt;0,'03_全链计算'!AK71+1,0),IF('01_数值调参'!F51&lt;0,'03_全链计算'!AL71+1,0),IF('01_数值调参'!F52&lt;0,'03_全链计算'!AM71+1,0))</x:f>
        <x:v>0</x:v>
      </x:c>
      <x:c r="G72" s="9" t="n">
        <x:f>MAX(IF('01_数值调参'!G18&lt;0,'03_全链计算'!E71+1,0),IF('01_数值调参'!G19&lt;0,'03_全链计算'!F71+1,0),IF('01_数值调参'!G20&lt;0,'03_全链计算'!G71+1,0),IF('01_数值调参'!G21&lt;0,'03_全链计算'!H71+1,0),IF('01_数值调参'!G22&lt;0,'03_全链计算'!I71+1,0),IF('01_数值调参'!G23&lt;0,'03_全链计算'!J71+1,0),IF('01_数值调参'!G24&lt;0,'03_全链计算'!K71+1,0),IF('01_数值调参'!G25&lt;0,'03_全链计算'!L71+1,0),IF('01_数值调参'!G26&lt;0,'03_全链计算'!M71+1,0),IF('01_数值调参'!G27&lt;0,'03_全链计算'!N71+1,0),IF('01_数值调参'!G28&lt;0,'03_全链计算'!O71+1,0),IF('01_数值调参'!G29&lt;0,'03_全链计算'!P71+1,0),IF('01_数值调参'!G30&lt;0,'03_全链计算'!Q71+1,0),IF('01_数值调参'!G31&lt;0,'03_全链计算'!R71+1,0),IF('01_数值调参'!G32&lt;0,'03_全链计算'!S71+1,0),IF('01_数值调参'!G33&lt;0,'03_全链计算'!T71+1,0),IF('01_数值调参'!G34&lt;0,'03_全链计算'!U71+1,0),IF('01_数值调参'!G35&lt;0,'03_全链计算'!V71+1,0),IF('01_数值调参'!G36&lt;0,'03_全链计算'!W71+1,0),IF('01_数值调参'!G37&lt;0,'03_全链计算'!X71+1,0),IF('01_数值调参'!G38&lt;0,'03_全链计算'!Y71+1,0),IF('01_数值调参'!G39&lt;0,'03_全链计算'!Z71+1,0),IF('01_数值调参'!G40&lt;0,'03_全链计算'!AA71+1,0),IF('01_数值调参'!G41&lt;0,'03_全链计算'!AB71+1,0),IF('01_数值调参'!G42&lt;0,'03_全链计算'!AC71+1,0),IF('01_数值调参'!G43&lt;0,'03_全链计算'!AD71+1,0),IF('01_数值调参'!G44&lt;0,'03_全链计算'!AE71+1,0),IF('01_数值调参'!G45&lt;0,'03_全链计算'!AF71+1,0),IF('01_数值调参'!G46&lt;0,'03_全链计算'!AG71+1,0),IF('01_数值调参'!G47&lt;0,'03_全链计算'!AH71+1,0),IF('01_数值调参'!G48&lt;0,'03_全链计算'!AI71+1,0),IF('01_数值调参'!G49&lt;0,'03_全链计算'!AJ71+1,0),IF('01_数值调参'!G50&lt;0,'03_全链计算'!AK71+1,0),IF('01_数值调参'!G51&lt;0,'03_全链计算'!AL71+1,0),IF('01_数值调参'!G52&lt;0,'03_全链计算'!AM71+1,0))</x:f>
        <x:v>0</x:v>
      </x:c>
      <x:c r="H72" s="9" t="n">
        <x:f>MAX(IF('01_数值调参'!H18&lt;0,'03_全链计算'!E71+1,0),IF('01_数值调参'!H19&lt;0,'03_全链计算'!F71+1,0),IF('01_数值调参'!H20&lt;0,'03_全链计算'!G71+1,0),IF('01_数值调参'!H21&lt;0,'03_全链计算'!H71+1,0),IF('01_数值调参'!H22&lt;0,'03_全链计算'!I71+1,0),IF('01_数值调参'!H23&lt;0,'03_全链计算'!J71+1,0),IF('01_数值调参'!H24&lt;0,'03_全链计算'!K71+1,0),IF('01_数值调参'!H25&lt;0,'03_全链计算'!L71+1,0),IF('01_数值调参'!H26&lt;0,'03_全链计算'!M71+1,0),IF('01_数值调参'!H27&lt;0,'03_全链计算'!N71+1,0),IF('01_数值调参'!H28&lt;0,'03_全链计算'!O71+1,0),IF('01_数值调参'!H29&lt;0,'03_全链计算'!P71+1,0),IF('01_数值调参'!H30&lt;0,'03_全链计算'!Q71+1,0),IF('01_数值调参'!H31&lt;0,'03_全链计算'!R71+1,0),IF('01_数值调参'!H32&lt;0,'03_全链计算'!S71+1,0),IF('01_数值调参'!H33&lt;0,'03_全链计算'!T71+1,0),IF('01_数值调参'!H34&lt;0,'03_全链计算'!U71+1,0),IF('01_数值调参'!H35&lt;0,'03_全链计算'!V71+1,0),IF('01_数值调参'!H36&lt;0,'03_全链计算'!W71+1,0),IF('01_数值调参'!H37&lt;0,'03_全链计算'!X71+1,0),IF('01_数值调参'!H38&lt;0,'03_全链计算'!Y71+1,0),IF('01_数值调参'!H39&lt;0,'03_全链计算'!Z71+1,0),IF('01_数值调参'!H40&lt;0,'03_全链计算'!AA71+1,0),IF('01_数值调参'!H41&lt;0,'03_全链计算'!AB71+1,0),IF('01_数值调参'!H42&lt;0,'03_全链计算'!AC71+1,0),IF('01_数值调参'!H43&lt;0,'03_全链计算'!AD71+1,0),IF('01_数值调参'!H44&lt;0,'03_全链计算'!AE71+1,0),IF('01_数值调参'!H45&lt;0,'03_全链计算'!AF71+1,0),IF('01_数值调参'!H46&lt;0,'03_全链计算'!AG71+1,0),IF('01_数值调参'!H47&lt;0,'03_全链计算'!AH71+1,0),IF('01_数值调参'!H48&lt;0,'03_全链计算'!AI71+1,0),IF('01_数值调参'!H49&lt;0,'03_全链计算'!AJ71+1,0),IF('01_数值调参'!H50&lt;0,'03_全链计算'!AK71+1,0),IF('01_数值调参'!H51&lt;0,'03_全链计算'!AL71+1,0),IF('01_数值调参'!H52&lt;0,'03_全链计算'!AM71+1,0))</x:f>
        <x:v>0</x:v>
      </x:c>
      <x:c r="I72" s="9" t="n">
        <x:f>MAX(IF('01_数值调参'!I18&lt;0,'03_全链计算'!E71+1,0),IF('01_数值调参'!I19&lt;0,'03_全链计算'!F71+1,0),IF('01_数值调参'!I20&lt;0,'03_全链计算'!G71+1,0),IF('01_数值调参'!I21&lt;0,'03_全链计算'!H71+1,0),IF('01_数值调参'!I22&lt;0,'03_全链计算'!I71+1,0),IF('01_数值调参'!I23&lt;0,'03_全链计算'!J71+1,0),IF('01_数值调参'!I24&lt;0,'03_全链计算'!K71+1,0),IF('01_数值调参'!I25&lt;0,'03_全链计算'!L71+1,0),IF('01_数值调参'!I26&lt;0,'03_全链计算'!M71+1,0),IF('01_数值调参'!I27&lt;0,'03_全链计算'!N71+1,0),IF('01_数值调参'!I28&lt;0,'03_全链计算'!O71+1,0),IF('01_数值调参'!I29&lt;0,'03_全链计算'!P71+1,0),IF('01_数值调参'!I30&lt;0,'03_全链计算'!Q71+1,0),IF('01_数值调参'!I31&lt;0,'03_全链计算'!R71+1,0),IF('01_数值调参'!I32&lt;0,'03_全链计算'!S71+1,0),IF('01_数值调参'!I33&lt;0,'03_全链计算'!T71+1,0),IF('01_数值调参'!I34&lt;0,'03_全链计算'!U71+1,0),IF('01_数值调参'!I35&lt;0,'03_全链计算'!V71+1,0),IF('01_数值调参'!I36&lt;0,'03_全链计算'!W71+1,0),IF('01_数值调参'!I37&lt;0,'03_全链计算'!X71+1,0),IF('01_数值调参'!I38&lt;0,'03_全链计算'!Y71+1,0),IF('01_数值调参'!I39&lt;0,'03_全链计算'!Z71+1,0),IF('01_数值调参'!I40&lt;0,'03_全链计算'!AA71+1,0),IF('01_数值调参'!I41&lt;0,'03_全链计算'!AB71+1,0),IF('01_数值调参'!I42&lt;0,'03_全链计算'!AC71+1,0),IF('01_数值调参'!I43&lt;0,'03_全链计算'!AD71+1,0),IF('01_数值调参'!I44&lt;0,'03_全链计算'!AE71+1,0),IF('01_数值调参'!I45&lt;0,'03_全链计算'!AF71+1,0),IF('01_数值调参'!I46&lt;0,'03_全链计算'!AG71+1,0),IF('01_数值调参'!I47&lt;0,'03_全链计算'!AH71+1,0),IF('01_数值调参'!I48&lt;0,'03_全链计算'!AI71+1,0),IF('01_数值调参'!I49&lt;0,'03_全链计算'!AJ71+1,0),IF('01_数值调参'!I50&lt;0,'03_全链计算'!AK71+1,0),IF('01_数值调参'!I51&lt;0,'03_全链计算'!AL71+1,0),IF('01_数值调参'!I52&lt;0,'03_全链计算'!AM71+1,0))</x:f>
        <x:v>0</x:v>
      </x:c>
      <x:c r="J72" s="9" t="n">
        <x:f>MAX(IF('01_数值调参'!J18&lt;0,'03_全链计算'!E71+1,0),IF('01_数值调参'!J19&lt;0,'03_全链计算'!F71+1,0),IF('01_数值调参'!J20&lt;0,'03_全链计算'!G71+1,0),IF('01_数值调参'!J21&lt;0,'03_全链计算'!H71+1,0),IF('01_数值调参'!J22&lt;0,'03_全链计算'!I71+1,0),IF('01_数值调参'!J23&lt;0,'03_全链计算'!J71+1,0),IF('01_数值调参'!J24&lt;0,'03_全链计算'!K71+1,0),IF('01_数值调参'!J25&lt;0,'03_全链计算'!L71+1,0),IF('01_数值调参'!J26&lt;0,'03_全链计算'!M71+1,0),IF('01_数值调参'!J27&lt;0,'03_全链计算'!N71+1,0),IF('01_数值调参'!J28&lt;0,'03_全链计算'!O71+1,0),IF('01_数值调参'!J29&lt;0,'03_全链计算'!P71+1,0),IF('01_数值调参'!J30&lt;0,'03_全链计算'!Q71+1,0),IF('01_数值调参'!J31&lt;0,'03_全链计算'!R71+1,0),IF('01_数值调参'!J32&lt;0,'03_全链计算'!S71+1,0),IF('01_数值调参'!J33&lt;0,'03_全链计算'!T71+1,0),IF('01_数值调参'!J34&lt;0,'03_全链计算'!U71+1,0),IF('01_数值调参'!J35&lt;0,'03_全链计算'!V71+1,0),IF('01_数值调参'!J36&lt;0,'03_全链计算'!W71+1,0),IF('01_数值调参'!J37&lt;0,'03_全链计算'!X71+1,0),IF('01_数值调参'!J38&lt;0,'03_全链计算'!Y71+1,0),IF('01_数值调参'!J39&lt;0,'03_全链计算'!Z71+1,0),IF('01_数值调参'!J40&lt;0,'03_全链计算'!AA71+1,0),IF('01_数值调参'!J41&lt;0,'03_全链计算'!AB71+1,0),IF('01_数值调参'!J42&lt;0,'03_全链计算'!AC71+1,0),IF('01_数值调参'!J43&lt;0,'03_全链计算'!AD71+1,0),IF('01_数值调参'!J44&lt;0,'03_全链计算'!AE71+1,0),IF('01_数值调参'!J45&lt;0,'03_全链计算'!AF71+1,0),IF('01_数值调参'!J46&lt;0,'03_全链计算'!AG71+1,0),IF('01_数值调参'!J47&lt;0,'03_全链计算'!AH71+1,0),IF('01_数值调参'!J48&lt;0,'03_全链计算'!AI71+1,0),IF('01_数值调参'!J49&lt;0,'03_全链计算'!AJ71+1,0),IF('01_数值调参'!J50&lt;0,'03_全链计算'!AK71+1,0),IF('01_数值调参'!J51&lt;0,'03_全链计算'!AL71+1,0),IF('01_数值调参'!J52&lt;0,'03_全链计算'!AM71+1,0))</x:f>
        <x:v>0</x:v>
      </x:c>
      <x:c r="K72" s="9" t="n">
        <x:f>MAX(IF('01_数值调参'!K18&lt;0,'03_全链计算'!E71+1,0),IF('01_数值调参'!K19&lt;0,'03_全链计算'!F71+1,0),IF('01_数值调参'!K20&lt;0,'03_全链计算'!G71+1,0),IF('01_数值调参'!K21&lt;0,'03_全链计算'!H71+1,0),IF('01_数值调参'!K22&lt;0,'03_全链计算'!I71+1,0),IF('01_数值调参'!K23&lt;0,'03_全链计算'!J71+1,0),IF('01_数值调参'!K24&lt;0,'03_全链计算'!K71+1,0),IF('01_数值调参'!K25&lt;0,'03_全链计算'!L71+1,0),IF('01_数值调参'!K26&lt;0,'03_全链计算'!M71+1,0),IF('01_数值调参'!K27&lt;0,'03_全链计算'!N71+1,0),IF('01_数值调参'!K28&lt;0,'03_全链计算'!O71+1,0),IF('01_数值调参'!K29&lt;0,'03_全链计算'!P71+1,0),IF('01_数值调参'!K30&lt;0,'03_全链计算'!Q71+1,0),IF('01_数值调参'!K31&lt;0,'03_全链计算'!R71+1,0),IF('01_数值调参'!K32&lt;0,'03_全链计算'!S71+1,0),IF('01_数值调参'!K33&lt;0,'03_全链计算'!T71+1,0),IF('01_数值调参'!K34&lt;0,'03_全链计算'!U71+1,0),IF('01_数值调参'!K35&lt;0,'03_全链计算'!V71+1,0),IF('01_数值调参'!K36&lt;0,'03_全链计算'!W71+1,0),IF('01_数值调参'!K37&lt;0,'03_全链计算'!X71+1,0),IF('01_数值调参'!K38&lt;0,'03_全链计算'!Y71+1,0),IF('01_数值调参'!K39&lt;0,'03_全链计算'!Z71+1,0),IF('01_数值调参'!K40&lt;0,'03_全链计算'!AA71+1,0),IF('01_数值调参'!K41&lt;0,'03_全链计算'!AB71+1,0),IF('01_数值调参'!K42&lt;0,'03_全链计算'!AC71+1,0),IF('01_数值调参'!K43&lt;0,'03_全链计算'!AD71+1,0),IF('01_数值调参'!K44&lt;0,'03_全链计算'!AE71+1,0),IF('01_数值调参'!K45&lt;0,'03_全链计算'!AF71+1,0),IF('01_数值调参'!K46&lt;0,'03_全链计算'!AG71+1,0),IF('01_数值调参'!K47&lt;0,'03_全链计算'!AH71+1,0),IF('01_数值调参'!K48&lt;0,'03_全链计算'!AI71+1,0),IF('01_数值调参'!K49&lt;0,'03_全链计算'!AJ71+1,0),IF('01_数值调参'!K50&lt;0,'03_全链计算'!AK71+1,0),IF('01_数值调参'!K51&lt;0,'03_全链计算'!AL71+1,0),IF('01_数值调参'!K52&lt;0,'03_全链计算'!AM71+1,0))</x:f>
        <x:v>0</x:v>
      </x:c>
      <x:c r="L72" s="9" t="n">
        <x:f>MAX(IF('01_数值调参'!L18&lt;0,'03_全链计算'!E71+1,0),IF('01_数值调参'!L19&lt;0,'03_全链计算'!F71+1,0),IF('01_数值调参'!L20&lt;0,'03_全链计算'!G71+1,0),IF('01_数值调参'!L21&lt;0,'03_全链计算'!H71+1,0),IF('01_数值调参'!L22&lt;0,'03_全链计算'!I71+1,0),IF('01_数值调参'!L23&lt;0,'03_全链计算'!J71+1,0),IF('01_数值调参'!L24&lt;0,'03_全链计算'!K71+1,0),IF('01_数值调参'!L25&lt;0,'03_全链计算'!L71+1,0),IF('01_数值调参'!L26&lt;0,'03_全链计算'!M71+1,0),IF('01_数值调参'!L27&lt;0,'03_全链计算'!N71+1,0),IF('01_数值调参'!L28&lt;0,'03_全链计算'!O71+1,0),IF('01_数值调参'!L29&lt;0,'03_全链计算'!P71+1,0),IF('01_数值调参'!L30&lt;0,'03_全链计算'!Q71+1,0),IF('01_数值调参'!L31&lt;0,'03_全链计算'!R71+1,0),IF('01_数值调参'!L32&lt;0,'03_全链计算'!S71+1,0),IF('01_数值调参'!L33&lt;0,'03_全链计算'!T71+1,0),IF('01_数值调参'!L34&lt;0,'03_全链计算'!U71+1,0),IF('01_数值调参'!L35&lt;0,'03_全链计算'!V71+1,0),IF('01_数值调参'!L36&lt;0,'03_全链计算'!W71+1,0),IF('01_数值调参'!L37&lt;0,'03_全链计算'!X71+1,0),IF('01_数值调参'!L38&lt;0,'03_全链计算'!Y71+1,0),IF('01_数值调参'!L39&lt;0,'03_全链计算'!Z71+1,0),IF('01_数值调参'!L40&lt;0,'03_全链计算'!AA71+1,0),IF('01_数值调参'!L41&lt;0,'03_全链计算'!AB71+1,0),IF('01_数值调参'!L42&lt;0,'03_全链计算'!AC71+1,0),IF('01_数值调参'!L43&lt;0,'03_全链计算'!AD71+1,0),IF('01_数值调参'!L44&lt;0,'03_全链计算'!AE71+1,0),IF('01_数值调参'!L45&lt;0,'03_全链计算'!AF71+1,0),IF('01_数值调参'!L46&lt;0,'03_全链计算'!AG71+1,0),IF('01_数值调参'!L47&lt;0,'03_全链计算'!AH71+1,0),IF('01_数值调参'!L48&lt;0,'03_全链计算'!AI71+1,0),IF('01_数值调参'!L49&lt;0,'03_全链计算'!AJ71+1,0),IF('01_数值调参'!L50&lt;0,'03_全链计算'!AK71+1,0),IF('01_数值调参'!L51&lt;0,'03_全链计算'!AL71+1,0),IF('01_数值调参'!L52&lt;0,'03_全链计算'!AM71+1,0))</x:f>
        <x:v>0</x:v>
      </x:c>
      <x:c r="M72" s="9" t="n">
        <x:f>MAX(IF('01_数值调参'!M18&lt;0,'03_全链计算'!E71+1,0),IF('01_数值调参'!M19&lt;0,'03_全链计算'!F71+1,0),IF('01_数值调参'!M20&lt;0,'03_全链计算'!G71+1,0),IF('01_数值调参'!M21&lt;0,'03_全链计算'!H71+1,0),IF('01_数值调参'!M22&lt;0,'03_全链计算'!I71+1,0),IF('01_数值调参'!M23&lt;0,'03_全链计算'!J71+1,0),IF('01_数值调参'!M24&lt;0,'03_全链计算'!K71+1,0),IF('01_数值调参'!M25&lt;0,'03_全链计算'!L71+1,0),IF('01_数值调参'!M26&lt;0,'03_全链计算'!M71+1,0),IF('01_数值调参'!M27&lt;0,'03_全链计算'!N71+1,0),IF('01_数值调参'!M28&lt;0,'03_全链计算'!O71+1,0),IF('01_数值调参'!M29&lt;0,'03_全链计算'!P71+1,0),IF('01_数值调参'!M30&lt;0,'03_全链计算'!Q71+1,0),IF('01_数值调参'!M31&lt;0,'03_全链计算'!R71+1,0),IF('01_数值调参'!M32&lt;0,'03_全链计算'!S71+1,0),IF('01_数值调参'!M33&lt;0,'03_全链计算'!T71+1,0),IF('01_数值调参'!M34&lt;0,'03_全链计算'!U71+1,0),IF('01_数值调参'!M35&lt;0,'03_全链计算'!V71+1,0),IF('01_数值调参'!M36&lt;0,'03_全链计算'!W71+1,0),IF('01_数值调参'!M37&lt;0,'03_全链计算'!X71+1,0),IF('01_数值调参'!M38&lt;0,'03_全链计算'!Y71+1,0),IF('01_数值调参'!M39&lt;0,'03_全链计算'!Z71+1,0),IF('01_数值调参'!M40&lt;0,'03_全链计算'!AA71+1,0),IF('01_数值调参'!M41&lt;0,'03_全链计算'!AB71+1,0),IF('01_数值调参'!M42&lt;0,'03_全链计算'!AC71+1,0),IF('01_数值调参'!M43&lt;0,'03_全链计算'!AD71+1,0),IF('01_数值调参'!M44&lt;0,'03_全链计算'!AE71+1,0),IF('01_数值调参'!M45&lt;0,'03_全链计算'!AF71+1,0),IF('01_数值调参'!M46&lt;0,'03_全链计算'!AG71+1,0),IF('01_数值调参'!M47&lt;0,'03_全链计算'!AH71+1,0),IF('01_数值调参'!M48&lt;0,'03_全链计算'!AI71+1,0),IF('01_数值调参'!M49&lt;0,'03_全链计算'!AJ71+1,0),IF('01_数值调参'!M50&lt;0,'03_全链计算'!AK71+1,0),IF('01_数值调参'!M51&lt;0,'03_全链计算'!AL71+1,0),IF('01_数值调参'!M52&lt;0,'03_全链计算'!AM71+1,0))</x:f>
        <x:v>0</x:v>
      </x:c>
      <x:c r="N72" s="9" t="n">
        <x:f>MAX(IF('01_数值调参'!N18&lt;0,'03_全链计算'!E71+1,0),IF('01_数值调参'!N19&lt;0,'03_全链计算'!F71+1,0),IF('01_数值调参'!N20&lt;0,'03_全链计算'!G71+1,0),IF('01_数值调参'!N21&lt;0,'03_全链计算'!H71+1,0),IF('01_数值调参'!N22&lt;0,'03_全链计算'!I71+1,0),IF('01_数值调参'!N23&lt;0,'03_全链计算'!J71+1,0),IF('01_数值调参'!N24&lt;0,'03_全链计算'!K71+1,0),IF('01_数值调参'!N25&lt;0,'03_全链计算'!L71+1,0),IF('01_数值调参'!N26&lt;0,'03_全链计算'!M71+1,0),IF('01_数值调参'!N27&lt;0,'03_全链计算'!N71+1,0),IF('01_数值调参'!N28&lt;0,'03_全链计算'!O71+1,0),IF('01_数值调参'!N29&lt;0,'03_全链计算'!P71+1,0),IF('01_数值调参'!N30&lt;0,'03_全链计算'!Q71+1,0),IF('01_数值调参'!N31&lt;0,'03_全链计算'!R71+1,0),IF('01_数值调参'!N32&lt;0,'03_全链计算'!S71+1,0),IF('01_数值调参'!N33&lt;0,'03_全链计算'!T71+1,0),IF('01_数值调参'!N34&lt;0,'03_全链计算'!U71+1,0),IF('01_数值调参'!N35&lt;0,'03_全链计算'!V71+1,0),IF('01_数值调参'!N36&lt;0,'03_全链计算'!W71+1,0),IF('01_数值调参'!N37&lt;0,'03_全链计算'!X71+1,0),IF('01_数值调参'!N38&lt;0,'03_全链计算'!Y71+1,0),IF('01_数值调参'!N39&lt;0,'03_全链计算'!Z71+1,0),IF('01_数值调参'!N40&lt;0,'03_全链计算'!AA71+1,0),IF('01_数值调参'!N41&lt;0,'03_全链计算'!AB71+1,0),IF('01_数值调参'!N42&lt;0,'03_全链计算'!AC71+1,0),IF('01_数值调参'!N43&lt;0,'03_全链计算'!AD71+1,0),IF('01_数值调参'!N44&lt;0,'03_全链计算'!AE71+1,0),IF('01_数值调参'!N45&lt;0,'03_全链计算'!AF71+1,0),IF('01_数值调参'!N46&lt;0,'03_全链计算'!AG71+1,0),IF('01_数值调参'!N47&lt;0,'03_全链计算'!AH71+1,0),IF('01_数值调参'!N48&lt;0,'03_全链计算'!AI71+1,0),IF('01_数值调参'!N49&lt;0,'03_全链计算'!AJ71+1,0),IF('01_数值调参'!N50&lt;0,'03_全链计算'!AK71+1,0),IF('01_数值调参'!N51&lt;0,'03_全链计算'!AL71+1,0),IF('01_数值调参'!N52&lt;0,'03_全链计算'!AM71+1,0))</x:f>
        <x:v>1</x:v>
      </x:c>
      <x:c r="O72" s="9" t="n">
        <x:f>MAX(IF('01_数值调参'!O18&lt;0,'03_全链计算'!E71+1,0),IF('01_数值调参'!O19&lt;0,'03_全链计算'!F71+1,0),IF('01_数值调参'!O20&lt;0,'03_全链计算'!G71+1,0),IF('01_数值调参'!O21&lt;0,'03_全链计算'!H71+1,0),IF('01_数值调参'!O22&lt;0,'03_全链计算'!I71+1,0),IF('01_数值调参'!O23&lt;0,'03_全链计算'!J71+1,0),IF('01_数值调参'!O24&lt;0,'03_全链计算'!K71+1,0),IF('01_数值调参'!O25&lt;0,'03_全链计算'!L71+1,0),IF('01_数值调参'!O26&lt;0,'03_全链计算'!M71+1,0),IF('01_数值调参'!O27&lt;0,'03_全链计算'!N71+1,0),IF('01_数值调参'!O28&lt;0,'03_全链计算'!O71+1,0),IF('01_数值调参'!O29&lt;0,'03_全链计算'!P71+1,0),IF('01_数值调参'!O30&lt;0,'03_全链计算'!Q71+1,0),IF('01_数值调参'!O31&lt;0,'03_全链计算'!R71+1,0),IF('01_数值调参'!O32&lt;0,'03_全链计算'!S71+1,0),IF('01_数值调参'!O33&lt;0,'03_全链计算'!T71+1,0),IF('01_数值调参'!O34&lt;0,'03_全链计算'!U71+1,0),IF('01_数值调参'!O35&lt;0,'03_全链计算'!V71+1,0),IF('01_数值调参'!O36&lt;0,'03_全链计算'!W71+1,0),IF('01_数值调参'!O37&lt;0,'03_全链计算'!X71+1,0),IF('01_数值调参'!O38&lt;0,'03_全链计算'!Y71+1,0),IF('01_数值调参'!O39&lt;0,'03_全链计算'!Z71+1,0),IF('01_数值调参'!O40&lt;0,'03_全链计算'!AA71+1,0),IF('01_数值调参'!O41&lt;0,'03_全链计算'!AB71+1,0),IF('01_数值调参'!O42&lt;0,'03_全链计算'!AC71+1,0),IF('01_数值调参'!O43&lt;0,'03_全链计算'!AD71+1,0),IF('01_数值调参'!O44&lt;0,'03_全链计算'!AE71+1,0),IF('01_数值调参'!O45&lt;0,'03_全链计算'!AF71+1,0),IF('01_数值调参'!O46&lt;0,'03_全链计算'!AG71+1,0),IF('01_数值调参'!O47&lt;0,'03_全链计算'!AH71+1,0),IF('01_数值调参'!O48&lt;0,'03_全链计算'!AI71+1,0),IF('01_数值调参'!O49&lt;0,'03_全链计算'!AJ71+1,0),IF('01_数值调参'!O50&lt;0,'03_全链计算'!AK71+1,0),IF('01_数值调参'!O51&lt;0,'03_全链计算'!AL71+1,0),IF('01_数值调参'!O52&lt;0,'03_全链计算'!AM71+1,0))</x:f>
        <x:v>1</x:v>
      </x:c>
      <x:c r="P72" s="9" t="n">
        <x:f>MAX(IF('01_数值调参'!P18&lt;0,'03_全链计算'!E71+1,0),IF('01_数值调参'!P19&lt;0,'03_全链计算'!F71+1,0),IF('01_数值调参'!P20&lt;0,'03_全链计算'!G71+1,0),IF('01_数值调参'!P21&lt;0,'03_全链计算'!H71+1,0),IF('01_数值调参'!P22&lt;0,'03_全链计算'!I71+1,0),IF('01_数值调参'!P23&lt;0,'03_全链计算'!J71+1,0),IF('01_数值调参'!P24&lt;0,'03_全链计算'!K71+1,0),IF('01_数值调参'!P25&lt;0,'03_全链计算'!L71+1,0),IF('01_数值调参'!P26&lt;0,'03_全链计算'!M71+1,0),IF('01_数值调参'!P27&lt;0,'03_全链计算'!N71+1,0),IF('01_数值调参'!P28&lt;0,'03_全链计算'!O71+1,0),IF('01_数值调参'!P29&lt;0,'03_全链计算'!P71+1,0),IF('01_数值调参'!P30&lt;0,'03_全链计算'!Q71+1,0),IF('01_数值调参'!P31&lt;0,'03_全链计算'!R71+1,0),IF('01_数值调参'!P32&lt;0,'03_全链计算'!S71+1,0),IF('01_数值调参'!P33&lt;0,'03_全链计算'!T71+1,0),IF('01_数值调参'!P34&lt;0,'03_全链计算'!U71+1,0),IF('01_数值调参'!P35&lt;0,'03_全链计算'!V71+1,0),IF('01_数值调参'!P36&lt;0,'03_全链计算'!W71+1,0),IF('01_数值调参'!P37&lt;0,'03_全链计算'!X71+1,0),IF('01_数值调参'!P38&lt;0,'03_全链计算'!Y71+1,0),IF('01_数值调参'!P39&lt;0,'03_全链计算'!Z71+1,0),IF('01_数值调参'!P40&lt;0,'03_全链计算'!AA71+1,0),IF('01_数值调参'!P41&lt;0,'03_全链计算'!AB71+1,0),IF('01_数值调参'!P42&lt;0,'03_全链计算'!AC71+1,0),IF('01_数值调参'!P43&lt;0,'03_全链计算'!AD71+1,0),IF('01_数值调参'!P44&lt;0,'03_全链计算'!AE71+1,0),IF('01_数值调参'!P45&lt;0,'03_全链计算'!AF71+1,0),IF('01_数值调参'!P46&lt;0,'03_全链计算'!AG71+1,0),IF('01_数值调参'!P47&lt;0,'03_全链计算'!AH71+1,0),IF('01_数值调参'!P48&lt;0,'03_全链计算'!AI71+1,0),IF('01_数值调参'!P49&lt;0,'03_全链计算'!AJ71+1,0),IF('01_数值调参'!P50&lt;0,'03_全链计算'!AK71+1,0),IF('01_数值调参'!P51&lt;0,'03_全链计算'!AL71+1,0),IF('01_数值调参'!P52&lt;0,'03_全链计算'!AM71+1,0))</x:f>
        <x:v>1</x:v>
      </x:c>
      <x:c r="Q72" s="9" t="n">
        <x:f>MAX(IF('01_数值调参'!Q18&lt;0,'03_全链计算'!E71+1,0),IF('01_数值调参'!Q19&lt;0,'03_全链计算'!F71+1,0),IF('01_数值调参'!Q20&lt;0,'03_全链计算'!G71+1,0),IF('01_数值调参'!Q21&lt;0,'03_全链计算'!H71+1,0),IF('01_数值调参'!Q22&lt;0,'03_全链计算'!I71+1,0),IF('01_数值调参'!Q23&lt;0,'03_全链计算'!J71+1,0),IF('01_数值调参'!Q24&lt;0,'03_全链计算'!K71+1,0),IF('01_数值调参'!Q25&lt;0,'03_全链计算'!L71+1,0),IF('01_数值调参'!Q26&lt;0,'03_全链计算'!M71+1,0),IF('01_数值调参'!Q27&lt;0,'03_全链计算'!N71+1,0),IF('01_数值调参'!Q28&lt;0,'03_全链计算'!O71+1,0),IF('01_数值调参'!Q29&lt;0,'03_全链计算'!P71+1,0),IF('01_数值调参'!Q30&lt;0,'03_全链计算'!Q71+1,0),IF('01_数值调参'!Q31&lt;0,'03_全链计算'!R71+1,0),IF('01_数值调参'!Q32&lt;0,'03_全链计算'!S71+1,0),IF('01_数值调参'!Q33&lt;0,'03_全链计算'!T71+1,0),IF('01_数值调参'!Q34&lt;0,'03_全链计算'!U71+1,0),IF('01_数值调参'!Q35&lt;0,'03_全链计算'!V71+1,0),IF('01_数值调参'!Q36&lt;0,'03_全链计算'!W71+1,0),IF('01_数值调参'!Q37&lt;0,'03_全链计算'!X71+1,0),IF('01_数值调参'!Q38&lt;0,'03_全链计算'!Y71+1,0),IF('01_数值调参'!Q39&lt;0,'03_全链计算'!Z71+1,0),IF('01_数值调参'!Q40&lt;0,'03_全链计算'!AA71+1,0),IF('01_数值调参'!Q41&lt;0,'03_全链计算'!AB71+1,0),IF('01_数值调参'!Q42&lt;0,'03_全链计算'!AC71+1,0),IF('01_数值调参'!Q43&lt;0,'03_全链计算'!AD71+1,0),IF('01_数值调参'!Q44&lt;0,'03_全链计算'!AE71+1,0),IF('01_数值调参'!Q45&lt;0,'03_全链计算'!AF71+1,0),IF('01_数值调参'!Q46&lt;0,'03_全链计算'!AG71+1,0),IF('01_数值调参'!Q47&lt;0,'03_全链计算'!AH71+1,0),IF('01_数值调参'!Q48&lt;0,'03_全链计算'!AI71+1,0),IF('01_数值调参'!Q49&lt;0,'03_全链计算'!AJ71+1,0),IF('01_数值调参'!Q50&lt;0,'03_全链计算'!AK71+1,0),IF('01_数值调参'!Q51&lt;0,'03_全链计算'!AL71+1,0),IF('01_数值调参'!Q52&lt;0,'03_全链计算'!AM71+1,0))</x:f>
        <x:v>1</x:v>
      </x:c>
      <x:c r="R72" s="9" t="n">
        <x:f>MAX(IF('01_数值调参'!R18&lt;0,'03_全链计算'!E71+1,0),IF('01_数值调参'!R19&lt;0,'03_全链计算'!F71+1,0),IF('01_数值调参'!R20&lt;0,'03_全链计算'!G71+1,0),IF('01_数值调参'!R21&lt;0,'03_全链计算'!H71+1,0),IF('01_数值调参'!R22&lt;0,'03_全链计算'!I71+1,0),IF('01_数值调参'!R23&lt;0,'03_全链计算'!J71+1,0),IF('01_数值调参'!R24&lt;0,'03_全链计算'!K71+1,0),IF('01_数值调参'!R25&lt;0,'03_全链计算'!L71+1,0),IF('01_数值调参'!R26&lt;0,'03_全链计算'!M71+1,0),IF('01_数值调参'!R27&lt;0,'03_全链计算'!N71+1,0),IF('01_数值调参'!R28&lt;0,'03_全链计算'!O71+1,0),IF('01_数值调参'!R29&lt;0,'03_全链计算'!P71+1,0),IF('01_数值调参'!R30&lt;0,'03_全链计算'!Q71+1,0),IF('01_数值调参'!R31&lt;0,'03_全链计算'!R71+1,0),IF('01_数值调参'!R32&lt;0,'03_全链计算'!S71+1,0),IF('01_数值调参'!R33&lt;0,'03_全链计算'!T71+1,0),IF('01_数值调参'!R34&lt;0,'03_全链计算'!U71+1,0),IF('01_数值调参'!R35&lt;0,'03_全链计算'!V71+1,0),IF('01_数值调参'!R36&lt;0,'03_全链计算'!W71+1,0),IF('01_数值调参'!R37&lt;0,'03_全链计算'!X71+1,0),IF('01_数值调参'!R38&lt;0,'03_全链计算'!Y71+1,0),IF('01_数值调参'!R39&lt;0,'03_全链计算'!Z71+1,0),IF('01_数值调参'!R40&lt;0,'03_全链计算'!AA71+1,0),IF('01_数值调参'!R41&lt;0,'03_全链计算'!AB71+1,0),IF('01_数值调参'!R42&lt;0,'03_全链计算'!AC71+1,0),IF('01_数值调参'!R43&lt;0,'03_全链计算'!AD71+1,0),IF('01_数值调参'!R44&lt;0,'03_全链计算'!AE71+1,0),IF('01_数值调参'!R45&lt;0,'03_全链计算'!AF71+1,0),IF('01_数值调参'!R46&lt;0,'03_全链计算'!AG71+1,0),IF('01_数值调参'!R47&lt;0,'03_全链计算'!AH71+1,0),IF('01_数值调参'!R48&lt;0,'03_全链计算'!AI71+1,0),IF('01_数值调参'!R49&lt;0,'03_全链计算'!AJ71+1,0),IF('01_数值调参'!R50&lt;0,'03_全链计算'!AK71+1,0),IF('01_数值调参'!R51&lt;0,'03_全链计算'!AL71+1,0),IF('01_数值调参'!R52&lt;0,'03_全链计算'!AM71+1,0))</x:f>
        <x:v>1</x:v>
      </x:c>
      <x:c r="S72" s="9" t="n">
        <x:f>MAX(IF('01_数值调参'!S18&lt;0,'03_全链计算'!E71+1,0),IF('01_数值调参'!S19&lt;0,'03_全链计算'!F71+1,0),IF('01_数值调参'!S20&lt;0,'03_全链计算'!G71+1,0),IF('01_数值调参'!S21&lt;0,'03_全链计算'!H71+1,0),IF('01_数值调参'!S22&lt;0,'03_全链计算'!I71+1,0),IF('01_数值调参'!S23&lt;0,'03_全链计算'!J71+1,0),IF('01_数值调参'!S24&lt;0,'03_全链计算'!K71+1,0),IF('01_数值调参'!S25&lt;0,'03_全链计算'!L71+1,0),IF('01_数值调参'!S26&lt;0,'03_全链计算'!M71+1,0),IF('01_数值调参'!S27&lt;0,'03_全链计算'!N71+1,0),IF('01_数值调参'!S28&lt;0,'03_全链计算'!O71+1,0),IF('01_数值调参'!S29&lt;0,'03_全链计算'!P71+1,0),IF('01_数值调参'!S30&lt;0,'03_全链计算'!Q71+1,0),IF('01_数值调参'!S31&lt;0,'03_全链计算'!R71+1,0),IF('01_数值调参'!S32&lt;0,'03_全链计算'!S71+1,0),IF('01_数值调参'!S33&lt;0,'03_全链计算'!T71+1,0),IF('01_数值调参'!S34&lt;0,'03_全链计算'!U71+1,0),IF('01_数值调参'!S35&lt;0,'03_全链计算'!V71+1,0),IF('01_数值调参'!S36&lt;0,'03_全链计算'!W71+1,0),IF('01_数值调参'!S37&lt;0,'03_全链计算'!X71+1,0),IF('01_数值调参'!S38&lt;0,'03_全链计算'!Y71+1,0),IF('01_数值调参'!S39&lt;0,'03_全链计算'!Z71+1,0),IF('01_数值调参'!S40&lt;0,'03_全链计算'!AA71+1,0),IF('01_数值调参'!S41&lt;0,'03_全链计算'!AB71+1,0),IF('01_数值调参'!S42&lt;0,'03_全链计算'!AC71+1,0),IF('01_数值调参'!S43&lt;0,'03_全链计算'!AD71+1,0),IF('01_数值调参'!S44&lt;0,'03_全链计算'!AE71+1,0),IF('01_数值调参'!S45&lt;0,'03_全链计算'!AF71+1,0),IF('01_数值调参'!S46&lt;0,'03_全链计算'!AG71+1,0),IF('01_数值调参'!S47&lt;0,'03_全链计算'!AH71+1,0),IF('01_数值调参'!S48&lt;0,'03_全链计算'!AI71+1,0),IF('01_数值调参'!S49&lt;0,'03_全链计算'!AJ71+1,0),IF('01_数值调参'!S50&lt;0,'03_全链计算'!AK71+1,0),IF('01_数值调参'!S51&lt;0,'03_全链计算'!AL71+1,0),IF('01_数值调参'!S52&lt;0,'03_全链计算'!AM71+1,0))</x:f>
        <x:v>1</x:v>
      </x:c>
      <x:c r="T72" s="9" t="n">
        <x:f>MAX(IF('01_数值调参'!T18&lt;0,'03_全链计算'!E71+1,0),IF('01_数值调参'!T19&lt;0,'03_全链计算'!F71+1,0),IF('01_数值调参'!T20&lt;0,'03_全链计算'!G71+1,0),IF('01_数值调参'!T21&lt;0,'03_全链计算'!H71+1,0),IF('01_数值调参'!T22&lt;0,'03_全链计算'!I71+1,0),IF('01_数值调参'!T23&lt;0,'03_全链计算'!J71+1,0),IF('01_数值调参'!T24&lt;0,'03_全链计算'!K71+1,0),IF('01_数值调参'!T25&lt;0,'03_全链计算'!L71+1,0),IF('01_数值调参'!T26&lt;0,'03_全链计算'!M71+1,0),IF('01_数值调参'!T27&lt;0,'03_全链计算'!N71+1,0),IF('01_数值调参'!T28&lt;0,'03_全链计算'!O71+1,0),IF('01_数值调参'!T29&lt;0,'03_全链计算'!P71+1,0),IF('01_数值调参'!T30&lt;0,'03_全链计算'!Q71+1,0),IF('01_数值调参'!T31&lt;0,'03_全链计算'!R71+1,0),IF('01_数值调参'!T32&lt;0,'03_全链计算'!S71+1,0),IF('01_数值调参'!T33&lt;0,'03_全链计算'!T71+1,0),IF('01_数值调参'!T34&lt;0,'03_全链计算'!U71+1,0),IF('01_数值调参'!T35&lt;0,'03_全链计算'!V71+1,0),IF('01_数值调参'!T36&lt;0,'03_全链计算'!W71+1,0),IF('01_数值调参'!T37&lt;0,'03_全链计算'!X71+1,0),IF('01_数值调参'!T38&lt;0,'03_全链计算'!Y71+1,0),IF('01_数值调参'!T39&lt;0,'03_全链计算'!Z71+1,0),IF('01_数值调参'!T40&lt;0,'03_全链计算'!AA71+1,0),IF('01_数值调参'!T41&lt;0,'03_全链计算'!AB71+1,0),IF('01_数值调参'!T42&lt;0,'03_全链计算'!AC71+1,0),IF('01_数值调参'!T43&lt;0,'03_全链计算'!AD71+1,0),IF('01_数值调参'!T44&lt;0,'03_全链计算'!AE71+1,0),IF('01_数值调参'!T45&lt;0,'03_全链计算'!AF71+1,0),IF('01_数值调参'!T46&lt;0,'03_全链计算'!AG71+1,0),IF('01_数值调参'!T47&lt;0,'03_全链计算'!AH71+1,0),IF('01_数值调参'!T48&lt;0,'03_全链计算'!AI71+1,0),IF('01_数值调参'!T49&lt;0,'03_全链计算'!AJ71+1,0),IF('01_数值调参'!T50&lt;0,'03_全链计算'!AK71+1,0),IF('01_数值调参'!T51&lt;0,'03_全链计算'!AL71+1,0),IF('01_数值调参'!T52&lt;0,'03_全链计算'!AM71+1,0))</x:f>
        <x:v>1</x:v>
      </x:c>
      <x:c r="U72" s="9" t="n">
        <x:f>MAX(IF('01_数值调参'!U18&lt;0,'03_全链计算'!E71+1,0),IF('01_数值调参'!U19&lt;0,'03_全链计算'!F71+1,0),IF('01_数值调参'!U20&lt;0,'03_全链计算'!G71+1,0),IF('01_数值调参'!U21&lt;0,'03_全链计算'!H71+1,0),IF('01_数值调参'!U22&lt;0,'03_全链计算'!I71+1,0),IF('01_数值调参'!U23&lt;0,'03_全链计算'!J71+1,0),IF('01_数值调参'!U24&lt;0,'03_全链计算'!K71+1,0),IF('01_数值调参'!U25&lt;0,'03_全链计算'!L71+1,0),IF('01_数值调参'!U26&lt;0,'03_全链计算'!M71+1,0),IF('01_数值调参'!U27&lt;0,'03_全链计算'!N71+1,0),IF('01_数值调参'!U28&lt;0,'03_全链计算'!O71+1,0),IF('01_数值调参'!U29&lt;0,'03_全链计算'!P71+1,0),IF('01_数值调参'!U30&lt;0,'03_全链计算'!Q71+1,0),IF('01_数值调参'!U31&lt;0,'03_全链计算'!R71+1,0),IF('01_数值调参'!U32&lt;0,'03_全链计算'!S71+1,0),IF('01_数值调参'!U33&lt;0,'03_全链计算'!T71+1,0),IF('01_数值调参'!U34&lt;0,'03_全链计算'!U71+1,0),IF('01_数值调参'!U35&lt;0,'03_全链计算'!V71+1,0),IF('01_数值调参'!U36&lt;0,'03_全链计算'!W71+1,0),IF('01_数值调参'!U37&lt;0,'03_全链计算'!X71+1,0),IF('01_数值调参'!U38&lt;0,'03_全链计算'!Y71+1,0),IF('01_数值调参'!U39&lt;0,'03_全链计算'!Z71+1,0),IF('01_数值调参'!U40&lt;0,'03_全链计算'!AA71+1,0),IF('01_数值调参'!U41&lt;0,'03_全链计算'!AB71+1,0),IF('01_数值调参'!U42&lt;0,'03_全链计算'!AC71+1,0),IF('01_数值调参'!U43&lt;0,'03_全链计算'!AD71+1,0),IF('01_数值调参'!U44&lt;0,'03_全链计算'!AE71+1,0),IF('01_数值调参'!U45&lt;0,'03_全链计算'!AF71+1,0),IF('01_数值调参'!U46&lt;0,'03_全链计算'!AG71+1,0),IF('01_数值调参'!U47&lt;0,'03_全链计算'!AH71+1,0),IF('01_数值调参'!U48&lt;0,'03_全链计算'!AI71+1,0),IF('01_数值调参'!U49&lt;0,'03_全链计算'!AJ71+1,0),IF('01_数值调参'!U50&lt;0,'03_全链计算'!AK71+1,0),IF('01_数值调参'!U51&lt;0,'03_全链计算'!AL71+1,0),IF('01_数值调参'!U52&lt;0,'03_全链计算'!AM71+1,0))</x:f>
        <x:v>1</x:v>
      </x:c>
      <x:c r="V72" s="9" t="n">
        <x:f>MAX(IF('01_数值调参'!V18&lt;0,'03_全链计算'!E71+1,0),IF('01_数值调参'!V19&lt;0,'03_全链计算'!F71+1,0),IF('01_数值调参'!V20&lt;0,'03_全链计算'!G71+1,0),IF('01_数值调参'!V21&lt;0,'03_全链计算'!H71+1,0),IF('01_数值调参'!V22&lt;0,'03_全链计算'!I71+1,0),IF('01_数值调参'!V23&lt;0,'03_全链计算'!J71+1,0),IF('01_数值调参'!V24&lt;0,'03_全链计算'!K71+1,0),IF('01_数值调参'!V25&lt;0,'03_全链计算'!L71+1,0),IF('01_数值调参'!V26&lt;0,'03_全链计算'!M71+1,0),IF('01_数值调参'!V27&lt;0,'03_全链计算'!N71+1,0),IF('01_数值调参'!V28&lt;0,'03_全链计算'!O71+1,0),IF('01_数值调参'!V29&lt;0,'03_全链计算'!P71+1,0),IF('01_数值调参'!V30&lt;0,'03_全链计算'!Q71+1,0),IF('01_数值调参'!V31&lt;0,'03_全链计算'!R71+1,0),IF('01_数值调参'!V32&lt;0,'03_全链计算'!S71+1,0),IF('01_数值调参'!V33&lt;0,'03_全链计算'!T71+1,0),IF('01_数值调参'!V34&lt;0,'03_全链计算'!U71+1,0),IF('01_数值调参'!V35&lt;0,'03_全链计算'!V71+1,0),IF('01_数值调参'!V36&lt;0,'03_全链计算'!W71+1,0),IF('01_数值调参'!V37&lt;0,'03_全链计算'!X71+1,0),IF('01_数值调参'!V38&lt;0,'03_全链计算'!Y71+1,0),IF('01_数值调参'!V39&lt;0,'03_全链计算'!Z71+1,0),IF('01_数值调参'!V40&lt;0,'03_全链计算'!AA71+1,0),IF('01_数值调参'!V41&lt;0,'03_全链计算'!AB71+1,0),IF('01_数值调参'!V42&lt;0,'03_全链计算'!AC71+1,0),IF('01_数值调参'!V43&lt;0,'03_全链计算'!AD71+1,0),IF('01_数值调参'!V44&lt;0,'03_全链计算'!AE71+1,0),IF('01_数值调参'!V45&lt;0,'03_全链计算'!AF71+1,0),IF('01_数值调参'!V46&lt;0,'03_全链计算'!AG71+1,0),IF('01_数值调参'!V47&lt;0,'03_全链计算'!AH71+1,0),IF('01_数值调参'!V48&lt;0,'03_全链计算'!AI71+1,0),IF('01_数值调参'!V49&lt;0,'03_全链计算'!AJ71+1,0),IF('01_数值调参'!V50&lt;0,'03_全链计算'!AK71+1,0),IF('01_数值调参'!V51&lt;0,'03_全链计算'!AL71+1,0),IF('01_数值调参'!V52&lt;0,'03_全链计算'!AM71+1,0))</x:f>
        <x:v>1</x:v>
      </x:c>
      <x:c r="W72" s="9" t="n">
        <x:f>MAX(IF('01_数值调参'!W18&lt;0,'03_全链计算'!E71+1,0),IF('01_数值调参'!W19&lt;0,'03_全链计算'!F71+1,0),IF('01_数值调参'!W20&lt;0,'03_全链计算'!G71+1,0),IF('01_数值调参'!W21&lt;0,'03_全链计算'!H71+1,0),IF('01_数值调参'!W22&lt;0,'03_全链计算'!I71+1,0),IF('01_数值调参'!W23&lt;0,'03_全链计算'!J71+1,0),IF('01_数值调参'!W24&lt;0,'03_全链计算'!K71+1,0),IF('01_数值调参'!W25&lt;0,'03_全链计算'!L71+1,0),IF('01_数值调参'!W26&lt;0,'03_全链计算'!M71+1,0),IF('01_数值调参'!W27&lt;0,'03_全链计算'!N71+1,0),IF('01_数值调参'!W28&lt;0,'03_全链计算'!O71+1,0),IF('01_数值调参'!W29&lt;0,'03_全链计算'!P71+1,0),IF('01_数值调参'!W30&lt;0,'03_全链计算'!Q71+1,0),IF('01_数值调参'!W31&lt;0,'03_全链计算'!R71+1,0),IF('01_数值调参'!W32&lt;0,'03_全链计算'!S71+1,0),IF('01_数值调参'!W33&lt;0,'03_全链计算'!T71+1,0),IF('01_数值调参'!W34&lt;0,'03_全链计算'!U71+1,0),IF('01_数值调参'!W35&lt;0,'03_全链计算'!V71+1,0),IF('01_数值调参'!W36&lt;0,'03_全链计算'!W71+1,0),IF('01_数值调参'!W37&lt;0,'03_全链计算'!X71+1,0),IF('01_数值调参'!W38&lt;0,'03_全链计算'!Y71+1,0),IF('01_数值调参'!W39&lt;0,'03_全链计算'!Z71+1,0),IF('01_数值调参'!W40&lt;0,'03_全链计算'!AA71+1,0),IF('01_数值调参'!W41&lt;0,'03_全链计算'!AB71+1,0),IF('01_数值调参'!W42&lt;0,'03_全链计算'!AC71+1,0),IF('01_数值调参'!W43&lt;0,'03_全链计算'!AD71+1,0),IF('01_数值调参'!W44&lt;0,'03_全链计算'!AE71+1,0),IF('01_数值调参'!W45&lt;0,'03_全链计算'!AF71+1,0),IF('01_数值调参'!W46&lt;0,'03_全链计算'!AG71+1,0),IF('01_数值调参'!W47&lt;0,'03_全链计算'!AH71+1,0),IF('01_数值调参'!W48&lt;0,'03_全链计算'!AI71+1,0),IF('01_数值调参'!W49&lt;0,'03_全链计算'!AJ71+1,0),IF('01_数值调参'!W50&lt;0,'03_全链计算'!AK71+1,0),IF('01_数值调参'!W51&lt;0,'03_全链计算'!AL71+1,0),IF('01_数值调参'!W52&lt;0,'03_全链计算'!AM71+1,0))</x:f>
        <x:v>1</x:v>
      </x:c>
      <x:c r="X72" s="9" t="n">
        <x:f>MAX(IF('01_数值调参'!X18&lt;0,'03_全链计算'!E71+1,0),IF('01_数值调参'!X19&lt;0,'03_全链计算'!F71+1,0),IF('01_数值调参'!X20&lt;0,'03_全链计算'!G71+1,0),IF('01_数值调参'!X21&lt;0,'03_全链计算'!H71+1,0),IF('01_数值调参'!X22&lt;0,'03_全链计算'!I71+1,0),IF('01_数值调参'!X23&lt;0,'03_全链计算'!J71+1,0),IF('01_数值调参'!X24&lt;0,'03_全链计算'!K71+1,0),IF('01_数值调参'!X25&lt;0,'03_全链计算'!L71+1,0),IF('01_数值调参'!X26&lt;0,'03_全链计算'!M71+1,0),IF('01_数值调参'!X27&lt;0,'03_全链计算'!N71+1,0),IF('01_数值调参'!X28&lt;0,'03_全链计算'!O71+1,0),IF('01_数值调参'!X29&lt;0,'03_全链计算'!P71+1,0),IF('01_数值调参'!X30&lt;0,'03_全链计算'!Q71+1,0),IF('01_数值调参'!X31&lt;0,'03_全链计算'!R71+1,0),IF('01_数值调参'!X32&lt;0,'03_全链计算'!S71+1,0),IF('01_数值调参'!X33&lt;0,'03_全链计算'!T71+1,0),IF('01_数值调参'!X34&lt;0,'03_全链计算'!U71+1,0),IF('01_数值调参'!X35&lt;0,'03_全链计算'!V71+1,0),IF('01_数值调参'!X36&lt;0,'03_全链计算'!W71+1,0),IF('01_数值调参'!X37&lt;0,'03_全链计算'!X71+1,0),IF('01_数值调参'!X38&lt;0,'03_全链计算'!Y71+1,0),IF('01_数值调参'!X39&lt;0,'03_全链计算'!Z71+1,0),IF('01_数值调参'!X40&lt;0,'03_全链计算'!AA71+1,0),IF('01_数值调参'!X41&lt;0,'03_全链计算'!AB71+1,0),IF('01_数值调参'!X42&lt;0,'03_全链计算'!AC71+1,0),IF('01_数值调参'!X43&lt;0,'03_全链计算'!AD71+1,0),IF('01_数值调参'!X44&lt;0,'03_全链计算'!AE71+1,0),IF('01_数值调参'!X45&lt;0,'03_全链计算'!AF71+1,0),IF('01_数值调参'!X46&lt;0,'03_全链计算'!AG71+1,0),IF('01_数值调参'!X47&lt;0,'03_全链计算'!AH71+1,0),IF('01_数值调参'!X48&lt;0,'03_全链计算'!AI71+1,0),IF('01_数值调参'!X49&lt;0,'03_全链计算'!AJ71+1,0),IF('01_数值调参'!X50&lt;0,'03_全链计算'!AK71+1,0),IF('01_数值调参'!X51&lt;0,'03_全链计算'!AL71+1,0),IF('01_数值调参'!X52&lt;0,'03_全链计算'!AM71+1,0))</x:f>
        <x:v>2</x:v>
      </x:c>
      <x:c r="Y72" s="9" t="n">
        <x:f>MAX(IF('01_数值调参'!Y18&lt;0,'03_全链计算'!E71+1,0),IF('01_数值调参'!Y19&lt;0,'03_全链计算'!F71+1,0),IF('01_数值调参'!Y20&lt;0,'03_全链计算'!G71+1,0),IF('01_数值调参'!Y21&lt;0,'03_全链计算'!H71+1,0),IF('01_数值调参'!Y22&lt;0,'03_全链计算'!I71+1,0),IF('01_数值调参'!Y23&lt;0,'03_全链计算'!J71+1,0),IF('01_数值调参'!Y24&lt;0,'03_全链计算'!K71+1,0),IF('01_数值调参'!Y25&lt;0,'03_全链计算'!L71+1,0),IF('01_数值调参'!Y26&lt;0,'03_全链计算'!M71+1,0),IF('01_数值调参'!Y27&lt;0,'03_全链计算'!N71+1,0),IF('01_数值调参'!Y28&lt;0,'03_全链计算'!O71+1,0),IF('01_数值调参'!Y29&lt;0,'03_全链计算'!P71+1,0),IF('01_数值调参'!Y30&lt;0,'03_全链计算'!Q71+1,0),IF('01_数值调参'!Y31&lt;0,'03_全链计算'!R71+1,0),IF('01_数值调参'!Y32&lt;0,'03_全链计算'!S71+1,0),IF('01_数值调参'!Y33&lt;0,'03_全链计算'!T71+1,0),IF('01_数值调参'!Y34&lt;0,'03_全链计算'!U71+1,0),IF('01_数值调参'!Y35&lt;0,'03_全链计算'!V71+1,0),IF('01_数值调参'!Y36&lt;0,'03_全链计算'!W71+1,0),IF('01_数值调参'!Y37&lt;0,'03_全链计算'!X71+1,0),IF('01_数值调参'!Y38&lt;0,'03_全链计算'!Y71+1,0),IF('01_数值调参'!Y39&lt;0,'03_全链计算'!Z71+1,0),IF('01_数值调参'!Y40&lt;0,'03_全链计算'!AA71+1,0),IF('01_数值调参'!Y41&lt;0,'03_全链计算'!AB71+1,0),IF('01_数值调参'!Y42&lt;0,'03_全链计算'!AC71+1,0),IF('01_数值调参'!Y43&lt;0,'03_全链计算'!AD71+1,0),IF('01_数值调参'!Y44&lt;0,'03_全链计算'!AE71+1,0),IF('01_数值调参'!Y45&lt;0,'03_全链计算'!AF71+1,0),IF('01_数值调参'!Y46&lt;0,'03_全链计算'!AG71+1,0),IF('01_数值调参'!Y47&lt;0,'03_全链计算'!AH71+1,0),IF('01_数值调参'!Y48&lt;0,'03_全链计算'!AI71+1,0),IF('01_数值调参'!Y49&lt;0,'03_全链计算'!AJ71+1,0),IF('01_数值调参'!Y50&lt;0,'03_全链计算'!AK71+1,0),IF('01_数值调参'!Y51&lt;0,'03_全链计算'!AL71+1,0),IF('01_数值调参'!Y52&lt;0,'03_全链计算'!AM71+1,0))</x:f>
        <x:v>2</x:v>
      </x:c>
      <x:c r="Z72" s="9" t="n">
        <x:f>MAX(IF('01_数值调参'!Z18&lt;0,'03_全链计算'!E71+1,0),IF('01_数值调参'!Z19&lt;0,'03_全链计算'!F71+1,0),IF('01_数值调参'!Z20&lt;0,'03_全链计算'!G71+1,0),IF('01_数值调参'!Z21&lt;0,'03_全链计算'!H71+1,0),IF('01_数值调参'!Z22&lt;0,'03_全链计算'!I71+1,0),IF('01_数值调参'!Z23&lt;0,'03_全链计算'!J71+1,0),IF('01_数值调参'!Z24&lt;0,'03_全链计算'!K71+1,0),IF('01_数值调参'!Z25&lt;0,'03_全链计算'!L71+1,0),IF('01_数值调参'!Z26&lt;0,'03_全链计算'!M71+1,0),IF('01_数值调参'!Z27&lt;0,'03_全链计算'!N71+1,0),IF('01_数值调参'!Z28&lt;0,'03_全链计算'!O71+1,0),IF('01_数值调参'!Z29&lt;0,'03_全链计算'!P71+1,0),IF('01_数值调参'!Z30&lt;0,'03_全链计算'!Q71+1,0),IF('01_数值调参'!Z31&lt;0,'03_全链计算'!R71+1,0),IF('01_数值调参'!Z32&lt;0,'03_全链计算'!S71+1,0),IF('01_数值调参'!Z33&lt;0,'03_全链计算'!T71+1,0),IF('01_数值调参'!Z34&lt;0,'03_全链计算'!U71+1,0),IF('01_数值调参'!Z35&lt;0,'03_全链计算'!V71+1,0),IF('01_数值调参'!Z36&lt;0,'03_全链计算'!W71+1,0),IF('01_数值调参'!Z37&lt;0,'03_全链计算'!X71+1,0),IF('01_数值调参'!Z38&lt;0,'03_全链计算'!Y71+1,0),IF('01_数值调参'!Z39&lt;0,'03_全链计算'!Z71+1,0),IF('01_数值调参'!Z40&lt;0,'03_全链计算'!AA71+1,0),IF('01_数值调参'!Z41&lt;0,'03_全链计算'!AB71+1,0),IF('01_数值调参'!Z42&lt;0,'03_全链计算'!AC71+1,0),IF('01_数值调参'!Z43&lt;0,'03_全链计算'!AD71+1,0),IF('01_数值调参'!Z44&lt;0,'03_全链计算'!AE71+1,0),IF('01_数值调参'!Z45&lt;0,'03_全链计算'!AF71+1,0),IF('01_数值调参'!Z46&lt;0,'03_全链计算'!AG71+1,0),IF('01_数值调参'!Z47&lt;0,'03_全链计算'!AH71+1,0),IF('01_数值调参'!Z48&lt;0,'03_全链计算'!AI71+1,0),IF('01_数值调参'!Z49&lt;0,'03_全链计算'!AJ71+1,0),IF('01_数值调参'!Z50&lt;0,'03_全链计算'!AK71+1,0),IF('01_数值调参'!Z51&lt;0,'03_全链计算'!AL71+1,0),IF('01_数值调参'!Z52&lt;0,'03_全链计算'!AM71+1,0))</x:f>
        <x:v>2</x:v>
      </x:c>
      <x:c r="AA72" s="9" t="n">
        <x:f>MAX(IF('01_数值调参'!AA18&lt;0,'03_全链计算'!E71+1,0),IF('01_数值调参'!AA19&lt;0,'03_全链计算'!F71+1,0),IF('01_数值调参'!AA20&lt;0,'03_全链计算'!G71+1,0),IF('01_数值调参'!AA21&lt;0,'03_全链计算'!H71+1,0),IF('01_数值调参'!AA22&lt;0,'03_全链计算'!I71+1,0),IF('01_数值调参'!AA23&lt;0,'03_全链计算'!J71+1,0),IF('01_数值调参'!AA24&lt;0,'03_全链计算'!K71+1,0),IF('01_数值调参'!AA25&lt;0,'03_全链计算'!L71+1,0),IF('01_数值调参'!AA26&lt;0,'03_全链计算'!M71+1,0),IF('01_数值调参'!AA27&lt;0,'03_全链计算'!N71+1,0),IF('01_数值调参'!AA28&lt;0,'03_全链计算'!O71+1,0),IF('01_数值调参'!AA29&lt;0,'03_全链计算'!P71+1,0),IF('01_数值调参'!AA30&lt;0,'03_全链计算'!Q71+1,0),IF('01_数值调参'!AA31&lt;0,'03_全链计算'!R71+1,0),IF('01_数值调参'!AA32&lt;0,'03_全链计算'!S71+1,0),IF('01_数值调参'!AA33&lt;0,'03_全链计算'!T71+1,0),IF('01_数值调参'!AA34&lt;0,'03_全链计算'!U71+1,0),IF('01_数值调参'!AA35&lt;0,'03_全链计算'!V71+1,0),IF('01_数值调参'!AA36&lt;0,'03_全链计算'!W71+1,0),IF('01_数值调参'!AA37&lt;0,'03_全链计算'!X71+1,0),IF('01_数值调参'!AA38&lt;0,'03_全链计算'!Y71+1,0),IF('01_数值调参'!AA39&lt;0,'03_全链计算'!Z71+1,0),IF('01_数值调参'!AA40&lt;0,'03_全链计算'!AA71+1,0),IF('01_数值调参'!AA41&lt;0,'03_全链计算'!AB71+1,0),IF('01_数值调参'!AA42&lt;0,'03_全链计算'!AC71+1,0),IF('01_数值调参'!AA43&lt;0,'03_全链计算'!AD71+1,0),IF('01_数值调参'!AA44&lt;0,'03_全链计算'!AE71+1,0),IF('01_数值调参'!AA45&lt;0,'03_全链计算'!AF71+1,0),IF('01_数值调参'!AA46&lt;0,'03_全链计算'!AG71+1,0),IF('01_数值调参'!AA47&lt;0,'03_全链计算'!AH71+1,0),IF('01_数值调参'!AA48&lt;0,'03_全链计算'!AI71+1,0),IF('01_数值调参'!AA49&lt;0,'03_全链计算'!AJ71+1,0),IF('01_数值调参'!AA50&lt;0,'03_全链计算'!AK71+1,0),IF('01_数值调参'!AA51&lt;0,'03_全链计算'!AL71+1,0),IF('01_数值调参'!AA52&lt;0,'03_全链计算'!AM71+1,0))</x:f>
        <x:v>2</x:v>
      </x:c>
      <x:c r="AB72" s="9" t="n">
        <x:f>MAX(IF('01_数值调参'!AB18&lt;0,'03_全链计算'!E71+1,0),IF('01_数值调参'!AB19&lt;0,'03_全链计算'!F71+1,0),IF('01_数值调参'!AB20&lt;0,'03_全链计算'!G71+1,0),IF('01_数值调参'!AB21&lt;0,'03_全链计算'!H71+1,0),IF('01_数值调参'!AB22&lt;0,'03_全链计算'!I71+1,0),IF('01_数值调参'!AB23&lt;0,'03_全链计算'!J71+1,0),IF('01_数值调参'!AB24&lt;0,'03_全链计算'!K71+1,0),IF('01_数值调参'!AB25&lt;0,'03_全链计算'!L71+1,0),IF('01_数值调参'!AB26&lt;0,'03_全链计算'!M71+1,0),IF('01_数值调参'!AB27&lt;0,'03_全链计算'!N71+1,0),IF('01_数值调参'!AB28&lt;0,'03_全链计算'!O71+1,0),IF('01_数值调参'!AB29&lt;0,'03_全链计算'!P71+1,0),IF('01_数值调参'!AB30&lt;0,'03_全链计算'!Q71+1,0),IF('01_数值调参'!AB31&lt;0,'03_全链计算'!R71+1,0),IF('01_数值调参'!AB32&lt;0,'03_全链计算'!S71+1,0),IF('01_数值调参'!AB33&lt;0,'03_全链计算'!T71+1,0),IF('01_数值调参'!AB34&lt;0,'03_全链计算'!U71+1,0),IF('01_数值调参'!AB35&lt;0,'03_全链计算'!V71+1,0),IF('01_数值调参'!AB36&lt;0,'03_全链计算'!W71+1,0),IF('01_数值调参'!AB37&lt;0,'03_全链计算'!X71+1,0),IF('01_数值调参'!AB38&lt;0,'03_全链计算'!Y71+1,0),IF('01_数值调参'!AB39&lt;0,'03_全链计算'!Z71+1,0),IF('01_数值调参'!AB40&lt;0,'03_全链计算'!AA71+1,0),IF('01_数值调参'!AB41&lt;0,'03_全链计算'!AB71+1,0),IF('01_数值调参'!AB42&lt;0,'03_全链计算'!AC71+1,0),IF('01_数值调参'!AB43&lt;0,'03_全链计算'!AD71+1,0),IF('01_数值调参'!AB44&lt;0,'03_全链计算'!AE71+1,0),IF('01_数值调参'!AB45&lt;0,'03_全链计算'!AF71+1,0),IF('01_数值调参'!AB46&lt;0,'03_全链计算'!AG71+1,0),IF('01_数值调参'!AB47&lt;0,'03_全链计算'!AH71+1,0),IF('01_数值调参'!AB48&lt;0,'03_全链计算'!AI71+1,0),IF('01_数值调参'!AB49&lt;0,'03_全链计算'!AJ71+1,0),IF('01_数值调参'!AB50&lt;0,'03_全链计算'!AK71+1,0),IF('01_数值调参'!AB51&lt;0,'03_全链计算'!AL71+1,0),IF('01_数值调参'!AB52&lt;0,'03_全链计算'!AM71+1,0))</x:f>
        <x:v>2</x:v>
      </x:c>
      <x:c r="AC72" s="9" t="n">
        <x:f>MAX(IF('01_数值调参'!AC18&lt;0,'03_全链计算'!E71+1,0),IF('01_数值调参'!AC19&lt;0,'03_全链计算'!F71+1,0),IF('01_数值调参'!AC20&lt;0,'03_全链计算'!G71+1,0),IF('01_数值调参'!AC21&lt;0,'03_全链计算'!H71+1,0),IF('01_数值调参'!AC22&lt;0,'03_全链计算'!I71+1,0),IF('01_数值调参'!AC23&lt;0,'03_全链计算'!J71+1,0),IF('01_数值调参'!AC24&lt;0,'03_全链计算'!K71+1,0),IF('01_数值调参'!AC25&lt;0,'03_全链计算'!L71+1,0),IF('01_数值调参'!AC26&lt;0,'03_全链计算'!M71+1,0),IF('01_数值调参'!AC27&lt;0,'03_全链计算'!N71+1,0),IF('01_数值调参'!AC28&lt;0,'03_全链计算'!O71+1,0),IF('01_数值调参'!AC29&lt;0,'03_全链计算'!P71+1,0),IF('01_数值调参'!AC30&lt;0,'03_全链计算'!Q71+1,0),IF('01_数值调参'!AC31&lt;0,'03_全链计算'!R71+1,0),IF('01_数值调参'!AC32&lt;0,'03_全链计算'!S71+1,0),IF('01_数值调参'!AC33&lt;0,'03_全链计算'!T71+1,0),IF('01_数值调参'!AC34&lt;0,'03_全链计算'!U71+1,0),IF('01_数值调参'!AC35&lt;0,'03_全链计算'!V71+1,0),IF('01_数值调参'!AC36&lt;0,'03_全链计算'!W71+1,0),IF('01_数值调参'!AC37&lt;0,'03_全链计算'!X71+1,0),IF('01_数值调参'!AC38&lt;0,'03_全链计算'!Y71+1,0),IF('01_数值调参'!AC39&lt;0,'03_全链计算'!Z71+1,0),IF('01_数值调参'!AC40&lt;0,'03_全链计算'!AA71+1,0),IF('01_数值调参'!AC41&lt;0,'03_全链计算'!AB71+1,0),IF('01_数值调参'!AC42&lt;0,'03_全链计算'!AC71+1,0),IF('01_数值调参'!AC43&lt;0,'03_全链计算'!AD71+1,0),IF('01_数值调参'!AC44&lt;0,'03_全链计算'!AE71+1,0),IF('01_数值调参'!AC45&lt;0,'03_全链计算'!AF71+1,0),IF('01_数值调参'!AC46&lt;0,'03_全链计算'!AG71+1,0),IF('01_数值调参'!AC47&lt;0,'03_全链计算'!AH71+1,0),IF('01_数值调参'!AC48&lt;0,'03_全链计算'!AI71+1,0),IF('01_数值调参'!AC49&lt;0,'03_全链计算'!AJ71+1,0),IF('01_数值调参'!AC50&lt;0,'03_全链计算'!AK71+1,0),IF('01_数值调参'!AC51&lt;0,'03_全链计算'!AL71+1,0),IF('01_数值调参'!AC52&lt;0,'03_全链计算'!AM71+1,0))</x:f>
        <x:v>2</x:v>
      </x:c>
      <x:c r="AD72" s="9" t="n">
        <x:f>MAX(IF('01_数值调参'!AD18&lt;0,'03_全链计算'!E71+1,0),IF('01_数值调参'!AD19&lt;0,'03_全链计算'!F71+1,0),IF('01_数值调参'!AD20&lt;0,'03_全链计算'!G71+1,0),IF('01_数值调参'!AD21&lt;0,'03_全链计算'!H71+1,0),IF('01_数值调参'!AD22&lt;0,'03_全链计算'!I71+1,0),IF('01_数值调参'!AD23&lt;0,'03_全链计算'!J71+1,0),IF('01_数值调参'!AD24&lt;0,'03_全链计算'!K71+1,0),IF('01_数值调参'!AD25&lt;0,'03_全链计算'!L71+1,0),IF('01_数值调参'!AD26&lt;0,'03_全链计算'!M71+1,0),IF('01_数值调参'!AD27&lt;0,'03_全链计算'!N71+1,0),IF('01_数值调参'!AD28&lt;0,'03_全链计算'!O71+1,0),IF('01_数值调参'!AD29&lt;0,'03_全链计算'!P71+1,0),IF('01_数值调参'!AD30&lt;0,'03_全链计算'!Q71+1,0),IF('01_数值调参'!AD31&lt;0,'03_全链计算'!R71+1,0),IF('01_数值调参'!AD32&lt;0,'03_全链计算'!S71+1,0),IF('01_数值调参'!AD33&lt;0,'03_全链计算'!T71+1,0),IF('01_数值调参'!AD34&lt;0,'03_全链计算'!U71+1,0),IF('01_数值调参'!AD35&lt;0,'03_全链计算'!V71+1,0),IF('01_数值调参'!AD36&lt;0,'03_全链计算'!W71+1,0),IF('01_数值调参'!AD37&lt;0,'03_全链计算'!X71+1,0),IF('01_数值调参'!AD38&lt;0,'03_全链计算'!Y71+1,0),IF('01_数值调参'!AD39&lt;0,'03_全链计算'!Z71+1,0),IF('01_数值调参'!AD40&lt;0,'03_全链计算'!AA71+1,0),IF('01_数值调参'!AD41&lt;0,'03_全链计算'!AB71+1,0),IF('01_数值调参'!AD42&lt;0,'03_全链计算'!AC71+1,0),IF('01_数值调参'!AD43&lt;0,'03_全链计算'!AD71+1,0),IF('01_数值调参'!AD44&lt;0,'03_全链计算'!AE71+1,0),IF('01_数值调参'!AD45&lt;0,'03_全链计算'!AF71+1,0),IF('01_数值调参'!AD46&lt;0,'03_全链计算'!AG71+1,0),IF('01_数值调参'!AD47&lt;0,'03_全链计算'!AH71+1,0),IF('01_数值调参'!AD48&lt;0,'03_全链计算'!AI71+1,0),IF('01_数值调参'!AD49&lt;0,'03_全链计算'!AJ71+1,0),IF('01_数值调参'!AD50&lt;0,'03_全链计算'!AK71+1,0),IF('01_数值调参'!AD51&lt;0,'03_全链计算'!AL71+1,0),IF('01_数值调参'!AD52&lt;0,'03_全链计算'!AM71+1,0))</x:f>
        <x:v>1</x:v>
      </x:c>
      <x:c r="AE72" s="9" t="n">
        <x:f>MAX(IF('01_数值调参'!AE18&lt;0,'03_全链计算'!E71+1,0),IF('01_数值调参'!AE19&lt;0,'03_全链计算'!F71+1,0),IF('01_数值调参'!AE20&lt;0,'03_全链计算'!G71+1,0),IF('01_数值调参'!AE21&lt;0,'03_全链计算'!H71+1,0),IF('01_数值调参'!AE22&lt;0,'03_全链计算'!I71+1,0),IF('01_数值调参'!AE23&lt;0,'03_全链计算'!J71+1,0),IF('01_数值调参'!AE24&lt;0,'03_全链计算'!K71+1,0),IF('01_数值调参'!AE25&lt;0,'03_全链计算'!L71+1,0),IF('01_数值调参'!AE26&lt;0,'03_全链计算'!M71+1,0),IF('01_数值调参'!AE27&lt;0,'03_全链计算'!N71+1,0),IF('01_数值调参'!AE28&lt;0,'03_全链计算'!O71+1,0),IF('01_数值调参'!AE29&lt;0,'03_全链计算'!P71+1,0),IF('01_数值调参'!AE30&lt;0,'03_全链计算'!Q71+1,0),IF('01_数值调参'!AE31&lt;0,'03_全链计算'!R71+1,0),IF('01_数值调参'!AE32&lt;0,'03_全链计算'!S71+1,0),IF('01_数值调参'!AE33&lt;0,'03_全链计算'!T71+1,0),IF('01_数值调参'!AE34&lt;0,'03_全链计算'!U71+1,0),IF('01_数值调参'!AE35&lt;0,'03_全链计算'!V71+1,0),IF('01_数值调参'!AE36&lt;0,'03_全链计算'!W71+1,0),IF('01_数值调参'!AE37&lt;0,'03_全链计算'!X71+1,0),IF('01_数值调参'!AE38&lt;0,'03_全链计算'!Y71+1,0),IF('01_数值调参'!AE39&lt;0,'03_全链计算'!Z71+1,0),IF('01_数值调参'!AE40&lt;0,'03_全链计算'!AA71+1,0),IF('01_数值调参'!AE41&lt;0,'03_全链计算'!AB71+1,0),IF('01_数值调参'!AE42&lt;0,'03_全链计算'!AC71+1,0),IF('01_数值调参'!AE43&lt;0,'03_全链计算'!AD71+1,0),IF('01_数值调参'!AE44&lt;0,'03_全链计算'!AE71+1,0),IF('01_数值调参'!AE45&lt;0,'03_全链计算'!AF71+1,0),IF('01_数值调参'!AE46&lt;0,'03_全链计算'!AG71+1,0),IF('01_数值调参'!AE47&lt;0,'03_全链计算'!AH71+1,0),IF('01_数值调参'!AE48&lt;0,'03_全链计算'!AI71+1,0),IF('01_数值调参'!AE49&lt;0,'03_全链计算'!AJ71+1,0),IF('01_数值调参'!AE50&lt;0,'03_全链计算'!AK71+1,0),IF('01_数值调参'!AE51&lt;0,'03_全链计算'!AL71+1,0),IF('01_数值调参'!AE52&lt;0,'03_全链计算'!AM71+1,0))</x:f>
        <x:v>1</x:v>
      </x:c>
      <x:c r="AF72" s="9" t="n">
        <x:f>MAX(IF('01_数值调参'!AF18&lt;0,'03_全链计算'!E71+1,0),IF('01_数值调参'!AF19&lt;0,'03_全链计算'!F71+1,0),IF('01_数值调参'!AF20&lt;0,'03_全链计算'!G71+1,0),IF('01_数值调参'!AF21&lt;0,'03_全链计算'!H71+1,0),IF('01_数值调参'!AF22&lt;0,'03_全链计算'!I71+1,0),IF('01_数值调参'!AF23&lt;0,'03_全链计算'!J71+1,0),IF('01_数值调参'!AF24&lt;0,'03_全链计算'!K71+1,0),IF('01_数值调参'!AF25&lt;0,'03_全链计算'!L71+1,0),IF('01_数值调参'!AF26&lt;0,'03_全链计算'!M71+1,0),IF('01_数值调参'!AF27&lt;0,'03_全链计算'!N71+1,0),IF('01_数值调参'!AF28&lt;0,'03_全链计算'!O71+1,0),IF('01_数值调参'!AF29&lt;0,'03_全链计算'!P71+1,0),IF('01_数值调参'!AF30&lt;0,'03_全链计算'!Q71+1,0),IF('01_数值调参'!AF31&lt;0,'03_全链计算'!R71+1,0),IF('01_数值调参'!AF32&lt;0,'03_全链计算'!S71+1,0),IF('01_数值调参'!AF33&lt;0,'03_全链计算'!T71+1,0),IF('01_数值调参'!AF34&lt;0,'03_全链计算'!U71+1,0),IF('01_数值调参'!AF35&lt;0,'03_全链计算'!V71+1,0),IF('01_数值调参'!AF36&lt;0,'03_全链计算'!W71+1,0),IF('01_数值调参'!AF37&lt;0,'03_全链计算'!X71+1,0),IF('01_数值调参'!AF38&lt;0,'03_全链计算'!Y71+1,0),IF('01_数值调参'!AF39&lt;0,'03_全链计算'!Z71+1,0),IF('01_数值调参'!AF40&lt;0,'03_全链计算'!AA71+1,0),IF('01_数值调参'!AF41&lt;0,'03_全链计算'!AB71+1,0),IF('01_数值调参'!AF42&lt;0,'03_全链计算'!AC71+1,0),IF('01_数值调参'!AF43&lt;0,'03_全链计算'!AD71+1,0),IF('01_数值调参'!AF44&lt;0,'03_全链计算'!AE71+1,0),IF('01_数值调参'!AF45&lt;0,'03_全链计算'!AF71+1,0),IF('01_数值调参'!AF46&lt;0,'03_全链计算'!AG71+1,0),IF('01_数值调参'!AF47&lt;0,'03_全链计算'!AH71+1,0),IF('01_数值调参'!AF48&lt;0,'03_全链计算'!AI71+1,0),IF('01_数值调参'!AF49&lt;0,'03_全链计算'!AJ71+1,0),IF('01_数值调参'!AF50&lt;0,'03_全链计算'!AK71+1,0),IF('01_数值调参'!AF51&lt;0,'03_全链计算'!AL71+1,0),IF('01_数值调参'!AF52&lt;0,'03_全链计算'!AM71+1,0))</x:f>
        <x:v>1</x:v>
      </x:c>
      <x:c r="AG72" s="9" t="n">
        <x:f>MAX(IF('01_数值调参'!AG18&lt;0,'03_全链计算'!E71+1,0),IF('01_数值调参'!AG19&lt;0,'03_全链计算'!F71+1,0),IF('01_数值调参'!AG20&lt;0,'03_全链计算'!G71+1,0),IF('01_数值调参'!AG21&lt;0,'03_全链计算'!H71+1,0),IF('01_数值调参'!AG22&lt;0,'03_全链计算'!I71+1,0),IF('01_数值调参'!AG23&lt;0,'03_全链计算'!J71+1,0),IF('01_数值调参'!AG24&lt;0,'03_全链计算'!K71+1,0),IF('01_数值调参'!AG25&lt;0,'03_全链计算'!L71+1,0),IF('01_数值调参'!AG26&lt;0,'03_全链计算'!M71+1,0),IF('01_数值调参'!AG27&lt;0,'03_全链计算'!N71+1,0),IF('01_数值调参'!AG28&lt;0,'03_全链计算'!O71+1,0),IF('01_数值调参'!AG29&lt;0,'03_全链计算'!P71+1,0),IF('01_数值调参'!AG30&lt;0,'03_全链计算'!Q71+1,0),IF('01_数值调参'!AG31&lt;0,'03_全链计算'!R71+1,0),IF('01_数值调参'!AG32&lt;0,'03_全链计算'!S71+1,0),IF('01_数值调参'!AG33&lt;0,'03_全链计算'!T71+1,0),IF('01_数值调参'!AG34&lt;0,'03_全链计算'!U71+1,0),IF('01_数值调参'!AG35&lt;0,'03_全链计算'!V71+1,0),IF('01_数值调参'!AG36&lt;0,'03_全链计算'!W71+1,0),IF('01_数值调参'!AG37&lt;0,'03_全链计算'!X71+1,0),IF('01_数值调参'!AG38&lt;0,'03_全链计算'!Y71+1,0),IF('01_数值调参'!AG39&lt;0,'03_全链计算'!Z71+1,0),IF('01_数值调参'!AG40&lt;0,'03_全链计算'!AA71+1,0),IF('01_数值调参'!AG41&lt;0,'03_全链计算'!AB71+1,0),IF('01_数值调参'!AG42&lt;0,'03_全链计算'!AC71+1,0),IF('01_数值调参'!AG43&lt;0,'03_全链计算'!AD71+1,0),IF('01_数值调参'!AG44&lt;0,'03_全链计算'!AE71+1,0),IF('01_数值调参'!AG45&lt;0,'03_全链计算'!AF71+1,0),IF('01_数值调参'!AG46&lt;0,'03_全链计算'!AG71+1,0),IF('01_数值调参'!AG47&lt;0,'03_全链计算'!AH71+1,0),IF('01_数值调参'!AG48&lt;0,'03_全链计算'!AI71+1,0),IF('01_数值调参'!AG49&lt;0,'03_全链计算'!AJ71+1,0),IF('01_数值调参'!AG50&lt;0,'03_全链计算'!AK71+1,0),IF('01_数值调参'!AG51&lt;0,'03_全链计算'!AL71+1,0),IF('01_数值调参'!AG52&lt;0,'03_全链计算'!AM71+1,0))</x:f>
        <x:v>1</x:v>
      </x:c>
      <x:c r="AH72" s="9" t="n">
        <x:f>MAX(IF('01_数值调参'!AH18&lt;0,'03_全链计算'!E71+1,0),IF('01_数值调参'!AH19&lt;0,'03_全链计算'!F71+1,0),IF('01_数值调参'!AH20&lt;0,'03_全链计算'!G71+1,0),IF('01_数值调参'!AH21&lt;0,'03_全链计算'!H71+1,0),IF('01_数值调参'!AH22&lt;0,'03_全链计算'!I71+1,0),IF('01_数值调参'!AH23&lt;0,'03_全链计算'!J71+1,0),IF('01_数值调参'!AH24&lt;0,'03_全链计算'!K71+1,0),IF('01_数值调参'!AH25&lt;0,'03_全链计算'!L71+1,0),IF('01_数值调参'!AH26&lt;0,'03_全链计算'!M71+1,0),IF('01_数值调参'!AH27&lt;0,'03_全链计算'!N71+1,0),IF('01_数值调参'!AH28&lt;0,'03_全链计算'!O71+1,0),IF('01_数值调参'!AH29&lt;0,'03_全链计算'!P71+1,0),IF('01_数值调参'!AH30&lt;0,'03_全链计算'!Q71+1,0),IF('01_数值调参'!AH31&lt;0,'03_全链计算'!R71+1,0),IF('01_数值调参'!AH32&lt;0,'03_全链计算'!S71+1,0),IF('01_数值调参'!AH33&lt;0,'03_全链计算'!T71+1,0),IF('01_数值调参'!AH34&lt;0,'03_全链计算'!U71+1,0),IF('01_数值调参'!AH35&lt;0,'03_全链计算'!V71+1,0),IF('01_数值调参'!AH36&lt;0,'03_全链计算'!W71+1,0),IF('01_数值调参'!AH37&lt;0,'03_全链计算'!X71+1,0),IF('01_数值调参'!AH38&lt;0,'03_全链计算'!Y71+1,0),IF('01_数值调参'!AH39&lt;0,'03_全链计算'!Z71+1,0),IF('01_数值调参'!AH40&lt;0,'03_全链计算'!AA71+1,0),IF('01_数值调参'!AH41&lt;0,'03_全链计算'!AB71+1,0),IF('01_数值调参'!AH42&lt;0,'03_全链计算'!AC71+1,0),IF('01_数值调参'!AH43&lt;0,'03_全链计算'!AD71+1,0),IF('01_数值调参'!AH44&lt;0,'03_全链计算'!AE71+1,0),IF('01_数值调参'!AH45&lt;0,'03_全链计算'!AF71+1,0),IF('01_数值调参'!AH46&lt;0,'03_全链计算'!AG71+1,0),IF('01_数值调参'!AH47&lt;0,'03_全链计算'!AH71+1,0),IF('01_数值调参'!AH48&lt;0,'03_全链计算'!AI71+1,0),IF('01_数值调参'!AH49&lt;0,'03_全链计算'!AJ71+1,0),IF('01_数值调参'!AH50&lt;0,'03_全链计算'!AK71+1,0),IF('01_数值调参'!AH51&lt;0,'03_全链计算'!AL71+1,0),IF('01_数值调参'!AH52&lt;0,'03_全链计算'!AM71+1,0))</x:f>
        <x:v>2</x:v>
      </x:c>
      <x:c r="AI72" s="9" t="n">
        <x:f>MAX(IF('01_数值调参'!AI18&lt;0,'03_全链计算'!E71+1,0),IF('01_数值调参'!AI19&lt;0,'03_全链计算'!F71+1,0),IF('01_数值调参'!AI20&lt;0,'03_全链计算'!G71+1,0),IF('01_数值调参'!AI21&lt;0,'03_全链计算'!H71+1,0),IF('01_数值调参'!AI22&lt;0,'03_全链计算'!I71+1,0),IF('01_数值调参'!AI23&lt;0,'03_全链计算'!J71+1,0),IF('01_数值调参'!AI24&lt;0,'03_全链计算'!K71+1,0),IF('01_数值调参'!AI25&lt;0,'03_全链计算'!L71+1,0),IF('01_数值调参'!AI26&lt;0,'03_全链计算'!M71+1,0),IF('01_数值调参'!AI27&lt;0,'03_全链计算'!N71+1,0),IF('01_数值调参'!AI28&lt;0,'03_全链计算'!O71+1,0),IF('01_数值调参'!AI29&lt;0,'03_全链计算'!P71+1,0),IF('01_数值调参'!AI30&lt;0,'03_全链计算'!Q71+1,0),IF('01_数值调参'!AI31&lt;0,'03_全链计算'!R71+1,0),IF('01_数值调参'!AI32&lt;0,'03_全链计算'!S71+1,0),IF('01_数值调参'!AI33&lt;0,'03_全链计算'!T71+1,0),IF('01_数值调参'!AI34&lt;0,'03_全链计算'!U71+1,0),IF('01_数值调参'!AI35&lt;0,'03_全链计算'!V71+1,0),IF('01_数值调参'!AI36&lt;0,'03_全链计算'!W71+1,0),IF('01_数值调参'!AI37&lt;0,'03_全链计算'!X71+1,0),IF('01_数值调参'!AI38&lt;0,'03_全链计算'!Y71+1,0),IF('01_数值调参'!AI39&lt;0,'03_全链计算'!Z71+1,0),IF('01_数值调参'!AI40&lt;0,'03_全链计算'!AA71+1,0),IF('01_数值调参'!AI41&lt;0,'03_全链计算'!AB71+1,0),IF('01_数值调参'!AI42&lt;0,'03_全链计算'!AC71+1,0),IF('01_数值调参'!AI43&lt;0,'03_全链计算'!AD71+1,0),IF('01_数值调参'!AI44&lt;0,'03_全链计算'!AE71+1,0),IF('01_数值调参'!AI45&lt;0,'03_全链计算'!AF71+1,0),IF('01_数值调参'!AI46&lt;0,'03_全链计算'!AG71+1,0),IF('01_数值调参'!AI47&lt;0,'03_全链计算'!AH71+1,0),IF('01_数值调参'!AI48&lt;0,'03_全链计算'!AI71+1,0),IF('01_数值调参'!AI49&lt;0,'03_全链计算'!AJ71+1,0),IF('01_数值调参'!AI50&lt;0,'03_全链计算'!AK71+1,0),IF('01_数值调参'!AI51&lt;0,'03_全链计算'!AL71+1,0),IF('01_数值调参'!AI52&lt;0,'03_全链计算'!AM71+1,0))</x:f>
        <x:v>2</x:v>
      </x:c>
      <x:c r="AJ72" s="9" t="n">
        <x:f>MAX(IF('01_数值调参'!AJ18&lt;0,'03_全链计算'!E71+1,0),IF('01_数值调参'!AJ19&lt;0,'03_全链计算'!F71+1,0),IF('01_数值调参'!AJ20&lt;0,'03_全链计算'!G71+1,0),IF('01_数值调参'!AJ21&lt;0,'03_全链计算'!H71+1,0),IF('01_数值调参'!AJ22&lt;0,'03_全链计算'!I71+1,0),IF('01_数值调参'!AJ23&lt;0,'03_全链计算'!J71+1,0),IF('01_数值调参'!AJ24&lt;0,'03_全链计算'!K71+1,0),IF('01_数值调参'!AJ25&lt;0,'03_全链计算'!L71+1,0),IF('01_数值调参'!AJ26&lt;0,'03_全链计算'!M71+1,0),IF('01_数值调参'!AJ27&lt;0,'03_全链计算'!N71+1,0),IF('01_数值调参'!AJ28&lt;0,'03_全链计算'!O71+1,0),IF('01_数值调参'!AJ29&lt;0,'03_全链计算'!P71+1,0),IF('01_数值调参'!AJ30&lt;0,'03_全链计算'!Q71+1,0),IF('01_数值调参'!AJ31&lt;0,'03_全链计算'!R71+1,0),IF('01_数值调参'!AJ32&lt;0,'03_全链计算'!S71+1,0),IF('01_数值调参'!AJ33&lt;0,'03_全链计算'!T71+1,0),IF('01_数值调参'!AJ34&lt;0,'03_全链计算'!U71+1,0),IF('01_数值调参'!AJ35&lt;0,'03_全链计算'!V71+1,0),IF('01_数值调参'!AJ36&lt;0,'03_全链计算'!W71+1,0),IF('01_数值调参'!AJ37&lt;0,'03_全链计算'!X71+1,0),IF('01_数值调参'!AJ38&lt;0,'03_全链计算'!Y71+1,0),IF('01_数值调参'!AJ39&lt;0,'03_全链计算'!Z71+1,0),IF('01_数值调参'!AJ40&lt;0,'03_全链计算'!AA71+1,0),IF('01_数值调参'!AJ41&lt;0,'03_全链计算'!AB71+1,0),IF('01_数值调参'!AJ42&lt;0,'03_全链计算'!AC71+1,0),IF('01_数值调参'!AJ43&lt;0,'03_全链计算'!AD71+1,0),IF('01_数值调参'!AJ44&lt;0,'03_全链计算'!AE71+1,0),IF('01_数值调参'!AJ45&lt;0,'03_全链计算'!AF71+1,0),IF('01_数值调参'!AJ46&lt;0,'03_全链计算'!AG71+1,0),IF('01_数值调参'!AJ47&lt;0,'03_全链计算'!AH71+1,0),IF('01_数值调参'!AJ48&lt;0,'03_全链计算'!AI71+1,0),IF('01_数值调参'!AJ49&lt;0,'03_全链计算'!AJ71+1,0),IF('01_数值调参'!AJ50&lt;0,'03_全链计算'!AK71+1,0),IF('01_数值调参'!AJ51&lt;0,'03_全链计算'!AL71+1,0),IF('01_数值调参'!AJ52&lt;0,'03_全链计算'!AM71+1,0))</x:f>
        <x:v>2</x:v>
      </x:c>
      <x:c r="AK72" s="9" t="n">
        <x:f>MAX(IF('01_数值调参'!AK18&lt;0,'03_全链计算'!E71+1,0),IF('01_数值调参'!AK19&lt;0,'03_全链计算'!F71+1,0),IF('01_数值调参'!AK20&lt;0,'03_全链计算'!G71+1,0),IF('01_数值调参'!AK21&lt;0,'03_全链计算'!H71+1,0),IF('01_数值调参'!AK22&lt;0,'03_全链计算'!I71+1,0),IF('01_数值调参'!AK23&lt;0,'03_全链计算'!J71+1,0),IF('01_数值调参'!AK24&lt;0,'03_全链计算'!K71+1,0),IF('01_数值调参'!AK25&lt;0,'03_全链计算'!L71+1,0),IF('01_数值调参'!AK26&lt;0,'03_全链计算'!M71+1,0),IF('01_数值调参'!AK27&lt;0,'03_全链计算'!N71+1,0),IF('01_数值调参'!AK28&lt;0,'03_全链计算'!O71+1,0),IF('01_数值调参'!AK29&lt;0,'03_全链计算'!P71+1,0),IF('01_数值调参'!AK30&lt;0,'03_全链计算'!Q71+1,0),IF('01_数值调参'!AK31&lt;0,'03_全链计算'!R71+1,0),IF('01_数值调参'!AK32&lt;0,'03_全链计算'!S71+1,0),IF('01_数值调参'!AK33&lt;0,'03_全链计算'!T71+1,0),IF('01_数值调参'!AK34&lt;0,'03_全链计算'!U71+1,0),IF('01_数值调参'!AK35&lt;0,'03_全链计算'!V71+1,0),IF('01_数值调参'!AK36&lt;0,'03_全链计算'!W71+1,0),IF('01_数值调参'!AK37&lt;0,'03_全链计算'!X71+1,0),IF('01_数值调参'!AK38&lt;0,'03_全链计算'!Y71+1,0),IF('01_数值调参'!AK39&lt;0,'03_全链计算'!Z71+1,0),IF('01_数值调参'!AK40&lt;0,'03_全链计算'!AA71+1,0),IF('01_数值调参'!AK41&lt;0,'03_全链计算'!AB71+1,0),IF('01_数值调参'!AK42&lt;0,'03_全链计算'!AC71+1,0),IF('01_数值调参'!AK43&lt;0,'03_全链计算'!AD71+1,0),IF('01_数值调参'!AK44&lt;0,'03_全链计算'!AE71+1,0),IF('01_数值调参'!AK45&lt;0,'03_全链计算'!AF71+1,0),IF('01_数值调参'!AK46&lt;0,'03_全链计算'!AG71+1,0),IF('01_数值调参'!AK47&lt;0,'03_全链计算'!AH71+1,0),IF('01_数值调参'!AK48&lt;0,'03_全链计算'!AI71+1,0),IF('01_数值调参'!AK49&lt;0,'03_全链计算'!AJ71+1,0),IF('01_数值调参'!AK50&lt;0,'03_全链计算'!AK71+1,0),IF('01_数值调参'!AK51&lt;0,'03_全链计算'!AL71+1,0),IF('01_数值调参'!AK52&lt;0,'03_全链计算'!AM71+1,0))</x:f>
        <x:v>2</x:v>
      </x:c>
      <x:c r="AL72" s="9" t="n">
        <x:f>MAX(IF('01_数值调参'!AL18&lt;0,'03_全链计算'!E71+1,0),IF('01_数值调参'!AL19&lt;0,'03_全链计算'!F71+1,0),IF('01_数值调参'!AL20&lt;0,'03_全链计算'!G71+1,0),IF('01_数值调参'!AL21&lt;0,'03_全链计算'!H71+1,0),IF('01_数值调参'!AL22&lt;0,'03_全链计算'!I71+1,0),IF('01_数值调参'!AL23&lt;0,'03_全链计算'!J71+1,0),IF('01_数值调参'!AL24&lt;0,'03_全链计算'!K71+1,0),IF('01_数值调参'!AL25&lt;0,'03_全链计算'!L71+1,0),IF('01_数值调参'!AL26&lt;0,'03_全链计算'!M71+1,0),IF('01_数值调参'!AL27&lt;0,'03_全链计算'!N71+1,0),IF('01_数值调参'!AL28&lt;0,'03_全链计算'!O71+1,0),IF('01_数值调参'!AL29&lt;0,'03_全链计算'!P71+1,0),IF('01_数值调参'!AL30&lt;0,'03_全链计算'!Q71+1,0),IF('01_数值调参'!AL31&lt;0,'03_全链计算'!R71+1,0),IF('01_数值调参'!AL32&lt;0,'03_全链计算'!S71+1,0),IF('01_数值调参'!AL33&lt;0,'03_全链计算'!T71+1,0),IF('01_数值调参'!AL34&lt;0,'03_全链计算'!U71+1,0),IF('01_数值调参'!AL35&lt;0,'03_全链计算'!V71+1,0),IF('01_数值调参'!AL36&lt;0,'03_全链计算'!W71+1,0),IF('01_数值调参'!AL37&lt;0,'03_全链计算'!X71+1,0),IF('01_数值调参'!AL38&lt;0,'03_全链计算'!Y71+1,0),IF('01_数值调参'!AL39&lt;0,'03_全链计算'!Z71+1,0),IF('01_数值调参'!AL40&lt;0,'03_全链计算'!AA71+1,0),IF('01_数值调参'!AL41&lt;0,'03_全链计算'!AB71+1,0),IF('01_数值调参'!AL42&lt;0,'03_全链计算'!AC71+1,0),IF('01_数值调参'!AL43&lt;0,'03_全链计算'!AD71+1,0),IF('01_数值调参'!AL44&lt;0,'03_全链计算'!AE71+1,0),IF('01_数值调参'!AL45&lt;0,'03_全链计算'!AF71+1,0),IF('01_数值调参'!AL46&lt;0,'03_全链计算'!AG71+1,0),IF('01_数值调参'!AL47&lt;0,'03_全链计算'!AH71+1,0),IF('01_数值调参'!AL48&lt;0,'03_全链计算'!AI71+1,0),IF('01_数值调参'!AL49&lt;0,'03_全链计算'!AJ71+1,0),IF('01_数值调参'!AL50&lt;0,'03_全链计算'!AK71+1,0),IF('01_数值调参'!AL51&lt;0,'03_全链计算'!AL71+1,0),IF('01_数值调参'!AL52&lt;0,'03_全链计算'!AM71+1,0))</x:f>
        <x:v>3</x:v>
      </x:c>
      <x:c r="AM72" s="9" t="n">
        <x:f>MAX(IF('01_数值调参'!AM18&lt;0,'03_全链计算'!E71+1,0),IF('01_数值调参'!AM19&lt;0,'03_全链计算'!F71+1,0),IF('01_数值调参'!AM20&lt;0,'03_全链计算'!G71+1,0),IF('01_数值调参'!AM21&lt;0,'03_全链计算'!H71+1,0),IF('01_数值调参'!AM22&lt;0,'03_全链计算'!I71+1,0),IF('01_数值调参'!AM23&lt;0,'03_全链计算'!J71+1,0),IF('01_数值调参'!AM24&lt;0,'03_全链计算'!K71+1,0),IF('01_数值调参'!AM25&lt;0,'03_全链计算'!L71+1,0),IF('01_数值调参'!AM26&lt;0,'03_全链计算'!M71+1,0),IF('01_数值调参'!AM27&lt;0,'03_全链计算'!N71+1,0),IF('01_数值调参'!AM28&lt;0,'03_全链计算'!O71+1,0),IF('01_数值调参'!AM29&lt;0,'03_全链计算'!P71+1,0),IF('01_数值调参'!AM30&lt;0,'03_全链计算'!Q71+1,0),IF('01_数值调参'!AM31&lt;0,'03_全链计算'!R71+1,0),IF('01_数值调参'!AM32&lt;0,'03_全链计算'!S71+1,0),IF('01_数值调参'!AM33&lt;0,'03_全链计算'!T71+1,0),IF('01_数值调参'!AM34&lt;0,'03_全链计算'!U71+1,0),IF('01_数值调参'!AM35&lt;0,'03_全链计算'!V71+1,0),IF('01_数值调参'!AM36&lt;0,'03_全链计算'!W71+1,0),IF('01_数值调参'!AM37&lt;0,'03_全链计算'!X71+1,0),IF('01_数值调参'!AM38&lt;0,'03_全链计算'!Y71+1,0),IF('01_数值调参'!AM39&lt;0,'03_全链计算'!Z71+1,0),IF('01_数值调参'!AM40&lt;0,'03_全链计算'!AA71+1,0),IF('01_数值调参'!AM41&lt;0,'03_全链计算'!AB71+1,0),IF('01_数值调参'!AM42&lt;0,'03_全链计算'!AC71+1,0),IF('01_数值调参'!AM43&lt;0,'03_全链计算'!AD71+1,0),IF('01_数值调参'!AM44&lt;0,'03_全链计算'!AE71+1,0),IF('01_数值调参'!AM45&lt;0,'03_全链计算'!AF71+1,0),IF('01_数值调参'!AM46&lt;0,'03_全链计算'!AG71+1,0),IF('01_数值调参'!AM47&lt;0,'03_全链计算'!AH71+1,0),IF('01_数值调参'!AM48&lt;0,'03_全链计算'!AI71+1,0),IF('01_数值调参'!AM49&lt;0,'03_全链计算'!AJ71+1,0),IF('01_数值调参'!AM50&lt;0,'03_全链计算'!AK71+1,0),IF('01_数值调参'!AM51&lt;0,'03_全链计算'!AL71+1,0),IF('01_数值调参'!AM52&lt;0,'03_全链计算'!AM71+1,0))</x:f>
        <x:v>3</x:v>
      </x:c>
    </x:row>
    <x:row r="73" ht="22" customHeight="1">
      <x:c r="A73" s="9" t="n">
        <x:v>28</x:v>
      </x:c>
      <x:c r="B73" s="9"/>
      <x:c r="C73" s="9"/>
      <x:c r="D73" s="9"/>
      <x:c r="E73" s="9" t="n">
        <x:f>MAX(IF('01_数值调参'!E18&lt;0,'03_全链计算'!E72+1,0),IF('01_数值调参'!E19&lt;0,'03_全链计算'!F72+1,0),IF('01_数值调参'!E20&lt;0,'03_全链计算'!G72+1,0),IF('01_数值调参'!E21&lt;0,'03_全链计算'!H72+1,0),IF('01_数值调参'!E22&lt;0,'03_全链计算'!I72+1,0),IF('01_数值调参'!E23&lt;0,'03_全链计算'!J72+1,0),IF('01_数值调参'!E24&lt;0,'03_全链计算'!K72+1,0),IF('01_数值调参'!E25&lt;0,'03_全链计算'!L72+1,0),IF('01_数值调参'!E26&lt;0,'03_全链计算'!M72+1,0),IF('01_数值调参'!E27&lt;0,'03_全链计算'!N72+1,0),IF('01_数值调参'!E28&lt;0,'03_全链计算'!O72+1,0),IF('01_数值调参'!E29&lt;0,'03_全链计算'!P72+1,0),IF('01_数值调参'!E30&lt;0,'03_全链计算'!Q72+1,0),IF('01_数值调参'!E31&lt;0,'03_全链计算'!R72+1,0),IF('01_数值调参'!E32&lt;0,'03_全链计算'!S72+1,0),IF('01_数值调参'!E33&lt;0,'03_全链计算'!T72+1,0),IF('01_数值调参'!E34&lt;0,'03_全链计算'!U72+1,0),IF('01_数值调参'!E35&lt;0,'03_全链计算'!V72+1,0),IF('01_数值调参'!E36&lt;0,'03_全链计算'!W72+1,0),IF('01_数值调参'!E37&lt;0,'03_全链计算'!X72+1,0),IF('01_数值调参'!E38&lt;0,'03_全链计算'!Y72+1,0),IF('01_数值调参'!E39&lt;0,'03_全链计算'!Z72+1,0),IF('01_数值调参'!E40&lt;0,'03_全链计算'!AA72+1,0),IF('01_数值调参'!E41&lt;0,'03_全链计算'!AB72+1,0),IF('01_数值调参'!E42&lt;0,'03_全链计算'!AC72+1,0),IF('01_数值调参'!E43&lt;0,'03_全链计算'!AD72+1,0),IF('01_数值调参'!E44&lt;0,'03_全链计算'!AE72+1,0),IF('01_数值调参'!E45&lt;0,'03_全链计算'!AF72+1,0),IF('01_数值调参'!E46&lt;0,'03_全链计算'!AG72+1,0),IF('01_数值调参'!E47&lt;0,'03_全链计算'!AH72+1,0),IF('01_数值调参'!E48&lt;0,'03_全链计算'!AI72+1,0),IF('01_数值调参'!E49&lt;0,'03_全链计算'!AJ72+1,0),IF('01_数值调参'!E50&lt;0,'03_全链计算'!AK72+1,0),IF('01_数值调参'!E51&lt;0,'03_全链计算'!AL72+1,0),IF('01_数值调参'!E52&lt;0,'03_全链计算'!AM72+1,0))</x:f>
        <x:v>0</x:v>
      </x:c>
      <x:c r="F73" s="9" t="n">
        <x:f>MAX(IF('01_数值调参'!F18&lt;0,'03_全链计算'!E72+1,0),IF('01_数值调参'!F19&lt;0,'03_全链计算'!F72+1,0),IF('01_数值调参'!F20&lt;0,'03_全链计算'!G72+1,0),IF('01_数值调参'!F21&lt;0,'03_全链计算'!H72+1,0),IF('01_数值调参'!F22&lt;0,'03_全链计算'!I72+1,0),IF('01_数值调参'!F23&lt;0,'03_全链计算'!J72+1,0),IF('01_数值调参'!F24&lt;0,'03_全链计算'!K72+1,0),IF('01_数值调参'!F25&lt;0,'03_全链计算'!L72+1,0),IF('01_数值调参'!F26&lt;0,'03_全链计算'!M72+1,0),IF('01_数值调参'!F27&lt;0,'03_全链计算'!N72+1,0),IF('01_数值调参'!F28&lt;0,'03_全链计算'!O72+1,0),IF('01_数值调参'!F29&lt;0,'03_全链计算'!P72+1,0),IF('01_数值调参'!F30&lt;0,'03_全链计算'!Q72+1,0),IF('01_数值调参'!F31&lt;0,'03_全链计算'!R72+1,0),IF('01_数值调参'!F32&lt;0,'03_全链计算'!S72+1,0),IF('01_数值调参'!F33&lt;0,'03_全链计算'!T72+1,0),IF('01_数值调参'!F34&lt;0,'03_全链计算'!U72+1,0),IF('01_数值调参'!F35&lt;0,'03_全链计算'!V72+1,0),IF('01_数值调参'!F36&lt;0,'03_全链计算'!W72+1,0),IF('01_数值调参'!F37&lt;0,'03_全链计算'!X72+1,0),IF('01_数值调参'!F38&lt;0,'03_全链计算'!Y72+1,0),IF('01_数值调参'!F39&lt;0,'03_全链计算'!Z72+1,0),IF('01_数值调参'!F40&lt;0,'03_全链计算'!AA72+1,0),IF('01_数值调参'!F41&lt;0,'03_全链计算'!AB72+1,0),IF('01_数值调参'!F42&lt;0,'03_全链计算'!AC72+1,0),IF('01_数值调参'!F43&lt;0,'03_全链计算'!AD72+1,0),IF('01_数值调参'!F44&lt;0,'03_全链计算'!AE72+1,0),IF('01_数值调参'!F45&lt;0,'03_全链计算'!AF72+1,0),IF('01_数值调参'!F46&lt;0,'03_全链计算'!AG72+1,0),IF('01_数值调参'!F47&lt;0,'03_全链计算'!AH72+1,0),IF('01_数值调参'!F48&lt;0,'03_全链计算'!AI72+1,0),IF('01_数值调参'!F49&lt;0,'03_全链计算'!AJ72+1,0),IF('01_数值调参'!F50&lt;0,'03_全链计算'!AK72+1,0),IF('01_数值调参'!F51&lt;0,'03_全链计算'!AL72+1,0),IF('01_数值调参'!F52&lt;0,'03_全链计算'!AM72+1,0))</x:f>
        <x:v>0</x:v>
      </x:c>
      <x:c r="G73" s="9" t="n">
        <x:f>MAX(IF('01_数值调参'!G18&lt;0,'03_全链计算'!E72+1,0),IF('01_数值调参'!G19&lt;0,'03_全链计算'!F72+1,0),IF('01_数值调参'!G20&lt;0,'03_全链计算'!G72+1,0),IF('01_数值调参'!G21&lt;0,'03_全链计算'!H72+1,0),IF('01_数值调参'!G22&lt;0,'03_全链计算'!I72+1,0),IF('01_数值调参'!G23&lt;0,'03_全链计算'!J72+1,0),IF('01_数值调参'!G24&lt;0,'03_全链计算'!K72+1,0),IF('01_数值调参'!G25&lt;0,'03_全链计算'!L72+1,0),IF('01_数值调参'!G26&lt;0,'03_全链计算'!M72+1,0),IF('01_数值调参'!G27&lt;0,'03_全链计算'!N72+1,0),IF('01_数值调参'!G28&lt;0,'03_全链计算'!O72+1,0),IF('01_数值调参'!G29&lt;0,'03_全链计算'!P72+1,0),IF('01_数值调参'!G30&lt;0,'03_全链计算'!Q72+1,0),IF('01_数值调参'!G31&lt;0,'03_全链计算'!R72+1,0),IF('01_数值调参'!G32&lt;0,'03_全链计算'!S72+1,0),IF('01_数值调参'!G33&lt;0,'03_全链计算'!T72+1,0),IF('01_数值调参'!G34&lt;0,'03_全链计算'!U72+1,0),IF('01_数值调参'!G35&lt;0,'03_全链计算'!V72+1,0),IF('01_数值调参'!G36&lt;0,'03_全链计算'!W72+1,0),IF('01_数值调参'!G37&lt;0,'03_全链计算'!X72+1,0),IF('01_数值调参'!G38&lt;0,'03_全链计算'!Y72+1,0),IF('01_数值调参'!G39&lt;0,'03_全链计算'!Z72+1,0),IF('01_数值调参'!G40&lt;0,'03_全链计算'!AA72+1,0),IF('01_数值调参'!G41&lt;0,'03_全链计算'!AB72+1,0),IF('01_数值调参'!G42&lt;0,'03_全链计算'!AC72+1,0),IF('01_数值调参'!G43&lt;0,'03_全链计算'!AD72+1,0),IF('01_数值调参'!G44&lt;0,'03_全链计算'!AE72+1,0),IF('01_数值调参'!G45&lt;0,'03_全链计算'!AF72+1,0),IF('01_数值调参'!G46&lt;0,'03_全链计算'!AG72+1,0),IF('01_数值调参'!G47&lt;0,'03_全链计算'!AH72+1,0),IF('01_数值调参'!G48&lt;0,'03_全链计算'!AI72+1,0),IF('01_数值调参'!G49&lt;0,'03_全链计算'!AJ72+1,0),IF('01_数值调参'!G50&lt;0,'03_全链计算'!AK72+1,0),IF('01_数值调参'!G51&lt;0,'03_全链计算'!AL72+1,0),IF('01_数值调参'!G52&lt;0,'03_全链计算'!AM72+1,0))</x:f>
        <x:v>0</x:v>
      </x:c>
      <x:c r="H73" s="9" t="n">
        <x:f>MAX(IF('01_数值调参'!H18&lt;0,'03_全链计算'!E72+1,0),IF('01_数值调参'!H19&lt;0,'03_全链计算'!F72+1,0),IF('01_数值调参'!H20&lt;0,'03_全链计算'!G72+1,0),IF('01_数值调参'!H21&lt;0,'03_全链计算'!H72+1,0),IF('01_数值调参'!H22&lt;0,'03_全链计算'!I72+1,0),IF('01_数值调参'!H23&lt;0,'03_全链计算'!J72+1,0),IF('01_数值调参'!H24&lt;0,'03_全链计算'!K72+1,0),IF('01_数值调参'!H25&lt;0,'03_全链计算'!L72+1,0),IF('01_数值调参'!H26&lt;0,'03_全链计算'!M72+1,0),IF('01_数值调参'!H27&lt;0,'03_全链计算'!N72+1,0),IF('01_数值调参'!H28&lt;0,'03_全链计算'!O72+1,0),IF('01_数值调参'!H29&lt;0,'03_全链计算'!P72+1,0),IF('01_数值调参'!H30&lt;0,'03_全链计算'!Q72+1,0),IF('01_数值调参'!H31&lt;0,'03_全链计算'!R72+1,0),IF('01_数值调参'!H32&lt;0,'03_全链计算'!S72+1,0),IF('01_数值调参'!H33&lt;0,'03_全链计算'!T72+1,0),IF('01_数值调参'!H34&lt;0,'03_全链计算'!U72+1,0),IF('01_数值调参'!H35&lt;0,'03_全链计算'!V72+1,0),IF('01_数值调参'!H36&lt;0,'03_全链计算'!W72+1,0),IF('01_数值调参'!H37&lt;0,'03_全链计算'!X72+1,0),IF('01_数值调参'!H38&lt;0,'03_全链计算'!Y72+1,0),IF('01_数值调参'!H39&lt;0,'03_全链计算'!Z72+1,0),IF('01_数值调参'!H40&lt;0,'03_全链计算'!AA72+1,0),IF('01_数值调参'!H41&lt;0,'03_全链计算'!AB72+1,0),IF('01_数值调参'!H42&lt;0,'03_全链计算'!AC72+1,0),IF('01_数值调参'!H43&lt;0,'03_全链计算'!AD72+1,0),IF('01_数值调参'!H44&lt;0,'03_全链计算'!AE72+1,0),IF('01_数值调参'!H45&lt;0,'03_全链计算'!AF72+1,0),IF('01_数值调参'!H46&lt;0,'03_全链计算'!AG72+1,0),IF('01_数值调参'!H47&lt;0,'03_全链计算'!AH72+1,0),IF('01_数值调参'!H48&lt;0,'03_全链计算'!AI72+1,0),IF('01_数值调参'!H49&lt;0,'03_全链计算'!AJ72+1,0),IF('01_数值调参'!H50&lt;0,'03_全链计算'!AK72+1,0),IF('01_数值调参'!H51&lt;0,'03_全链计算'!AL72+1,0),IF('01_数值调参'!H52&lt;0,'03_全链计算'!AM72+1,0))</x:f>
        <x:v>0</x:v>
      </x:c>
      <x:c r="I73" s="9" t="n">
        <x:f>MAX(IF('01_数值调参'!I18&lt;0,'03_全链计算'!E72+1,0),IF('01_数值调参'!I19&lt;0,'03_全链计算'!F72+1,0),IF('01_数值调参'!I20&lt;0,'03_全链计算'!G72+1,0),IF('01_数值调参'!I21&lt;0,'03_全链计算'!H72+1,0),IF('01_数值调参'!I22&lt;0,'03_全链计算'!I72+1,0),IF('01_数值调参'!I23&lt;0,'03_全链计算'!J72+1,0),IF('01_数值调参'!I24&lt;0,'03_全链计算'!K72+1,0),IF('01_数值调参'!I25&lt;0,'03_全链计算'!L72+1,0),IF('01_数值调参'!I26&lt;0,'03_全链计算'!M72+1,0),IF('01_数值调参'!I27&lt;0,'03_全链计算'!N72+1,0),IF('01_数值调参'!I28&lt;0,'03_全链计算'!O72+1,0),IF('01_数值调参'!I29&lt;0,'03_全链计算'!P72+1,0),IF('01_数值调参'!I30&lt;0,'03_全链计算'!Q72+1,0),IF('01_数值调参'!I31&lt;0,'03_全链计算'!R72+1,0),IF('01_数值调参'!I32&lt;0,'03_全链计算'!S72+1,0),IF('01_数值调参'!I33&lt;0,'03_全链计算'!T72+1,0),IF('01_数值调参'!I34&lt;0,'03_全链计算'!U72+1,0),IF('01_数值调参'!I35&lt;0,'03_全链计算'!V72+1,0),IF('01_数值调参'!I36&lt;0,'03_全链计算'!W72+1,0),IF('01_数值调参'!I37&lt;0,'03_全链计算'!X72+1,0),IF('01_数值调参'!I38&lt;0,'03_全链计算'!Y72+1,0),IF('01_数值调参'!I39&lt;0,'03_全链计算'!Z72+1,0),IF('01_数值调参'!I40&lt;0,'03_全链计算'!AA72+1,0),IF('01_数值调参'!I41&lt;0,'03_全链计算'!AB72+1,0),IF('01_数值调参'!I42&lt;0,'03_全链计算'!AC72+1,0),IF('01_数值调参'!I43&lt;0,'03_全链计算'!AD72+1,0),IF('01_数值调参'!I44&lt;0,'03_全链计算'!AE72+1,0),IF('01_数值调参'!I45&lt;0,'03_全链计算'!AF72+1,0),IF('01_数值调参'!I46&lt;0,'03_全链计算'!AG72+1,0),IF('01_数值调参'!I47&lt;0,'03_全链计算'!AH72+1,0),IF('01_数值调参'!I48&lt;0,'03_全链计算'!AI72+1,0),IF('01_数值调参'!I49&lt;0,'03_全链计算'!AJ72+1,0),IF('01_数值调参'!I50&lt;0,'03_全链计算'!AK72+1,0),IF('01_数值调参'!I51&lt;0,'03_全链计算'!AL72+1,0),IF('01_数值调参'!I52&lt;0,'03_全链计算'!AM72+1,0))</x:f>
        <x:v>0</x:v>
      </x:c>
      <x:c r="J73" s="9" t="n">
        <x:f>MAX(IF('01_数值调参'!J18&lt;0,'03_全链计算'!E72+1,0),IF('01_数值调参'!J19&lt;0,'03_全链计算'!F72+1,0),IF('01_数值调参'!J20&lt;0,'03_全链计算'!G72+1,0),IF('01_数值调参'!J21&lt;0,'03_全链计算'!H72+1,0),IF('01_数值调参'!J22&lt;0,'03_全链计算'!I72+1,0),IF('01_数值调参'!J23&lt;0,'03_全链计算'!J72+1,0),IF('01_数值调参'!J24&lt;0,'03_全链计算'!K72+1,0),IF('01_数值调参'!J25&lt;0,'03_全链计算'!L72+1,0),IF('01_数值调参'!J26&lt;0,'03_全链计算'!M72+1,0),IF('01_数值调参'!J27&lt;0,'03_全链计算'!N72+1,0),IF('01_数值调参'!J28&lt;0,'03_全链计算'!O72+1,0),IF('01_数值调参'!J29&lt;0,'03_全链计算'!P72+1,0),IF('01_数值调参'!J30&lt;0,'03_全链计算'!Q72+1,0),IF('01_数值调参'!J31&lt;0,'03_全链计算'!R72+1,0),IF('01_数值调参'!J32&lt;0,'03_全链计算'!S72+1,0),IF('01_数值调参'!J33&lt;0,'03_全链计算'!T72+1,0),IF('01_数值调参'!J34&lt;0,'03_全链计算'!U72+1,0),IF('01_数值调参'!J35&lt;0,'03_全链计算'!V72+1,0),IF('01_数值调参'!J36&lt;0,'03_全链计算'!W72+1,0),IF('01_数值调参'!J37&lt;0,'03_全链计算'!X72+1,0),IF('01_数值调参'!J38&lt;0,'03_全链计算'!Y72+1,0),IF('01_数值调参'!J39&lt;0,'03_全链计算'!Z72+1,0),IF('01_数值调参'!J40&lt;0,'03_全链计算'!AA72+1,0),IF('01_数值调参'!J41&lt;0,'03_全链计算'!AB72+1,0),IF('01_数值调参'!J42&lt;0,'03_全链计算'!AC72+1,0),IF('01_数值调参'!J43&lt;0,'03_全链计算'!AD72+1,0),IF('01_数值调参'!J44&lt;0,'03_全链计算'!AE72+1,0),IF('01_数值调参'!J45&lt;0,'03_全链计算'!AF72+1,0),IF('01_数值调参'!J46&lt;0,'03_全链计算'!AG72+1,0),IF('01_数值调参'!J47&lt;0,'03_全链计算'!AH72+1,0),IF('01_数值调参'!J48&lt;0,'03_全链计算'!AI72+1,0),IF('01_数值调参'!J49&lt;0,'03_全链计算'!AJ72+1,0),IF('01_数值调参'!J50&lt;0,'03_全链计算'!AK72+1,0),IF('01_数值调参'!J51&lt;0,'03_全链计算'!AL72+1,0),IF('01_数值调参'!J52&lt;0,'03_全链计算'!AM72+1,0))</x:f>
        <x:v>0</x:v>
      </x:c>
      <x:c r="K73" s="9" t="n">
        <x:f>MAX(IF('01_数值调参'!K18&lt;0,'03_全链计算'!E72+1,0),IF('01_数值调参'!K19&lt;0,'03_全链计算'!F72+1,0),IF('01_数值调参'!K20&lt;0,'03_全链计算'!G72+1,0),IF('01_数值调参'!K21&lt;0,'03_全链计算'!H72+1,0),IF('01_数值调参'!K22&lt;0,'03_全链计算'!I72+1,0),IF('01_数值调参'!K23&lt;0,'03_全链计算'!J72+1,0),IF('01_数值调参'!K24&lt;0,'03_全链计算'!K72+1,0),IF('01_数值调参'!K25&lt;0,'03_全链计算'!L72+1,0),IF('01_数值调参'!K26&lt;0,'03_全链计算'!M72+1,0),IF('01_数值调参'!K27&lt;0,'03_全链计算'!N72+1,0),IF('01_数值调参'!K28&lt;0,'03_全链计算'!O72+1,0),IF('01_数值调参'!K29&lt;0,'03_全链计算'!P72+1,0),IF('01_数值调参'!K30&lt;0,'03_全链计算'!Q72+1,0),IF('01_数值调参'!K31&lt;0,'03_全链计算'!R72+1,0),IF('01_数值调参'!K32&lt;0,'03_全链计算'!S72+1,0),IF('01_数值调参'!K33&lt;0,'03_全链计算'!T72+1,0),IF('01_数值调参'!K34&lt;0,'03_全链计算'!U72+1,0),IF('01_数值调参'!K35&lt;0,'03_全链计算'!V72+1,0),IF('01_数值调参'!K36&lt;0,'03_全链计算'!W72+1,0),IF('01_数值调参'!K37&lt;0,'03_全链计算'!X72+1,0),IF('01_数值调参'!K38&lt;0,'03_全链计算'!Y72+1,0),IF('01_数值调参'!K39&lt;0,'03_全链计算'!Z72+1,0),IF('01_数值调参'!K40&lt;0,'03_全链计算'!AA72+1,0),IF('01_数值调参'!K41&lt;0,'03_全链计算'!AB72+1,0),IF('01_数值调参'!K42&lt;0,'03_全链计算'!AC72+1,0),IF('01_数值调参'!K43&lt;0,'03_全链计算'!AD72+1,0),IF('01_数值调参'!K44&lt;0,'03_全链计算'!AE72+1,0),IF('01_数值调参'!K45&lt;0,'03_全链计算'!AF72+1,0),IF('01_数值调参'!K46&lt;0,'03_全链计算'!AG72+1,0),IF('01_数值调参'!K47&lt;0,'03_全链计算'!AH72+1,0),IF('01_数值调参'!K48&lt;0,'03_全链计算'!AI72+1,0),IF('01_数值调参'!K49&lt;0,'03_全链计算'!AJ72+1,0),IF('01_数值调参'!K50&lt;0,'03_全链计算'!AK72+1,0),IF('01_数值调参'!K51&lt;0,'03_全链计算'!AL72+1,0),IF('01_数值调参'!K52&lt;0,'03_全链计算'!AM72+1,0))</x:f>
        <x:v>0</x:v>
      </x:c>
      <x:c r="L73" s="9" t="n">
        <x:f>MAX(IF('01_数值调参'!L18&lt;0,'03_全链计算'!E72+1,0),IF('01_数值调参'!L19&lt;0,'03_全链计算'!F72+1,0),IF('01_数值调参'!L20&lt;0,'03_全链计算'!G72+1,0),IF('01_数值调参'!L21&lt;0,'03_全链计算'!H72+1,0),IF('01_数值调参'!L22&lt;0,'03_全链计算'!I72+1,0),IF('01_数值调参'!L23&lt;0,'03_全链计算'!J72+1,0),IF('01_数值调参'!L24&lt;0,'03_全链计算'!K72+1,0),IF('01_数值调参'!L25&lt;0,'03_全链计算'!L72+1,0),IF('01_数值调参'!L26&lt;0,'03_全链计算'!M72+1,0),IF('01_数值调参'!L27&lt;0,'03_全链计算'!N72+1,0),IF('01_数值调参'!L28&lt;0,'03_全链计算'!O72+1,0),IF('01_数值调参'!L29&lt;0,'03_全链计算'!P72+1,0),IF('01_数值调参'!L30&lt;0,'03_全链计算'!Q72+1,0),IF('01_数值调参'!L31&lt;0,'03_全链计算'!R72+1,0),IF('01_数值调参'!L32&lt;0,'03_全链计算'!S72+1,0),IF('01_数值调参'!L33&lt;0,'03_全链计算'!T72+1,0),IF('01_数值调参'!L34&lt;0,'03_全链计算'!U72+1,0),IF('01_数值调参'!L35&lt;0,'03_全链计算'!V72+1,0),IF('01_数值调参'!L36&lt;0,'03_全链计算'!W72+1,0),IF('01_数值调参'!L37&lt;0,'03_全链计算'!X72+1,0),IF('01_数值调参'!L38&lt;0,'03_全链计算'!Y72+1,0),IF('01_数值调参'!L39&lt;0,'03_全链计算'!Z72+1,0),IF('01_数值调参'!L40&lt;0,'03_全链计算'!AA72+1,0),IF('01_数值调参'!L41&lt;0,'03_全链计算'!AB72+1,0),IF('01_数值调参'!L42&lt;0,'03_全链计算'!AC72+1,0),IF('01_数值调参'!L43&lt;0,'03_全链计算'!AD72+1,0),IF('01_数值调参'!L44&lt;0,'03_全链计算'!AE72+1,0),IF('01_数值调参'!L45&lt;0,'03_全链计算'!AF72+1,0),IF('01_数值调参'!L46&lt;0,'03_全链计算'!AG72+1,0),IF('01_数值调参'!L47&lt;0,'03_全链计算'!AH72+1,0),IF('01_数值调参'!L48&lt;0,'03_全链计算'!AI72+1,0),IF('01_数值调参'!L49&lt;0,'03_全链计算'!AJ72+1,0),IF('01_数值调参'!L50&lt;0,'03_全链计算'!AK72+1,0),IF('01_数值调参'!L51&lt;0,'03_全链计算'!AL72+1,0),IF('01_数值调参'!L52&lt;0,'03_全链计算'!AM72+1,0))</x:f>
        <x:v>0</x:v>
      </x:c>
      <x:c r="M73" s="9" t="n">
        <x:f>MAX(IF('01_数值调参'!M18&lt;0,'03_全链计算'!E72+1,0),IF('01_数值调参'!M19&lt;0,'03_全链计算'!F72+1,0),IF('01_数值调参'!M20&lt;0,'03_全链计算'!G72+1,0),IF('01_数值调参'!M21&lt;0,'03_全链计算'!H72+1,0),IF('01_数值调参'!M22&lt;0,'03_全链计算'!I72+1,0),IF('01_数值调参'!M23&lt;0,'03_全链计算'!J72+1,0),IF('01_数值调参'!M24&lt;0,'03_全链计算'!K72+1,0),IF('01_数值调参'!M25&lt;0,'03_全链计算'!L72+1,0),IF('01_数值调参'!M26&lt;0,'03_全链计算'!M72+1,0),IF('01_数值调参'!M27&lt;0,'03_全链计算'!N72+1,0),IF('01_数值调参'!M28&lt;0,'03_全链计算'!O72+1,0),IF('01_数值调参'!M29&lt;0,'03_全链计算'!P72+1,0),IF('01_数值调参'!M30&lt;0,'03_全链计算'!Q72+1,0),IF('01_数值调参'!M31&lt;0,'03_全链计算'!R72+1,0),IF('01_数值调参'!M32&lt;0,'03_全链计算'!S72+1,0),IF('01_数值调参'!M33&lt;0,'03_全链计算'!T72+1,0),IF('01_数值调参'!M34&lt;0,'03_全链计算'!U72+1,0),IF('01_数值调参'!M35&lt;0,'03_全链计算'!V72+1,0),IF('01_数值调参'!M36&lt;0,'03_全链计算'!W72+1,0),IF('01_数值调参'!M37&lt;0,'03_全链计算'!X72+1,0),IF('01_数值调参'!M38&lt;0,'03_全链计算'!Y72+1,0),IF('01_数值调参'!M39&lt;0,'03_全链计算'!Z72+1,0),IF('01_数值调参'!M40&lt;0,'03_全链计算'!AA72+1,0),IF('01_数值调参'!M41&lt;0,'03_全链计算'!AB72+1,0),IF('01_数值调参'!M42&lt;0,'03_全链计算'!AC72+1,0),IF('01_数值调参'!M43&lt;0,'03_全链计算'!AD72+1,0),IF('01_数值调参'!M44&lt;0,'03_全链计算'!AE72+1,0),IF('01_数值调参'!M45&lt;0,'03_全链计算'!AF72+1,0),IF('01_数值调参'!M46&lt;0,'03_全链计算'!AG72+1,0),IF('01_数值调参'!M47&lt;0,'03_全链计算'!AH72+1,0),IF('01_数值调参'!M48&lt;0,'03_全链计算'!AI72+1,0),IF('01_数值调参'!M49&lt;0,'03_全链计算'!AJ72+1,0),IF('01_数值调参'!M50&lt;0,'03_全链计算'!AK72+1,0),IF('01_数值调参'!M51&lt;0,'03_全链计算'!AL72+1,0),IF('01_数值调参'!M52&lt;0,'03_全链计算'!AM72+1,0))</x:f>
        <x:v>0</x:v>
      </x:c>
      <x:c r="N73" s="9" t="n">
        <x:f>MAX(IF('01_数值调参'!N18&lt;0,'03_全链计算'!E72+1,0),IF('01_数值调参'!N19&lt;0,'03_全链计算'!F72+1,0),IF('01_数值调参'!N20&lt;0,'03_全链计算'!G72+1,0),IF('01_数值调参'!N21&lt;0,'03_全链计算'!H72+1,0),IF('01_数值调参'!N22&lt;0,'03_全链计算'!I72+1,0),IF('01_数值调参'!N23&lt;0,'03_全链计算'!J72+1,0),IF('01_数值调参'!N24&lt;0,'03_全链计算'!K72+1,0),IF('01_数值调参'!N25&lt;0,'03_全链计算'!L72+1,0),IF('01_数值调参'!N26&lt;0,'03_全链计算'!M72+1,0),IF('01_数值调参'!N27&lt;0,'03_全链计算'!N72+1,0),IF('01_数值调参'!N28&lt;0,'03_全链计算'!O72+1,0),IF('01_数值调参'!N29&lt;0,'03_全链计算'!P72+1,0),IF('01_数值调参'!N30&lt;0,'03_全链计算'!Q72+1,0),IF('01_数值调参'!N31&lt;0,'03_全链计算'!R72+1,0),IF('01_数值调参'!N32&lt;0,'03_全链计算'!S72+1,0),IF('01_数值调参'!N33&lt;0,'03_全链计算'!T72+1,0),IF('01_数值调参'!N34&lt;0,'03_全链计算'!U72+1,0),IF('01_数值调参'!N35&lt;0,'03_全链计算'!V72+1,0),IF('01_数值调参'!N36&lt;0,'03_全链计算'!W72+1,0),IF('01_数值调参'!N37&lt;0,'03_全链计算'!X72+1,0),IF('01_数值调参'!N38&lt;0,'03_全链计算'!Y72+1,0),IF('01_数值调参'!N39&lt;0,'03_全链计算'!Z72+1,0),IF('01_数值调参'!N40&lt;0,'03_全链计算'!AA72+1,0),IF('01_数值调参'!N41&lt;0,'03_全链计算'!AB72+1,0),IF('01_数值调参'!N42&lt;0,'03_全链计算'!AC72+1,0),IF('01_数值调参'!N43&lt;0,'03_全链计算'!AD72+1,0),IF('01_数值调参'!N44&lt;0,'03_全链计算'!AE72+1,0),IF('01_数值调参'!N45&lt;0,'03_全链计算'!AF72+1,0),IF('01_数值调参'!N46&lt;0,'03_全链计算'!AG72+1,0),IF('01_数值调参'!N47&lt;0,'03_全链计算'!AH72+1,0),IF('01_数值调参'!N48&lt;0,'03_全链计算'!AI72+1,0),IF('01_数值调参'!N49&lt;0,'03_全链计算'!AJ72+1,0),IF('01_数值调参'!N50&lt;0,'03_全链计算'!AK72+1,0),IF('01_数值调参'!N51&lt;0,'03_全链计算'!AL72+1,0),IF('01_数值调参'!N52&lt;0,'03_全链计算'!AM72+1,0))</x:f>
        <x:v>1</x:v>
      </x:c>
      <x:c r="O73" s="9" t="n">
        <x:f>MAX(IF('01_数值调参'!O18&lt;0,'03_全链计算'!E72+1,0),IF('01_数值调参'!O19&lt;0,'03_全链计算'!F72+1,0),IF('01_数值调参'!O20&lt;0,'03_全链计算'!G72+1,0),IF('01_数值调参'!O21&lt;0,'03_全链计算'!H72+1,0),IF('01_数值调参'!O22&lt;0,'03_全链计算'!I72+1,0),IF('01_数值调参'!O23&lt;0,'03_全链计算'!J72+1,0),IF('01_数值调参'!O24&lt;0,'03_全链计算'!K72+1,0),IF('01_数值调参'!O25&lt;0,'03_全链计算'!L72+1,0),IF('01_数值调参'!O26&lt;0,'03_全链计算'!M72+1,0),IF('01_数值调参'!O27&lt;0,'03_全链计算'!N72+1,0),IF('01_数值调参'!O28&lt;0,'03_全链计算'!O72+1,0),IF('01_数值调参'!O29&lt;0,'03_全链计算'!P72+1,0),IF('01_数值调参'!O30&lt;0,'03_全链计算'!Q72+1,0),IF('01_数值调参'!O31&lt;0,'03_全链计算'!R72+1,0),IF('01_数值调参'!O32&lt;0,'03_全链计算'!S72+1,0),IF('01_数值调参'!O33&lt;0,'03_全链计算'!T72+1,0),IF('01_数值调参'!O34&lt;0,'03_全链计算'!U72+1,0),IF('01_数值调参'!O35&lt;0,'03_全链计算'!V72+1,0),IF('01_数值调参'!O36&lt;0,'03_全链计算'!W72+1,0),IF('01_数值调参'!O37&lt;0,'03_全链计算'!X72+1,0),IF('01_数值调参'!O38&lt;0,'03_全链计算'!Y72+1,0),IF('01_数值调参'!O39&lt;0,'03_全链计算'!Z72+1,0),IF('01_数值调参'!O40&lt;0,'03_全链计算'!AA72+1,0),IF('01_数值调参'!O41&lt;0,'03_全链计算'!AB72+1,0),IF('01_数值调参'!O42&lt;0,'03_全链计算'!AC72+1,0),IF('01_数值调参'!O43&lt;0,'03_全链计算'!AD72+1,0),IF('01_数值调参'!O44&lt;0,'03_全链计算'!AE72+1,0),IF('01_数值调参'!O45&lt;0,'03_全链计算'!AF72+1,0),IF('01_数值调参'!O46&lt;0,'03_全链计算'!AG72+1,0),IF('01_数值调参'!O47&lt;0,'03_全链计算'!AH72+1,0),IF('01_数值调参'!O48&lt;0,'03_全链计算'!AI72+1,0),IF('01_数值调参'!O49&lt;0,'03_全链计算'!AJ72+1,0),IF('01_数值调参'!O50&lt;0,'03_全链计算'!AK72+1,0),IF('01_数值调参'!O51&lt;0,'03_全链计算'!AL72+1,0),IF('01_数值调参'!O52&lt;0,'03_全链计算'!AM72+1,0))</x:f>
        <x:v>1</x:v>
      </x:c>
      <x:c r="P73" s="9" t="n">
        <x:f>MAX(IF('01_数值调参'!P18&lt;0,'03_全链计算'!E72+1,0),IF('01_数值调参'!P19&lt;0,'03_全链计算'!F72+1,0),IF('01_数值调参'!P20&lt;0,'03_全链计算'!G72+1,0),IF('01_数值调参'!P21&lt;0,'03_全链计算'!H72+1,0),IF('01_数值调参'!P22&lt;0,'03_全链计算'!I72+1,0),IF('01_数值调参'!P23&lt;0,'03_全链计算'!J72+1,0),IF('01_数值调参'!P24&lt;0,'03_全链计算'!K72+1,0),IF('01_数值调参'!P25&lt;0,'03_全链计算'!L72+1,0),IF('01_数值调参'!P26&lt;0,'03_全链计算'!M72+1,0),IF('01_数值调参'!P27&lt;0,'03_全链计算'!N72+1,0),IF('01_数值调参'!P28&lt;0,'03_全链计算'!O72+1,0),IF('01_数值调参'!P29&lt;0,'03_全链计算'!P72+1,0),IF('01_数值调参'!P30&lt;0,'03_全链计算'!Q72+1,0),IF('01_数值调参'!P31&lt;0,'03_全链计算'!R72+1,0),IF('01_数值调参'!P32&lt;0,'03_全链计算'!S72+1,0),IF('01_数值调参'!P33&lt;0,'03_全链计算'!T72+1,0),IF('01_数值调参'!P34&lt;0,'03_全链计算'!U72+1,0),IF('01_数值调参'!P35&lt;0,'03_全链计算'!V72+1,0),IF('01_数值调参'!P36&lt;0,'03_全链计算'!W72+1,0),IF('01_数值调参'!P37&lt;0,'03_全链计算'!X72+1,0),IF('01_数值调参'!P38&lt;0,'03_全链计算'!Y72+1,0),IF('01_数值调参'!P39&lt;0,'03_全链计算'!Z72+1,0),IF('01_数值调参'!P40&lt;0,'03_全链计算'!AA72+1,0),IF('01_数值调参'!P41&lt;0,'03_全链计算'!AB72+1,0),IF('01_数值调参'!P42&lt;0,'03_全链计算'!AC72+1,0),IF('01_数值调参'!P43&lt;0,'03_全链计算'!AD72+1,0),IF('01_数值调参'!P44&lt;0,'03_全链计算'!AE72+1,0),IF('01_数值调参'!P45&lt;0,'03_全链计算'!AF72+1,0),IF('01_数值调参'!P46&lt;0,'03_全链计算'!AG72+1,0),IF('01_数值调参'!P47&lt;0,'03_全链计算'!AH72+1,0),IF('01_数值调参'!P48&lt;0,'03_全链计算'!AI72+1,0),IF('01_数值调参'!P49&lt;0,'03_全链计算'!AJ72+1,0),IF('01_数值调参'!P50&lt;0,'03_全链计算'!AK72+1,0),IF('01_数值调参'!P51&lt;0,'03_全链计算'!AL72+1,0),IF('01_数值调参'!P52&lt;0,'03_全链计算'!AM72+1,0))</x:f>
        <x:v>1</x:v>
      </x:c>
      <x:c r="Q73" s="9" t="n">
        <x:f>MAX(IF('01_数值调参'!Q18&lt;0,'03_全链计算'!E72+1,0),IF('01_数值调参'!Q19&lt;0,'03_全链计算'!F72+1,0),IF('01_数值调参'!Q20&lt;0,'03_全链计算'!G72+1,0),IF('01_数值调参'!Q21&lt;0,'03_全链计算'!H72+1,0),IF('01_数值调参'!Q22&lt;0,'03_全链计算'!I72+1,0),IF('01_数值调参'!Q23&lt;0,'03_全链计算'!J72+1,0),IF('01_数值调参'!Q24&lt;0,'03_全链计算'!K72+1,0),IF('01_数值调参'!Q25&lt;0,'03_全链计算'!L72+1,0),IF('01_数值调参'!Q26&lt;0,'03_全链计算'!M72+1,0),IF('01_数值调参'!Q27&lt;0,'03_全链计算'!N72+1,0),IF('01_数值调参'!Q28&lt;0,'03_全链计算'!O72+1,0),IF('01_数值调参'!Q29&lt;0,'03_全链计算'!P72+1,0),IF('01_数值调参'!Q30&lt;0,'03_全链计算'!Q72+1,0),IF('01_数值调参'!Q31&lt;0,'03_全链计算'!R72+1,0),IF('01_数值调参'!Q32&lt;0,'03_全链计算'!S72+1,0),IF('01_数值调参'!Q33&lt;0,'03_全链计算'!T72+1,0),IF('01_数值调参'!Q34&lt;0,'03_全链计算'!U72+1,0),IF('01_数值调参'!Q35&lt;0,'03_全链计算'!V72+1,0),IF('01_数值调参'!Q36&lt;0,'03_全链计算'!W72+1,0),IF('01_数值调参'!Q37&lt;0,'03_全链计算'!X72+1,0),IF('01_数值调参'!Q38&lt;0,'03_全链计算'!Y72+1,0),IF('01_数值调参'!Q39&lt;0,'03_全链计算'!Z72+1,0),IF('01_数值调参'!Q40&lt;0,'03_全链计算'!AA72+1,0),IF('01_数值调参'!Q41&lt;0,'03_全链计算'!AB72+1,0),IF('01_数值调参'!Q42&lt;0,'03_全链计算'!AC72+1,0),IF('01_数值调参'!Q43&lt;0,'03_全链计算'!AD72+1,0),IF('01_数值调参'!Q44&lt;0,'03_全链计算'!AE72+1,0),IF('01_数值调参'!Q45&lt;0,'03_全链计算'!AF72+1,0),IF('01_数值调参'!Q46&lt;0,'03_全链计算'!AG72+1,0),IF('01_数值调参'!Q47&lt;0,'03_全链计算'!AH72+1,0),IF('01_数值调参'!Q48&lt;0,'03_全链计算'!AI72+1,0),IF('01_数值调参'!Q49&lt;0,'03_全链计算'!AJ72+1,0),IF('01_数值调参'!Q50&lt;0,'03_全链计算'!AK72+1,0),IF('01_数值调参'!Q51&lt;0,'03_全链计算'!AL72+1,0),IF('01_数值调参'!Q52&lt;0,'03_全链计算'!AM72+1,0))</x:f>
        <x:v>1</x:v>
      </x:c>
      <x:c r="R73" s="9" t="n">
        <x:f>MAX(IF('01_数值调参'!R18&lt;0,'03_全链计算'!E72+1,0),IF('01_数值调参'!R19&lt;0,'03_全链计算'!F72+1,0),IF('01_数值调参'!R20&lt;0,'03_全链计算'!G72+1,0),IF('01_数值调参'!R21&lt;0,'03_全链计算'!H72+1,0),IF('01_数值调参'!R22&lt;0,'03_全链计算'!I72+1,0),IF('01_数值调参'!R23&lt;0,'03_全链计算'!J72+1,0),IF('01_数值调参'!R24&lt;0,'03_全链计算'!K72+1,0),IF('01_数值调参'!R25&lt;0,'03_全链计算'!L72+1,0),IF('01_数值调参'!R26&lt;0,'03_全链计算'!M72+1,0),IF('01_数值调参'!R27&lt;0,'03_全链计算'!N72+1,0),IF('01_数值调参'!R28&lt;0,'03_全链计算'!O72+1,0),IF('01_数值调参'!R29&lt;0,'03_全链计算'!P72+1,0),IF('01_数值调参'!R30&lt;0,'03_全链计算'!Q72+1,0),IF('01_数值调参'!R31&lt;0,'03_全链计算'!R72+1,0),IF('01_数值调参'!R32&lt;0,'03_全链计算'!S72+1,0),IF('01_数值调参'!R33&lt;0,'03_全链计算'!T72+1,0),IF('01_数值调参'!R34&lt;0,'03_全链计算'!U72+1,0),IF('01_数值调参'!R35&lt;0,'03_全链计算'!V72+1,0),IF('01_数值调参'!R36&lt;0,'03_全链计算'!W72+1,0),IF('01_数值调参'!R37&lt;0,'03_全链计算'!X72+1,0),IF('01_数值调参'!R38&lt;0,'03_全链计算'!Y72+1,0),IF('01_数值调参'!R39&lt;0,'03_全链计算'!Z72+1,0),IF('01_数值调参'!R40&lt;0,'03_全链计算'!AA72+1,0),IF('01_数值调参'!R41&lt;0,'03_全链计算'!AB72+1,0),IF('01_数值调参'!R42&lt;0,'03_全链计算'!AC72+1,0),IF('01_数值调参'!R43&lt;0,'03_全链计算'!AD72+1,0),IF('01_数值调参'!R44&lt;0,'03_全链计算'!AE72+1,0),IF('01_数值调参'!R45&lt;0,'03_全链计算'!AF72+1,0),IF('01_数值调参'!R46&lt;0,'03_全链计算'!AG72+1,0),IF('01_数值调参'!R47&lt;0,'03_全链计算'!AH72+1,0),IF('01_数值调参'!R48&lt;0,'03_全链计算'!AI72+1,0),IF('01_数值调参'!R49&lt;0,'03_全链计算'!AJ72+1,0),IF('01_数值调参'!R50&lt;0,'03_全链计算'!AK72+1,0),IF('01_数值调参'!R51&lt;0,'03_全链计算'!AL72+1,0),IF('01_数值调参'!R52&lt;0,'03_全链计算'!AM72+1,0))</x:f>
        <x:v>1</x:v>
      </x:c>
      <x:c r="S73" s="9" t="n">
        <x:f>MAX(IF('01_数值调参'!S18&lt;0,'03_全链计算'!E72+1,0),IF('01_数值调参'!S19&lt;0,'03_全链计算'!F72+1,0),IF('01_数值调参'!S20&lt;0,'03_全链计算'!G72+1,0),IF('01_数值调参'!S21&lt;0,'03_全链计算'!H72+1,0),IF('01_数值调参'!S22&lt;0,'03_全链计算'!I72+1,0),IF('01_数值调参'!S23&lt;0,'03_全链计算'!J72+1,0),IF('01_数值调参'!S24&lt;0,'03_全链计算'!K72+1,0),IF('01_数值调参'!S25&lt;0,'03_全链计算'!L72+1,0),IF('01_数值调参'!S26&lt;0,'03_全链计算'!M72+1,0),IF('01_数值调参'!S27&lt;0,'03_全链计算'!N72+1,0),IF('01_数值调参'!S28&lt;0,'03_全链计算'!O72+1,0),IF('01_数值调参'!S29&lt;0,'03_全链计算'!P72+1,0),IF('01_数值调参'!S30&lt;0,'03_全链计算'!Q72+1,0),IF('01_数值调参'!S31&lt;0,'03_全链计算'!R72+1,0),IF('01_数值调参'!S32&lt;0,'03_全链计算'!S72+1,0),IF('01_数值调参'!S33&lt;0,'03_全链计算'!T72+1,0),IF('01_数值调参'!S34&lt;0,'03_全链计算'!U72+1,0),IF('01_数值调参'!S35&lt;0,'03_全链计算'!V72+1,0),IF('01_数值调参'!S36&lt;0,'03_全链计算'!W72+1,0),IF('01_数值调参'!S37&lt;0,'03_全链计算'!X72+1,0),IF('01_数值调参'!S38&lt;0,'03_全链计算'!Y72+1,0),IF('01_数值调参'!S39&lt;0,'03_全链计算'!Z72+1,0),IF('01_数值调参'!S40&lt;0,'03_全链计算'!AA72+1,0),IF('01_数值调参'!S41&lt;0,'03_全链计算'!AB72+1,0),IF('01_数值调参'!S42&lt;0,'03_全链计算'!AC72+1,0),IF('01_数值调参'!S43&lt;0,'03_全链计算'!AD72+1,0),IF('01_数值调参'!S44&lt;0,'03_全链计算'!AE72+1,0),IF('01_数值调参'!S45&lt;0,'03_全链计算'!AF72+1,0),IF('01_数值调参'!S46&lt;0,'03_全链计算'!AG72+1,0),IF('01_数值调参'!S47&lt;0,'03_全链计算'!AH72+1,0),IF('01_数值调参'!S48&lt;0,'03_全链计算'!AI72+1,0),IF('01_数值调参'!S49&lt;0,'03_全链计算'!AJ72+1,0),IF('01_数值调参'!S50&lt;0,'03_全链计算'!AK72+1,0),IF('01_数值调参'!S51&lt;0,'03_全链计算'!AL72+1,0),IF('01_数值调参'!S52&lt;0,'03_全链计算'!AM72+1,0))</x:f>
        <x:v>1</x:v>
      </x:c>
      <x:c r="T73" s="9" t="n">
        <x:f>MAX(IF('01_数值调参'!T18&lt;0,'03_全链计算'!E72+1,0),IF('01_数值调参'!T19&lt;0,'03_全链计算'!F72+1,0),IF('01_数值调参'!T20&lt;0,'03_全链计算'!G72+1,0),IF('01_数值调参'!T21&lt;0,'03_全链计算'!H72+1,0),IF('01_数值调参'!T22&lt;0,'03_全链计算'!I72+1,0),IF('01_数值调参'!T23&lt;0,'03_全链计算'!J72+1,0),IF('01_数值调参'!T24&lt;0,'03_全链计算'!K72+1,0),IF('01_数值调参'!T25&lt;0,'03_全链计算'!L72+1,0),IF('01_数值调参'!T26&lt;0,'03_全链计算'!M72+1,0),IF('01_数值调参'!T27&lt;0,'03_全链计算'!N72+1,0),IF('01_数值调参'!T28&lt;0,'03_全链计算'!O72+1,0),IF('01_数值调参'!T29&lt;0,'03_全链计算'!P72+1,0),IF('01_数值调参'!T30&lt;0,'03_全链计算'!Q72+1,0),IF('01_数值调参'!T31&lt;0,'03_全链计算'!R72+1,0),IF('01_数值调参'!T32&lt;0,'03_全链计算'!S72+1,0),IF('01_数值调参'!T33&lt;0,'03_全链计算'!T72+1,0),IF('01_数值调参'!T34&lt;0,'03_全链计算'!U72+1,0),IF('01_数值调参'!T35&lt;0,'03_全链计算'!V72+1,0),IF('01_数值调参'!T36&lt;0,'03_全链计算'!W72+1,0),IF('01_数值调参'!T37&lt;0,'03_全链计算'!X72+1,0),IF('01_数值调参'!T38&lt;0,'03_全链计算'!Y72+1,0),IF('01_数值调参'!T39&lt;0,'03_全链计算'!Z72+1,0),IF('01_数值调参'!T40&lt;0,'03_全链计算'!AA72+1,0),IF('01_数值调参'!T41&lt;0,'03_全链计算'!AB72+1,0),IF('01_数值调参'!T42&lt;0,'03_全链计算'!AC72+1,0),IF('01_数值调参'!T43&lt;0,'03_全链计算'!AD72+1,0),IF('01_数值调参'!T44&lt;0,'03_全链计算'!AE72+1,0),IF('01_数值调参'!T45&lt;0,'03_全链计算'!AF72+1,0),IF('01_数值调参'!T46&lt;0,'03_全链计算'!AG72+1,0),IF('01_数值调参'!T47&lt;0,'03_全链计算'!AH72+1,0),IF('01_数值调参'!T48&lt;0,'03_全链计算'!AI72+1,0),IF('01_数值调参'!T49&lt;0,'03_全链计算'!AJ72+1,0),IF('01_数值调参'!T50&lt;0,'03_全链计算'!AK72+1,0),IF('01_数值调参'!T51&lt;0,'03_全链计算'!AL72+1,0),IF('01_数值调参'!T52&lt;0,'03_全链计算'!AM72+1,0))</x:f>
        <x:v>1</x:v>
      </x:c>
      <x:c r="U73" s="9" t="n">
        <x:f>MAX(IF('01_数值调参'!U18&lt;0,'03_全链计算'!E72+1,0),IF('01_数值调参'!U19&lt;0,'03_全链计算'!F72+1,0),IF('01_数值调参'!U20&lt;0,'03_全链计算'!G72+1,0),IF('01_数值调参'!U21&lt;0,'03_全链计算'!H72+1,0),IF('01_数值调参'!U22&lt;0,'03_全链计算'!I72+1,0),IF('01_数值调参'!U23&lt;0,'03_全链计算'!J72+1,0),IF('01_数值调参'!U24&lt;0,'03_全链计算'!K72+1,0),IF('01_数值调参'!U25&lt;0,'03_全链计算'!L72+1,0),IF('01_数值调参'!U26&lt;0,'03_全链计算'!M72+1,0),IF('01_数值调参'!U27&lt;0,'03_全链计算'!N72+1,0),IF('01_数值调参'!U28&lt;0,'03_全链计算'!O72+1,0),IF('01_数值调参'!U29&lt;0,'03_全链计算'!P72+1,0),IF('01_数值调参'!U30&lt;0,'03_全链计算'!Q72+1,0),IF('01_数值调参'!U31&lt;0,'03_全链计算'!R72+1,0),IF('01_数值调参'!U32&lt;0,'03_全链计算'!S72+1,0),IF('01_数值调参'!U33&lt;0,'03_全链计算'!T72+1,0),IF('01_数值调参'!U34&lt;0,'03_全链计算'!U72+1,0),IF('01_数值调参'!U35&lt;0,'03_全链计算'!V72+1,0),IF('01_数值调参'!U36&lt;0,'03_全链计算'!W72+1,0),IF('01_数值调参'!U37&lt;0,'03_全链计算'!X72+1,0),IF('01_数值调参'!U38&lt;0,'03_全链计算'!Y72+1,0),IF('01_数值调参'!U39&lt;0,'03_全链计算'!Z72+1,0),IF('01_数值调参'!U40&lt;0,'03_全链计算'!AA72+1,0),IF('01_数值调参'!U41&lt;0,'03_全链计算'!AB72+1,0),IF('01_数值调参'!U42&lt;0,'03_全链计算'!AC72+1,0),IF('01_数值调参'!U43&lt;0,'03_全链计算'!AD72+1,0),IF('01_数值调参'!U44&lt;0,'03_全链计算'!AE72+1,0),IF('01_数值调参'!U45&lt;0,'03_全链计算'!AF72+1,0),IF('01_数值调参'!U46&lt;0,'03_全链计算'!AG72+1,0),IF('01_数值调参'!U47&lt;0,'03_全链计算'!AH72+1,0),IF('01_数值调参'!U48&lt;0,'03_全链计算'!AI72+1,0),IF('01_数值调参'!U49&lt;0,'03_全链计算'!AJ72+1,0),IF('01_数值调参'!U50&lt;0,'03_全链计算'!AK72+1,0),IF('01_数值调参'!U51&lt;0,'03_全链计算'!AL72+1,0),IF('01_数值调参'!U52&lt;0,'03_全链计算'!AM72+1,0))</x:f>
        <x:v>1</x:v>
      </x:c>
      <x:c r="V73" s="9" t="n">
        <x:f>MAX(IF('01_数值调参'!V18&lt;0,'03_全链计算'!E72+1,0),IF('01_数值调参'!V19&lt;0,'03_全链计算'!F72+1,0),IF('01_数值调参'!V20&lt;0,'03_全链计算'!G72+1,0),IF('01_数值调参'!V21&lt;0,'03_全链计算'!H72+1,0),IF('01_数值调参'!V22&lt;0,'03_全链计算'!I72+1,0),IF('01_数值调参'!V23&lt;0,'03_全链计算'!J72+1,0),IF('01_数值调参'!V24&lt;0,'03_全链计算'!K72+1,0),IF('01_数值调参'!V25&lt;0,'03_全链计算'!L72+1,0),IF('01_数值调参'!V26&lt;0,'03_全链计算'!M72+1,0),IF('01_数值调参'!V27&lt;0,'03_全链计算'!N72+1,0),IF('01_数值调参'!V28&lt;0,'03_全链计算'!O72+1,0),IF('01_数值调参'!V29&lt;0,'03_全链计算'!P72+1,0),IF('01_数值调参'!V30&lt;0,'03_全链计算'!Q72+1,0),IF('01_数值调参'!V31&lt;0,'03_全链计算'!R72+1,0),IF('01_数值调参'!V32&lt;0,'03_全链计算'!S72+1,0),IF('01_数值调参'!V33&lt;0,'03_全链计算'!T72+1,0),IF('01_数值调参'!V34&lt;0,'03_全链计算'!U72+1,0),IF('01_数值调参'!V35&lt;0,'03_全链计算'!V72+1,0),IF('01_数值调参'!V36&lt;0,'03_全链计算'!W72+1,0),IF('01_数值调参'!V37&lt;0,'03_全链计算'!X72+1,0),IF('01_数值调参'!V38&lt;0,'03_全链计算'!Y72+1,0),IF('01_数值调参'!V39&lt;0,'03_全链计算'!Z72+1,0),IF('01_数值调参'!V40&lt;0,'03_全链计算'!AA72+1,0),IF('01_数值调参'!V41&lt;0,'03_全链计算'!AB72+1,0),IF('01_数值调参'!V42&lt;0,'03_全链计算'!AC72+1,0),IF('01_数值调参'!V43&lt;0,'03_全链计算'!AD72+1,0),IF('01_数值调参'!V44&lt;0,'03_全链计算'!AE72+1,0),IF('01_数值调参'!V45&lt;0,'03_全链计算'!AF72+1,0),IF('01_数值调参'!V46&lt;0,'03_全链计算'!AG72+1,0),IF('01_数值调参'!V47&lt;0,'03_全链计算'!AH72+1,0),IF('01_数值调参'!V48&lt;0,'03_全链计算'!AI72+1,0),IF('01_数值调参'!V49&lt;0,'03_全链计算'!AJ72+1,0),IF('01_数值调参'!V50&lt;0,'03_全链计算'!AK72+1,0),IF('01_数值调参'!V51&lt;0,'03_全链计算'!AL72+1,0),IF('01_数值调参'!V52&lt;0,'03_全链计算'!AM72+1,0))</x:f>
        <x:v>1</x:v>
      </x:c>
      <x:c r="W73" s="9" t="n">
        <x:f>MAX(IF('01_数值调参'!W18&lt;0,'03_全链计算'!E72+1,0),IF('01_数值调参'!W19&lt;0,'03_全链计算'!F72+1,0),IF('01_数值调参'!W20&lt;0,'03_全链计算'!G72+1,0),IF('01_数值调参'!W21&lt;0,'03_全链计算'!H72+1,0),IF('01_数值调参'!W22&lt;0,'03_全链计算'!I72+1,0),IF('01_数值调参'!W23&lt;0,'03_全链计算'!J72+1,0),IF('01_数值调参'!W24&lt;0,'03_全链计算'!K72+1,0),IF('01_数值调参'!W25&lt;0,'03_全链计算'!L72+1,0),IF('01_数值调参'!W26&lt;0,'03_全链计算'!M72+1,0),IF('01_数值调参'!W27&lt;0,'03_全链计算'!N72+1,0),IF('01_数值调参'!W28&lt;0,'03_全链计算'!O72+1,0),IF('01_数值调参'!W29&lt;0,'03_全链计算'!P72+1,0),IF('01_数值调参'!W30&lt;0,'03_全链计算'!Q72+1,0),IF('01_数值调参'!W31&lt;0,'03_全链计算'!R72+1,0),IF('01_数值调参'!W32&lt;0,'03_全链计算'!S72+1,0),IF('01_数值调参'!W33&lt;0,'03_全链计算'!T72+1,0),IF('01_数值调参'!W34&lt;0,'03_全链计算'!U72+1,0),IF('01_数值调参'!W35&lt;0,'03_全链计算'!V72+1,0),IF('01_数值调参'!W36&lt;0,'03_全链计算'!W72+1,0),IF('01_数值调参'!W37&lt;0,'03_全链计算'!X72+1,0),IF('01_数值调参'!W38&lt;0,'03_全链计算'!Y72+1,0),IF('01_数值调参'!W39&lt;0,'03_全链计算'!Z72+1,0),IF('01_数值调参'!W40&lt;0,'03_全链计算'!AA72+1,0),IF('01_数值调参'!W41&lt;0,'03_全链计算'!AB72+1,0),IF('01_数值调参'!W42&lt;0,'03_全链计算'!AC72+1,0),IF('01_数值调参'!W43&lt;0,'03_全链计算'!AD72+1,0),IF('01_数值调参'!W44&lt;0,'03_全链计算'!AE72+1,0),IF('01_数值调参'!W45&lt;0,'03_全链计算'!AF72+1,0),IF('01_数值调参'!W46&lt;0,'03_全链计算'!AG72+1,0),IF('01_数值调参'!W47&lt;0,'03_全链计算'!AH72+1,0),IF('01_数值调参'!W48&lt;0,'03_全链计算'!AI72+1,0),IF('01_数值调参'!W49&lt;0,'03_全链计算'!AJ72+1,0),IF('01_数值调参'!W50&lt;0,'03_全链计算'!AK72+1,0),IF('01_数值调参'!W51&lt;0,'03_全链计算'!AL72+1,0),IF('01_数值调参'!W52&lt;0,'03_全链计算'!AM72+1,0))</x:f>
        <x:v>1</x:v>
      </x:c>
      <x:c r="X73" s="9" t="n">
        <x:f>MAX(IF('01_数值调参'!X18&lt;0,'03_全链计算'!E72+1,0),IF('01_数值调参'!X19&lt;0,'03_全链计算'!F72+1,0),IF('01_数值调参'!X20&lt;0,'03_全链计算'!G72+1,0),IF('01_数值调参'!X21&lt;0,'03_全链计算'!H72+1,0),IF('01_数值调参'!X22&lt;0,'03_全链计算'!I72+1,0),IF('01_数值调参'!X23&lt;0,'03_全链计算'!J72+1,0),IF('01_数值调参'!X24&lt;0,'03_全链计算'!K72+1,0),IF('01_数值调参'!X25&lt;0,'03_全链计算'!L72+1,0),IF('01_数值调参'!X26&lt;0,'03_全链计算'!M72+1,0),IF('01_数值调参'!X27&lt;0,'03_全链计算'!N72+1,0),IF('01_数值调参'!X28&lt;0,'03_全链计算'!O72+1,0),IF('01_数值调参'!X29&lt;0,'03_全链计算'!P72+1,0),IF('01_数值调参'!X30&lt;0,'03_全链计算'!Q72+1,0),IF('01_数值调参'!X31&lt;0,'03_全链计算'!R72+1,0),IF('01_数值调参'!X32&lt;0,'03_全链计算'!S72+1,0),IF('01_数值调参'!X33&lt;0,'03_全链计算'!T72+1,0),IF('01_数值调参'!X34&lt;0,'03_全链计算'!U72+1,0),IF('01_数值调参'!X35&lt;0,'03_全链计算'!V72+1,0),IF('01_数值调参'!X36&lt;0,'03_全链计算'!W72+1,0),IF('01_数值调参'!X37&lt;0,'03_全链计算'!X72+1,0),IF('01_数值调参'!X38&lt;0,'03_全链计算'!Y72+1,0),IF('01_数值调参'!X39&lt;0,'03_全链计算'!Z72+1,0),IF('01_数值调参'!X40&lt;0,'03_全链计算'!AA72+1,0),IF('01_数值调参'!X41&lt;0,'03_全链计算'!AB72+1,0),IF('01_数值调参'!X42&lt;0,'03_全链计算'!AC72+1,0),IF('01_数值调参'!X43&lt;0,'03_全链计算'!AD72+1,0),IF('01_数值调参'!X44&lt;0,'03_全链计算'!AE72+1,0),IF('01_数值调参'!X45&lt;0,'03_全链计算'!AF72+1,0),IF('01_数值调参'!X46&lt;0,'03_全链计算'!AG72+1,0),IF('01_数值调参'!X47&lt;0,'03_全链计算'!AH72+1,0),IF('01_数值调参'!X48&lt;0,'03_全链计算'!AI72+1,0),IF('01_数值调参'!X49&lt;0,'03_全链计算'!AJ72+1,0),IF('01_数值调参'!X50&lt;0,'03_全链计算'!AK72+1,0),IF('01_数值调参'!X51&lt;0,'03_全链计算'!AL72+1,0),IF('01_数值调参'!X52&lt;0,'03_全链计算'!AM72+1,0))</x:f>
        <x:v>2</x:v>
      </x:c>
      <x:c r="Y73" s="9" t="n">
        <x:f>MAX(IF('01_数值调参'!Y18&lt;0,'03_全链计算'!E72+1,0),IF('01_数值调参'!Y19&lt;0,'03_全链计算'!F72+1,0),IF('01_数值调参'!Y20&lt;0,'03_全链计算'!G72+1,0),IF('01_数值调参'!Y21&lt;0,'03_全链计算'!H72+1,0),IF('01_数值调参'!Y22&lt;0,'03_全链计算'!I72+1,0),IF('01_数值调参'!Y23&lt;0,'03_全链计算'!J72+1,0),IF('01_数值调参'!Y24&lt;0,'03_全链计算'!K72+1,0),IF('01_数值调参'!Y25&lt;0,'03_全链计算'!L72+1,0),IF('01_数值调参'!Y26&lt;0,'03_全链计算'!M72+1,0),IF('01_数值调参'!Y27&lt;0,'03_全链计算'!N72+1,0),IF('01_数值调参'!Y28&lt;0,'03_全链计算'!O72+1,0),IF('01_数值调参'!Y29&lt;0,'03_全链计算'!P72+1,0),IF('01_数值调参'!Y30&lt;0,'03_全链计算'!Q72+1,0),IF('01_数值调参'!Y31&lt;0,'03_全链计算'!R72+1,0),IF('01_数值调参'!Y32&lt;0,'03_全链计算'!S72+1,0),IF('01_数值调参'!Y33&lt;0,'03_全链计算'!T72+1,0),IF('01_数值调参'!Y34&lt;0,'03_全链计算'!U72+1,0),IF('01_数值调参'!Y35&lt;0,'03_全链计算'!V72+1,0),IF('01_数值调参'!Y36&lt;0,'03_全链计算'!W72+1,0),IF('01_数值调参'!Y37&lt;0,'03_全链计算'!X72+1,0),IF('01_数值调参'!Y38&lt;0,'03_全链计算'!Y72+1,0),IF('01_数值调参'!Y39&lt;0,'03_全链计算'!Z72+1,0),IF('01_数值调参'!Y40&lt;0,'03_全链计算'!AA72+1,0),IF('01_数值调参'!Y41&lt;0,'03_全链计算'!AB72+1,0),IF('01_数值调参'!Y42&lt;0,'03_全链计算'!AC72+1,0),IF('01_数值调参'!Y43&lt;0,'03_全链计算'!AD72+1,0),IF('01_数值调参'!Y44&lt;0,'03_全链计算'!AE72+1,0),IF('01_数值调参'!Y45&lt;0,'03_全链计算'!AF72+1,0),IF('01_数值调参'!Y46&lt;0,'03_全链计算'!AG72+1,0),IF('01_数值调参'!Y47&lt;0,'03_全链计算'!AH72+1,0),IF('01_数值调参'!Y48&lt;0,'03_全链计算'!AI72+1,0),IF('01_数值调参'!Y49&lt;0,'03_全链计算'!AJ72+1,0),IF('01_数值调参'!Y50&lt;0,'03_全链计算'!AK72+1,0),IF('01_数值调参'!Y51&lt;0,'03_全链计算'!AL72+1,0),IF('01_数值调参'!Y52&lt;0,'03_全链计算'!AM72+1,0))</x:f>
        <x:v>2</x:v>
      </x:c>
      <x:c r="Z73" s="9" t="n">
        <x:f>MAX(IF('01_数值调参'!Z18&lt;0,'03_全链计算'!E72+1,0),IF('01_数值调参'!Z19&lt;0,'03_全链计算'!F72+1,0),IF('01_数值调参'!Z20&lt;0,'03_全链计算'!G72+1,0),IF('01_数值调参'!Z21&lt;0,'03_全链计算'!H72+1,0),IF('01_数值调参'!Z22&lt;0,'03_全链计算'!I72+1,0),IF('01_数值调参'!Z23&lt;0,'03_全链计算'!J72+1,0),IF('01_数值调参'!Z24&lt;0,'03_全链计算'!K72+1,0),IF('01_数值调参'!Z25&lt;0,'03_全链计算'!L72+1,0),IF('01_数值调参'!Z26&lt;0,'03_全链计算'!M72+1,0),IF('01_数值调参'!Z27&lt;0,'03_全链计算'!N72+1,0),IF('01_数值调参'!Z28&lt;0,'03_全链计算'!O72+1,0),IF('01_数值调参'!Z29&lt;0,'03_全链计算'!P72+1,0),IF('01_数值调参'!Z30&lt;0,'03_全链计算'!Q72+1,0),IF('01_数值调参'!Z31&lt;0,'03_全链计算'!R72+1,0),IF('01_数值调参'!Z32&lt;0,'03_全链计算'!S72+1,0),IF('01_数值调参'!Z33&lt;0,'03_全链计算'!T72+1,0),IF('01_数值调参'!Z34&lt;0,'03_全链计算'!U72+1,0),IF('01_数值调参'!Z35&lt;0,'03_全链计算'!V72+1,0),IF('01_数值调参'!Z36&lt;0,'03_全链计算'!W72+1,0),IF('01_数值调参'!Z37&lt;0,'03_全链计算'!X72+1,0),IF('01_数值调参'!Z38&lt;0,'03_全链计算'!Y72+1,0),IF('01_数值调参'!Z39&lt;0,'03_全链计算'!Z72+1,0),IF('01_数值调参'!Z40&lt;0,'03_全链计算'!AA72+1,0),IF('01_数值调参'!Z41&lt;0,'03_全链计算'!AB72+1,0),IF('01_数值调参'!Z42&lt;0,'03_全链计算'!AC72+1,0),IF('01_数值调参'!Z43&lt;0,'03_全链计算'!AD72+1,0),IF('01_数值调参'!Z44&lt;0,'03_全链计算'!AE72+1,0),IF('01_数值调参'!Z45&lt;0,'03_全链计算'!AF72+1,0),IF('01_数值调参'!Z46&lt;0,'03_全链计算'!AG72+1,0),IF('01_数值调参'!Z47&lt;0,'03_全链计算'!AH72+1,0),IF('01_数值调参'!Z48&lt;0,'03_全链计算'!AI72+1,0),IF('01_数值调参'!Z49&lt;0,'03_全链计算'!AJ72+1,0),IF('01_数值调参'!Z50&lt;0,'03_全链计算'!AK72+1,0),IF('01_数值调参'!Z51&lt;0,'03_全链计算'!AL72+1,0),IF('01_数值调参'!Z52&lt;0,'03_全链计算'!AM72+1,0))</x:f>
        <x:v>2</x:v>
      </x:c>
      <x:c r="AA73" s="9" t="n">
        <x:f>MAX(IF('01_数值调参'!AA18&lt;0,'03_全链计算'!E72+1,0),IF('01_数值调参'!AA19&lt;0,'03_全链计算'!F72+1,0),IF('01_数值调参'!AA20&lt;0,'03_全链计算'!G72+1,0),IF('01_数值调参'!AA21&lt;0,'03_全链计算'!H72+1,0),IF('01_数值调参'!AA22&lt;0,'03_全链计算'!I72+1,0),IF('01_数值调参'!AA23&lt;0,'03_全链计算'!J72+1,0),IF('01_数值调参'!AA24&lt;0,'03_全链计算'!K72+1,0),IF('01_数值调参'!AA25&lt;0,'03_全链计算'!L72+1,0),IF('01_数值调参'!AA26&lt;0,'03_全链计算'!M72+1,0),IF('01_数值调参'!AA27&lt;0,'03_全链计算'!N72+1,0),IF('01_数值调参'!AA28&lt;0,'03_全链计算'!O72+1,0),IF('01_数值调参'!AA29&lt;0,'03_全链计算'!P72+1,0),IF('01_数值调参'!AA30&lt;0,'03_全链计算'!Q72+1,0),IF('01_数值调参'!AA31&lt;0,'03_全链计算'!R72+1,0),IF('01_数值调参'!AA32&lt;0,'03_全链计算'!S72+1,0),IF('01_数值调参'!AA33&lt;0,'03_全链计算'!T72+1,0),IF('01_数值调参'!AA34&lt;0,'03_全链计算'!U72+1,0),IF('01_数值调参'!AA35&lt;0,'03_全链计算'!V72+1,0),IF('01_数值调参'!AA36&lt;0,'03_全链计算'!W72+1,0),IF('01_数值调参'!AA37&lt;0,'03_全链计算'!X72+1,0),IF('01_数值调参'!AA38&lt;0,'03_全链计算'!Y72+1,0),IF('01_数值调参'!AA39&lt;0,'03_全链计算'!Z72+1,0),IF('01_数值调参'!AA40&lt;0,'03_全链计算'!AA72+1,0),IF('01_数值调参'!AA41&lt;0,'03_全链计算'!AB72+1,0),IF('01_数值调参'!AA42&lt;0,'03_全链计算'!AC72+1,0),IF('01_数值调参'!AA43&lt;0,'03_全链计算'!AD72+1,0),IF('01_数值调参'!AA44&lt;0,'03_全链计算'!AE72+1,0),IF('01_数值调参'!AA45&lt;0,'03_全链计算'!AF72+1,0),IF('01_数值调参'!AA46&lt;0,'03_全链计算'!AG72+1,0),IF('01_数值调参'!AA47&lt;0,'03_全链计算'!AH72+1,0),IF('01_数值调参'!AA48&lt;0,'03_全链计算'!AI72+1,0),IF('01_数值调参'!AA49&lt;0,'03_全链计算'!AJ72+1,0),IF('01_数值调参'!AA50&lt;0,'03_全链计算'!AK72+1,0),IF('01_数值调参'!AA51&lt;0,'03_全链计算'!AL72+1,0),IF('01_数值调参'!AA52&lt;0,'03_全链计算'!AM72+1,0))</x:f>
        <x:v>2</x:v>
      </x:c>
      <x:c r="AB73" s="9" t="n">
        <x:f>MAX(IF('01_数值调参'!AB18&lt;0,'03_全链计算'!E72+1,0),IF('01_数值调参'!AB19&lt;0,'03_全链计算'!F72+1,0),IF('01_数值调参'!AB20&lt;0,'03_全链计算'!G72+1,0),IF('01_数值调参'!AB21&lt;0,'03_全链计算'!H72+1,0),IF('01_数值调参'!AB22&lt;0,'03_全链计算'!I72+1,0),IF('01_数值调参'!AB23&lt;0,'03_全链计算'!J72+1,0),IF('01_数值调参'!AB24&lt;0,'03_全链计算'!K72+1,0),IF('01_数值调参'!AB25&lt;0,'03_全链计算'!L72+1,0),IF('01_数值调参'!AB26&lt;0,'03_全链计算'!M72+1,0),IF('01_数值调参'!AB27&lt;0,'03_全链计算'!N72+1,0),IF('01_数值调参'!AB28&lt;0,'03_全链计算'!O72+1,0),IF('01_数值调参'!AB29&lt;0,'03_全链计算'!P72+1,0),IF('01_数值调参'!AB30&lt;0,'03_全链计算'!Q72+1,0),IF('01_数值调参'!AB31&lt;0,'03_全链计算'!R72+1,0),IF('01_数值调参'!AB32&lt;0,'03_全链计算'!S72+1,0),IF('01_数值调参'!AB33&lt;0,'03_全链计算'!T72+1,0),IF('01_数值调参'!AB34&lt;0,'03_全链计算'!U72+1,0),IF('01_数值调参'!AB35&lt;0,'03_全链计算'!V72+1,0),IF('01_数值调参'!AB36&lt;0,'03_全链计算'!W72+1,0),IF('01_数值调参'!AB37&lt;0,'03_全链计算'!X72+1,0),IF('01_数值调参'!AB38&lt;0,'03_全链计算'!Y72+1,0),IF('01_数值调参'!AB39&lt;0,'03_全链计算'!Z72+1,0),IF('01_数值调参'!AB40&lt;0,'03_全链计算'!AA72+1,0),IF('01_数值调参'!AB41&lt;0,'03_全链计算'!AB72+1,0),IF('01_数值调参'!AB42&lt;0,'03_全链计算'!AC72+1,0),IF('01_数值调参'!AB43&lt;0,'03_全链计算'!AD72+1,0),IF('01_数值调参'!AB44&lt;0,'03_全链计算'!AE72+1,0),IF('01_数值调参'!AB45&lt;0,'03_全链计算'!AF72+1,0),IF('01_数值调参'!AB46&lt;0,'03_全链计算'!AG72+1,0),IF('01_数值调参'!AB47&lt;0,'03_全链计算'!AH72+1,0),IF('01_数值调参'!AB48&lt;0,'03_全链计算'!AI72+1,0),IF('01_数值调参'!AB49&lt;0,'03_全链计算'!AJ72+1,0),IF('01_数值调参'!AB50&lt;0,'03_全链计算'!AK72+1,0),IF('01_数值调参'!AB51&lt;0,'03_全链计算'!AL72+1,0),IF('01_数值调参'!AB52&lt;0,'03_全链计算'!AM72+1,0))</x:f>
        <x:v>2</x:v>
      </x:c>
      <x:c r="AC73" s="9" t="n">
        <x:f>MAX(IF('01_数值调参'!AC18&lt;0,'03_全链计算'!E72+1,0),IF('01_数值调参'!AC19&lt;0,'03_全链计算'!F72+1,0),IF('01_数值调参'!AC20&lt;0,'03_全链计算'!G72+1,0),IF('01_数值调参'!AC21&lt;0,'03_全链计算'!H72+1,0),IF('01_数值调参'!AC22&lt;0,'03_全链计算'!I72+1,0),IF('01_数值调参'!AC23&lt;0,'03_全链计算'!J72+1,0),IF('01_数值调参'!AC24&lt;0,'03_全链计算'!K72+1,0),IF('01_数值调参'!AC25&lt;0,'03_全链计算'!L72+1,0),IF('01_数值调参'!AC26&lt;0,'03_全链计算'!M72+1,0),IF('01_数值调参'!AC27&lt;0,'03_全链计算'!N72+1,0),IF('01_数值调参'!AC28&lt;0,'03_全链计算'!O72+1,0),IF('01_数值调参'!AC29&lt;0,'03_全链计算'!P72+1,0),IF('01_数值调参'!AC30&lt;0,'03_全链计算'!Q72+1,0),IF('01_数值调参'!AC31&lt;0,'03_全链计算'!R72+1,0),IF('01_数值调参'!AC32&lt;0,'03_全链计算'!S72+1,0),IF('01_数值调参'!AC33&lt;0,'03_全链计算'!T72+1,0),IF('01_数值调参'!AC34&lt;0,'03_全链计算'!U72+1,0),IF('01_数值调参'!AC35&lt;0,'03_全链计算'!V72+1,0),IF('01_数值调参'!AC36&lt;0,'03_全链计算'!W72+1,0),IF('01_数值调参'!AC37&lt;0,'03_全链计算'!X72+1,0),IF('01_数值调参'!AC38&lt;0,'03_全链计算'!Y72+1,0),IF('01_数值调参'!AC39&lt;0,'03_全链计算'!Z72+1,0),IF('01_数值调参'!AC40&lt;0,'03_全链计算'!AA72+1,0),IF('01_数值调参'!AC41&lt;0,'03_全链计算'!AB72+1,0),IF('01_数值调参'!AC42&lt;0,'03_全链计算'!AC72+1,0),IF('01_数值调参'!AC43&lt;0,'03_全链计算'!AD72+1,0),IF('01_数值调参'!AC44&lt;0,'03_全链计算'!AE72+1,0),IF('01_数值调参'!AC45&lt;0,'03_全链计算'!AF72+1,0),IF('01_数值调参'!AC46&lt;0,'03_全链计算'!AG72+1,0),IF('01_数值调参'!AC47&lt;0,'03_全链计算'!AH72+1,0),IF('01_数值调参'!AC48&lt;0,'03_全链计算'!AI72+1,0),IF('01_数值调参'!AC49&lt;0,'03_全链计算'!AJ72+1,0),IF('01_数值调参'!AC50&lt;0,'03_全链计算'!AK72+1,0),IF('01_数值调参'!AC51&lt;0,'03_全链计算'!AL72+1,0),IF('01_数值调参'!AC52&lt;0,'03_全链计算'!AM72+1,0))</x:f>
        <x:v>2</x:v>
      </x:c>
      <x:c r="AD73" s="9" t="n">
        <x:f>MAX(IF('01_数值调参'!AD18&lt;0,'03_全链计算'!E72+1,0),IF('01_数值调参'!AD19&lt;0,'03_全链计算'!F72+1,0),IF('01_数值调参'!AD20&lt;0,'03_全链计算'!G72+1,0),IF('01_数值调参'!AD21&lt;0,'03_全链计算'!H72+1,0),IF('01_数值调参'!AD22&lt;0,'03_全链计算'!I72+1,0),IF('01_数值调参'!AD23&lt;0,'03_全链计算'!J72+1,0),IF('01_数值调参'!AD24&lt;0,'03_全链计算'!K72+1,0),IF('01_数值调参'!AD25&lt;0,'03_全链计算'!L72+1,0),IF('01_数值调参'!AD26&lt;0,'03_全链计算'!M72+1,0),IF('01_数值调参'!AD27&lt;0,'03_全链计算'!N72+1,0),IF('01_数值调参'!AD28&lt;0,'03_全链计算'!O72+1,0),IF('01_数值调参'!AD29&lt;0,'03_全链计算'!P72+1,0),IF('01_数值调参'!AD30&lt;0,'03_全链计算'!Q72+1,0),IF('01_数值调参'!AD31&lt;0,'03_全链计算'!R72+1,0),IF('01_数值调参'!AD32&lt;0,'03_全链计算'!S72+1,0),IF('01_数值调参'!AD33&lt;0,'03_全链计算'!T72+1,0),IF('01_数值调参'!AD34&lt;0,'03_全链计算'!U72+1,0),IF('01_数值调参'!AD35&lt;0,'03_全链计算'!V72+1,0),IF('01_数值调参'!AD36&lt;0,'03_全链计算'!W72+1,0),IF('01_数值调参'!AD37&lt;0,'03_全链计算'!X72+1,0),IF('01_数值调参'!AD38&lt;0,'03_全链计算'!Y72+1,0),IF('01_数值调参'!AD39&lt;0,'03_全链计算'!Z72+1,0),IF('01_数值调参'!AD40&lt;0,'03_全链计算'!AA72+1,0),IF('01_数值调参'!AD41&lt;0,'03_全链计算'!AB72+1,0),IF('01_数值调参'!AD42&lt;0,'03_全链计算'!AC72+1,0),IF('01_数值调参'!AD43&lt;0,'03_全链计算'!AD72+1,0),IF('01_数值调参'!AD44&lt;0,'03_全链计算'!AE72+1,0),IF('01_数值调参'!AD45&lt;0,'03_全链计算'!AF72+1,0),IF('01_数值调参'!AD46&lt;0,'03_全链计算'!AG72+1,0),IF('01_数值调参'!AD47&lt;0,'03_全链计算'!AH72+1,0),IF('01_数值调参'!AD48&lt;0,'03_全链计算'!AI72+1,0),IF('01_数值调参'!AD49&lt;0,'03_全链计算'!AJ72+1,0),IF('01_数值调参'!AD50&lt;0,'03_全链计算'!AK72+1,0),IF('01_数值调参'!AD51&lt;0,'03_全链计算'!AL72+1,0),IF('01_数值调参'!AD52&lt;0,'03_全链计算'!AM72+1,0))</x:f>
        <x:v>1</x:v>
      </x:c>
      <x:c r="AE73" s="9" t="n">
        <x:f>MAX(IF('01_数值调参'!AE18&lt;0,'03_全链计算'!E72+1,0),IF('01_数值调参'!AE19&lt;0,'03_全链计算'!F72+1,0),IF('01_数值调参'!AE20&lt;0,'03_全链计算'!G72+1,0),IF('01_数值调参'!AE21&lt;0,'03_全链计算'!H72+1,0),IF('01_数值调参'!AE22&lt;0,'03_全链计算'!I72+1,0),IF('01_数值调参'!AE23&lt;0,'03_全链计算'!J72+1,0),IF('01_数值调参'!AE24&lt;0,'03_全链计算'!K72+1,0),IF('01_数值调参'!AE25&lt;0,'03_全链计算'!L72+1,0),IF('01_数值调参'!AE26&lt;0,'03_全链计算'!M72+1,0),IF('01_数值调参'!AE27&lt;0,'03_全链计算'!N72+1,0),IF('01_数值调参'!AE28&lt;0,'03_全链计算'!O72+1,0),IF('01_数值调参'!AE29&lt;0,'03_全链计算'!P72+1,0),IF('01_数值调参'!AE30&lt;0,'03_全链计算'!Q72+1,0),IF('01_数值调参'!AE31&lt;0,'03_全链计算'!R72+1,0),IF('01_数值调参'!AE32&lt;0,'03_全链计算'!S72+1,0),IF('01_数值调参'!AE33&lt;0,'03_全链计算'!T72+1,0),IF('01_数值调参'!AE34&lt;0,'03_全链计算'!U72+1,0),IF('01_数值调参'!AE35&lt;0,'03_全链计算'!V72+1,0),IF('01_数值调参'!AE36&lt;0,'03_全链计算'!W72+1,0),IF('01_数值调参'!AE37&lt;0,'03_全链计算'!X72+1,0),IF('01_数值调参'!AE38&lt;0,'03_全链计算'!Y72+1,0),IF('01_数值调参'!AE39&lt;0,'03_全链计算'!Z72+1,0),IF('01_数值调参'!AE40&lt;0,'03_全链计算'!AA72+1,0),IF('01_数值调参'!AE41&lt;0,'03_全链计算'!AB72+1,0),IF('01_数值调参'!AE42&lt;0,'03_全链计算'!AC72+1,0),IF('01_数值调参'!AE43&lt;0,'03_全链计算'!AD72+1,0),IF('01_数值调参'!AE44&lt;0,'03_全链计算'!AE72+1,0),IF('01_数值调参'!AE45&lt;0,'03_全链计算'!AF72+1,0),IF('01_数值调参'!AE46&lt;0,'03_全链计算'!AG72+1,0),IF('01_数值调参'!AE47&lt;0,'03_全链计算'!AH72+1,0),IF('01_数值调参'!AE48&lt;0,'03_全链计算'!AI72+1,0),IF('01_数值调参'!AE49&lt;0,'03_全链计算'!AJ72+1,0),IF('01_数值调参'!AE50&lt;0,'03_全链计算'!AK72+1,0),IF('01_数值调参'!AE51&lt;0,'03_全链计算'!AL72+1,0),IF('01_数值调参'!AE52&lt;0,'03_全链计算'!AM72+1,0))</x:f>
        <x:v>1</x:v>
      </x:c>
      <x:c r="AF73" s="9" t="n">
        <x:f>MAX(IF('01_数值调参'!AF18&lt;0,'03_全链计算'!E72+1,0),IF('01_数值调参'!AF19&lt;0,'03_全链计算'!F72+1,0),IF('01_数值调参'!AF20&lt;0,'03_全链计算'!G72+1,0),IF('01_数值调参'!AF21&lt;0,'03_全链计算'!H72+1,0),IF('01_数值调参'!AF22&lt;0,'03_全链计算'!I72+1,0),IF('01_数值调参'!AF23&lt;0,'03_全链计算'!J72+1,0),IF('01_数值调参'!AF24&lt;0,'03_全链计算'!K72+1,0),IF('01_数值调参'!AF25&lt;0,'03_全链计算'!L72+1,0),IF('01_数值调参'!AF26&lt;0,'03_全链计算'!M72+1,0),IF('01_数值调参'!AF27&lt;0,'03_全链计算'!N72+1,0),IF('01_数值调参'!AF28&lt;0,'03_全链计算'!O72+1,0),IF('01_数值调参'!AF29&lt;0,'03_全链计算'!P72+1,0),IF('01_数值调参'!AF30&lt;0,'03_全链计算'!Q72+1,0),IF('01_数值调参'!AF31&lt;0,'03_全链计算'!R72+1,0),IF('01_数值调参'!AF32&lt;0,'03_全链计算'!S72+1,0),IF('01_数值调参'!AF33&lt;0,'03_全链计算'!T72+1,0),IF('01_数值调参'!AF34&lt;0,'03_全链计算'!U72+1,0),IF('01_数值调参'!AF35&lt;0,'03_全链计算'!V72+1,0),IF('01_数值调参'!AF36&lt;0,'03_全链计算'!W72+1,0),IF('01_数值调参'!AF37&lt;0,'03_全链计算'!X72+1,0),IF('01_数值调参'!AF38&lt;0,'03_全链计算'!Y72+1,0),IF('01_数值调参'!AF39&lt;0,'03_全链计算'!Z72+1,0),IF('01_数值调参'!AF40&lt;0,'03_全链计算'!AA72+1,0),IF('01_数值调参'!AF41&lt;0,'03_全链计算'!AB72+1,0),IF('01_数值调参'!AF42&lt;0,'03_全链计算'!AC72+1,0),IF('01_数值调参'!AF43&lt;0,'03_全链计算'!AD72+1,0),IF('01_数值调参'!AF44&lt;0,'03_全链计算'!AE72+1,0),IF('01_数值调参'!AF45&lt;0,'03_全链计算'!AF72+1,0),IF('01_数值调参'!AF46&lt;0,'03_全链计算'!AG72+1,0),IF('01_数值调参'!AF47&lt;0,'03_全链计算'!AH72+1,0),IF('01_数值调参'!AF48&lt;0,'03_全链计算'!AI72+1,0),IF('01_数值调参'!AF49&lt;0,'03_全链计算'!AJ72+1,0),IF('01_数值调参'!AF50&lt;0,'03_全链计算'!AK72+1,0),IF('01_数值调参'!AF51&lt;0,'03_全链计算'!AL72+1,0),IF('01_数值调参'!AF52&lt;0,'03_全链计算'!AM72+1,0))</x:f>
        <x:v>1</x:v>
      </x:c>
      <x:c r="AG73" s="9" t="n">
        <x:f>MAX(IF('01_数值调参'!AG18&lt;0,'03_全链计算'!E72+1,0),IF('01_数值调参'!AG19&lt;0,'03_全链计算'!F72+1,0),IF('01_数值调参'!AG20&lt;0,'03_全链计算'!G72+1,0),IF('01_数值调参'!AG21&lt;0,'03_全链计算'!H72+1,0),IF('01_数值调参'!AG22&lt;0,'03_全链计算'!I72+1,0),IF('01_数值调参'!AG23&lt;0,'03_全链计算'!J72+1,0),IF('01_数值调参'!AG24&lt;0,'03_全链计算'!K72+1,0),IF('01_数值调参'!AG25&lt;0,'03_全链计算'!L72+1,0),IF('01_数值调参'!AG26&lt;0,'03_全链计算'!M72+1,0),IF('01_数值调参'!AG27&lt;0,'03_全链计算'!N72+1,0),IF('01_数值调参'!AG28&lt;0,'03_全链计算'!O72+1,0),IF('01_数值调参'!AG29&lt;0,'03_全链计算'!P72+1,0),IF('01_数值调参'!AG30&lt;0,'03_全链计算'!Q72+1,0),IF('01_数值调参'!AG31&lt;0,'03_全链计算'!R72+1,0),IF('01_数值调参'!AG32&lt;0,'03_全链计算'!S72+1,0),IF('01_数值调参'!AG33&lt;0,'03_全链计算'!T72+1,0),IF('01_数值调参'!AG34&lt;0,'03_全链计算'!U72+1,0),IF('01_数值调参'!AG35&lt;0,'03_全链计算'!V72+1,0),IF('01_数值调参'!AG36&lt;0,'03_全链计算'!W72+1,0),IF('01_数值调参'!AG37&lt;0,'03_全链计算'!X72+1,0),IF('01_数值调参'!AG38&lt;0,'03_全链计算'!Y72+1,0),IF('01_数值调参'!AG39&lt;0,'03_全链计算'!Z72+1,0),IF('01_数值调参'!AG40&lt;0,'03_全链计算'!AA72+1,0),IF('01_数值调参'!AG41&lt;0,'03_全链计算'!AB72+1,0),IF('01_数值调参'!AG42&lt;0,'03_全链计算'!AC72+1,0),IF('01_数值调参'!AG43&lt;0,'03_全链计算'!AD72+1,0),IF('01_数值调参'!AG44&lt;0,'03_全链计算'!AE72+1,0),IF('01_数值调参'!AG45&lt;0,'03_全链计算'!AF72+1,0),IF('01_数值调参'!AG46&lt;0,'03_全链计算'!AG72+1,0),IF('01_数值调参'!AG47&lt;0,'03_全链计算'!AH72+1,0),IF('01_数值调参'!AG48&lt;0,'03_全链计算'!AI72+1,0),IF('01_数值调参'!AG49&lt;0,'03_全链计算'!AJ72+1,0),IF('01_数值调参'!AG50&lt;0,'03_全链计算'!AK72+1,0),IF('01_数值调参'!AG51&lt;0,'03_全链计算'!AL72+1,0),IF('01_数值调参'!AG52&lt;0,'03_全链计算'!AM72+1,0))</x:f>
        <x:v>1</x:v>
      </x:c>
      <x:c r="AH73" s="9" t="n">
        <x:f>MAX(IF('01_数值调参'!AH18&lt;0,'03_全链计算'!E72+1,0),IF('01_数值调参'!AH19&lt;0,'03_全链计算'!F72+1,0),IF('01_数值调参'!AH20&lt;0,'03_全链计算'!G72+1,0),IF('01_数值调参'!AH21&lt;0,'03_全链计算'!H72+1,0),IF('01_数值调参'!AH22&lt;0,'03_全链计算'!I72+1,0),IF('01_数值调参'!AH23&lt;0,'03_全链计算'!J72+1,0),IF('01_数值调参'!AH24&lt;0,'03_全链计算'!K72+1,0),IF('01_数值调参'!AH25&lt;0,'03_全链计算'!L72+1,0),IF('01_数值调参'!AH26&lt;0,'03_全链计算'!M72+1,0),IF('01_数值调参'!AH27&lt;0,'03_全链计算'!N72+1,0),IF('01_数值调参'!AH28&lt;0,'03_全链计算'!O72+1,0),IF('01_数值调参'!AH29&lt;0,'03_全链计算'!P72+1,0),IF('01_数值调参'!AH30&lt;0,'03_全链计算'!Q72+1,0),IF('01_数值调参'!AH31&lt;0,'03_全链计算'!R72+1,0),IF('01_数值调参'!AH32&lt;0,'03_全链计算'!S72+1,0),IF('01_数值调参'!AH33&lt;0,'03_全链计算'!T72+1,0),IF('01_数值调参'!AH34&lt;0,'03_全链计算'!U72+1,0),IF('01_数值调参'!AH35&lt;0,'03_全链计算'!V72+1,0),IF('01_数值调参'!AH36&lt;0,'03_全链计算'!W72+1,0),IF('01_数值调参'!AH37&lt;0,'03_全链计算'!X72+1,0),IF('01_数值调参'!AH38&lt;0,'03_全链计算'!Y72+1,0),IF('01_数值调参'!AH39&lt;0,'03_全链计算'!Z72+1,0),IF('01_数值调参'!AH40&lt;0,'03_全链计算'!AA72+1,0),IF('01_数值调参'!AH41&lt;0,'03_全链计算'!AB72+1,0),IF('01_数值调参'!AH42&lt;0,'03_全链计算'!AC72+1,0),IF('01_数值调参'!AH43&lt;0,'03_全链计算'!AD72+1,0),IF('01_数值调参'!AH44&lt;0,'03_全链计算'!AE72+1,0),IF('01_数值调参'!AH45&lt;0,'03_全链计算'!AF72+1,0),IF('01_数值调参'!AH46&lt;0,'03_全链计算'!AG72+1,0),IF('01_数值调参'!AH47&lt;0,'03_全链计算'!AH72+1,0),IF('01_数值调参'!AH48&lt;0,'03_全链计算'!AI72+1,0),IF('01_数值调参'!AH49&lt;0,'03_全链计算'!AJ72+1,0),IF('01_数值调参'!AH50&lt;0,'03_全链计算'!AK72+1,0),IF('01_数值调参'!AH51&lt;0,'03_全链计算'!AL72+1,0),IF('01_数值调参'!AH52&lt;0,'03_全链计算'!AM72+1,0))</x:f>
        <x:v>2</x:v>
      </x:c>
      <x:c r="AI73" s="9" t="n">
        <x:f>MAX(IF('01_数值调参'!AI18&lt;0,'03_全链计算'!E72+1,0),IF('01_数值调参'!AI19&lt;0,'03_全链计算'!F72+1,0),IF('01_数值调参'!AI20&lt;0,'03_全链计算'!G72+1,0),IF('01_数值调参'!AI21&lt;0,'03_全链计算'!H72+1,0),IF('01_数值调参'!AI22&lt;0,'03_全链计算'!I72+1,0),IF('01_数值调参'!AI23&lt;0,'03_全链计算'!J72+1,0),IF('01_数值调参'!AI24&lt;0,'03_全链计算'!K72+1,0),IF('01_数值调参'!AI25&lt;0,'03_全链计算'!L72+1,0),IF('01_数值调参'!AI26&lt;0,'03_全链计算'!M72+1,0),IF('01_数值调参'!AI27&lt;0,'03_全链计算'!N72+1,0),IF('01_数值调参'!AI28&lt;0,'03_全链计算'!O72+1,0),IF('01_数值调参'!AI29&lt;0,'03_全链计算'!P72+1,0),IF('01_数值调参'!AI30&lt;0,'03_全链计算'!Q72+1,0),IF('01_数值调参'!AI31&lt;0,'03_全链计算'!R72+1,0),IF('01_数值调参'!AI32&lt;0,'03_全链计算'!S72+1,0),IF('01_数值调参'!AI33&lt;0,'03_全链计算'!T72+1,0),IF('01_数值调参'!AI34&lt;0,'03_全链计算'!U72+1,0),IF('01_数值调参'!AI35&lt;0,'03_全链计算'!V72+1,0),IF('01_数值调参'!AI36&lt;0,'03_全链计算'!W72+1,0),IF('01_数值调参'!AI37&lt;0,'03_全链计算'!X72+1,0),IF('01_数值调参'!AI38&lt;0,'03_全链计算'!Y72+1,0),IF('01_数值调参'!AI39&lt;0,'03_全链计算'!Z72+1,0),IF('01_数值调参'!AI40&lt;0,'03_全链计算'!AA72+1,0),IF('01_数值调参'!AI41&lt;0,'03_全链计算'!AB72+1,0),IF('01_数值调参'!AI42&lt;0,'03_全链计算'!AC72+1,0),IF('01_数值调参'!AI43&lt;0,'03_全链计算'!AD72+1,0),IF('01_数值调参'!AI44&lt;0,'03_全链计算'!AE72+1,0),IF('01_数值调参'!AI45&lt;0,'03_全链计算'!AF72+1,0),IF('01_数值调参'!AI46&lt;0,'03_全链计算'!AG72+1,0),IF('01_数值调参'!AI47&lt;0,'03_全链计算'!AH72+1,0),IF('01_数值调参'!AI48&lt;0,'03_全链计算'!AI72+1,0),IF('01_数值调参'!AI49&lt;0,'03_全链计算'!AJ72+1,0),IF('01_数值调参'!AI50&lt;0,'03_全链计算'!AK72+1,0),IF('01_数值调参'!AI51&lt;0,'03_全链计算'!AL72+1,0),IF('01_数值调参'!AI52&lt;0,'03_全链计算'!AM72+1,0))</x:f>
        <x:v>2</x:v>
      </x:c>
      <x:c r="AJ73" s="9" t="n">
        <x:f>MAX(IF('01_数值调参'!AJ18&lt;0,'03_全链计算'!E72+1,0),IF('01_数值调参'!AJ19&lt;0,'03_全链计算'!F72+1,0),IF('01_数值调参'!AJ20&lt;0,'03_全链计算'!G72+1,0),IF('01_数值调参'!AJ21&lt;0,'03_全链计算'!H72+1,0),IF('01_数值调参'!AJ22&lt;0,'03_全链计算'!I72+1,0),IF('01_数值调参'!AJ23&lt;0,'03_全链计算'!J72+1,0),IF('01_数值调参'!AJ24&lt;0,'03_全链计算'!K72+1,0),IF('01_数值调参'!AJ25&lt;0,'03_全链计算'!L72+1,0),IF('01_数值调参'!AJ26&lt;0,'03_全链计算'!M72+1,0),IF('01_数值调参'!AJ27&lt;0,'03_全链计算'!N72+1,0),IF('01_数值调参'!AJ28&lt;0,'03_全链计算'!O72+1,0),IF('01_数值调参'!AJ29&lt;0,'03_全链计算'!P72+1,0),IF('01_数值调参'!AJ30&lt;0,'03_全链计算'!Q72+1,0),IF('01_数值调参'!AJ31&lt;0,'03_全链计算'!R72+1,0),IF('01_数值调参'!AJ32&lt;0,'03_全链计算'!S72+1,0),IF('01_数值调参'!AJ33&lt;0,'03_全链计算'!T72+1,0),IF('01_数值调参'!AJ34&lt;0,'03_全链计算'!U72+1,0),IF('01_数值调参'!AJ35&lt;0,'03_全链计算'!V72+1,0),IF('01_数值调参'!AJ36&lt;0,'03_全链计算'!W72+1,0),IF('01_数值调参'!AJ37&lt;0,'03_全链计算'!X72+1,0),IF('01_数值调参'!AJ38&lt;0,'03_全链计算'!Y72+1,0),IF('01_数值调参'!AJ39&lt;0,'03_全链计算'!Z72+1,0),IF('01_数值调参'!AJ40&lt;0,'03_全链计算'!AA72+1,0),IF('01_数值调参'!AJ41&lt;0,'03_全链计算'!AB72+1,0),IF('01_数值调参'!AJ42&lt;0,'03_全链计算'!AC72+1,0),IF('01_数值调参'!AJ43&lt;0,'03_全链计算'!AD72+1,0),IF('01_数值调参'!AJ44&lt;0,'03_全链计算'!AE72+1,0),IF('01_数值调参'!AJ45&lt;0,'03_全链计算'!AF72+1,0),IF('01_数值调参'!AJ46&lt;0,'03_全链计算'!AG72+1,0),IF('01_数值调参'!AJ47&lt;0,'03_全链计算'!AH72+1,0),IF('01_数值调参'!AJ48&lt;0,'03_全链计算'!AI72+1,0),IF('01_数值调参'!AJ49&lt;0,'03_全链计算'!AJ72+1,0),IF('01_数值调参'!AJ50&lt;0,'03_全链计算'!AK72+1,0),IF('01_数值调参'!AJ51&lt;0,'03_全链计算'!AL72+1,0),IF('01_数值调参'!AJ52&lt;0,'03_全链计算'!AM72+1,0))</x:f>
        <x:v>2</x:v>
      </x:c>
      <x:c r="AK73" s="9" t="n">
        <x:f>MAX(IF('01_数值调参'!AK18&lt;0,'03_全链计算'!E72+1,0),IF('01_数值调参'!AK19&lt;0,'03_全链计算'!F72+1,0),IF('01_数值调参'!AK20&lt;0,'03_全链计算'!G72+1,0),IF('01_数值调参'!AK21&lt;0,'03_全链计算'!H72+1,0),IF('01_数值调参'!AK22&lt;0,'03_全链计算'!I72+1,0),IF('01_数值调参'!AK23&lt;0,'03_全链计算'!J72+1,0),IF('01_数值调参'!AK24&lt;0,'03_全链计算'!K72+1,0),IF('01_数值调参'!AK25&lt;0,'03_全链计算'!L72+1,0),IF('01_数值调参'!AK26&lt;0,'03_全链计算'!M72+1,0),IF('01_数值调参'!AK27&lt;0,'03_全链计算'!N72+1,0),IF('01_数值调参'!AK28&lt;0,'03_全链计算'!O72+1,0),IF('01_数值调参'!AK29&lt;0,'03_全链计算'!P72+1,0),IF('01_数值调参'!AK30&lt;0,'03_全链计算'!Q72+1,0),IF('01_数值调参'!AK31&lt;0,'03_全链计算'!R72+1,0),IF('01_数值调参'!AK32&lt;0,'03_全链计算'!S72+1,0),IF('01_数值调参'!AK33&lt;0,'03_全链计算'!T72+1,0),IF('01_数值调参'!AK34&lt;0,'03_全链计算'!U72+1,0),IF('01_数值调参'!AK35&lt;0,'03_全链计算'!V72+1,0),IF('01_数值调参'!AK36&lt;0,'03_全链计算'!W72+1,0),IF('01_数值调参'!AK37&lt;0,'03_全链计算'!X72+1,0),IF('01_数值调参'!AK38&lt;0,'03_全链计算'!Y72+1,0),IF('01_数值调参'!AK39&lt;0,'03_全链计算'!Z72+1,0),IF('01_数值调参'!AK40&lt;0,'03_全链计算'!AA72+1,0),IF('01_数值调参'!AK41&lt;0,'03_全链计算'!AB72+1,0),IF('01_数值调参'!AK42&lt;0,'03_全链计算'!AC72+1,0),IF('01_数值调参'!AK43&lt;0,'03_全链计算'!AD72+1,0),IF('01_数值调参'!AK44&lt;0,'03_全链计算'!AE72+1,0),IF('01_数值调参'!AK45&lt;0,'03_全链计算'!AF72+1,0),IF('01_数值调参'!AK46&lt;0,'03_全链计算'!AG72+1,0),IF('01_数值调参'!AK47&lt;0,'03_全链计算'!AH72+1,0),IF('01_数值调参'!AK48&lt;0,'03_全链计算'!AI72+1,0),IF('01_数值调参'!AK49&lt;0,'03_全链计算'!AJ72+1,0),IF('01_数值调参'!AK50&lt;0,'03_全链计算'!AK72+1,0),IF('01_数值调参'!AK51&lt;0,'03_全链计算'!AL72+1,0),IF('01_数值调参'!AK52&lt;0,'03_全链计算'!AM72+1,0))</x:f>
        <x:v>2</x:v>
      </x:c>
      <x:c r="AL73" s="9" t="n">
        <x:f>MAX(IF('01_数值调参'!AL18&lt;0,'03_全链计算'!E72+1,0),IF('01_数值调参'!AL19&lt;0,'03_全链计算'!F72+1,0),IF('01_数值调参'!AL20&lt;0,'03_全链计算'!G72+1,0),IF('01_数值调参'!AL21&lt;0,'03_全链计算'!H72+1,0),IF('01_数值调参'!AL22&lt;0,'03_全链计算'!I72+1,0),IF('01_数值调参'!AL23&lt;0,'03_全链计算'!J72+1,0),IF('01_数值调参'!AL24&lt;0,'03_全链计算'!K72+1,0),IF('01_数值调参'!AL25&lt;0,'03_全链计算'!L72+1,0),IF('01_数值调参'!AL26&lt;0,'03_全链计算'!M72+1,0),IF('01_数值调参'!AL27&lt;0,'03_全链计算'!N72+1,0),IF('01_数值调参'!AL28&lt;0,'03_全链计算'!O72+1,0),IF('01_数值调参'!AL29&lt;0,'03_全链计算'!P72+1,0),IF('01_数值调参'!AL30&lt;0,'03_全链计算'!Q72+1,0),IF('01_数值调参'!AL31&lt;0,'03_全链计算'!R72+1,0),IF('01_数值调参'!AL32&lt;0,'03_全链计算'!S72+1,0),IF('01_数值调参'!AL33&lt;0,'03_全链计算'!T72+1,0),IF('01_数值调参'!AL34&lt;0,'03_全链计算'!U72+1,0),IF('01_数值调参'!AL35&lt;0,'03_全链计算'!V72+1,0),IF('01_数值调参'!AL36&lt;0,'03_全链计算'!W72+1,0),IF('01_数值调参'!AL37&lt;0,'03_全链计算'!X72+1,0),IF('01_数值调参'!AL38&lt;0,'03_全链计算'!Y72+1,0),IF('01_数值调参'!AL39&lt;0,'03_全链计算'!Z72+1,0),IF('01_数值调参'!AL40&lt;0,'03_全链计算'!AA72+1,0),IF('01_数值调参'!AL41&lt;0,'03_全链计算'!AB72+1,0),IF('01_数值调参'!AL42&lt;0,'03_全链计算'!AC72+1,0),IF('01_数值调参'!AL43&lt;0,'03_全链计算'!AD72+1,0),IF('01_数值调参'!AL44&lt;0,'03_全链计算'!AE72+1,0),IF('01_数值调参'!AL45&lt;0,'03_全链计算'!AF72+1,0),IF('01_数值调参'!AL46&lt;0,'03_全链计算'!AG72+1,0),IF('01_数值调参'!AL47&lt;0,'03_全链计算'!AH72+1,0),IF('01_数值调参'!AL48&lt;0,'03_全链计算'!AI72+1,0),IF('01_数值调参'!AL49&lt;0,'03_全链计算'!AJ72+1,0),IF('01_数值调参'!AL50&lt;0,'03_全链计算'!AK72+1,0),IF('01_数值调参'!AL51&lt;0,'03_全链计算'!AL72+1,0),IF('01_数值调参'!AL52&lt;0,'03_全链计算'!AM72+1,0))</x:f>
        <x:v>3</x:v>
      </x:c>
      <x:c r="AM73" s="9" t="n">
        <x:f>MAX(IF('01_数值调参'!AM18&lt;0,'03_全链计算'!E72+1,0),IF('01_数值调参'!AM19&lt;0,'03_全链计算'!F72+1,0),IF('01_数值调参'!AM20&lt;0,'03_全链计算'!G72+1,0),IF('01_数值调参'!AM21&lt;0,'03_全链计算'!H72+1,0),IF('01_数值调参'!AM22&lt;0,'03_全链计算'!I72+1,0),IF('01_数值调参'!AM23&lt;0,'03_全链计算'!J72+1,0),IF('01_数值调参'!AM24&lt;0,'03_全链计算'!K72+1,0),IF('01_数值调参'!AM25&lt;0,'03_全链计算'!L72+1,0),IF('01_数值调参'!AM26&lt;0,'03_全链计算'!M72+1,0),IF('01_数值调参'!AM27&lt;0,'03_全链计算'!N72+1,0),IF('01_数值调参'!AM28&lt;0,'03_全链计算'!O72+1,0),IF('01_数值调参'!AM29&lt;0,'03_全链计算'!P72+1,0),IF('01_数值调参'!AM30&lt;0,'03_全链计算'!Q72+1,0),IF('01_数值调参'!AM31&lt;0,'03_全链计算'!R72+1,0),IF('01_数值调参'!AM32&lt;0,'03_全链计算'!S72+1,0),IF('01_数值调参'!AM33&lt;0,'03_全链计算'!T72+1,0),IF('01_数值调参'!AM34&lt;0,'03_全链计算'!U72+1,0),IF('01_数值调参'!AM35&lt;0,'03_全链计算'!V72+1,0),IF('01_数值调参'!AM36&lt;0,'03_全链计算'!W72+1,0),IF('01_数值调参'!AM37&lt;0,'03_全链计算'!X72+1,0),IF('01_数值调参'!AM38&lt;0,'03_全链计算'!Y72+1,0),IF('01_数值调参'!AM39&lt;0,'03_全链计算'!Z72+1,0),IF('01_数值调参'!AM40&lt;0,'03_全链计算'!AA72+1,0),IF('01_数值调参'!AM41&lt;0,'03_全链计算'!AB72+1,0),IF('01_数值调参'!AM42&lt;0,'03_全链计算'!AC72+1,0),IF('01_数值调参'!AM43&lt;0,'03_全链计算'!AD72+1,0),IF('01_数值调参'!AM44&lt;0,'03_全链计算'!AE72+1,0),IF('01_数值调参'!AM45&lt;0,'03_全链计算'!AF72+1,0),IF('01_数值调参'!AM46&lt;0,'03_全链计算'!AG72+1,0),IF('01_数值调参'!AM47&lt;0,'03_全链计算'!AH72+1,0),IF('01_数值调参'!AM48&lt;0,'03_全链计算'!AI72+1,0),IF('01_数值调参'!AM49&lt;0,'03_全链计算'!AJ72+1,0),IF('01_数值调参'!AM50&lt;0,'03_全链计算'!AK72+1,0),IF('01_数值调参'!AM51&lt;0,'03_全链计算'!AL72+1,0),IF('01_数值调参'!AM52&lt;0,'03_全链计算'!AM72+1,0))</x:f>
        <x:v>3</x:v>
      </x:c>
    </x:row>
    <x:row r="74" ht="22" customHeight="1">
      <x:c r="A74" s="9" t="n">
        <x:v>29</x:v>
      </x:c>
      <x:c r="B74" s="9"/>
      <x:c r="C74" s="9"/>
      <x:c r="D74" s="9"/>
      <x:c r="E74" s="9" t="n">
        <x:f>MAX(IF('01_数值调参'!E18&lt;0,'03_全链计算'!E73+1,0),IF('01_数值调参'!E19&lt;0,'03_全链计算'!F73+1,0),IF('01_数值调参'!E20&lt;0,'03_全链计算'!G73+1,0),IF('01_数值调参'!E21&lt;0,'03_全链计算'!H73+1,0),IF('01_数值调参'!E22&lt;0,'03_全链计算'!I73+1,0),IF('01_数值调参'!E23&lt;0,'03_全链计算'!J73+1,0),IF('01_数值调参'!E24&lt;0,'03_全链计算'!K73+1,0),IF('01_数值调参'!E25&lt;0,'03_全链计算'!L73+1,0),IF('01_数值调参'!E26&lt;0,'03_全链计算'!M73+1,0),IF('01_数值调参'!E27&lt;0,'03_全链计算'!N73+1,0),IF('01_数值调参'!E28&lt;0,'03_全链计算'!O73+1,0),IF('01_数值调参'!E29&lt;0,'03_全链计算'!P73+1,0),IF('01_数值调参'!E30&lt;0,'03_全链计算'!Q73+1,0),IF('01_数值调参'!E31&lt;0,'03_全链计算'!R73+1,0),IF('01_数值调参'!E32&lt;0,'03_全链计算'!S73+1,0),IF('01_数值调参'!E33&lt;0,'03_全链计算'!T73+1,0),IF('01_数值调参'!E34&lt;0,'03_全链计算'!U73+1,0),IF('01_数值调参'!E35&lt;0,'03_全链计算'!V73+1,0),IF('01_数值调参'!E36&lt;0,'03_全链计算'!W73+1,0),IF('01_数值调参'!E37&lt;0,'03_全链计算'!X73+1,0),IF('01_数值调参'!E38&lt;0,'03_全链计算'!Y73+1,0),IF('01_数值调参'!E39&lt;0,'03_全链计算'!Z73+1,0),IF('01_数值调参'!E40&lt;0,'03_全链计算'!AA73+1,0),IF('01_数值调参'!E41&lt;0,'03_全链计算'!AB73+1,0),IF('01_数值调参'!E42&lt;0,'03_全链计算'!AC73+1,0),IF('01_数值调参'!E43&lt;0,'03_全链计算'!AD73+1,0),IF('01_数值调参'!E44&lt;0,'03_全链计算'!AE73+1,0),IF('01_数值调参'!E45&lt;0,'03_全链计算'!AF73+1,0),IF('01_数值调参'!E46&lt;0,'03_全链计算'!AG73+1,0),IF('01_数值调参'!E47&lt;0,'03_全链计算'!AH73+1,0),IF('01_数值调参'!E48&lt;0,'03_全链计算'!AI73+1,0),IF('01_数值调参'!E49&lt;0,'03_全链计算'!AJ73+1,0),IF('01_数值调参'!E50&lt;0,'03_全链计算'!AK73+1,0),IF('01_数值调参'!E51&lt;0,'03_全链计算'!AL73+1,0),IF('01_数值调参'!E52&lt;0,'03_全链计算'!AM73+1,0))</x:f>
        <x:v>0</x:v>
      </x:c>
      <x:c r="F74" s="9" t="n">
        <x:f>MAX(IF('01_数值调参'!F18&lt;0,'03_全链计算'!E73+1,0),IF('01_数值调参'!F19&lt;0,'03_全链计算'!F73+1,0),IF('01_数值调参'!F20&lt;0,'03_全链计算'!G73+1,0),IF('01_数值调参'!F21&lt;0,'03_全链计算'!H73+1,0),IF('01_数值调参'!F22&lt;0,'03_全链计算'!I73+1,0),IF('01_数值调参'!F23&lt;0,'03_全链计算'!J73+1,0),IF('01_数值调参'!F24&lt;0,'03_全链计算'!K73+1,0),IF('01_数值调参'!F25&lt;0,'03_全链计算'!L73+1,0),IF('01_数值调参'!F26&lt;0,'03_全链计算'!M73+1,0),IF('01_数值调参'!F27&lt;0,'03_全链计算'!N73+1,0),IF('01_数值调参'!F28&lt;0,'03_全链计算'!O73+1,0),IF('01_数值调参'!F29&lt;0,'03_全链计算'!P73+1,0),IF('01_数值调参'!F30&lt;0,'03_全链计算'!Q73+1,0),IF('01_数值调参'!F31&lt;0,'03_全链计算'!R73+1,0),IF('01_数值调参'!F32&lt;0,'03_全链计算'!S73+1,0),IF('01_数值调参'!F33&lt;0,'03_全链计算'!T73+1,0),IF('01_数值调参'!F34&lt;0,'03_全链计算'!U73+1,0),IF('01_数值调参'!F35&lt;0,'03_全链计算'!V73+1,0),IF('01_数值调参'!F36&lt;0,'03_全链计算'!W73+1,0),IF('01_数值调参'!F37&lt;0,'03_全链计算'!X73+1,0),IF('01_数值调参'!F38&lt;0,'03_全链计算'!Y73+1,0),IF('01_数值调参'!F39&lt;0,'03_全链计算'!Z73+1,0),IF('01_数值调参'!F40&lt;0,'03_全链计算'!AA73+1,0),IF('01_数值调参'!F41&lt;0,'03_全链计算'!AB73+1,0),IF('01_数值调参'!F42&lt;0,'03_全链计算'!AC73+1,0),IF('01_数值调参'!F43&lt;0,'03_全链计算'!AD73+1,0),IF('01_数值调参'!F44&lt;0,'03_全链计算'!AE73+1,0),IF('01_数值调参'!F45&lt;0,'03_全链计算'!AF73+1,0),IF('01_数值调参'!F46&lt;0,'03_全链计算'!AG73+1,0),IF('01_数值调参'!F47&lt;0,'03_全链计算'!AH73+1,0),IF('01_数值调参'!F48&lt;0,'03_全链计算'!AI73+1,0),IF('01_数值调参'!F49&lt;0,'03_全链计算'!AJ73+1,0),IF('01_数值调参'!F50&lt;0,'03_全链计算'!AK73+1,0),IF('01_数值调参'!F51&lt;0,'03_全链计算'!AL73+1,0),IF('01_数值调参'!F52&lt;0,'03_全链计算'!AM73+1,0))</x:f>
        <x:v>0</x:v>
      </x:c>
      <x:c r="G74" s="9" t="n">
        <x:f>MAX(IF('01_数值调参'!G18&lt;0,'03_全链计算'!E73+1,0),IF('01_数值调参'!G19&lt;0,'03_全链计算'!F73+1,0),IF('01_数值调参'!G20&lt;0,'03_全链计算'!G73+1,0),IF('01_数值调参'!G21&lt;0,'03_全链计算'!H73+1,0),IF('01_数值调参'!G22&lt;0,'03_全链计算'!I73+1,0),IF('01_数值调参'!G23&lt;0,'03_全链计算'!J73+1,0),IF('01_数值调参'!G24&lt;0,'03_全链计算'!K73+1,0),IF('01_数值调参'!G25&lt;0,'03_全链计算'!L73+1,0),IF('01_数值调参'!G26&lt;0,'03_全链计算'!M73+1,0),IF('01_数值调参'!G27&lt;0,'03_全链计算'!N73+1,0),IF('01_数值调参'!G28&lt;0,'03_全链计算'!O73+1,0),IF('01_数值调参'!G29&lt;0,'03_全链计算'!P73+1,0),IF('01_数值调参'!G30&lt;0,'03_全链计算'!Q73+1,0),IF('01_数值调参'!G31&lt;0,'03_全链计算'!R73+1,0),IF('01_数值调参'!G32&lt;0,'03_全链计算'!S73+1,0),IF('01_数值调参'!G33&lt;0,'03_全链计算'!T73+1,0),IF('01_数值调参'!G34&lt;0,'03_全链计算'!U73+1,0),IF('01_数值调参'!G35&lt;0,'03_全链计算'!V73+1,0),IF('01_数值调参'!G36&lt;0,'03_全链计算'!W73+1,0),IF('01_数值调参'!G37&lt;0,'03_全链计算'!X73+1,0),IF('01_数值调参'!G38&lt;0,'03_全链计算'!Y73+1,0),IF('01_数值调参'!G39&lt;0,'03_全链计算'!Z73+1,0),IF('01_数值调参'!G40&lt;0,'03_全链计算'!AA73+1,0),IF('01_数值调参'!G41&lt;0,'03_全链计算'!AB73+1,0),IF('01_数值调参'!G42&lt;0,'03_全链计算'!AC73+1,0),IF('01_数值调参'!G43&lt;0,'03_全链计算'!AD73+1,0),IF('01_数值调参'!G44&lt;0,'03_全链计算'!AE73+1,0),IF('01_数值调参'!G45&lt;0,'03_全链计算'!AF73+1,0),IF('01_数值调参'!G46&lt;0,'03_全链计算'!AG73+1,0),IF('01_数值调参'!G47&lt;0,'03_全链计算'!AH73+1,0),IF('01_数值调参'!G48&lt;0,'03_全链计算'!AI73+1,0),IF('01_数值调参'!G49&lt;0,'03_全链计算'!AJ73+1,0),IF('01_数值调参'!G50&lt;0,'03_全链计算'!AK73+1,0),IF('01_数值调参'!G51&lt;0,'03_全链计算'!AL73+1,0),IF('01_数值调参'!G52&lt;0,'03_全链计算'!AM73+1,0))</x:f>
        <x:v>0</x:v>
      </x:c>
      <x:c r="H74" s="9" t="n">
        <x:f>MAX(IF('01_数值调参'!H18&lt;0,'03_全链计算'!E73+1,0),IF('01_数值调参'!H19&lt;0,'03_全链计算'!F73+1,0),IF('01_数值调参'!H20&lt;0,'03_全链计算'!G73+1,0),IF('01_数值调参'!H21&lt;0,'03_全链计算'!H73+1,0),IF('01_数值调参'!H22&lt;0,'03_全链计算'!I73+1,0),IF('01_数值调参'!H23&lt;0,'03_全链计算'!J73+1,0),IF('01_数值调参'!H24&lt;0,'03_全链计算'!K73+1,0),IF('01_数值调参'!H25&lt;0,'03_全链计算'!L73+1,0),IF('01_数值调参'!H26&lt;0,'03_全链计算'!M73+1,0),IF('01_数值调参'!H27&lt;0,'03_全链计算'!N73+1,0),IF('01_数值调参'!H28&lt;0,'03_全链计算'!O73+1,0),IF('01_数值调参'!H29&lt;0,'03_全链计算'!P73+1,0),IF('01_数值调参'!H30&lt;0,'03_全链计算'!Q73+1,0),IF('01_数值调参'!H31&lt;0,'03_全链计算'!R73+1,0),IF('01_数值调参'!H32&lt;0,'03_全链计算'!S73+1,0),IF('01_数值调参'!H33&lt;0,'03_全链计算'!T73+1,0),IF('01_数值调参'!H34&lt;0,'03_全链计算'!U73+1,0),IF('01_数值调参'!H35&lt;0,'03_全链计算'!V73+1,0),IF('01_数值调参'!H36&lt;0,'03_全链计算'!W73+1,0),IF('01_数值调参'!H37&lt;0,'03_全链计算'!X73+1,0),IF('01_数值调参'!H38&lt;0,'03_全链计算'!Y73+1,0),IF('01_数值调参'!H39&lt;0,'03_全链计算'!Z73+1,0),IF('01_数值调参'!H40&lt;0,'03_全链计算'!AA73+1,0),IF('01_数值调参'!H41&lt;0,'03_全链计算'!AB73+1,0),IF('01_数值调参'!H42&lt;0,'03_全链计算'!AC73+1,0),IF('01_数值调参'!H43&lt;0,'03_全链计算'!AD73+1,0),IF('01_数值调参'!H44&lt;0,'03_全链计算'!AE73+1,0),IF('01_数值调参'!H45&lt;0,'03_全链计算'!AF73+1,0),IF('01_数值调参'!H46&lt;0,'03_全链计算'!AG73+1,0),IF('01_数值调参'!H47&lt;0,'03_全链计算'!AH73+1,0),IF('01_数值调参'!H48&lt;0,'03_全链计算'!AI73+1,0),IF('01_数值调参'!H49&lt;0,'03_全链计算'!AJ73+1,0),IF('01_数值调参'!H50&lt;0,'03_全链计算'!AK73+1,0),IF('01_数值调参'!H51&lt;0,'03_全链计算'!AL73+1,0),IF('01_数值调参'!H52&lt;0,'03_全链计算'!AM73+1,0))</x:f>
        <x:v>0</x:v>
      </x:c>
      <x:c r="I74" s="9" t="n">
        <x:f>MAX(IF('01_数值调参'!I18&lt;0,'03_全链计算'!E73+1,0),IF('01_数值调参'!I19&lt;0,'03_全链计算'!F73+1,0),IF('01_数值调参'!I20&lt;0,'03_全链计算'!G73+1,0),IF('01_数值调参'!I21&lt;0,'03_全链计算'!H73+1,0),IF('01_数值调参'!I22&lt;0,'03_全链计算'!I73+1,0),IF('01_数值调参'!I23&lt;0,'03_全链计算'!J73+1,0),IF('01_数值调参'!I24&lt;0,'03_全链计算'!K73+1,0),IF('01_数值调参'!I25&lt;0,'03_全链计算'!L73+1,0),IF('01_数值调参'!I26&lt;0,'03_全链计算'!M73+1,0),IF('01_数值调参'!I27&lt;0,'03_全链计算'!N73+1,0),IF('01_数值调参'!I28&lt;0,'03_全链计算'!O73+1,0),IF('01_数值调参'!I29&lt;0,'03_全链计算'!P73+1,0),IF('01_数值调参'!I30&lt;0,'03_全链计算'!Q73+1,0),IF('01_数值调参'!I31&lt;0,'03_全链计算'!R73+1,0),IF('01_数值调参'!I32&lt;0,'03_全链计算'!S73+1,0),IF('01_数值调参'!I33&lt;0,'03_全链计算'!T73+1,0),IF('01_数值调参'!I34&lt;0,'03_全链计算'!U73+1,0),IF('01_数值调参'!I35&lt;0,'03_全链计算'!V73+1,0),IF('01_数值调参'!I36&lt;0,'03_全链计算'!W73+1,0),IF('01_数值调参'!I37&lt;0,'03_全链计算'!X73+1,0),IF('01_数值调参'!I38&lt;0,'03_全链计算'!Y73+1,0),IF('01_数值调参'!I39&lt;0,'03_全链计算'!Z73+1,0),IF('01_数值调参'!I40&lt;0,'03_全链计算'!AA73+1,0),IF('01_数值调参'!I41&lt;0,'03_全链计算'!AB73+1,0),IF('01_数值调参'!I42&lt;0,'03_全链计算'!AC73+1,0),IF('01_数值调参'!I43&lt;0,'03_全链计算'!AD73+1,0),IF('01_数值调参'!I44&lt;0,'03_全链计算'!AE73+1,0),IF('01_数值调参'!I45&lt;0,'03_全链计算'!AF73+1,0),IF('01_数值调参'!I46&lt;0,'03_全链计算'!AG73+1,0),IF('01_数值调参'!I47&lt;0,'03_全链计算'!AH73+1,0),IF('01_数值调参'!I48&lt;0,'03_全链计算'!AI73+1,0),IF('01_数值调参'!I49&lt;0,'03_全链计算'!AJ73+1,0),IF('01_数值调参'!I50&lt;0,'03_全链计算'!AK73+1,0),IF('01_数值调参'!I51&lt;0,'03_全链计算'!AL73+1,0),IF('01_数值调参'!I52&lt;0,'03_全链计算'!AM73+1,0))</x:f>
        <x:v>0</x:v>
      </x:c>
      <x:c r="J74" s="9" t="n">
        <x:f>MAX(IF('01_数值调参'!J18&lt;0,'03_全链计算'!E73+1,0),IF('01_数值调参'!J19&lt;0,'03_全链计算'!F73+1,0),IF('01_数值调参'!J20&lt;0,'03_全链计算'!G73+1,0),IF('01_数值调参'!J21&lt;0,'03_全链计算'!H73+1,0),IF('01_数值调参'!J22&lt;0,'03_全链计算'!I73+1,0),IF('01_数值调参'!J23&lt;0,'03_全链计算'!J73+1,0),IF('01_数值调参'!J24&lt;0,'03_全链计算'!K73+1,0),IF('01_数值调参'!J25&lt;0,'03_全链计算'!L73+1,0),IF('01_数值调参'!J26&lt;0,'03_全链计算'!M73+1,0),IF('01_数值调参'!J27&lt;0,'03_全链计算'!N73+1,0),IF('01_数值调参'!J28&lt;0,'03_全链计算'!O73+1,0),IF('01_数值调参'!J29&lt;0,'03_全链计算'!P73+1,0),IF('01_数值调参'!J30&lt;0,'03_全链计算'!Q73+1,0),IF('01_数值调参'!J31&lt;0,'03_全链计算'!R73+1,0),IF('01_数值调参'!J32&lt;0,'03_全链计算'!S73+1,0),IF('01_数值调参'!J33&lt;0,'03_全链计算'!T73+1,0),IF('01_数值调参'!J34&lt;0,'03_全链计算'!U73+1,0),IF('01_数值调参'!J35&lt;0,'03_全链计算'!V73+1,0),IF('01_数值调参'!J36&lt;0,'03_全链计算'!W73+1,0),IF('01_数值调参'!J37&lt;0,'03_全链计算'!X73+1,0),IF('01_数值调参'!J38&lt;0,'03_全链计算'!Y73+1,0),IF('01_数值调参'!J39&lt;0,'03_全链计算'!Z73+1,0),IF('01_数值调参'!J40&lt;0,'03_全链计算'!AA73+1,0),IF('01_数值调参'!J41&lt;0,'03_全链计算'!AB73+1,0),IF('01_数值调参'!J42&lt;0,'03_全链计算'!AC73+1,0),IF('01_数值调参'!J43&lt;0,'03_全链计算'!AD73+1,0),IF('01_数值调参'!J44&lt;0,'03_全链计算'!AE73+1,0),IF('01_数值调参'!J45&lt;0,'03_全链计算'!AF73+1,0),IF('01_数值调参'!J46&lt;0,'03_全链计算'!AG73+1,0),IF('01_数值调参'!J47&lt;0,'03_全链计算'!AH73+1,0),IF('01_数值调参'!J48&lt;0,'03_全链计算'!AI73+1,0),IF('01_数值调参'!J49&lt;0,'03_全链计算'!AJ73+1,0),IF('01_数值调参'!J50&lt;0,'03_全链计算'!AK73+1,0),IF('01_数值调参'!J51&lt;0,'03_全链计算'!AL73+1,0),IF('01_数值调参'!J52&lt;0,'03_全链计算'!AM73+1,0))</x:f>
        <x:v>0</x:v>
      </x:c>
      <x:c r="K74" s="9" t="n">
        <x:f>MAX(IF('01_数值调参'!K18&lt;0,'03_全链计算'!E73+1,0),IF('01_数值调参'!K19&lt;0,'03_全链计算'!F73+1,0),IF('01_数值调参'!K20&lt;0,'03_全链计算'!G73+1,0),IF('01_数值调参'!K21&lt;0,'03_全链计算'!H73+1,0),IF('01_数值调参'!K22&lt;0,'03_全链计算'!I73+1,0),IF('01_数值调参'!K23&lt;0,'03_全链计算'!J73+1,0),IF('01_数值调参'!K24&lt;0,'03_全链计算'!K73+1,0),IF('01_数值调参'!K25&lt;0,'03_全链计算'!L73+1,0),IF('01_数值调参'!K26&lt;0,'03_全链计算'!M73+1,0),IF('01_数值调参'!K27&lt;0,'03_全链计算'!N73+1,0),IF('01_数值调参'!K28&lt;0,'03_全链计算'!O73+1,0),IF('01_数值调参'!K29&lt;0,'03_全链计算'!P73+1,0),IF('01_数值调参'!K30&lt;0,'03_全链计算'!Q73+1,0),IF('01_数值调参'!K31&lt;0,'03_全链计算'!R73+1,0),IF('01_数值调参'!K32&lt;0,'03_全链计算'!S73+1,0),IF('01_数值调参'!K33&lt;0,'03_全链计算'!T73+1,0),IF('01_数值调参'!K34&lt;0,'03_全链计算'!U73+1,0),IF('01_数值调参'!K35&lt;0,'03_全链计算'!V73+1,0),IF('01_数值调参'!K36&lt;0,'03_全链计算'!W73+1,0),IF('01_数值调参'!K37&lt;0,'03_全链计算'!X73+1,0),IF('01_数值调参'!K38&lt;0,'03_全链计算'!Y73+1,0),IF('01_数值调参'!K39&lt;0,'03_全链计算'!Z73+1,0),IF('01_数值调参'!K40&lt;0,'03_全链计算'!AA73+1,0),IF('01_数值调参'!K41&lt;0,'03_全链计算'!AB73+1,0),IF('01_数值调参'!K42&lt;0,'03_全链计算'!AC73+1,0),IF('01_数值调参'!K43&lt;0,'03_全链计算'!AD73+1,0),IF('01_数值调参'!K44&lt;0,'03_全链计算'!AE73+1,0),IF('01_数值调参'!K45&lt;0,'03_全链计算'!AF73+1,0),IF('01_数值调参'!K46&lt;0,'03_全链计算'!AG73+1,0),IF('01_数值调参'!K47&lt;0,'03_全链计算'!AH73+1,0),IF('01_数值调参'!K48&lt;0,'03_全链计算'!AI73+1,0),IF('01_数值调参'!K49&lt;0,'03_全链计算'!AJ73+1,0),IF('01_数值调参'!K50&lt;0,'03_全链计算'!AK73+1,0),IF('01_数值调参'!K51&lt;0,'03_全链计算'!AL73+1,0),IF('01_数值调参'!K52&lt;0,'03_全链计算'!AM73+1,0))</x:f>
        <x:v>0</x:v>
      </x:c>
      <x:c r="L74" s="9" t="n">
        <x:f>MAX(IF('01_数值调参'!L18&lt;0,'03_全链计算'!E73+1,0),IF('01_数值调参'!L19&lt;0,'03_全链计算'!F73+1,0),IF('01_数值调参'!L20&lt;0,'03_全链计算'!G73+1,0),IF('01_数值调参'!L21&lt;0,'03_全链计算'!H73+1,0),IF('01_数值调参'!L22&lt;0,'03_全链计算'!I73+1,0),IF('01_数值调参'!L23&lt;0,'03_全链计算'!J73+1,0),IF('01_数值调参'!L24&lt;0,'03_全链计算'!K73+1,0),IF('01_数值调参'!L25&lt;0,'03_全链计算'!L73+1,0),IF('01_数值调参'!L26&lt;0,'03_全链计算'!M73+1,0),IF('01_数值调参'!L27&lt;0,'03_全链计算'!N73+1,0),IF('01_数值调参'!L28&lt;0,'03_全链计算'!O73+1,0),IF('01_数值调参'!L29&lt;0,'03_全链计算'!P73+1,0),IF('01_数值调参'!L30&lt;0,'03_全链计算'!Q73+1,0),IF('01_数值调参'!L31&lt;0,'03_全链计算'!R73+1,0),IF('01_数值调参'!L32&lt;0,'03_全链计算'!S73+1,0),IF('01_数值调参'!L33&lt;0,'03_全链计算'!T73+1,0),IF('01_数值调参'!L34&lt;0,'03_全链计算'!U73+1,0),IF('01_数值调参'!L35&lt;0,'03_全链计算'!V73+1,0),IF('01_数值调参'!L36&lt;0,'03_全链计算'!W73+1,0),IF('01_数值调参'!L37&lt;0,'03_全链计算'!X73+1,0),IF('01_数值调参'!L38&lt;0,'03_全链计算'!Y73+1,0),IF('01_数值调参'!L39&lt;0,'03_全链计算'!Z73+1,0),IF('01_数值调参'!L40&lt;0,'03_全链计算'!AA73+1,0),IF('01_数值调参'!L41&lt;0,'03_全链计算'!AB73+1,0),IF('01_数值调参'!L42&lt;0,'03_全链计算'!AC73+1,0),IF('01_数值调参'!L43&lt;0,'03_全链计算'!AD73+1,0),IF('01_数值调参'!L44&lt;0,'03_全链计算'!AE73+1,0),IF('01_数值调参'!L45&lt;0,'03_全链计算'!AF73+1,0),IF('01_数值调参'!L46&lt;0,'03_全链计算'!AG73+1,0),IF('01_数值调参'!L47&lt;0,'03_全链计算'!AH73+1,0),IF('01_数值调参'!L48&lt;0,'03_全链计算'!AI73+1,0),IF('01_数值调参'!L49&lt;0,'03_全链计算'!AJ73+1,0),IF('01_数值调参'!L50&lt;0,'03_全链计算'!AK73+1,0),IF('01_数值调参'!L51&lt;0,'03_全链计算'!AL73+1,0),IF('01_数值调参'!L52&lt;0,'03_全链计算'!AM73+1,0))</x:f>
        <x:v>0</x:v>
      </x:c>
      <x:c r="M74" s="9" t="n">
        <x:f>MAX(IF('01_数值调参'!M18&lt;0,'03_全链计算'!E73+1,0),IF('01_数值调参'!M19&lt;0,'03_全链计算'!F73+1,0),IF('01_数值调参'!M20&lt;0,'03_全链计算'!G73+1,0),IF('01_数值调参'!M21&lt;0,'03_全链计算'!H73+1,0),IF('01_数值调参'!M22&lt;0,'03_全链计算'!I73+1,0),IF('01_数值调参'!M23&lt;0,'03_全链计算'!J73+1,0),IF('01_数值调参'!M24&lt;0,'03_全链计算'!K73+1,0),IF('01_数值调参'!M25&lt;0,'03_全链计算'!L73+1,0),IF('01_数值调参'!M26&lt;0,'03_全链计算'!M73+1,0),IF('01_数值调参'!M27&lt;0,'03_全链计算'!N73+1,0),IF('01_数值调参'!M28&lt;0,'03_全链计算'!O73+1,0),IF('01_数值调参'!M29&lt;0,'03_全链计算'!P73+1,0),IF('01_数值调参'!M30&lt;0,'03_全链计算'!Q73+1,0),IF('01_数值调参'!M31&lt;0,'03_全链计算'!R73+1,0),IF('01_数值调参'!M32&lt;0,'03_全链计算'!S73+1,0),IF('01_数值调参'!M33&lt;0,'03_全链计算'!T73+1,0),IF('01_数值调参'!M34&lt;0,'03_全链计算'!U73+1,0),IF('01_数值调参'!M35&lt;0,'03_全链计算'!V73+1,0),IF('01_数值调参'!M36&lt;0,'03_全链计算'!W73+1,0),IF('01_数值调参'!M37&lt;0,'03_全链计算'!X73+1,0),IF('01_数值调参'!M38&lt;0,'03_全链计算'!Y73+1,0),IF('01_数值调参'!M39&lt;0,'03_全链计算'!Z73+1,0),IF('01_数值调参'!M40&lt;0,'03_全链计算'!AA73+1,0),IF('01_数值调参'!M41&lt;0,'03_全链计算'!AB73+1,0),IF('01_数值调参'!M42&lt;0,'03_全链计算'!AC73+1,0),IF('01_数值调参'!M43&lt;0,'03_全链计算'!AD73+1,0),IF('01_数值调参'!M44&lt;0,'03_全链计算'!AE73+1,0),IF('01_数值调参'!M45&lt;0,'03_全链计算'!AF73+1,0),IF('01_数值调参'!M46&lt;0,'03_全链计算'!AG73+1,0),IF('01_数值调参'!M47&lt;0,'03_全链计算'!AH73+1,0),IF('01_数值调参'!M48&lt;0,'03_全链计算'!AI73+1,0),IF('01_数值调参'!M49&lt;0,'03_全链计算'!AJ73+1,0),IF('01_数值调参'!M50&lt;0,'03_全链计算'!AK73+1,0),IF('01_数值调参'!M51&lt;0,'03_全链计算'!AL73+1,0),IF('01_数值调参'!M52&lt;0,'03_全链计算'!AM73+1,0))</x:f>
        <x:v>0</x:v>
      </x:c>
      <x:c r="N74" s="9" t="n">
        <x:f>MAX(IF('01_数值调参'!N18&lt;0,'03_全链计算'!E73+1,0),IF('01_数值调参'!N19&lt;0,'03_全链计算'!F73+1,0),IF('01_数值调参'!N20&lt;0,'03_全链计算'!G73+1,0),IF('01_数值调参'!N21&lt;0,'03_全链计算'!H73+1,0),IF('01_数值调参'!N22&lt;0,'03_全链计算'!I73+1,0),IF('01_数值调参'!N23&lt;0,'03_全链计算'!J73+1,0),IF('01_数值调参'!N24&lt;0,'03_全链计算'!K73+1,0),IF('01_数值调参'!N25&lt;0,'03_全链计算'!L73+1,0),IF('01_数值调参'!N26&lt;0,'03_全链计算'!M73+1,0),IF('01_数值调参'!N27&lt;0,'03_全链计算'!N73+1,0),IF('01_数值调参'!N28&lt;0,'03_全链计算'!O73+1,0),IF('01_数值调参'!N29&lt;0,'03_全链计算'!P73+1,0),IF('01_数值调参'!N30&lt;0,'03_全链计算'!Q73+1,0),IF('01_数值调参'!N31&lt;0,'03_全链计算'!R73+1,0),IF('01_数值调参'!N32&lt;0,'03_全链计算'!S73+1,0),IF('01_数值调参'!N33&lt;0,'03_全链计算'!T73+1,0),IF('01_数值调参'!N34&lt;0,'03_全链计算'!U73+1,0),IF('01_数值调参'!N35&lt;0,'03_全链计算'!V73+1,0),IF('01_数值调参'!N36&lt;0,'03_全链计算'!W73+1,0),IF('01_数值调参'!N37&lt;0,'03_全链计算'!X73+1,0),IF('01_数值调参'!N38&lt;0,'03_全链计算'!Y73+1,0),IF('01_数值调参'!N39&lt;0,'03_全链计算'!Z73+1,0),IF('01_数值调参'!N40&lt;0,'03_全链计算'!AA73+1,0),IF('01_数值调参'!N41&lt;0,'03_全链计算'!AB73+1,0),IF('01_数值调参'!N42&lt;0,'03_全链计算'!AC73+1,0),IF('01_数值调参'!N43&lt;0,'03_全链计算'!AD73+1,0),IF('01_数值调参'!N44&lt;0,'03_全链计算'!AE73+1,0),IF('01_数值调参'!N45&lt;0,'03_全链计算'!AF73+1,0),IF('01_数值调参'!N46&lt;0,'03_全链计算'!AG73+1,0),IF('01_数值调参'!N47&lt;0,'03_全链计算'!AH73+1,0),IF('01_数值调参'!N48&lt;0,'03_全链计算'!AI73+1,0),IF('01_数值调参'!N49&lt;0,'03_全链计算'!AJ73+1,0),IF('01_数值调参'!N50&lt;0,'03_全链计算'!AK73+1,0),IF('01_数值调参'!N51&lt;0,'03_全链计算'!AL73+1,0),IF('01_数值调参'!N52&lt;0,'03_全链计算'!AM73+1,0))</x:f>
        <x:v>1</x:v>
      </x:c>
      <x:c r="O74" s="9" t="n">
        <x:f>MAX(IF('01_数值调参'!O18&lt;0,'03_全链计算'!E73+1,0),IF('01_数值调参'!O19&lt;0,'03_全链计算'!F73+1,0),IF('01_数值调参'!O20&lt;0,'03_全链计算'!G73+1,0),IF('01_数值调参'!O21&lt;0,'03_全链计算'!H73+1,0),IF('01_数值调参'!O22&lt;0,'03_全链计算'!I73+1,0),IF('01_数值调参'!O23&lt;0,'03_全链计算'!J73+1,0),IF('01_数值调参'!O24&lt;0,'03_全链计算'!K73+1,0),IF('01_数值调参'!O25&lt;0,'03_全链计算'!L73+1,0),IF('01_数值调参'!O26&lt;0,'03_全链计算'!M73+1,0),IF('01_数值调参'!O27&lt;0,'03_全链计算'!N73+1,0),IF('01_数值调参'!O28&lt;0,'03_全链计算'!O73+1,0),IF('01_数值调参'!O29&lt;0,'03_全链计算'!P73+1,0),IF('01_数值调参'!O30&lt;0,'03_全链计算'!Q73+1,0),IF('01_数值调参'!O31&lt;0,'03_全链计算'!R73+1,0),IF('01_数值调参'!O32&lt;0,'03_全链计算'!S73+1,0),IF('01_数值调参'!O33&lt;0,'03_全链计算'!T73+1,0),IF('01_数值调参'!O34&lt;0,'03_全链计算'!U73+1,0),IF('01_数值调参'!O35&lt;0,'03_全链计算'!V73+1,0),IF('01_数值调参'!O36&lt;0,'03_全链计算'!W73+1,0),IF('01_数值调参'!O37&lt;0,'03_全链计算'!X73+1,0),IF('01_数值调参'!O38&lt;0,'03_全链计算'!Y73+1,0),IF('01_数值调参'!O39&lt;0,'03_全链计算'!Z73+1,0),IF('01_数值调参'!O40&lt;0,'03_全链计算'!AA73+1,0),IF('01_数值调参'!O41&lt;0,'03_全链计算'!AB73+1,0),IF('01_数值调参'!O42&lt;0,'03_全链计算'!AC73+1,0),IF('01_数值调参'!O43&lt;0,'03_全链计算'!AD73+1,0),IF('01_数值调参'!O44&lt;0,'03_全链计算'!AE73+1,0),IF('01_数值调参'!O45&lt;0,'03_全链计算'!AF73+1,0),IF('01_数值调参'!O46&lt;0,'03_全链计算'!AG73+1,0),IF('01_数值调参'!O47&lt;0,'03_全链计算'!AH73+1,0),IF('01_数值调参'!O48&lt;0,'03_全链计算'!AI73+1,0),IF('01_数值调参'!O49&lt;0,'03_全链计算'!AJ73+1,0),IF('01_数值调参'!O50&lt;0,'03_全链计算'!AK73+1,0),IF('01_数值调参'!O51&lt;0,'03_全链计算'!AL73+1,0),IF('01_数值调参'!O52&lt;0,'03_全链计算'!AM73+1,0))</x:f>
        <x:v>1</x:v>
      </x:c>
      <x:c r="P74" s="9" t="n">
        <x:f>MAX(IF('01_数值调参'!P18&lt;0,'03_全链计算'!E73+1,0),IF('01_数值调参'!P19&lt;0,'03_全链计算'!F73+1,0),IF('01_数值调参'!P20&lt;0,'03_全链计算'!G73+1,0),IF('01_数值调参'!P21&lt;0,'03_全链计算'!H73+1,0),IF('01_数值调参'!P22&lt;0,'03_全链计算'!I73+1,0),IF('01_数值调参'!P23&lt;0,'03_全链计算'!J73+1,0),IF('01_数值调参'!P24&lt;0,'03_全链计算'!K73+1,0),IF('01_数值调参'!P25&lt;0,'03_全链计算'!L73+1,0),IF('01_数值调参'!P26&lt;0,'03_全链计算'!M73+1,0),IF('01_数值调参'!P27&lt;0,'03_全链计算'!N73+1,0),IF('01_数值调参'!P28&lt;0,'03_全链计算'!O73+1,0),IF('01_数值调参'!P29&lt;0,'03_全链计算'!P73+1,0),IF('01_数值调参'!P30&lt;0,'03_全链计算'!Q73+1,0),IF('01_数值调参'!P31&lt;0,'03_全链计算'!R73+1,0),IF('01_数值调参'!P32&lt;0,'03_全链计算'!S73+1,0),IF('01_数值调参'!P33&lt;0,'03_全链计算'!T73+1,0),IF('01_数值调参'!P34&lt;0,'03_全链计算'!U73+1,0),IF('01_数值调参'!P35&lt;0,'03_全链计算'!V73+1,0),IF('01_数值调参'!P36&lt;0,'03_全链计算'!W73+1,0),IF('01_数值调参'!P37&lt;0,'03_全链计算'!X73+1,0),IF('01_数值调参'!P38&lt;0,'03_全链计算'!Y73+1,0),IF('01_数值调参'!P39&lt;0,'03_全链计算'!Z73+1,0),IF('01_数值调参'!P40&lt;0,'03_全链计算'!AA73+1,0),IF('01_数值调参'!P41&lt;0,'03_全链计算'!AB73+1,0),IF('01_数值调参'!P42&lt;0,'03_全链计算'!AC73+1,0),IF('01_数值调参'!P43&lt;0,'03_全链计算'!AD73+1,0),IF('01_数值调参'!P44&lt;0,'03_全链计算'!AE73+1,0),IF('01_数值调参'!P45&lt;0,'03_全链计算'!AF73+1,0),IF('01_数值调参'!P46&lt;0,'03_全链计算'!AG73+1,0),IF('01_数值调参'!P47&lt;0,'03_全链计算'!AH73+1,0),IF('01_数值调参'!P48&lt;0,'03_全链计算'!AI73+1,0),IF('01_数值调参'!P49&lt;0,'03_全链计算'!AJ73+1,0),IF('01_数值调参'!P50&lt;0,'03_全链计算'!AK73+1,0),IF('01_数值调参'!P51&lt;0,'03_全链计算'!AL73+1,0),IF('01_数值调参'!P52&lt;0,'03_全链计算'!AM73+1,0))</x:f>
        <x:v>1</x:v>
      </x:c>
      <x:c r="Q74" s="9" t="n">
        <x:f>MAX(IF('01_数值调参'!Q18&lt;0,'03_全链计算'!E73+1,0),IF('01_数值调参'!Q19&lt;0,'03_全链计算'!F73+1,0),IF('01_数值调参'!Q20&lt;0,'03_全链计算'!G73+1,0),IF('01_数值调参'!Q21&lt;0,'03_全链计算'!H73+1,0),IF('01_数值调参'!Q22&lt;0,'03_全链计算'!I73+1,0),IF('01_数值调参'!Q23&lt;0,'03_全链计算'!J73+1,0),IF('01_数值调参'!Q24&lt;0,'03_全链计算'!K73+1,0),IF('01_数值调参'!Q25&lt;0,'03_全链计算'!L73+1,0),IF('01_数值调参'!Q26&lt;0,'03_全链计算'!M73+1,0),IF('01_数值调参'!Q27&lt;0,'03_全链计算'!N73+1,0),IF('01_数值调参'!Q28&lt;0,'03_全链计算'!O73+1,0),IF('01_数值调参'!Q29&lt;0,'03_全链计算'!P73+1,0),IF('01_数值调参'!Q30&lt;0,'03_全链计算'!Q73+1,0),IF('01_数值调参'!Q31&lt;0,'03_全链计算'!R73+1,0),IF('01_数值调参'!Q32&lt;0,'03_全链计算'!S73+1,0),IF('01_数值调参'!Q33&lt;0,'03_全链计算'!T73+1,0),IF('01_数值调参'!Q34&lt;0,'03_全链计算'!U73+1,0),IF('01_数值调参'!Q35&lt;0,'03_全链计算'!V73+1,0),IF('01_数值调参'!Q36&lt;0,'03_全链计算'!W73+1,0),IF('01_数值调参'!Q37&lt;0,'03_全链计算'!X73+1,0),IF('01_数值调参'!Q38&lt;0,'03_全链计算'!Y73+1,0),IF('01_数值调参'!Q39&lt;0,'03_全链计算'!Z73+1,0),IF('01_数值调参'!Q40&lt;0,'03_全链计算'!AA73+1,0),IF('01_数值调参'!Q41&lt;0,'03_全链计算'!AB73+1,0),IF('01_数值调参'!Q42&lt;0,'03_全链计算'!AC73+1,0),IF('01_数值调参'!Q43&lt;0,'03_全链计算'!AD73+1,0),IF('01_数值调参'!Q44&lt;0,'03_全链计算'!AE73+1,0),IF('01_数值调参'!Q45&lt;0,'03_全链计算'!AF73+1,0),IF('01_数值调参'!Q46&lt;0,'03_全链计算'!AG73+1,0),IF('01_数值调参'!Q47&lt;0,'03_全链计算'!AH73+1,0),IF('01_数值调参'!Q48&lt;0,'03_全链计算'!AI73+1,0),IF('01_数值调参'!Q49&lt;0,'03_全链计算'!AJ73+1,0),IF('01_数值调参'!Q50&lt;0,'03_全链计算'!AK73+1,0),IF('01_数值调参'!Q51&lt;0,'03_全链计算'!AL73+1,0),IF('01_数值调参'!Q52&lt;0,'03_全链计算'!AM73+1,0))</x:f>
        <x:v>1</x:v>
      </x:c>
      <x:c r="R74" s="9" t="n">
        <x:f>MAX(IF('01_数值调参'!R18&lt;0,'03_全链计算'!E73+1,0),IF('01_数值调参'!R19&lt;0,'03_全链计算'!F73+1,0),IF('01_数值调参'!R20&lt;0,'03_全链计算'!G73+1,0),IF('01_数值调参'!R21&lt;0,'03_全链计算'!H73+1,0),IF('01_数值调参'!R22&lt;0,'03_全链计算'!I73+1,0),IF('01_数值调参'!R23&lt;0,'03_全链计算'!J73+1,0),IF('01_数值调参'!R24&lt;0,'03_全链计算'!K73+1,0),IF('01_数值调参'!R25&lt;0,'03_全链计算'!L73+1,0),IF('01_数值调参'!R26&lt;0,'03_全链计算'!M73+1,0),IF('01_数值调参'!R27&lt;0,'03_全链计算'!N73+1,0),IF('01_数值调参'!R28&lt;0,'03_全链计算'!O73+1,0),IF('01_数值调参'!R29&lt;0,'03_全链计算'!P73+1,0),IF('01_数值调参'!R30&lt;0,'03_全链计算'!Q73+1,0),IF('01_数值调参'!R31&lt;0,'03_全链计算'!R73+1,0),IF('01_数值调参'!R32&lt;0,'03_全链计算'!S73+1,0),IF('01_数值调参'!R33&lt;0,'03_全链计算'!T73+1,0),IF('01_数值调参'!R34&lt;0,'03_全链计算'!U73+1,0),IF('01_数值调参'!R35&lt;0,'03_全链计算'!V73+1,0),IF('01_数值调参'!R36&lt;0,'03_全链计算'!W73+1,0),IF('01_数值调参'!R37&lt;0,'03_全链计算'!X73+1,0),IF('01_数值调参'!R38&lt;0,'03_全链计算'!Y73+1,0),IF('01_数值调参'!R39&lt;0,'03_全链计算'!Z73+1,0),IF('01_数值调参'!R40&lt;0,'03_全链计算'!AA73+1,0),IF('01_数值调参'!R41&lt;0,'03_全链计算'!AB73+1,0),IF('01_数值调参'!R42&lt;0,'03_全链计算'!AC73+1,0),IF('01_数值调参'!R43&lt;0,'03_全链计算'!AD73+1,0),IF('01_数值调参'!R44&lt;0,'03_全链计算'!AE73+1,0),IF('01_数值调参'!R45&lt;0,'03_全链计算'!AF73+1,0),IF('01_数值调参'!R46&lt;0,'03_全链计算'!AG73+1,0),IF('01_数值调参'!R47&lt;0,'03_全链计算'!AH73+1,0),IF('01_数值调参'!R48&lt;0,'03_全链计算'!AI73+1,0),IF('01_数值调参'!R49&lt;0,'03_全链计算'!AJ73+1,0),IF('01_数值调参'!R50&lt;0,'03_全链计算'!AK73+1,0),IF('01_数值调参'!R51&lt;0,'03_全链计算'!AL73+1,0),IF('01_数值调参'!R52&lt;0,'03_全链计算'!AM73+1,0))</x:f>
        <x:v>1</x:v>
      </x:c>
      <x:c r="S74" s="9" t="n">
        <x:f>MAX(IF('01_数值调参'!S18&lt;0,'03_全链计算'!E73+1,0),IF('01_数值调参'!S19&lt;0,'03_全链计算'!F73+1,0),IF('01_数值调参'!S20&lt;0,'03_全链计算'!G73+1,0),IF('01_数值调参'!S21&lt;0,'03_全链计算'!H73+1,0),IF('01_数值调参'!S22&lt;0,'03_全链计算'!I73+1,0),IF('01_数值调参'!S23&lt;0,'03_全链计算'!J73+1,0),IF('01_数值调参'!S24&lt;0,'03_全链计算'!K73+1,0),IF('01_数值调参'!S25&lt;0,'03_全链计算'!L73+1,0),IF('01_数值调参'!S26&lt;0,'03_全链计算'!M73+1,0),IF('01_数值调参'!S27&lt;0,'03_全链计算'!N73+1,0),IF('01_数值调参'!S28&lt;0,'03_全链计算'!O73+1,0),IF('01_数值调参'!S29&lt;0,'03_全链计算'!P73+1,0),IF('01_数值调参'!S30&lt;0,'03_全链计算'!Q73+1,0),IF('01_数值调参'!S31&lt;0,'03_全链计算'!R73+1,0),IF('01_数值调参'!S32&lt;0,'03_全链计算'!S73+1,0),IF('01_数值调参'!S33&lt;0,'03_全链计算'!T73+1,0),IF('01_数值调参'!S34&lt;0,'03_全链计算'!U73+1,0),IF('01_数值调参'!S35&lt;0,'03_全链计算'!V73+1,0),IF('01_数值调参'!S36&lt;0,'03_全链计算'!W73+1,0),IF('01_数值调参'!S37&lt;0,'03_全链计算'!X73+1,0),IF('01_数值调参'!S38&lt;0,'03_全链计算'!Y73+1,0),IF('01_数值调参'!S39&lt;0,'03_全链计算'!Z73+1,0),IF('01_数值调参'!S40&lt;0,'03_全链计算'!AA73+1,0),IF('01_数值调参'!S41&lt;0,'03_全链计算'!AB73+1,0),IF('01_数值调参'!S42&lt;0,'03_全链计算'!AC73+1,0),IF('01_数值调参'!S43&lt;0,'03_全链计算'!AD73+1,0),IF('01_数值调参'!S44&lt;0,'03_全链计算'!AE73+1,0),IF('01_数值调参'!S45&lt;0,'03_全链计算'!AF73+1,0),IF('01_数值调参'!S46&lt;0,'03_全链计算'!AG73+1,0),IF('01_数值调参'!S47&lt;0,'03_全链计算'!AH73+1,0),IF('01_数值调参'!S48&lt;0,'03_全链计算'!AI73+1,0),IF('01_数值调参'!S49&lt;0,'03_全链计算'!AJ73+1,0),IF('01_数值调参'!S50&lt;0,'03_全链计算'!AK73+1,0),IF('01_数值调参'!S51&lt;0,'03_全链计算'!AL73+1,0),IF('01_数值调参'!S52&lt;0,'03_全链计算'!AM73+1,0))</x:f>
        <x:v>1</x:v>
      </x:c>
      <x:c r="T74" s="9" t="n">
        <x:f>MAX(IF('01_数值调参'!T18&lt;0,'03_全链计算'!E73+1,0),IF('01_数值调参'!T19&lt;0,'03_全链计算'!F73+1,0),IF('01_数值调参'!T20&lt;0,'03_全链计算'!G73+1,0),IF('01_数值调参'!T21&lt;0,'03_全链计算'!H73+1,0),IF('01_数值调参'!T22&lt;0,'03_全链计算'!I73+1,0),IF('01_数值调参'!T23&lt;0,'03_全链计算'!J73+1,0),IF('01_数值调参'!T24&lt;0,'03_全链计算'!K73+1,0),IF('01_数值调参'!T25&lt;0,'03_全链计算'!L73+1,0),IF('01_数值调参'!T26&lt;0,'03_全链计算'!M73+1,0),IF('01_数值调参'!T27&lt;0,'03_全链计算'!N73+1,0),IF('01_数值调参'!T28&lt;0,'03_全链计算'!O73+1,0),IF('01_数值调参'!T29&lt;0,'03_全链计算'!P73+1,0),IF('01_数值调参'!T30&lt;0,'03_全链计算'!Q73+1,0),IF('01_数值调参'!T31&lt;0,'03_全链计算'!R73+1,0),IF('01_数值调参'!T32&lt;0,'03_全链计算'!S73+1,0),IF('01_数值调参'!T33&lt;0,'03_全链计算'!T73+1,0),IF('01_数值调参'!T34&lt;0,'03_全链计算'!U73+1,0),IF('01_数值调参'!T35&lt;0,'03_全链计算'!V73+1,0),IF('01_数值调参'!T36&lt;0,'03_全链计算'!W73+1,0),IF('01_数值调参'!T37&lt;0,'03_全链计算'!X73+1,0),IF('01_数值调参'!T38&lt;0,'03_全链计算'!Y73+1,0),IF('01_数值调参'!T39&lt;0,'03_全链计算'!Z73+1,0),IF('01_数值调参'!T40&lt;0,'03_全链计算'!AA73+1,0),IF('01_数值调参'!T41&lt;0,'03_全链计算'!AB73+1,0),IF('01_数值调参'!T42&lt;0,'03_全链计算'!AC73+1,0),IF('01_数值调参'!T43&lt;0,'03_全链计算'!AD73+1,0),IF('01_数值调参'!T44&lt;0,'03_全链计算'!AE73+1,0),IF('01_数值调参'!T45&lt;0,'03_全链计算'!AF73+1,0),IF('01_数值调参'!T46&lt;0,'03_全链计算'!AG73+1,0),IF('01_数值调参'!T47&lt;0,'03_全链计算'!AH73+1,0),IF('01_数值调参'!T48&lt;0,'03_全链计算'!AI73+1,0),IF('01_数值调参'!T49&lt;0,'03_全链计算'!AJ73+1,0),IF('01_数值调参'!T50&lt;0,'03_全链计算'!AK73+1,0),IF('01_数值调参'!T51&lt;0,'03_全链计算'!AL73+1,0),IF('01_数值调参'!T52&lt;0,'03_全链计算'!AM73+1,0))</x:f>
        <x:v>1</x:v>
      </x:c>
      <x:c r="U74" s="9" t="n">
        <x:f>MAX(IF('01_数值调参'!U18&lt;0,'03_全链计算'!E73+1,0),IF('01_数值调参'!U19&lt;0,'03_全链计算'!F73+1,0),IF('01_数值调参'!U20&lt;0,'03_全链计算'!G73+1,0),IF('01_数值调参'!U21&lt;0,'03_全链计算'!H73+1,0),IF('01_数值调参'!U22&lt;0,'03_全链计算'!I73+1,0),IF('01_数值调参'!U23&lt;0,'03_全链计算'!J73+1,0),IF('01_数值调参'!U24&lt;0,'03_全链计算'!K73+1,0),IF('01_数值调参'!U25&lt;0,'03_全链计算'!L73+1,0),IF('01_数值调参'!U26&lt;0,'03_全链计算'!M73+1,0),IF('01_数值调参'!U27&lt;0,'03_全链计算'!N73+1,0),IF('01_数值调参'!U28&lt;0,'03_全链计算'!O73+1,0),IF('01_数值调参'!U29&lt;0,'03_全链计算'!P73+1,0),IF('01_数值调参'!U30&lt;0,'03_全链计算'!Q73+1,0),IF('01_数值调参'!U31&lt;0,'03_全链计算'!R73+1,0),IF('01_数值调参'!U32&lt;0,'03_全链计算'!S73+1,0),IF('01_数值调参'!U33&lt;0,'03_全链计算'!T73+1,0),IF('01_数值调参'!U34&lt;0,'03_全链计算'!U73+1,0),IF('01_数值调参'!U35&lt;0,'03_全链计算'!V73+1,0),IF('01_数值调参'!U36&lt;0,'03_全链计算'!W73+1,0),IF('01_数值调参'!U37&lt;0,'03_全链计算'!X73+1,0),IF('01_数值调参'!U38&lt;0,'03_全链计算'!Y73+1,0),IF('01_数值调参'!U39&lt;0,'03_全链计算'!Z73+1,0),IF('01_数值调参'!U40&lt;0,'03_全链计算'!AA73+1,0),IF('01_数值调参'!U41&lt;0,'03_全链计算'!AB73+1,0),IF('01_数值调参'!U42&lt;0,'03_全链计算'!AC73+1,0),IF('01_数值调参'!U43&lt;0,'03_全链计算'!AD73+1,0),IF('01_数值调参'!U44&lt;0,'03_全链计算'!AE73+1,0),IF('01_数值调参'!U45&lt;0,'03_全链计算'!AF73+1,0),IF('01_数值调参'!U46&lt;0,'03_全链计算'!AG73+1,0),IF('01_数值调参'!U47&lt;0,'03_全链计算'!AH73+1,0),IF('01_数值调参'!U48&lt;0,'03_全链计算'!AI73+1,0),IF('01_数值调参'!U49&lt;0,'03_全链计算'!AJ73+1,0),IF('01_数值调参'!U50&lt;0,'03_全链计算'!AK73+1,0),IF('01_数值调参'!U51&lt;0,'03_全链计算'!AL73+1,0),IF('01_数值调参'!U52&lt;0,'03_全链计算'!AM73+1,0))</x:f>
        <x:v>1</x:v>
      </x:c>
      <x:c r="V74" s="9" t="n">
        <x:f>MAX(IF('01_数值调参'!V18&lt;0,'03_全链计算'!E73+1,0),IF('01_数值调参'!V19&lt;0,'03_全链计算'!F73+1,0),IF('01_数值调参'!V20&lt;0,'03_全链计算'!G73+1,0),IF('01_数值调参'!V21&lt;0,'03_全链计算'!H73+1,0),IF('01_数值调参'!V22&lt;0,'03_全链计算'!I73+1,0),IF('01_数值调参'!V23&lt;0,'03_全链计算'!J73+1,0),IF('01_数值调参'!V24&lt;0,'03_全链计算'!K73+1,0),IF('01_数值调参'!V25&lt;0,'03_全链计算'!L73+1,0),IF('01_数值调参'!V26&lt;0,'03_全链计算'!M73+1,0),IF('01_数值调参'!V27&lt;0,'03_全链计算'!N73+1,0),IF('01_数值调参'!V28&lt;0,'03_全链计算'!O73+1,0),IF('01_数值调参'!V29&lt;0,'03_全链计算'!P73+1,0),IF('01_数值调参'!V30&lt;0,'03_全链计算'!Q73+1,0),IF('01_数值调参'!V31&lt;0,'03_全链计算'!R73+1,0),IF('01_数值调参'!V32&lt;0,'03_全链计算'!S73+1,0),IF('01_数值调参'!V33&lt;0,'03_全链计算'!T73+1,0),IF('01_数值调参'!V34&lt;0,'03_全链计算'!U73+1,0),IF('01_数值调参'!V35&lt;0,'03_全链计算'!V73+1,0),IF('01_数值调参'!V36&lt;0,'03_全链计算'!W73+1,0),IF('01_数值调参'!V37&lt;0,'03_全链计算'!X73+1,0),IF('01_数值调参'!V38&lt;0,'03_全链计算'!Y73+1,0),IF('01_数值调参'!V39&lt;0,'03_全链计算'!Z73+1,0),IF('01_数值调参'!V40&lt;0,'03_全链计算'!AA73+1,0),IF('01_数值调参'!V41&lt;0,'03_全链计算'!AB73+1,0),IF('01_数值调参'!V42&lt;0,'03_全链计算'!AC73+1,0),IF('01_数值调参'!V43&lt;0,'03_全链计算'!AD73+1,0),IF('01_数值调参'!V44&lt;0,'03_全链计算'!AE73+1,0),IF('01_数值调参'!V45&lt;0,'03_全链计算'!AF73+1,0),IF('01_数值调参'!V46&lt;0,'03_全链计算'!AG73+1,0),IF('01_数值调参'!V47&lt;0,'03_全链计算'!AH73+1,0),IF('01_数值调参'!V48&lt;0,'03_全链计算'!AI73+1,0),IF('01_数值调参'!V49&lt;0,'03_全链计算'!AJ73+1,0),IF('01_数值调参'!V50&lt;0,'03_全链计算'!AK73+1,0),IF('01_数值调参'!V51&lt;0,'03_全链计算'!AL73+1,0),IF('01_数值调参'!V52&lt;0,'03_全链计算'!AM73+1,0))</x:f>
        <x:v>1</x:v>
      </x:c>
      <x:c r="W74" s="9" t="n">
        <x:f>MAX(IF('01_数值调参'!W18&lt;0,'03_全链计算'!E73+1,0),IF('01_数值调参'!W19&lt;0,'03_全链计算'!F73+1,0),IF('01_数值调参'!W20&lt;0,'03_全链计算'!G73+1,0),IF('01_数值调参'!W21&lt;0,'03_全链计算'!H73+1,0),IF('01_数值调参'!W22&lt;0,'03_全链计算'!I73+1,0),IF('01_数值调参'!W23&lt;0,'03_全链计算'!J73+1,0),IF('01_数值调参'!W24&lt;0,'03_全链计算'!K73+1,0),IF('01_数值调参'!W25&lt;0,'03_全链计算'!L73+1,0),IF('01_数值调参'!W26&lt;0,'03_全链计算'!M73+1,0),IF('01_数值调参'!W27&lt;0,'03_全链计算'!N73+1,0),IF('01_数值调参'!W28&lt;0,'03_全链计算'!O73+1,0),IF('01_数值调参'!W29&lt;0,'03_全链计算'!P73+1,0),IF('01_数值调参'!W30&lt;0,'03_全链计算'!Q73+1,0),IF('01_数值调参'!W31&lt;0,'03_全链计算'!R73+1,0),IF('01_数值调参'!W32&lt;0,'03_全链计算'!S73+1,0),IF('01_数值调参'!W33&lt;0,'03_全链计算'!T73+1,0),IF('01_数值调参'!W34&lt;0,'03_全链计算'!U73+1,0),IF('01_数值调参'!W35&lt;0,'03_全链计算'!V73+1,0),IF('01_数值调参'!W36&lt;0,'03_全链计算'!W73+1,0),IF('01_数值调参'!W37&lt;0,'03_全链计算'!X73+1,0),IF('01_数值调参'!W38&lt;0,'03_全链计算'!Y73+1,0),IF('01_数值调参'!W39&lt;0,'03_全链计算'!Z73+1,0),IF('01_数值调参'!W40&lt;0,'03_全链计算'!AA73+1,0),IF('01_数值调参'!W41&lt;0,'03_全链计算'!AB73+1,0),IF('01_数值调参'!W42&lt;0,'03_全链计算'!AC73+1,0),IF('01_数值调参'!W43&lt;0,'03_全链计算'!AD73+1,0),IF('01_数值调参'!W44&lt;0,'03_全链计算'!AE73+1,0),IF('01_数值调参'!W45&lt;0,'03_全链计算'!AF73+1,0),IF('01_数值调参'!W46&lt;0,'03_全链计算'!AG73+1,0),IF('01_数值调参'!W47&lt;0,'03_全链计算'!AH73+1,0),IF('01_数值调参'!W48&lt;0,'03_全链计算'!AI73+1,0),IF('01_数值调参'!W49&lt;0,'03_全链计算'!AJ73+1,0),IF('01_数值调参'!W50&lt;0,'03_全链计算'!AK73+1,0),IF('01_数值调参'!W51&lt;0,'03_全链计算'!AL73+1,0),IF('01_数值调参'!W52&lt;0,'03_全链计算'!AM73+1,0))</x:f>
        <x:v>1</x:v>
      </x:c>
      <x:c r="X74" s="9" t="n">
        <x:f>MAX(IF('01_数值调参'!X18&lt;0,'03_全链计算'!E73+1,0),IF('01_数值调参'!X19&lt;0,'03_全链计算'!F73+1,0),IF('01_数值调参'!X20&lt;0,'03_全链计算'!G73+1,0),IF('01_数值调参'!X21&lt;0,'03_全链计算'!H73+1,0),IF('01_数值调参'!X22&lt;0,'03_全链计算'!I73+1,0),IF('01_数值调参'!X23&lt;0,'03_全链计算'!J73+1,0),IF('01_数值调参'!X24&lt;0,'03_全链计算'!K73+1,0),IF('01_数值调参'!X25&lt;0,'03_全链计算'!L73+1,0),IF('01_数值调参'!X26&lt;0,'03_全链计算'!M73+1,0),IF('01_数值调参'!X27&lt;0,'03_全链计算'!N73+1,0),IF('01_数值调参'!X28&lt;0,'03_全链计算'!O73+1,0),IF('01_数值调参'!X29&lt;0,'03_全链计算'!P73+1,0),IF('01_数值调参'!X30&lt;0,'03_全链计算'!Q73+1,0),IF('01_数值调参'!X31&lt;0,'03_全链计算'!R73+1,0),IF('01_数值调参'!X32&lt;0,'03_全链计算'!S73+1,0),IF('01_数值调参'!X33&lt;0,'03_全链计算'!T73+1,0),IF('01_数值调参'!X34&lt;0,'03_全链计算'!U73+1,0),IF('01_数值调参'!X35&lt;0,'03_全链计算'!V73+1,0),IF('01_数值调参'!X36&lt;0,'03_全链计算'!W73+1,0),IF('01_数值调参'!X37&lt;0,'03_全链计算'!X73+1,0),IF('01_数值调参'!X38&lt;0,'03_全链计算'!Y73+1,0),IF('01_数值调参'!X39&lt;0,'03_全链计算'!Z73+1,0),IF('01_数值调参'!X40&lt;0,'03_全链计算'!AA73+1,0),IF('01_数值调参'!X41&lt;0,'03_全链计算'!AB73+1,0),IF('01_数值调参'!X42&lt;0,'03_全链计算'!AC73+1,0),IF('01_数值调参'!X43&lt;0,'03_全链计算'!AD73+1,0),IF('01_数值调参'!X44&lt;0,'03_全链计算'!AE73+1,0),IF('01_数值调参'!X45&lt;0,'03_全链计算'!AF73+1,0),IF('01_数值调参'!X46&lt;0,'03_全链计算'!AG73+1,0),IF('01_数值调参'!X47&lt;0,'03_全链计算'!AH73+1,0),IF('01_数值调参'!X48&lt;0,'03_全链计算'!AI73+1,0),IF('01_数值调参'!X49&lt;0,'03_全链计算'!AJ73+1,0),IF('01_数值调参'!X50&lt;0,'03_全链计算'!AK73+1,0),IF('01_数值调参'!X51&lt;0,'03_全链计算'!AL73+1,0),IF('01_数值调参'!X52&lt;0,'03_全链计算'!AM73+1,0))</x:f>
        <x:v>2</x:v>
      </x:c>
      <x:c r="Y74" s="9" t="n">
        <x:f>MAX(IF('01_数值调参'!Y18&lt;0,'03_全链计算'!E73+1,0),IF('01_数值调参'!Y19&lt;0,'03_全链计算'!F73+1,0),IF('01_数值调参'!Y20&lt;0,'03_全链计算'!G73+1,0),IF('01_数值调参'!Y21&lt;0,'03_全链计算'!H73+1,0),IF('01_数值调参'!Y22&lt;0,'03_全链计算'!I73+1,0),IF('01_数值调参'!Y23&lt;0,'03_全链计算'!J73+1,0),IF('01_数值调参'!Y24&lt;0,'03_全链计算'!K73+1,0),IF('01_数值调参'!Y25&lt;0,'03_全链计算'!L73+1,0),IF('01_数值调参'!Y26&lt;0,'03_全链计算'!M73+1,0),IF('01_数值调参'!Y27&lt;0,'03_全链计算'!N73+1,0),IF('01_数值调参'!Y28&lt;0,'03_全链计算'!O73+1,0),IF('01_数值调参'!Y29&lt;0,'03_全链计算'!P73+1,0),IF('01_数值调参'!Y30&lt;0,'03_全链计算'!Q73+1,0),IF('01_数值调参'!Y31&lt;0,'03_全链计算'!R73+1,0),IF('01_数值调参'!Y32&lt;0,'03_全链计算'!S73+1,0),IF('01_数值调参'!Y33&lt;0,'03_全链计算'!T73+1,0),IF('01_数值调参'!Y34&lt;0,'03_全链计算'!U73+1,0),IF('01_数值调参'!Y35&lt;0,'03_全链计算'!V73+1,0),IF('01_数值调参'!Y36&lt;0,'03_全链计算'!W73+1,0),IF('01_数值调参'!Y37&lt;0,'03_全链计算'!X73+1,0),IF('01_数值调参'!Y38&lt;0,'03_全链计算'!Y73+1,0),IF('01_数值调参'!Y39&lt;0,'03_全链计算'!Z73+1,0),IF('01_数值调参'!Y40&lt;0,'03_全链计算'!AA73+1,0),IF('01_数值调参'!Y41&lt;0,'03_全链计算'!AB73+1,0),IF('01_数值调参'!Y42&lt;0,'03_全链计算'!AC73+1,0),IF('01_数值调参'!Y43&lt;0,'03_全链计算'!AD73+1,0),IF('01_数值调参'!Y44&lt;0,'03_全链计算'!AE73+1,0),IF('01_数值调参'!Y45&lt;0,'03_全链计算'!AF73+1,0),IF('01_数值调参'!Y46&lt;0,'03_全链计算'!AG73+1,0),IF('01_数值调参'!Y47&lt;0,'03_全链计算'!AH73+1,0),IF('01_数值调参'!Y48&lt;0,'03_全链计算'!AI73+1,0),IF('01_数值调参'!Y49&lt;0,'03_全链计算'!AJ73+1,0),IF('01_数值调参'!Y50&lt;0,'03_全链计算'!AK73+1,0),IF('01_数值调参'!Y51&lt;0,'03_全链计算'!AL73+1,0),IF('01_数值调参'!Y52&lt;0,'03_全链计算'!AM73+1,0))</x:f>
        <x:v>2</x:v>
      </x:c>
      <x:c r="Z74" s="9" t="n">
        <x:f>MAX(IF('01_数值调参'!Z18&lt;0,'03_全链计算'!E73+1,0),IF('01_数值调参'!Z19&lt;0,'03_全链计算'!F73+1,0),IF('01_数值调参'!Z20&lt;0,'03_全链计算'!G73+1,0),IF('01_数值调参'!Z21&lt;0,'03_全链计算'!H73+1,0),IF('01_数值调参'!Z22&lt;0,'03_全链计算'!I73+1,0),IF('01_数值调参'!Z23&lt;0,'03_全链计算'!J73+1,0),IF('01_数值调参'!Z24&lt;0,'03_全链计算'!K73+1,0),IF('01_数值调参'!Z25&lt;0,'03_全链计算'!L73+1,0),IF('01_数值调参'!Z26&lt;0,'03_全链计算'!M73+1,0),IF('01_数值调参'!Z27&lt;0,'03_全链计算'!N73+1,0),IF('01_数值调参'!Z28&lt;0,'03_全链计算'!O73+1,0),IF('01_数值调参'!Z29&lt;0,'03_全链计算'!P73+1,0),IF('01_数值调参'!Z30&lt;0,'03_全链计算'!Q73+1,0),IF('01_数值调参'!Z31&lt;0,'03_全链计算'!R73+1,0),IF('01_数值调参'!Z32&lt;0,'03_全链计算'!S73+1,0),IF('01_数值调参'!Z33&lt;0,'03_全链计算'!T73+1,0),IF('01_数值调参'!Z34&lt;0,'03_全链计算'!U73+1,0),IF('01_数值调参'!Z35&lt;0,'03_全链计算'!V73+1,0),IF('01_数值调参'!Z36&lt;0,'03_全链计算'!W73+1,0),IF('01_数值调参'!Z37&lt;0,'03_全链计算'!X73+1,0),IF('01_数值调参'!Z38&lt;0,'03_全链计算'!Y73+1,0),IF('01_数值调参'!Z39&lt;0,'03_全链计算'!Z73+1,0),IF('01_数值调参'!Z40&lt;0,'03_全链计算'!AA73+1,0),IF('01_数值调参'!Z41&lt;0,'03_全链计算'!AB73+1,0),IF('01_数值调参'!Z42&lt;0,'03_全链计算'!AC73+1,0),IF('01_数值调参'!Z43&lt;0,'03_全链计算'!AD73+1,0),IF('01_数值调参'!Z44&lt;0,'03_全链计算'!AE73+1,0),IF('01_数值调参'!Z45&lt;0,'03_全链计算'!AF73+1,0),IF('01_数值调参'!Z46&lt;0,'03_全链计算'!AG73+1,0),IF('01_数值调参'!Z47&lt;0,'03_全链计算'!AH73+1,0),IF('01_数值调参'!Z48&lt;0,'03_全链计算'!AI73+1,0),IF('01_数值调参'!Z49&lt;0,'03_全链计算'!AJ73+1,0),IF('01_数值调参'!Z50&lt;0,'03_全链计算'!AK73+1,0),IF('01_数值调参'!Z51&lt;0,'03_全链计算'!AL73+1,0),IF('01_数值调参'!Z52&lt;0,'03_全链计算'!AM73+1,0))</x:f>
        <x:v>2</x:v>
      </x:c>
      <x:c r="AA74" s="9" t="n">
        <x:f>MAX(IF('01_数值调参'!AA18&lt;0,'03_全链计算'!E73+1,0),IF('01_数值调参'!AA19&lt;0,'03_全链计算'!F73+1,0),IF('01_数值调参'!AA20&lt;0,'03_全链计算'!G73+1,0),IF('01_数值调参'!AA21&lt;0,'03_全链计算'!H73+1,0),IF('01_数值调参'!AA22&lt;0,'03_全链计算'!I73+1,0),IF('01_数值调参'!AA23&lt;0,'03_全链计算'!J73+1,0),IF('01_数值调参'!AA24&lt;0,'03_全链计算'!K73+1,0),IF('01_数值调参'!AA25&lt;0,'03_全链计算'!L73+1,0),IF('01_数值调参'!AA26&lt;0,'03_全链计算'!M73+1,0),IF('01_数值调参'!AA27&lt;0,'03_全链计算'!N73+1,0),IF('01_数值调参'!AA28&lt;0,'03_全链计算'!O73+1,0),IF('01_数值调参'!AA29&lt;0,'03_全链计算'!P73+1,0),IF('01_数值调参'!AA30&lt;0,'03_全链计算'!Q73+1,0),IF('01_数值调参'!AA31&lt;0,'03_全链计算'!R73+1,0),IF('01_数值调参'!AA32&lt;0,'03_全链计算'!S73+1,0),IF('01_数值调参'!AA33&lt;0,'03_全链计算'!T73+1,0),IF('01_数值调参'!AA34&lt;0,'03_全链计算'!U73+1,0),IF('01_数值调参'!AA35&lt;0,'03_全链计算'!V73+1,0),IF('01_数值调参'!AA36&lt;0,'03_全链计算'!W73+1,0),IF('01_数值调参'!AA37&lt;0,'03_全链计算'!X73+1,0),IF('01_数值调参'!AA38&lt;0,'03_全链计算'!Y73+1,0),IF('01_数值调参'!AA39&lt;0,'03_全链计算'!Z73+1,0),IF('01_数值调参'!AA40&lt;0,'03_全链计算'!AA73+1,0),IF('01_数值调参'!AA41&lt;0,'03_全链计算'!AB73+1,0),IF('01_数值调参'!AA42&lt;0,'03_全链计算'!AC73+1,0),IF('01_数值调参'!AA43&lt;0,'03_全链计算'!AD73+1,0),IF('01_数值调参'!AA44&lt;0,'03_全链计算'!AE73+1,0),IF('01_数值调参'!AA45&lt;0,'03_全链计算'!AF73+1,0),IF('01_数值调参'!AA46&lt;0,'03_全链计算'!AG73+1,0),IF('01_数值调参'!AA47&lt;0,'03_全链计算'!AH73+1,0),IF('01_数值调参'!AA48&lt;0,'03_全链计算'!AI73+1,0),IF('01_数值调参'!AA49&lt;0,'03_全链计算'!AJ73+1,0),IF('01_数值调参'!AA50&lt;0,'03_全链计算'!AK73+1,0),IF('01_数值调参'!AA51&lt;0,'03_全链计算'!AL73+1,0),IF('01_数值调参'!AA52&lt;0,'03_全链计算'!AM73+1,0))</x:f>
        <x:v>2</x:v>
      </x:c>
      <x:c r="AB74" s="9" t="n">
        <x:f>MAX(IF('01_数值调参'!AB18&lt;0,'03_全链计算'!E73+1,0),IF('01_数值调参'!AB19&lt;0,'03_全链计算'!F73+1,0),IF('01_数值调参'!AB20&lt;0,'03_全链计算'!G73+1,0),IF('01_数值调参'!AB21&lt;0,'03_全链计算'!H73+1,0),IF('01_数值调参'!AB22&lt;0,'03_全链计算'!I73+1,0),IF('01_数值调参'!AB23&lt;0,'03_全链计算'!J73+1,0),IF('01_数值调参'!AB24&lt;0,'03_全链计算'!K73+1,0),IF('01_数值调参'!AB25&lt;0,'03_全链计算'!L73+1,0),IF('01_数值调参'!AB26&lt;0,'03_全链计算'!M73+1,0),IF('01_数值调参'!AB27&lt;0,'03_全链计算'!N73+1,0),IF('01_数值调参'!AB28&lt;0,'03_全链计算'!O73+1,0),IF('01_数值调参'!AB29&lt;0,'03_全链计算'!P73+1,0),IF('01_数值调参'!AB30&lt;0,'03_全链计算'!Q73+1,0),IF('01_数值调参'!AB31&lt;0,'03_全链计算'!R73+1,0),IF('01_数值调参'!AB32&lt;0,'03_全链计算'!S73+1,0),IF('01_数值调参'!AB33&lt;0,'03_全链计算'!T73+1,0),IF('01_数值调参'!AB34&lt;0,'03_全链计算'!U73+1,0),IF('01_数值调参'!AB35&lt;0,'03_全链计算'!V73+1,0),IF('01_数值调参'!AB36&lt;0,'03_全链计算'!W73+1,0),IF('01_数值调参'!AB37&lt;0,'03_全链计算'!X73+1,0),IF('01_数值调参'!AB38&lt;0,'03_全链计算'!Y73+1,0),IF('01_数值调参'!AB39&lt;0,'03_全链计算'!Z73+1,0),IF('01_数值调参'!AB40&lt;0,'03_全链计算'!AA73+1,0),IF('01_数值调参'!AB41&lt;0,'03_全链计算'!AB73+1,0),IF('01_数值调参'!AB42&lt;0,'03_全链计算'!AC73+1,0),IF('01_数值调参'!AB43&lt;0,'03_全链计算'!AD73+1,0),IF('01_数值调参'!AB44&lt;0,'03_全链计算'!AE73+1,0),IF('01_数值调参'!AB45&lt;0,'03_全链计算'!AF73+1,0),IF('01_数值调参'!AB46&lt;0,'03_全链计算'!AG73+1,0),IF('01_数值调参'!AB47&lt;0,'03_全链计算'!AH73+1,0),IF('01_数值调参'!AB48&lt;0,'03_全链计算'!AI73+1,0),IF('01_数值调参'!AB49&lt;0,'03_全链计算'!AJ73+1,0),IF('01_数值调参'!AB50&lt;0,'03_全链计算'!AK73+1,0),IF('01_数值调参'!AB51&lt;0,'03_全链计算'!AL73+1,0),IF('01_数值调参'!AB52&lt;0,'03_全链计算'!AM73+1,0))</x:f>
        <x:v>2</x:v>
      </x:c>
      <x:c r="AC74" s="9" t="n">
        <x:f>MAX(IF('01_数值调参'!AC18&lt;0,'03_全链计算'!E73+1,0),IF('01_数值调参'!AC19&lt;0,'03_全链计算'!F73+1,0),IF('01_数值调参'!AC20&lt;0,'03_全链计算'!G73+1,0),IF('01_数值调参'!AC21&lt;0,'03_全链计算'!H73+1,0),IF('01_数值调参'!AC22&lt;0,'03_全链计算'!I73+1,0),IF('01_数值调参'!AC23&lt;0,'03_全链计算'!J73+1,0),IF('01_数值调参'!AC24&lt;0,'03_全链计算'!K73+1,0),IF('01_数值调参'!AC25&lt;0,'03_全链计算'!L73+1,0),IF('01_数值调参'!AC26&lt;0,'03_全链计算'!M73+1,0),IF('01_数值调参'!AC27&lt;0,'03_全链计算'!N73+1,0),IF('01_数值调参'!AC28&lt;0,'03_全链计算'!O73+1,0),IF('01_数值调参'!AC29&lt;0,'03_全链计算'!P73+1,0),IF('01_数值调参'!AC30&lt;0,'03_全链计算'!Q73+1,0),IF('01_数值调参'!AC31&lt;0,'03_全链计算'!R73+1,0),IF('01_数值调参'!AC32&lt;0,'03_全链计算'!S73+1,0),IF('01_数值调参'!AC33&lt;0,'03_全链计算'!T73+1,0),IF('01_数值调参'!AC34&lt;0,'03_全链计算'!U73+1,0),IF('01_数值调参'!AC35&lt;0,'03_全链计算'!V73+1,0),IF('01_数值调参'!AC36&lt;0,'03_全链计算'!W73+1,0),IF('01_数值调参'!AC37&lt;0,'03_全链计算'!X73+1,0),IF('01_数值调参'!AC38&lt;0,'03_全链计算'!Y73+1,0),IF('01_数值调参'!AC39&lt;0,'03_全链计算'!Z73+1,0),IF('01_数值调参'!AC40&lt;0,'03_全链计算'!AA73+1,0),IF('01_数值调参'!AC41&lt;0,'03_全链计算'!AB73+1,0),IF('01_数值调参'!AC42&lt;0,'03_全链计算'!AC73+1,0),IF('01_数值调参'!AC43&lt;0,'03_全链计算'!AD73+1,0),IF('01_数值调参'!AC44&lt;0,'03_全链计算'!AE73+1,0),IF('01_数值调参'!AC45&lt;0,'03_全链计算'!AF73+1,0),IF('01_数值调参'!AC46&lt;0,'03_全链计算'!AG73+1,0),IF('01_数值调参'!AC47&lt;0,'03_全链计算'!AH73+1,0),IF('01_数值调参'!AC48&lt;0,'03_全链计算'!AI73+1,0),IF('01_数值调参'!AC49&lt;0,'03_全链计算'!AJ73+1,0),IF('01_数值调参'!AC50&lt;0,'03_全链计算'!AK73+1,0),IF('01_数值调参'!AC51&lt;0,'03_全链计算'!AL73+1,0),IF('01_数值调参'!AC52&lt;0,'03_全链计算'!AM73+1,0))</x:f>
        <x:v>2</x:v>
      </x:c>
      <x:c r="AD74" s="9" t="n">
        <x:f>MAX(IF('01_数值调参'!AD18&lt;0,'03_全链计算'!E73+1,0),IF('01_数值调参'!AD19&lt;0,'03_全链计算'!F73+1,0),IF('01_数值调参'!AD20&lt;0,'03_全链计算'!G73+1,0),IF('01_数值调参'!AD21&lt;0,'03_全链计算'!H73+1,0),IF('01_数值调参'!AD22&lt;0,'03_全链计算'!I73+1,0),IF('01_数值调参'!AD23&lt;0,'03_全链计算'!J73+1,0),IF('01_数值调参'!AD24&lt;0,'03_全链计算'!K73+1,0),IF('01_数值调参'!AD25&lt;0,'03_全链计算'!L73+1,0),IF('01_数值调参'!AD26&lt;0,'03_全链计算'!M73+1,0),IF('01_数值调参'!AD27&lt;0,'03_全链计算'!N73+1,0),IF('01_数值调参'!AD28&lt;0,'03_全链计算'!O73+1,0),IF('01_数值调参'!AD29&lt;0,'03_全链计算'!P73+1,0),IF('01_数值调参'!AD30&lt;0,'03_全链计算'!Q73+1,0),IF('01_数值调参'!AD31&lt;0,'03_全链计算'!R73+1,0),IF('01_数值调参'!AD32&lt;0,'03_全链计算'!S73+1,0),IF('01_数值调参'!AD33&lt;0,'03_全链计算'!T73+1,0),IF('01_数值调参'!AD34&lt;0,'03_全链计算'!U73+1,0),IF('01_数值调参'!AD35&lt;0,'03_全链计算'!V73+1,0),IF('01_数值调参'!AD36&lt;0,'03_全链计算'!W73+1,0),IF('01_数值调参'!AD37&lt;0,'03_全链计算'!X73+1,0),IF('01_数值调参'!AD38&lt;0,'03_全链计算'!Y73+1,0),IF('01_数值调参'!AD39&lt;0,'03_全链计算'!Z73+1,0),IF('01_数值调参'!AD40&lt;0,'03_全链计算'!AA73+1,0),IF('01_数值调参'!AD41&lt;0,'03_全链计算'!AB73+1,0),IF('01_数值调参'!AD42&lt;0,'03_全链计算'!AC73+1,0),IF('01_数值调参'!AD43&lt;0,'03_全链计算'!AD73+1,0),IF('01_数值调参'!AD44&lt;0,'03_全链计算'!AE73+1,0),IF('01_数值调参'!AD45&lt;0,'03_全链计算'!AF73+1,0),IF('01_数值调参'!AD46&lt;0,'03_全链计算'!AG73+1,0),IF('01_数值调参'!AD47&lt;0,'03_全链计算'!AH73+1,0),IF('01_数值调参'!AD48&lt;0,'03_全链计算'!AI73+1,0),IF('01_数值调参'!AD49&lt;0,'03_全链计算'!AJ73+1,0),IF('01_数值调参'!AD50&lt;0,'03_全链计算'!AK73+1,0),IF('01_数值调参'!AD51&lt;0,'03_全链计算'!AL73+1,0),IF('01_数值调参'!AD52&lt;0,'03_全链计算'!AM73+1,0))</x:f>
        <x:v>1</x:v>
      </x:c>
      <x:c r="AE74" s="9" t="n">
        <x:f>MAX(IF('01_数值调参'!AE18&lt;0,'03_全链计算'!E73+1,0),IF('01_数值调参'!AE19&lt;0,'03_全链计算'!F73+1,0),IF('01_数值调参'!AE20&lt;0,'03_全链计算'!G73+1,0),IF('01_数值调参'!AE21&lt;0,'03_全链计算'!H73+1,0),IF('01_数值调参'!AE22&lt;0,'03_全链计算'!I73+1,0),IF('01_数值调参'!AE23&lt;0,'03_全链计算'!J73+1,0),IF('01_数值调参'!AE24&lt;0,'03_全链计算'!K73+1,0),IF('01_数值调参'!AE25&lt;0,'03_全链计算'!L73+1,0),IF('01_数值调参'!AE26&lt;0,'03_全链计算'!M73+1,0),IF('01_数值调参'!AE27&lt;0,'03_全链计算'!N73+1,0),IF('01_数值调参'!AE28&lt;0,'03_全链计算'!O73+1,0),IF('01_数值调参'!AE29&lt;0,'03_全链计算'!P73+1,0),IF('01_数值调参'!AE30&lt;0,'03_全链计算'!Q73+1,0),IF('01_数值调参'!AE31&lt;0,'03_全链计算'!R73+1,0),IF('01_数值调参'!AE32&lt;0,'03_全链计算'!S73+1,0),IF('01_数值调参'!AE33&lt;0,'03_全链计算'!T73+1,0),IF('01_数值调参'!AE34&lt;0,'03_全链计算'!U73+1,0),IF('01_数值调参'!AE35&lt;0,'03_全链计算'!V73+1,0),IF('01_数值调参'!AE36&lt;0,'03_全链计算'!W73+1,0),IF('01_数值调参'!AE37&lt;0,'03_全链计算'!X73+1,0),IF('01_数值调参'!AE38&lt;0,'03_全链计算'!Y73+1,0),IF('01_数值调参'!AE39&lt;0,'03_全链计算'!Z73+1,0),IF('01_数值调参'!AE40&lt;0,'03_全链计算'!AA73+1,0),IF('01_数值调参'!AE41&lt;0,'03_全链计算'!AB73+1,0),IF('01_数值调参'!AE42&lt;0,'03_全链计算'!AC73+1,0),IF('01_数值调参'!AE43&lt;0,'03_全链计算'!AD73+1,0),IF('01_数值调参'!AE44&lt;0,'03_全链计算'!AE73+1,0),IF('01_数值调参'!AE45&lt;0,'03_全链计算'!AF73+1,0),IF('01_数值调参'!AE46&lt;0,'03_全链计算'!AG73+1,0),IF('01_数值调参'!AE47&lt;0,'03_全链计算'!AH73+1,0),IF('01_数值调参'!AE48&lt;0,'03_全链计算'!AI73+1,0),IF('01_数值调参'!AE49&lt;0,'03_全链计算'!AJ73+1,0),IF('01_数值调参'!AE50&lt;0,'03_全链计算'!AK73+1,0),IF('01_数值调参'!AE51&lt;0,'03_全链计算'!AL73+1,0),IF('01_数值调参'!AE52&lt;0,'03_全链计算'!AM73+1,0))</x:f>
        <x:v>1</x:v>
      </x:c>
      <x:c r="AF74" s="9" t="n">
        <x:f>MAX(IF('01_数值调参'!AF18&lt;0,'03_全链计算'!E73+1,0),IF('01_数值调参'!AF19&lt;0,'03_全链计算'!F73+1,0),IF('01_数值调参'!AF20&lt;0,'03_全链计算'!G73+1,0),IF('01_数值调参'!AF21&lt;0,'03_全链计算'!H73+1,0),IF('01_数值调参'!AF22&lt;0,'03_全链计算'!I73+1,0),IF('01_数值调参'!AF23&lt;0,'03_全链计算'!J73+1,0),IF('01_数值调参'!AF24&lt;0,'03_全链计算'!K73+1,0),IF('01_数值调参'!AF25&lt;0,'03_全链计算'!L73+1,0),IF('01_数值调参'!AF26&lt;0,'03_全链计算'!M73+1,0),IF('01_数值调参'!AF27&lt;0,'03_全链计算'!N73+1,0),IF('01_数值调参'!AF28&lt;0,'03_全链计算'!O73+1,0),IF('01_数值调参'!AF29&lt;0,'03_全链计算'!P73+1,0),IF('01_数值调参'!AF30&lt;0,'03_全链计算'!Q73+1,0),IF('01_数值调参'!AF31&lt;0,'03_全链计算'!R73+1,0),IF('01_数值调参'!AF32&lt;0,'03_全链计算'!S73+1,0),IF('01_数值调参'!AF33&lt;0,'03_全链计算'!T73+1,0),IF('01_数值调参'!AF34&lt;0,'03_全链计算'!U73+1,0),IF('01_数值调参'!AF35&lt;0,'03_全链计算'!V73+1,0),IF('01_数值调参'!AF36&lt;0,'03_全链计算'!W73+1,0),IF('01_数值调参'!AF37&lt;0,'03_全链计算'!X73+1,0),IF('01_数值调参'!AF38&lt;0,'03_全链计算'!Y73+1,0),IF('01_数值调参'!AF39&lt;0,'03_全链计算'!Z73+1,0),IF('01_数值调参'!AF40&lt;0,'03_全链计算'!AA73+1,0),IF('01_数值调参'!AF41&lt;0,'03_全链计算'!AB73+1,0),IF('01_数值调参'!AF42&lt;0,'03_全链计算'!AC73+1,0),IF('01_数值调参'!AF43&lt;0,'03_全链计算'!AD73+1,0),IF('01_数值调参'!AF44&lt;0,'03_全链计算'!AE73+1,0),IF('01_数值调参'!AF45&lt;0,'03_全链计算'!AF73+1,0),IF('01_数值调参'!AF46&lt;0,'03_全链计算'!AG73+1,0),IF('01_数值调参'!AF47&lt;0,'03_全链计算'!AH73+1,0),IF('01_数值调参'!AF48&lt;0,'03_全链计算'!AI73+1,0),IF('01_数值调参'!AF49&lt;0,'03_全链计算'!AJ73+1,0),IF('01_数值调参'!AF50&lt;0,'03_全链计算'!AK73+1,0),IF('01_数值调参'!AF51&lt;0,'03_全链计算'!AL73+1,0),IF('01_数值调参'!AF52&lt;0,'03_全链计算'!AM73+1,0))</x:f>
        <x:v>1</x:v>
      </x:c>
      <x:c r="AG74" s="9" t="n">
        <x:f>MAX(IF('01_数值调参'!AG18&lt;0,'03_全链计算'!E73+1,0),IF('01_数值调参'!AG19&lt;0,'03_全链计算'!F73+1,0),IF('01_数值调参'!AG20&lt;0,'03_全链计算'!G73+1,0),IF('01_数值调参'!AG21&lt;0,'03_全链计算'!H73+1,0),IF('01_数值调参'!AG22&lt;0,'03_全链计算'!I73+1,0),IF('01_数值调参'!AG23&lt;0,'03_全链计算'!J73+1,0),IF('01_数值调参'!AG24&lt;0,'03_全链计算'!K73+1,0),IF('01_数值调参'!AG25&lt;0,'03_全链计算'!L73+1,0),IF('01_数值调参'!AG26&lt;0,'03_全链计算'!M73+1,0),IF('01_数值调参'!AG27&lt;0,'03_全链计算'!N73+1,0),IF('01_数值调参'!AG28&lt;0,'03_全链计算'!O73+1,0),IF('01_数值调参'!AG29&lt;0,'03_全链计算'!P73+1,0),IF('01_数值调参'!AG30&lt;0,'03_全链计算'!Q73+1,0),IF('01_数值调参'!AG31&lt;0,'03_全链计算'!R73+1,0),IF('01_数值调参'!AG32&lt;0,'03_全链计算'!S73+1,0),IF('01_数值调参'!AG33&lt;0,'03_全链计算'!T73+1,0),IF('01_数值调参'!AG34&lt;0,'03_全链计算'!U73+1,0),IF('01_数值调参'!AG35&lt;0,'03_全链计算'!V73+1,0),IF('01_数值调参'!AG36&lt;0,'03_全链计算'!W73+1,0),IF('01_数值调参'!AG37&lt;0,'03_全链计算'!X73+1,0),IF('01_数值调参'!AG38&lt;0,'03_全链计算'!Y73+1,0),IF('01_数值调参'!AG39&lt;0,'03_全链计算'!Z73+1,0),IF('01_数值调参'!AG40&lt;0,'03_全链计算'!AA73+1,0),IF('01_数值调参'!AG41&lt;0,'03_全链计算'!AB73+1,0),IF('01_数值调参'!AG42&lt;0,'03_全链计算'!AC73+1,0),IF('01_数值调参'!AG43&lt;0,'03_全链计算'!AD73+1,0),IF('01_数值调参'!AG44&lt;0,'03_全链计算'!AE73+1,0),IF('01_数值调参'!AG45&lt;0,'03_全链计算'!AF73+1,0),IF('01_数值调参'!AG46&lt;0,'03_全链计算'!AG73+1,0),IF('01_数值调参'!AG47&lt;0,'03_全链计算'!AH73+1,0),IF('01_数值调参'!AG48&lt;0,'03_全链计算'!AI73+1,0),IF('01_数值调参'!AG49&lt;0,'03_全链计算'!AJ73+1,0),IF('01_数值调参'!AG50&lt;0,'03_全链计算'!AK73+1,0),IF('01_数值调参'!AG51&lt;0,'03_全链计算'!AL73+1,0),IF('01_数值调参'!AG52&lt;0,'03_全链计算'!AM73+1,0))</x:f>
        <x:v>1</x:v>
      </x:c>
      <x:c r="AH74" s="9" t="n">
        <x:f>MAX(IF('01_数值调参'!AH18&lt;0,'03_全链计算'!E73+1,0),IF('01_数值调参'!AH19&lt;0,'03_全链计算'!F73+1,0),IF('01_数值调参'!AH20&lt;0,'03_全链计算'!G73+1,0),IF('01_数值调参'!AH21&lt;0,'03_全链计算'!H73+1,0),IF('01_数值调参'!AH22&lt;0,'03_全链计算'!I73+1,0),IF('01_数值调参'!AH23&lt;0,'03_全链计算'!J73+1,0),IF('01_数值调参'!AH24&lt;0,'03_全链计算'!K73+1,0),IF('01_数值调参'!AH25&lt;0,'03_全链计算'!L73+1,0),IF('01_数值调参'!AH26&lt;0,'03_全链计算'!M73+1,0),IF('01_数值调参'!AH27&lt;0,'03_全链计算'!N73+1,0),IF('01_数值调参'!AH28&lt;0,'03_全链计算'!O73+1,0),IF('01_数值调参'!AH29&lt;0,'03_全链计算'!P73+1,0),IF('01_数值调参'!AH30&lt;0,'03_全链计算'!Q73+1,0),IF('01_数值调参'!AH31&lt;0,'03_全链计算'!R73+1,0),IF('01_数值调参'!AH32&lt;0,'03_全链计算'!S73+1,0),IF('01_数值调参'!AH33&lt;0,'03_全链计算'!T73+1,0),IF('01_数值调参'!AH34&lt;0,'03_全链计算'!U73+1,0),IF('01_数值调参'!AH35&lt;0,'03_全链计算'!V73+1,0),IF('01_数值调参'!AH36&lt;0,'03_全链计算'!W73+1,0),IF('01_数值调参'!AH37&lt;0,'03_全链计算'!X73+1,0),IF('01_数值调参'!AH38&lt;0,'03_全链计算'!Y73+1,0),IF('01_数值调参'!AH39&lt;0,'03_全链计算'!Z73+1,0),IF('01_数值调参'!AH40&lt;0,'03_全链计算'!AA73+1,0),IF('01_数值调参'!AH41&lt;0,'03_全链计算'!AB73+1,0),IF('01_数值调参'!AH42&lt;0,'03_全链计算'!AC73+1,0),IF('01_数值调参'!AH43&lt;0,'03_全链计算'!AD73+1,0),IF('01_数值调参'!AH44&lt;0,'03_全链计算'!AE73+1,0),IF('01_数值调参'!AH45&lt;0,'03_全链计算'!AF73+1,0),IF('01_数值调参'!AH46&lt;0,'03_全链计算'!AG73+1,0),IF('01_数值调参'!AH47&lt;0,'03_全链计算'!AH73+1,0),IF('01_数值调参'!AH48&lt;0,'03_全链计算'!AI73+1,0),IF('01_数值调参'!AH49&lt;0,'03_全链计算'!AJ73+1,0),IF('01_数值调参'!AH50&lt;0,'03_全链计算'!AK73+1,0),IF('01_数值调参'!AH51&lt;0,'03_全链计算'!AL73+1,0),IF('01_数值调参'!AH52&lt;0,'03_全链计算'!AM73+1,0))</x:f>
        <x:v>2</x:v>
      </x:c>
      <x:c r="AI74" s="9" t="n">
        <x:f>MAX(IF('01_数值调参'!AI18&lt;0,'03_全链计算'!E73+1,0),IF('01_数值调参'!AI19&lt;0,'03_全链计算'!F73+1,0),IF('01_数值调参'!AI20&lt;0,'03_全链计算'!G73+1,0),IF('01_数值调参'!AI21&lt;0,'03_全链计算'!H73+1,0),IF('01_数值调参'!AI22&lt;0,'03_全链计算'!I73+1,0),IF('01_数值调参'!AI23&lt;0,'03_全链计算'!J73+1,0),IF('01_数值调参'!AI24&lt;0,'03_全链计算'!K73+1,0),IF('01_数值调参'!AI25&lt;0,'03_全链计算'!L73+1,0),IF('01_数值调参'!AI26&lt;0,'03_全链计算'!M73+1,0),IF('01_数值调参'!AI27&lt;0,'03_全链计算'!N73+1,0),IF('01_数值调参'!AI28&lt;0,'03_全链计算'!O73+1,0),IF('01_数值调参'!AI29&lt;0,'03_全链计算'!P73+1,0),IF('01_数值调参'!AI30&lt;0,'03_全链计算'!Q73+1,0),IF('01_数值调参'!AI31&lt;0,'03_全链计算'!R73+1,0),IF('01_数值调参'!AI32&lt;0,'03_全链计算'!S73+1,0),IF('01_数值调参'!AI33&lt;0,'03_全链计算'!T73+1,0),IF('01_数值调参'!AI34&lt;0,'03_全链计算'!U73+1,0),IF('01_数值调参'!AI35&lt;0,'03_全链计算'!V73+1,0),IF('01_数值调参'!AI36&lt;0,'03_全链计算'!W73+1,0),IF('01_数值调参'!AI37&lt;0,'03_全链计算'!X73+1,0),IF('01_数值调参'!AI38&lt;0,'03_全链计算'!Y73+1,0),IF('01_数值调参'!AI39&lt;0,'03_全链计算'!Z73+1,0),IF('01_数值调参'!AI40&lt;0,'03_全链计算'!AA73+1,0),IF('01_数值调参'!AI41&lt;0,'03_全链计算'!AB73+1,0),IF('01_数值调参'!AI42&lt;0,'03_全链计算'!AC73+1,0),IF('01_数值调参'!AI43&lt;0,'03_全链计算'!AD73+1,0),IF('01_数值调参'!AI44&lt;0,'03_全链计算'!AE73+1,0),IF('01_数值调参'!AI45&lt;0,'03_全链计算'!AF73+1,0),IF('01_数值调参'!AI46&lt;0,'03_全链计算'!AG73+1,0),IF('01_数值调参'!AI47&lt;0,'03_全链计算'!AH73+1,0),IF('01_数值调参'!AI48&lt;0,'03_全链计算'!AI73+1,0),IF('01_数值调参'!AI49&lt;0,'03_全链计算'!AJ73+1,0),IF('01_数值调参'!AI50&lt;0,'03_全链计算'!AK73+1,0),IF('01_数值调参'!AI51&lt;0,'03_全链计算'!AL73+1,0),IF('01_数值调参'!AI52&lt;0,'03_全链计算'!AM73+1,0))</x:f>
        <x:v>2</x:v>
      </x:c>
      <x:c r="AJ74" s="9" t="n">
        <x:f>MAX(IF('01_数值调参'!AJ18&lt;0,'03_全链计算'!E73+1,0),IF('01_数值调参'!AJ19&lt;0,'03_全链计算'!F73+1,0),IF('01_数值调参'!AJ20&lt;0,'03_全链计算'!G73+1,0),IF('01_数值调参'!AJ21&lt;0,'03_全链计算'!H73+1,0),IF('01_数值调参'!AJ22&lt;0,'03_全链计算'!I73+1,0),IF('01_数值调参'!AJ23&lt;0,'03_全链计算'!J73+1,0),IF('01_数值调参'!AJ24&lt;0,'03_全链计算'!K73+1,0),IF('01_数值调参'!AJ25&lt;0,'03_全链计算'!L73+1,0),IF('01_数值调参'!AJ26&lt;0,'03_全链计算'!M73+1,0),IF('01_数值调参'!AJ27&lt;0,'03_全链计算'!N73+1,0),IF('01_数值调参'!AJ28&lt;0,'03_全链计算'!O73+1,0),IF('01_数值调参'!AJ29&lt;0,'03_全链计算'!P73+1,0),IF('01_数值调参'!AJ30&lt;0,'03_全链计算'!Q73+1,0),IF('01_数值调参'!AJ31&lt;0,'03_全链计算'!R73+1,0),IF('01_数值调参'!AJ32&lt;0,'03_全链计算'!S73+1,0),IF('01_数值调参'!AJ33&lt;0,'03_全链计算'!T73+1,0),IF('01_数值调参'!AJ34&lt;0,'03_全链计算'!U73+1,0),IF('01_数值调参'!AJ35&lt;0,'03_全链计算'!V73+1,0),IF('01_数值调参'!AJ36&lt;0,'03_全链计算'!W73+1,0),IF('01_数值调参'!AJ37&lt;0,'03_全链计算'!X73+1,0),IF('01_数值调参'!AJ38&lt;0,'03_全链计算'!Y73+1,0),IF('01_数值调参'!AJ39&lt;0,'03_全链计算'!Z73+1,0),IF('01_数值调参'!AJ40&lt;0,'03_全链计算'!AA73+1,0),IF('01_数值调参'!AJ41&lt;0,'03_全链计算'!AB73+1,0),IF('01_数值调参'!AJ42&lt;0,'03_全链计算'!AC73+1,0),IF('01_数值调参'!AJ43&lt;0,'03_全链计算'!AD73+1,0),IF('01_数值调参'!AJ44&lt;0,'03_全链计算'!AE73+1,0),IF('01_数值调参'!AJ45&lt;0,'03_全链计算'!AF73+1,0),IF('01_数值调参'!AJ46&lt;0,'03_全链计算'!AG73+1,0),IF('01_数值调参'!AJ47&lt;0,'03_全链计算'!AH73+1,0),IF('01_数值调参'!AJ48&lt;0,'03_全链计算'!AI73+1,0),IF('01_数值调参'!AJ49&lt;0,'03_全链计算'!AJ73+1,0),IF('01_数值调参'!AJ50&lt;0,'03_全链计算'!AK73+1,0),IF('01_数值调参'!AJ51&lt;0,'03_全链计算'!AL73+1,0),IF('01_数值调参'!AJ52&lt;0,'03_全链计算'!AM73+1,0))</x:f>
        <x:v>2</x:v>
      </x:c>
      <x:c r="AK74" s="9" t="n">
        <x:f>MAX(IF('01_数值调参'!AK18&lt;0,'03_全链计算'!E73+1,0),IF('01_数值调参'!AK19&lt;0,'03_全链计算'!F73+1,0),IF('01_数值调参'!AK20&lt;0,'03_全链计算'!G73+1,0),IF('01_数值调参'!AK21&lt;0,'03_全链计算'!H73+1,0),IF('01_数值调参'!AK22&lt;0,'03_全链计算'!I73+1,0),IF('01_数值调参'!AK23&lt;0,'03_全链计算'!J73+1,0),IF('01_数值调参'!AK24&lt;0,'03_全链计算'!K73+1,0),IF('01_数值调参'!AK25&lt;0,'03_全链计算'!L73+1,0),IF('01_数值调参'!AK26&lt;0,'03_全链计算'!M73+1,0),IF('01_数值调参'!AK27&lt;0,'03_全链计算'!N73+1,0),IF('01_数值调参'!AK28&lt;0,'03_全链计算'!O73+1,0),IF('01_数值调参'!AK29&lt;0,'03_全链计算'!P73+1,0),IF('01_数值调参'!AK30&lt;0,'03_全链计算'!Q73+1,0),IF('01_数值调参'!AK31&lt;0,'03_全链计算'!R73+1,0),IF('01_数值调参'!AK32&lt;0,'03_全链计算'!S73+1,0),IF('01_数值调参'!AK33&lt;0,'03_全链计算'!T73+1,0),IF('01_数值调参'!AK34&lt;0,'03_全链计算'!U73+1,0),IF('01_数值调参'!AK35&lt;0,'03_全链计算'!V73+1,0),IF('01_数值调参'!AK36&lt;0,'03_全链计算'!W73+1,0),IF('01_数值调参'!AK37&lt;0,'03_全链计算'!X73+1,0),IF('01_数值调参'!AK38&lt;0,'03_全链计算'!Y73+1,0),IF('01_数值调参'!AK39&lt;0,'03_全链计算'!Z73+1,0),IF('01_数值调参'!AK40&lt;0,'03_全链计算'!AA73+1,0),IF('01_数值调参'!AK41&lt;0,'03_全链计算'!AB73+1,0),IF('01_数值调参'!AK42&lt;0,'03_全链计算'!AC73+1,0),IF('01_数值调参'!AK43&lt;0,'03_全链计算'!AD73+1,0),IF('01_数值调参'!AK44&lt;0,'03_全链计算'!AE73+1,0),IF('01_数值调参'!AK45&lt;0,'03_全链计算'!AF73+1,0),IF('01_数值调参'!AK46&lt;0,'03_全链计算'!AG73+1,0),IF('01_数值调参'!AK47&lt;0,'03_全链计算'!AH73+1,0),IF('01_数值调参'!AK48&lt;0,'03_全链计算'!AI73+1,0),IF('01_数值调参'!AK49&lt;0,'03_全链计算'!AJ73+1,0),IF('01_数值调参'!AK50&lt;0,'03_全链计算'!AK73+1,0),IF('01_数值调参'!AK51&lt;0,'03_全链计算'!AL73+1,0),IF('01_数值调参'!AK52&lt;0,'03_全链计算'!AM73+1,0))</x:f>
        <x:v>2</x:v>
      </x:c>
      <x:c r="AL74" s="9" t="n">
        <x:f>MAX(IF('01_数值调参'!AL18&lt;0,'03_全链计算'!E73+1,0),IF('01_数值调参'!AL19&lt;0,'03_全链计算'!F73+1,0),IF('01_数值调参'!AL20&lt;0,'03_全链计算'!G73+1,0),IF('01_数值调参'!AL21&lt;0,'03_全链计算'!H73+1,0),IF('01_数值调参'!AL22&lt;0,'03_全链计算'!I73+1,0),IF('01_数值调参'!AL23&lt;0,'03_全链计算'!J73+1,0),IF('01_数值调参'!AL24&lt;0,'03_全链计算'!K73+1,0),IF('01_数值调参'!AL25&lt;0,'03_全链计算'!L73+1,0),IF('01_数值调参'!AL26&lt;0,'03_全链计算'!M73+1,0),IF('01_数值调参'!AL27&lt;0,'03_全链计算'!N73+1,0),IF('01_数值调参'!AL28&lt;0,'03_全链计算'!O73+1,0),IF('01_数值调参'!AL29&lt;0,'03_全链计算'!P73+1,0),IF('01_数值调参'!AL30&lt;0,'03_全链计算'!Q73+1,0),IF('01_数值调参'!AL31&lt;0,'03_全链计算'!R73+1,0),IF('01_数值调参'!AL32&lt;0,'03_全链计算'!S73+1,0),IF('01_数值调参'!AL33&lt;0,'03_全链计算'!T73+1,0),IF('01_数值调参'!AL34&lt;0,'03_全链计算'!U73+1,0),IF('01_数值调参'!AL35&lt;0,'03_全链计算'!V73+1,0),IF('01_数值调参'!AL36&lt;0,'03_全链计算'!W73+1,0),IF('01_数值调参'!AL37&lt;0,'03_全链计算'!X73+1,0),IF('01_数值调参'!AL38&lt;0,'03_全链计算'!Y73+1,0),IF('01_数值调参'!AL39&lt;0,'03_全链计算'!Z73+1,0),IF('01_数值调参'!AL40&lt;0,'03_全链计算'!AA73+1,0),IF('01_数值调参'!AL41&lt;0,'03_全链计算'!AB73+1,0),IF('01_数值调参'!AL42&lt;0,'03_全链计算'!AC73+1,0),IF('01_数值调参'!AL43&lt;0,'03_全链计算'!AD73+1,0),IF('01_数值调参'!AL44&lt;0,'03_全链计算'!AE73+1,0),IF('01_数值调参'!AL45&lt;0,'03_全链计算'!AF73+1,0),IF('01_数值调参'!AL46&lt;0,'03_全链计算'!AG73+1,0),IF('01_数值调参'!AL47&lt;0,'03_全链计算'!AH73+1,0),IF('01_数值调参'!AL48&lt;0,'03_全链计算'!AI73+1,0),IF('01_数值调参'!AL49&lt;0,'03_全链计算'!AJ73+1,0),IF('01_数值调参'!AL50&lt;0,'03_全链计算'!AK73+1,0),IF('01_数值调参'!AL51&lt;0,'03_全链计算'!AL73+1,0),IF('01_数值调参'!AL52&lt;0,'03_全链计算'!AM73+1,0))</x:f>
        <x:v>3</x:v>
      </x:c>
      <x:c r="AM74" s="9" t="n">
        <x:f>MAX(IF('01_数值调参'!AM18&lt;0,'03_全链计算'!E73+1,0),IF('01_数值调参'!AM19&lt;0,'03_全链计算'!F73+1,0),IF('01_数值调参'!AM20&lt;0,'03_全链计算'!G73+1,0),IF('01_数值调参'!AM21&lt;0,'03_全链计算'!H73+1,0),IF('01_数值调参'!AM22&lt;0,'03_全链计算'!I73+1,0),IF('01_数值调参'!AM23&lt;0,'03_全链计算'!J73+1,0),IF('01_数值调参'!AM24&lt;0,'03_全链计算'!K73+1,0),IF('01_数值调参'!AM25&lt;0,'03_全链计算'!L73+1,0),IF('01_数值调参'!AM26&lt;0,'03_全链计算'!M73+1,0),IF('01_数值调参'!AM27&lt;0,'03_全链计算'!N73+1,0),IF('01_数值调参'!AM28&lt;0,'03_全链计算'!O73+1,0),IF('01_数值调参'!AM29&lt;0,'03_全链计算'!P73+1,0),IF('01_数值调参'!AM30&lt;0,'03_全链计算'!Q73+1,0),IF('01_数值调参'!AM31&lt;0,'03_全链计算'!R73+1,0),IF('01_数值调参'!AM32&lt;0,'03_全链计算'!S73+1,0),IF('01_数值调参'!AM33&lt;0,'03_全链计算'!T73+1,0),IF('01_数值调参'!AM34&lt;0,'03_全链计算'!U73+1,0),IF('01_数值调参'!AM35&lt;0,'03_全链计算'!V73+1,0),IF('01_数值调参'!AM36&lt;0,'03_全链计算'!W73+1,0),IF('01_数值调参'!AM37&lt;0,'03_全链计算'!X73+1,0),IF('01_数值调参'!AM38&lt;0,'03_全链计算'!Y73+1,0),IF('01_数值调参'!AM39&lt;0,'03_全链计算'!Z73+1,0),IF('01_数值调参'!AM40&lt;0,'03_全链计算'!AA73+1,0),IF('01_数值调参'!AM41&lt;0,'03_全链计算'!AB73+1,0),IF('01_数值调参'!AM42&lt;0,'03_全链计算'!AC73+1,0),IF('01_数值调参'!AM43&lt;0,'03_全链计算'!AD73+1,0),IF('01_数值调参'!AM44&lt;0,'03_全链计算'!AE73+1,0),IF('01_数值调参'!AM45&lt;0,'03_全链计算'!AF73+1,0),IF('01_数值调参'!AM46&lt;0,'03_全链计算'!AG73+1,0),IF('01_数值调参'!AM47&lt;0,'03_全链计算'!AH73+1,0),IF('01_数值调参'!AM48&lt;0,'03_全链计算'!AI73+1,0),IF('01_数值调参'!AM49&lt;0,'03_全链计算'!AJ73+1,0),IF('01_数值调参'!AM50&lt;0,'03_全链计算'!AK73+1,0),IF('01_数值调参'!AM51&lt;0,'03_全链计算'!AL73+1,0),IF('01_数值调参'!AM52&lt;0,'03_全链计算'!AM73+1,0))</x:f>
        <x:v>3</x:v>
      </x:c>
    </x:row>
    <x:row r="75" ht="22" customHeight="1">
      <x:c r="A75" s="9" t="n">
        <x:v>30</x:v>
      </x:c>
      <x:c r="B75" s="9"/>
      <x:c r="C75" s="9"/>
      <x:c r="D75" s="9"/>
      <x:c r="E75" s="9" t="n">
        <x:f>MAX(IF('01_数值调参'!E18&lt;0,'03_全链计算'!E74+1,0),IF('01_数值调参'!E19&lt;0,'03_全链计算'!F74+1,0),IF('01_数值调参'!E20&lt;0,'03_全链计算'!G74+1,0),IF('01_数值调参'!E21&lt;0,'03_全链计算'!H74+1,0),IF('01_数值调参'!E22&lt;0,'03_全链计算'!I74+1,0),IF('01_数值调参'!E23&lt;0,'03_全链计算'!J74+1,0),IF('01_数值调参'!E24&lt;0,'03_全链计算'!K74+1,0),IF('01_数值调参'!E25&lt;0,'03_全链计算'!L74+1,0),IF('01_数值调参'!E26&lt;0,'03_全链计算'!M74+1,0),IF('01_数值调参'!E27&lt;0,'03_全链计算'!N74+1,0),IF('01_数值调参'!E28&lt;0,'03_全链计算'!O74+1,0),IF('01_数值调参'!E29&lt;0,'03_全链计算'!P74+1,0),IF('01_数值调参'!E30&lt;0,'03_全链计算'!Q74+1,0),IF('01_数值调参'!E31&lt;0,'03_全链计算'!R74+1,0),IF('01_数值调参'!E32&lt;0,'03_全链计算'!S74+1,0),IF('01_数值调参'!E33&lt;0,'03_全链计算'!T74+1,0),IF('01_数值调参'!E34&lt;0,'03_全链计算'!U74+1,0),IF('01_数值调参'!E35&lt;0,'03_全链计算'!V74+1,0),IF('01_数值调参'!E36&lt;0,'03_全链计算'!W74+1,0),IF('01_数值调参'!E37&lt;0,'03_全链计算'!X74+1,0),IF('01_数值调参'!E38&lt;0,'03_全链计算'!Y74+1,0),IF('01_数值调参'!E39&lt;0,'03_全链计算'!Z74+1,0),IF('01_数值调参'!E40&lt;0,'03_全链计算'!AA74+1,0),IF('01_数值调参'!E41&lt;0,'03_全链计算'!AB74+1,0),IF('01_数值调参'!E42&lt;0,'03_全链计算'!AC74+1,0),IF('01_数值调参'!E43&lt;0,'03_全链计算'!AD74+1,0),IF('01_数值调参'!E44&lt;0,'03_全链计算'!AE74+1,0),IF('01_数值调参'!E45&lt;0,'03_全链计算'!AF74+1,0),IF('01_数值调参'!E46&lt;0,'03_全链计算'!AG74+1,0),IF('01_数值调参'!E47&lt;0,'03_全链计算'!AH74+1,0),IF('01_数值调参'!E48&lt;0,'03_全链计算'!AI74+1,0),IF('01_数值调参'!E49&lt;0,'03_全链计算'!AJ74+1,0),IF('01_数值调参'!E50&lt;0,'03_全链计算'!AK74+1,0),IF('01_数值调参'!E51&lt;0,'03_全链计算'!AL74+1,0),IF('01_数值调参'!E52&lt;0,'03_全链计算'!AM74+1,0))</x:f>
        <x:v>0</x:v>
      </x:c>
      <x:c r="F75" s="9" t="n">
        <x:f>MAX(IF('01_数值调参'!F18&lt;0,'03_全链计算'!E74+1,0),IF('01_数值调参'!F19&lt;0,'03_全链计算'!F74+1,0),IF('01_数值调参'!F20&lt;0,'03_全链计算'!G74+1,0),IF('01_数值调参'!F21&lt;0,'03_全链计算'!H74+1,0),IF('01_数值调参'!F22&lt;0,'03_全链计算'!I74+1,0),IF('01_数值调参'!F23&lt;0,'03_全链计算'!J74+1,0),IF('01_数值调参'!F24&lt;0,'03_全链计算'!K74+1,0),IF('01_数值调参'!F25&lt;0,'03_全链计算'!L74+1,0),IF('01_数值调参'!F26&lt;0,'03_全链计算'!M74+1,0),IF('01_数值调参'!F27&lt;0,'03_全链计算'!N74+1,0),IF('01_数值调参'!F28&lt;0,'03_全链计算'!O74+1,0),IF('01_数值调参'!F29&lt;0,'03_全链计算'!P74+1,0),IF('01_数值调参'!F30&lt;0,'03_全链计算'!Q74+1,0),IF('01_数值调参'!F31&lt;0,'03_全链计算'!R74+1,0),IF('01_数值调参'!F32&lt;0,'03_全链计算'!S74+1,0),IF('01_数值调参'!F33&lt;0,'03_全链计算'!T74+1,0),IF('01_数值调参'!F34&lt;0,'03_全链计算'!U74+1,0),IF('01_数值调参'!F35&lt;0,'03_全链计算'!V74+1,0),IF('01_数值调参'!F36&lt;0,'03_全链计算'!W74+1,0),IF('01_数值调参'!F37&lt;0,'03_全链计算'!X74+1,0),IF('01_数值调参'!F38&lt;0,'03_全链计算'!Y74+1,0),IF('01_数值调参'!F39&lt;0,'03_全链计算'!Z74+1,0),IF('01_数值调参'!F40&lt;0,'03_全链计算'!AA74+1,0),IF('01_数值调参'!F41&lt;0,'03_全链计算'!AB74+1,0),IF('01_数值调参'!F42&lt;0,'03_全链计算'!AC74+1,0),IF('01_数值调参'!F43&lt;0,'03_全链计算'!AD74+1,0),IF('01_数值调参'!F44&lt;0,'03_全链计算'!AE74+1,0),IF('01_数值调参'!F45&lt;0,'03_全链计算'!AF74+1,0),IF('01_数值调参'!F46&lt;0,'03_全链计算'!AG74+1,0),IF('01_数值调参'!F47&lt;0,'03_全链计算'!AH74+1,0),IF('01_数值调参'!F48&lt;0,'03_全链计算'!AI74+1,0),IF('01_数值调参'!F49&lt;0,'03_全链计算'!AJ74+1,0),IF('01_数值调参'!F50&lt;0,'03_全链计算'!AK74+1,0),IF('01_数值调参'!F51&lt;0,'03_全链计算'!AL74+1,0),IF('01_数值调参'!F52&lt;0,'03_全链计算'!AM74+1,0))</x:f>
        <x:v>0</x:v>
      </x:c>
      <x:c r="G75" s="9" t="n">
        <x:f>MAX(IF('01_数值调参'!G18&lt;0,'03_全链计算'!E74+1,0),IF('01_数值调参'!G19&lt;0,'03_全链计算'!F74+1,0),IF('01_数值调参'!G20&lt;0,'03_全链计算'!G74+1,0),IF('01_数值调参'!G21&lt;0,'03_全链计算'!H74+1,0),IF('01_数值调参'!G22&lt;0,'03_全链计算'!I74+1,0),IF('01_数值调参'!G23&lt;0,'03_全链计算'!J74+1,0),IF('01_数值调参'!G24&lt;0,'03_全链计算'!K74+1,0),IF('01_数值调参'!G25&lt;0,'03_全链计算'!L74+1,0),IF('01_数值调参'!G26&lt;0,'03_全链计算'!M74+1,0),IF('01_数值调参'!G27&lt;0,'03_全链计算'!N74+1,0),IF('01_数值调参'!G28&lt;0,'03_全链计算'!O74+1,0),IF('01_数值调参'!G29&lt;0,'03_全链计算'!P74+1,0),IF('01_数值调参'!G30&lt;0,'03_全链计算'!Q74+1,0),IF('01_数值调参'!G31&lt;0,'03_全链计算'!R74+1,0),IF('01_数值调参'!G32&lt;0,'03_全链计算'!S74+1,0),IF('01_数值调参'!G33&lt;0,'03_全链计算'!T74+1,0),IF('01_数值调参'!G34&lt;0,'03_全链计算'!U74+1,0),IF('01_数值调参'!G35&lt;0,'03_全链计算'!V74+1,0),IF('01_数值调参'!G36&lt;0,'03_全链计算'!W74+1,0),IF('01_数值调参'!G37&lt;0,'03_全链计算'!X74+1,0),IF('01_数值调参'!G38&lt;0,'03_全链计算'!Y74+1,0),IF('01_数值调参'!G39&lt;0,'03_全链计算'!Z74+1,0),IF('01_数值调参'!G40&lt;0,'03_全链计算'!AA74+1,0),IF('01_数值调参'!G41&lt;0,'03_全链计算'!AB74+1,0),IF('01_数值调参'!G42&lt;0,'03_全链计算'!AC74+1,0),IF('01_数值调参'!G43&lt;0,'03_全链计算'!AD74+1,0),IF('01_数值调参'!G44&lt;0,'03_全链计算'!AE74+1,0),IF('01_数值调参'!G45&lt;0,'03_全链计算'!AF74+1,0),IF('01_数值调参'!G46&lt;0,'03_全链计算'!AG74+1,0),IF('01_数值调参'!G47&lt;0,'03_全链计算'!AH74+1,0),IF('01_数值调参'!G48&lt;0,'03_全链计算'!AI74+1,0),IF('01_数值调参'!G49&lt;0,'03_全链计算'!AJ74+1,0),IF('01_数值调参'!G50&lt;0,'03_全链计算'!AK74+1,0),IF('01_数值调参'!G51&lt;0,'03_全链计算'!AL74+1,0),IF('01_数值调参'!G52&lt;0,'03_全链计算'!AM74+1,0))</x:f>
        <x:v>0</x:v>
      </x:c>
      <x:c r="H75" s="9" t="n">
        <x:f>MAX(IF('01_数值调参'!H18&lt;0,'03_全链计算'!E74+1,0),IF('01_数值调参'!H19&lt;0,'03_全链计算'!F74+1,0),IF('01_数值调参'!H20&lt;0,'03_全链计算'!G74+1,0),IF('01_数值调参'!H21&lt;0,'03_全链计算'!H74+1,0),IF('01_数值调参'!H22&lt;0,'03_全链计算'!I74+1,0),IF('01_数值调参'!H23&lt;0,'03_全链计算'!J74+1,0),IF('01_数值调参'!H24&lt;0,'03_全链计算'!K74+1,0),IF('01_数值调参'!H25&lt;0,'03_全链计算'!L74+1,0),IF('01_数值调参'!H26&lt;0,'03_全链计算'!M74+1,0),IF('01_数值调参'!H27&lt;0,'03_全链计算'!N74+1,0),IF('01_数值调参'!H28&lt;0,'03_全链计算'!O74+1,0),IF('01_数值调参'!H29&lt;0,'03_全链计算'!P74+1,0),IF('01_数值调参'!H30&lt;0,'03_全链计算'!Q74+1,0),IF('01_数值调参'!H31&lt;0,'03_全链计算'!R74+1,0),IF('01_数值调参'!H32&lt;0,'03_全链计算'!S74+1,0),IF('01_数值调参'!H33&lt;0,'03_全链计算'!T74+1,0),IF('01_数值调参'!H34&lt;0,'03_全链计算'!U74+1,0),IF('01_数值调参'!H35&lt;0,'03_全链计算'!V74+1,0),IF('01_数值调参'!H36&lt;0,'03_全链计算'!W74+1,0),IF('01_数值调参'!H37&lt;0,'03_全链计算'!X74+1,0),IF('01_数值调参'!H38&lt;0,'03_全链计算'!Y74+1,0),IF('01_数值调参'!H39&lt;0,'03_全链计算'!Z74+1,0),IF('01_数值调参'!H40&lt;0,'03_全链计算'!AA74+1,0),IF('01_数值调参'!H41&lt;0,'03_全链计算'!AB74+1,0),IF('01_数值调参'!H42&lt;0,'03_全链计算'!AC74+1,0),IF('01_数值调参'!H43&lt;0,'03_全链计算'!AD74+1,0),IF('01_数值调参'!H44&lt;0,'03_全链计算'!AE74+1,0),IF('01_数值调参'!H45&lt;0,'03_全链计算'!AF74+1,0),IF('01_数值调参'!H46&lt;0,'03_全链计算'!AG74+1,0),IF('01_数值调参'!H47&lt;0,'03_全链计算'!AH74+1,0),IF('01_数值调参'!H48&lt;0,'03_全链计算'!AI74+1,0),IF('01_数值调参'!H49&lt;0,'03_全链计算'!AJ74+1,0),IF('01_数值调参'!H50&lt;0,'03_全链计算'!AK74+1,0),IF('01_数值调参'!H51&lt;0,'03_全链计算'!AL74+1,0),IF('01_数值调参'!H52&lt;0,'03_全链计算'!AM74+1,0))</x:f>
        <x:v>0</x:v>
      </x:c>
      <x:c r="I75" s="9" t="n">
        <x:f>MAX(IF('01_数值调参'!I18&lt;0,'03_全链计算'!E74+1,0),IF('01_数值调参'!I19&lt;0,'03_全链计算'!F74+1,0),IF('01_数值调参'!I20&lt;0,'03_全链计算'!G74+1,0),IF('01_数值调参'!I21&lt;0,'03_全链计算'!H74+1,0),IF('01_数值调参'!I22&lt;0,'03_全链计算'!I74+1,0),IF('01_数值调参'!I23&lt;0,'03_全链计算'!J74+1,0),IF('01_数值调参'!I24&lt;0,'03_全链计算'!K74+1,0),IF('01_数值调参'!I25&lt;0,'03_全链计算'!L74+1,0),IF('01_数值调参'!I26&lt;0,'03_全链计算'!M74+1,0),IF('01_数值调参'!I27&lt;0,'03_全链计算'!N74+1,0),IF('01_数值调参'!I28&lt;0,'03_全链计算'!O74+1,0),IF('01_数值调参'!I29&lt;0,'03_全链计算'!P74+1,0),IF('01_数值调参'!I30&lt;0,'03_全链计算'!Q74+1,0),IF('01_数值调参'!I31&lt;0,'03_全链计算'!R74+1,0),IF('01_数值调参'!I32&lt;0,'03_全链计算'!S74+1,0),IF('01_数值调参'!I33&lt;0,'03_全链计算'!T74+1,0),IF('01_数值调参'!I34&lt;0,'03_全链计算'!U74+1,0),IF('01_数值调参'!I35&lt;0,'03_全链计算'!V74+1,0),IF('01_数值调参'!I36&lt;0,'03_全链计算'!W74+1,0),IF('01_数值调参'!I37&lt;0,'03_全链计算'!X74+1,0),IF('01_数值调参'!I38&lt;0,'03_全链计算'!Y74+1,0),IF('01_数值调参'!I39&lt;0,'03_全链计算'!Z74+1,0),IF('01_数值调参'!I40&lt;0,'03_全链计算'!AA74+1,0),IF('01_数值调参'!I41&lt;0,'03_全链计算'!AB74+1,0),IF('01_数值调参'!I42&lt;0,'03_全链计算'!AC74+1,0),IF('01_数值调参'!I43&lt;0,'03_全链计算'!AD74+1,0),IF('01_数值调参'!I44&lt;0,'03_全链计算'!AE74+1,0),IF('01_数值调参'!I45&lt;0,'03_全链计算'!AF74+1,0),IF('01_数值调参'!I46&lt;0,'03_全链计算'!AG74+1,0),IF('01_数值调参'!I47&lt;0,'03_全链计算'!AH74+1,0),IF('01_数值调参'!I48&lt;0,'03_全链计算'!AI74+1,0),IF('01_数值调参'!I49&lt;0,'03_全链计算'!AJ74+1,0),IF('01_数值调参'!I50&lt;0,'03_全链计算'!AK74+1,0),IF('01_数值调参'!I51&lt;0,'03_全链计算'!AL74+1,0),IF('01_数值调参'!I52&lt;0,'03_全链计算'!AM74+1,0))</x:f>
        <x:v>0</x:v>
      </x:c>
      <x:c r="J75" s="9" t="n">
        <x:f>MAX(IF('01_数值调参'!J18&lt;0,'03_全链计算'!E74+1,0),IF('01_数值调参'!J19&lt;0,'03_全链计算'!F74+1,0),IF('01_数值调参'!J20&lt;0,'03_全链计算'!G74+1,0),IF('01_数值调参'!J21&lt;0,'03_全链计算'!H74+1,0),IF('01_数值调参'!J22&lt;0,'03_全链计算'!I74+1,0),IF('01_数值调参'!J23&lt;0,'03_全链计算'!J74+1,0),IF('01_数值调参'!J24&lt;0,'03_全链计算'!K74+1,0),IF('01_数值调参'!J25&lt;0,'03_全链计算'!L74+1,0),IF('01_数值调参'!J26&lt;0,'03_全链计算'!M74+1,0),IF('01_数值调参'!J27&lt;0,'03_全链计算'!N74+1,0),IF('01_数值调参'!J28&lt;0,'03_全链计算'!O74+1,0),IF('01_数值调参'!J29&lt;0,'03_全链计算'!P74+1,0),IF('01_数值调参'!J30&lt;0,'03_全链计算'!Q74+1,0),IF('01_数值调参'!J31&lt;0,'03_全链计算'!R74+1,0),IF('01_数值调参'!J32&lt;0,'03_全链计算'!S74+1,0),IF('01_数值调参'!J33&lt;0,'03_全链计算'!T74+1,0),IF('01_数值调参'!J34&lt;0,'03_全链计算'!U74+1,0),IF('01_数值调参'!J35&lt;0,'03_全链计算'!V74+1,0),IF('01_数值调参'!J36&lt;0,'03_全链计算'!W74+1,0),IF('01_数值调参'!J37&lt;0,'03_全链计算'!X74+1,0),IF('01_数值调参'!J38&lt;0,'03_全链计算'!Y74+1,0),IF('01_数值调参'!J39&lt;0,'03_全链计算'!Z74+1,0),IF('01_数值调参'!J40&lt;0,'03_全链计算'!AA74+1,0),IF('01_数值调参'!J41&lt;0,'03_全链计算'!AB74+1,0),IF('01_数值调参'!J42&lt;0,'03_全链计算'!AC74+1,0),IF('01_数值调参'!J43&lt;0,'03_全链计算'!AD74+1,0),IF('01_数值调参'!J44&lt;0,'03_全链计算'!AE74+1,0),IF('01_数值调参'!J45&lt;0,'03_全链计算'!AF74+1,0),IF('01_数值调参'!J46&lt;0,'03_全链计算'!AG74+1,0),IF('01_数值调参'!J47&lt;0,'03_全链计算'!AH74+1,0),IF('01_数值调参'!J48&lt;0,'03_全链计算'!AI74+1,0),IF('01_数值调参'!J49&lt;0,'03_全链计算'!AJ74+1,0),IF('01_数值调参'!J50&lt;0,'03_全链计算'!AK74+1,0),IF('01_数值调参'!J51&lt;0,'03_全链计算'!AL74+1,0),IF('01_数值调参'!J52&lt;0,'03_全链计算'!AM74+1,0))</x:f>
        <x:v>0</x:v>
      </x:c>
      <x:c r="K75" s="9" t="n">
        <x:f>MAX(IF('01_数值调参'!K18&lt;0,'03_全链计算'!E74+1,0),IF('01_数值调参'!K19&lt;0,'03_全链计算'!F74+1,0),IF('01_数值调参'!K20&lt;0,'03_全链计算'!G74+1,0),IF('01_数值调参'!K21&lt;0,'03_全链计算'!H74+1,0),IF('01_数值调参'!K22&lt;0,'03_全链计算'!I74+1,0),IF('01_数值调参'!K23&lt;0,'03_全链计算'!J74+1,0),IF('01_数值调参'!K24&lt;0,'03_全链计算'!K74+1,0),IF('01_数值调参'!K25&lt;0,'03_全链计算'!L74+1,0),IF('01_数值调参'!K26&lt;0,'03_全链计算'!M74+1,0),IF('01_数值调参'!K27&lt;0,'03_全链计算'!N74+1,0),IF('01_数值调参'!K28&lt;0,'03_全链计算'!O74+1,0),IF('01_数值调参'!K29&lt;0,'03_全链计算'!P74+1,0),IF('01_数值调参'!K30&lt;0,'03_全链计算'!Q74+1,0),IF('01_数值调参'!K31&lt;0,'03_全链计算'!R74+1,0),IF('01_数值调参'!K32&lt;0,'03_全链计算'!S74+1,0),IF('01_数值调参'!K33&lt;0,'03_全链计算'!T74+1,0),IF('01_数值调参'!K34&lt;0,'03_全链计算'!U74+1,0),IF('01_数值调参'!K35&lt;0,'03_全链计算'!V74+1,0),IF('01_数值调参'!K36&lt;0,'03_全链计算'!W74+1,0),IF('01_数值调参'!K37&lt;0,'03_全链计算'!X74+1,0),IF('01_数值调参'!K38&lt;0,'03_全链计算'!Y74+1,0),IF('01_数值调参'!K39&lt;0,'03_全链计算'!Z74+1,0),IF('01_数值调参'!K40&lt;0,'03_全链计算'!AA74+1,0),IF('01_数值调参'!K41&lt;0,'03_全链计算'!AB74+1,0),IF('01_数值调参'!K42&lt;0,'03_全链计算'!AC74+1,0),IF('01_数值调参'!K43&lt;0,'03_全链计算'!AD74+1,0),IF('01_数值调参'!K44&lt;0,'03_全链计算'!AE74+1,0),IF('01_数值调参'!K45&lt;0,'03_全链计算'!AF74+1,0),IF('01_数值调参'!K46&lt;0,'03_全链计算'!AG74+1,0),IF('01_数值调参'!K47&lt;0,'03_全链计算'!AH74+1,0),IF('01_数值调参'!K48&lt;0,'03_全链计算'!AI74+1,0),IF('01_数值调参'!K49&lt;0,'03_全链计算'!AJ74+1,0),IF('01_数值调参'!K50&lt;0,'03_全链计算'!AK74+1,0),IF('01_数值调参'!K51&lt;0,'03_全链计算'!AL74+1,0),IF('01_数值调参'!K52&lt;0,'03_全链计算'!AM74+1,0))</x:f>
        <x:v>0</x:v>
      </x:c>
      <x:c r="L75" s="9" t="n">
        <x:f>MAX(IF('01_数值调参'!L18&lt;0,'03_全链计算'!E74+1,0),IF('01_数值调参'!L19&lt;0,'03_全链计算'!F74+1,0),IF('01_数值调参'!L20&lt;0,'03_全链计算'!G74+1,0),IF('01_数值调参'!L21&lt;0,'03_全链计算'!H74+1,0),IF('01_数值调参'!L22&lt;0,'03_全链计算'!I74+1,0),IF('01_数值调参'!L23&lt;0,'03_全链计算'!J74+1,0),IF('01_数值调参'!L24&lt;0,'03_全链计算'!K74+1,0),IF('01_数值调参'!L25&lt;0,'03_全链计算'!L74+1,0),IF('01_数值调参'!L26&lt;0,'03_全链计算'!M74+1,0),IF('01_数值调参'!L27&lt;0,'03_全链计算'!N74+1,0),IF('01_数值调参'!L28&lt;0,'03_全链计算'!O74+1,0),IF('01_数值调参'!L29&lt;0,'03_全链计算'!P74+1,0),IF('01_数值调参'!L30&lt;0,'03_全链计算'!Q74+1,0),IF('01_数值调参'!L31&lt;0,'03_全链计算'!R74+1,0),IF('01_数值调参'!L32&lt;0,'03_全链计算'!S74+1,0),IF('01_数值调参'!L33&lt;0,'03_全链计算'!T74+1,0),IF('01_数值调参'!L34&lt;0,'03_全链计算'!U74+1,0),IF('01_数值调参'!L35&lt;0,'03_全链计算'!V74+1,0),IF('01_数值调参'!L36&lt;0,'03_全链计算'!W74+1,0),IF('01_数值调参'!L37&lt;0,'03_全链计算'!X74+1,0),IF('01_数值调参'!L38&lt;0,'03_全链计算'!Y74+1,0),IF('01_数值调参'!L39&lt;0,'03_全链计算'!Z74+1,0),IF('01_数值调参'!L40&lt;0,'03_全链计算'!AA74+1,0),IF('01_数值调参'!L41&lt;0,'03_全链计算'!AB74+1,0),IF('01_数值调参'!L42&lt;0,'03_全链计算'!AC74+1,0),IF('01_数值调参'!L43&lt;0,'03_全链计算'!AD74+1,0),IF('01_数值调参'!L44&lt;0,'03_全链计算'!AE74+1,0),IF('01_数值调参'!L45&lt;0,'03_全链计算'!AF74+1,0),IF('01_数值调参'!L46&lt;0,'03_全链计算'!AG74+1,0),IF('01_数值调参'!L47&lt;0,'03_全链计算'!AH74+1,0),IF('01_数值调参'!L48&lt;0,'03_全链计算'!AI74+1,0),IF('01_数值调参'!L49&lt;0,'03_全链计算'!AJ74+1,0),IF('01_数值调参'!L50&lt;0,'03_全链计算'!AK74+1,0),IF('01_数值调参'!L51&lt;0,'03_全链计算'!AL74+1,0),IF('01_数值调参'!L52&lt;0,'03_全链计算'!AM74+1,0))</x:f>
        <x:v>0</x:v>
      </x:c>
      <x:c r="M75" s="9" t="n">
        <x:f>MAX(IF('01_数值调参'!M18&lt;0,'03_全链计算'!E74+1,0),IF('01_数值调参'!M19&lt;0,'03_全链计算'!F74+1,0),IF('01_数值调参'!M20&lt;0,'03_全链计算'!G74+1,0),IF('01_数值调参'!M21&lt;0,'03_全链计算'!H74+1,0),IF('01_数值调参'!M22&lt;0,'03_全链计算'!I74+1,0),IF('01_数值调参'!M23&lt;0,'03_全链计算'!J74+1,0),IF('01_数值调参'!M24&lt;0,'03_全链计算'!K74+1,0),IF('01_数值调参'!M25&lt;0,'03_全链计算'!L74+1,0),IF('01_数值调参'!M26&lt;0,'03_全链计算'!M74+1,0),IF('01_数值调参'!M27&lt;0,'03_全链计算'!N74+1,0),IF('01_数值调参'!M28&lt;0,'03_全链计算'!O74+1,0),IF('01_数值调参'!M29&lt;0,'03_全链计算'!P74+1,0),IF('01_数值调参'!M30&lt;0,'03_全链计算'!Q74+1,0),IF('01_数值调参'!M31&lt;0,'03_全链计算'!R74+1,0),IF('01_数值调参'!M32&lt;0,'03_全链计算'!S74+1,0),IF('01_数值调参'!M33&lt;0,'03_全链计算'!T74+1,0),IF('01_数值调参'!M34&lt;0,'03_全链计算'!U74+1,0),IF('01_数值调参'!M35&lt;0,'03_全链计算'!V74+1,0),IF('01_数值调参'!M36&lt;0,'03_全链计算'!W74+1,0),IF('01_数值调参'!M37&lt;0,'03_全链计算'!X74+1,0),IF('01_数值调参'!M38&lt;0,'03_全链计算'!Y74+1,0),IF('01_数值调参'!M39&lt;0,'03_全链计算'!Z74+1,0),IF('01_数值调参'!M40&lt;0,'03_全链计算'!AA74+1,0),IF('01_数值调参'!M41&lt;0,'03_全链计算'!AB74+1,0),IF('01_数值调参'!M42&lt;0,'03_全链计算'!AC74+1,0),IF('01_数值调参'!M43&lt;0,'03_全链计算'!AD74+1,0),IF('01_数值调参'!M44&lt;0,'03_全链计算'!AE74+1,0),IF('01_数值调参'!M45&lt;0,'03_全链计算'!AF74+1,0),IF('01_数值调参'!M46&lt;0,'03_全链计算'!AG74+1,0),IF('01_数值调参'!M47&lt;0,'03_全链计算'!AH74+1,0),IF('01_数值调参'!M48&lt;0,'03_全链计算'!AI74+1,0),IF('01_数值调参'!M49&lt;0,'03_全链计算'!AJ74+1,0),IF('01_数值调参'!M50&lt;0,'03_全链计算'!AK74+1,0),IF('01_数值调参'!M51&lt;0,'03_全链计算'!AL74+1,0),IF('01_数值调参'!M52&lt;0,'03_全链计算'!AM74+1,0))</x:f>
        <x:v>0</x:v>
      </x:c>
      <x:c r="N75" s="9" t="n">
        <x:f>MAX(IF('01_数值调参'!N18&lt;0,'03_全链计算'!E74+1,0),IF('01_数值调参'!N19&lt;0,'03_全链计算'!F74+1,0),IF('01_数值调参'!N20&lt;0,'03_全链计算'!G74+1,0),IF('01_数值调参'!N21&lt;0,'03_全链计算'!H74+1,0),IF('01_数值调参'!N22&lt;0,'03_全链计算'!I74+1,0),IF('01_数值调参'!N23&lt;0,'03_全链计算'!J74+1,0),IF('01_数值调参'!N24&lt;0,'03_全链计算'!K74+1,0),IF('01_数值调参'!N25&lt;0,'03_全链计算'!L74+1,0),IF('01_数值调参'!N26&lt;0,'03_全链计算'!M74+1,0),IF('01_数值调参'!N27&lt;0,'03_全链计算'!N74+1,0),IF('01_数值调参'!N28&lt;0,'03_全链计算'!O74+1,0),IF('01_数值调参'!N29&lt;0,'03_全链计算'!P74+1,0),IF('01_数值调参'!N30&lt;0,'03_全链计算'!Q74+1,0),IF('01_数值调参'!N31&lt;0,'03_全链计算'!R74+1,0),IF('01_数值调参'!N32&lt;0,'03_全链计算'!S74+1,0),IF('01_数值调参'!N33&lt;0,'03_全链计算'!T74+1,0),IF('01_数值调参'!N34&lt;0,'03_全链计算'!U74+1,0),IF('01_数值调参'!N35&lt;0,'03_全链计算'!V74+1,0),IF('01_数值调参'!N36&lt;0,'03_全链计算'!W74+1,0),IF('01_数值调参'!N37&lt;0,'03_全链计算'!X74+1,0),IF('01_数值调参'!N38&lt;0,'03_全链计算'!Y74+1,0),IF('01_数值调参'!N39&lt;0,'03_全链计算'!Z74+1,0),IF('01_数值调参'!N40&lt;0,'03_全链计算'!AA74+1,0),IF('01_数值调参'!N41&lt;0,'03_全链计算'!AB74+1,0),IF('01_数值调参'!N42&lt;0,'03_全链计算'!AC74+1,0),IF('01_数值调参'!N43&lt;0,'03_全链计算'!AD74+1,0),IF('01_数值调参'!N44&lt;0,'03_全链计算'!AE74+1,0),IF('01_数值调参'!N45&lt;0,'03_全链计算'!AF74+1,0),IF('01_数值调参'!N46&lt;0,'03_全链计算'!AG74+1,0),IF('01_数值调参'!N47&lt;0,'03_全链计算'!AH74+1,0),IF('01_数值调参'!N48&lt;0,'03_全链计算'!AI74+1,0),IF('01_数值调参'!N49&lt;0,'03_全链计算'!AJ74+1,0),IF('01_数值调参'!N50&lt;0,'03_全链计算'!AK74+1,0),IF('01_数值调参'!N51&lt;0,'03_全链计算'!AL74+1,0),IF('01_数值调参'!N52&lt;0,'03_全链计算'!AM74+1,0))</x:f>
        <x:v>1</x:v>
      </x:c>
      <x:c r="O75" s="9" t="n">
        <x:f>MAX(IF('01_数值调参'!O18&lt;0,'03_全链计算'!E74+1,0),IF('01_数值调参'!O19&lt;0,'03_全链计算'!F74+1,0),IF('01_数值调参'!O20&lt;0,'03_全链计算'!G74+1,0),IF('01_数值调参'!O21&lt;0,'03_全链计算'!H74+1,0),IF('01_数值调参'!O22&lt;0,'03_全链计算'!I74+1,0),IF('01_数值调参'!O23&lt;0,'03_全链计算'!J74+1,0),IF('01_数值调参'!O24&lt;0,'03_全链计算'!K74+1,0),IF('01_数值调参'!O25&lt;0,'03_全链计算'!L74+1,0),IF('01_数值调参'!O26&lt;0,'03_全链计算'!M74+1,0),IF('01_数值调参'!O27&lt;0,'03_全链计算'!N74+1,0),IF('01_数值调参'!O28&lt;0,'03_全链计算'!O74+1,0),IF('01_数值调参'!O29&lt;0,'03_全链计算'!P74+1,0),IF('01_数值调参'!O30&lt;0,'03_全链计算'!Q74+1,0),IF('01_数值调参'!O31&lt;0,'03_全链计算'!R74+1,0),IF('01_数值调参'!O32&lt;0,'03_全链计算'!S74+1,0),IF('01_数值调参'!O33&lt;0,'03_全链计算'!T74+1,0),IF('01_数值调参'!O34&lt;0,'03_全链计算'!U74+1,0),IF('01_数值调参'!O35&lt;0,'03_全链计算'!V74+1,0),IF('01_数值调参'!O36&lt;0,'03_全链计算'!W74+1,0),IF('01_数值调参'!O37&lt;0,'03_全链计算'!X74+1,0),IF('01_数值调参'!O38&lt;0,'03_全链计算'!Y74+1,0),IF('01_数值调参'!O39&lt;0,'03_全链计算'!Z74+1,0),IF('01_数值调参'!O40&lt;0,'03_全链计算'!AA74+1,0),IF('01_数值调参'!O41&lt;0,'03_全链计算'!AB74+1,0),IF('01_数值调参'!O42&lt;0,'03_全链计算'!AC74+1,0),IF('01_数值调参'!O43&lt;0,'03_全链计算'!AD74+1,0),IF('01_数值调参'!O44&lt;0,'03_全链计算'!AE74+1,0),IF('01_数值调参'!O45&lt;0,'03_全链计算'!AF74+1,0),IF('01_数值调参'!O46&lt;0,'03_全链计算'!AG74+1,0),IF('01_数值调参'!O47&lt;0,'03_全链计算'!AH74+1,0),IF('01_数值调参'!O48&lt;0,'03_全链计算'!AI74+1,0),IF('01_数值调参'!O49&lt;0,'03_全链计算'!AJ74+1,0),IF('01_数值调参'!O50&lt;0,'03_全链计算'!AK74+1,0),IF('01_数值调参'!O51&lt;0,'03_全链计算'!AL74+1,0),IF('01_数值调参'!O52&lt;0,'03_全链计算'!AM74+1,0))</x:f>
        <x:v>1</x:v>
      </x:c>
      <x:c r="P75" s="9" t="n">
        <x:f>MAX(IF('01_数值调参'!P18&lt;0,'03_全链计算'!E74+1,0),IF('01_数值调参'!P19&lt;0,'03_全链计算'!F74+1,0),IF('01_数值调参'!P20&lt;0,'03_全链计算'!G74+1,0),IF('01_数值调参'!P21&lt;0,'03_全链计算'!H74+1,0),IF('01_数值调参'!P22&lt;0,'03_全链计算'!I74+1,0),IF('01_数值调参'!P23&lt;0,'03_全链计算'!J74+1,0),IF('01_数值调参'!P24&lt;0,'03_全链计算'!K74+1,0),IF('01_数值调参'!P25&lt;0,'03_全链计算'!L74+1,0),IF('01_数值调参'!P26&lt;0,'03_全链计算'!M74+1,0),IF('01_数值调参'!P27&lt;0,'03_全链计算'!N74+1,0),IF('01_数值调参'!P28&lt;0,'03_全链计算'!O74+1,0),IF('01_数值调参'!P29&lt;0,'03_全链计算'!P74+1,0),IF('01_数值调参'!P30&lt;0,'03_全链计算'!Q74+1,0),IF('01_数值调参'!P31&lt;0,'03_全链计算'!R74+1,0),IF('01_数值调参'!P32&lt;0,'03_全链计算'!S74+1,0),IF('01_数值调参'!P33&lt;0,'03_全链计算'!T74+1,0),IF('01_数值调参'!P34&lt;0,'03_全链计算'!U74+1,0),IF('01_数值调参'!P35&lt;0,'03_全链计算'!V74+1,0),IF('01_数值调参'!P36&lt;0,'03_全链计算'!W74+1,0),IF('01_数值调参'!P37&lt;0,'03_全链计算'!X74+1,0),IF('01_数值调参'!P38&lt;0,'03_全链计算'!Y74+1,0),IF('01_数值调参'!P39&lt;0,'03_全链计算'!Z74+1,0),IF('01_数值调参'!P40&lt;0,'03_全链计算'!AA74+1,0),IF('01_数值调参'!P41&lt;0,'03_全链计算'!AB74+1,0),IF('01_数值调参'!P42&lt;0,'03_全链计算'!AC74+1,0),IF('01_数值调参'!P43&lt;0,'03_全链计算'!AD74+1,0),IF('01_数值调参'!P44&lt;0,'03_全链计算'!AE74+1,0),IF('01_数值调参'!P45&lt;0,'03_全链计算'!AF74+1,0),IF('01_数值调参'!P46&lt;0,'03_全链计算'!AG74+1,0),IF('01_数值调参'!P47&lt;0,'03_全链计算'!AH74+1,0),IF('01_数值调参'!P48&lt;0,'03_全链计算'!AI74+1,0),IF('01_数值调参'!P49&lt;0,'03_全链计算'!AJ74+1,0),IF('01_数值调参'!P50&lt;0,'03_全链计算'!AK74+1,0),IF('01_数值调参'!P51&lt;0,'03_全链计算'!AL74+1,0),IF('01_数值调参'!P52&lt;0,'03_全链计算'!AM74+1,0))</x:f>
        <x:v>1</x:v>
      </x:c>
      <x:c r="Q75" s="9" t="n">
        <x:f>MAX(IF('01_数值调参'!Q18&lt;0,'03_全链计算'!E74+1,0),IF('01_数值调参'!Q19&lt;0,'03_全链计算'!F74+1,0),IF('01_数值调参'!Q20&lt;0,'03_全链计算'!G74+1,0),IF('01_数值调参'!Q21&lt;0,'03_全链计算'!H74+1,0),IF('01_数值调参'!Q22&lt;0,'03_全链计算'!I74+1,0),IF('01_数值调参'!Q23&lt;0,'03_全链计算'!J74+1,0),IF('01_数值调参'!Q24&lt;0,'03_全链计算'!K74+1,0),IF('01_数值调参'!Q25&lt;0,'03_全链计算'!L74+1,0),IF('01_数值调参'!Q26&lt;0,'03_全链计算'!M74+1,0),IF('01_数值调参'!Q27&lt;0,'03_全链计算'!N74+1,0),IF('01_数值调参'!Q28&lt;0,'03_全链计算'!O74+1,0),IF('01_数值调参'!Q29&lt;0,'03_全链计算'!P74+1,0),IF('01_数值调参'!Q30&lt;0,'03_全链计算'!Q74+1,0),IF('01_数值调参'!Q31&lt;0,'03_全链计算'!R74+1,0),IF('01_数值调参'!Q32&lt;0,'03_全链计算'!S74+1,0),IF('01_数值调参'!Q33&lt;0,'03_全链计算'!T74+1,0),IF('01_数值调参'!Q34&lt;0,'03_全链计算'!U74+1,0),IF('01_数值调参'!Q35&lt;0,'03_全链计算'!V74+1,0),IF('01_数值调参'!Q36&lt;0,'03_全链计算'!W74+1,0),IF('01_数值调参'!Q37&lt;0,'03_全链计算'!X74+1,0),IF('01_数值调参'!Q38&lt;0,'03_全链计算'!Y74+1,0),IF('01_数值调参'!Q39&lt;0,'03_全链计算'!Z74+1,0),IF('01_数值调参'!Q40&lt;0,'03_全链计算'!AA74+1,0),IF('01_数值调参'!Q41&lt;0,'03_全链计算'!AB74+1,0),IF('01_数值调参'!Q42&lt;0,'03_全链计算'!AC74+1,0),IF('01_数值调参'!Q43&lt;0,'03_全链计算'!AD74+1,0),IF('01_数值调参'!Q44&lt;0,'03_全链计算'!AE74+1,0),IF('01_数值调参'!Q45&lt;0,'03_全链计算'!AF74+1,0),IF('01_数值调参'!Q46&lt;0,'03_全链计算'!AG74+1,0),IF('01_数值调参'!Q47&lt;0,'03_全链计算'!AH74+1,0),IF('01_数值调参'!Q48&lt;0,'03_全链计算'!AI74+1,0),IF('01_数值调参'!Q49&lt;0,'03_全链计算'!AJ74+1,0),IF('01_数值调参'!Q50&lt;0,'03_全链计算'!AK74+1,0),IF('01_数值调参'!Q51&lt;0,'03_全链计算'!AL74+1,0),IF('01_数值调参'!Q52&lt;0,'03_全链计算'!AM74+1,0))</x:f>
        <x:v>1</x:v>
      </x:c>
      <x:c r="R75" s="9" t="n">
        <x:f>MAX(IF('01_数值调参'!R18&lt;0,'03_全链计算'!E74+1,0),IF('01_数值调参'!R19&lt;0,'03_全链计算'!F74+1,0),IF('01_数值调参'!R20&lt;0,'03_全链计算'!G74+1,0),IF('01_数值调参'!R21&lt;0,'03_全链计算'!H74+1,0),IF('01_数值调参'!R22&lt;0,'03_全链计算'!I74+1,0),IF('01_数值调参'!R23&lt;0,'03_全链计算'!J74+1,0),IF('01_数值调参'!R24&lt;0,'03_全链计算'!K74+1,0),IF('01_数值调参'!R25&lt;0,'03_全链计算'!L74+1,0),IF('01_数值调参'!R26&lt;0,'03_全链计算'!M74+1,0),IF('01_数值调参'!R27&lt;0,'03_全链计算'!N74+1,0),IF('01_数值调参'!R28&lt;0,'03_全链计算'!O74+1,0),IF('01_数值调参'!R29&lt;0,'03_全链计算'!P74+1,0),IF('01_数值调参'!R30&lt;0,'03_全链计算'!Q74+1,0),IF('01_数值调参'!R31&lt;0,'03_全链计算'!R74+1,0),IF('01_数值调参'!R32&lt;0,'03_全链计算'!S74+1,0),IF('01_数值调参'!R33&lt;0,'03_全链计算'!T74+1,0),IF('01_数值调参'!R34&lt;0,'03_全链计算'!U74+1,0),IF('01_数值调参'!R35&lt;0,'03_全链计算'!V74+1,0),IF('01_数值调参'!R36&lt;0,'03_全链计算'!W74+1,0),IF('01_数值调参'!R37&lt;0,'03_全链计算'!X74+1,0),IF('01_数值调参'!R38&lt;0,'03_全链计算'!Y74+1,0),IF('01_数值调参'!R39&lt;0,'03_全链计算'!Z74+1,0),IF('01_数值调参'!R40&lt;0,'03_全链计算'!AA74+1,0),IF('01_数值调参'!R41&lt;0,'03_全链计算'!AB74+1,0),IF('01_数值调参'!R42&lt;0,'03_全链计算'!AC74+1,0),IF('01_数值调参'!R43&lt;0,'03_全链计算'!AD74+1,0),IF('01_数值调参'!R44&lt;0,'03_全链计算'!AE74+1,0),IF('01_数值调参'!R45&lt;0,'03_全链计算'!AF74+1,0),IF('01_数值调参'!R46&lt;0,'03_全链计算'!AG74+1,0),IF('01_数值调参'!R47&lt;0,'03_全链计算'!AH74+1,0),IF('01_数值调参'!R48&lt;0,'03_全链计算'!AI74+1,0),IF('01_数值调参'!R49&lt;0,'03_全链计算'!AJ74+1,0),IF('01_数值调参'!R50&lt;0,'03_全链计算'!AK74+1,0),IF('01_数值调参'!R51&lt;0,'03_全链计算'!AL74+1,0),IF('01_数值调参'!R52&lt;0,'03_全链计算'!AM74+1,0))</x:f>
        <x:v>1</x:v>
      </x:c>
      <x:c r="S75" s="9" t="n">
        <x:f>MAX(IF('01_数值调参'!S18&lt;0,'03_全链计算'!E74+1,0),IF('01_数值调参'!S19&lt;0,'03_全链计算'!F74+1,0),IF('01_数值调参'!S20&lt;0,'03_全链计算'!G74+1,0),IF('01_数值调参'!S21&lt;0,'03_全链计算'!H74+1,0),IF('01_数值调参'!S22&lt;0,'03_全链计算'!I74+1,0),IF('01_数值调参'!S23&lt;0,'03_全链计算'!J74+1,0),IF('01_数值调参'!S24&lt;0,'03_全链计算'!K74+1,0),IF('01_数值调参'!S25&lt;0,'03_全链计算'!L74+1,0),IF('01_数值调参'!S26&lt;0,'03_全链计算'!M74+1,0),IF('01_数值调参'!S27&lt;0,'03_全链计算'!N74+1,0),IF('01_数值调参'!S28&lt;0,'03_全链计算'!O74+1,0),IF('01_数值调参'!S29&lt;0,'03_全链计算'!P74+1,0),IF('01_数值调参'!S30&lt;0,'03_全链计算'!Q74+1,0),IF('01_数值调参'!S31&lt;0,'03_全链计算'!R74+1,0),IF('01_数值调参'!S32&lt;0,'03_全链计算'!S74+1,0),IF('01_数值调参'!S33&lt;0,'03_全链计算'!T74+1,0),IF('01_数值调参'!S34&lt;0,'03_全链计算'!U74+1,0),IF('01_数值调参'!S35&lt;0,'03_全链计算'!V74+1,0),IF('01_数值调参'!S36&lt;0,'03_全链计算'!W74+1,0),IF('01_数值调参'!S37&lt;0,'03_全链计算'!X74+1,0),IF('01_数值调参'!S38&lt;0,'03_全链计算'!Y74+1,0),IF('01_数值调参'!S39&lt;0,'03_全链计算'!Z74+1,0),IF('01_数值调参'!S40&lt;0,'03_全链计算'!AA74+1,0),IF('01_数值调参'!S41&lt;0,'03_全链计算'!AB74+1,0),IF('01_数值调参'!S42&lt;0,'03_全链计算'!AC74+1,0),IF('01_数值调参'!S43&lt;0,'03_全链计算'!AD74+1,0),IF('01_数值调参'!S44&lt;0,'03_全链计算'!AE74+1,0),IF('01_数值调参'!S45&lt;0,'03_全链计算'!AF74+1,0),IF('01_数值调参'!S46&lt;0,'03_全链计算'!AG74+1,0),IF('01_数值调参'!S47&lt;0,'03_全链计算'!AH74+1,0),IF('01_数值调参'!S48&lt;0,'03_全链计算'!AI74+1,0),IF('01_数值调参'!S49&lt;0,'03_全链计算'!AJ74+1,0),IF('01_数值调参'!S50&lt;0,'03_全链计算'!AK74+1,0),IF('01_数值调参'!S51&lt;0,'03_全链计算'!AL74+1,0),IF('01_数值调参'!S52&lt;0,'03_全链计算'!AM74+1,0))</x:f>
        <x:v>1</x:v>
      </x:c>
      <x:c r="T75" s="9" t="n">
        <x:f>MAX(IF('01_数值调参'!T18&lt;0,'03_全链计算'!E74+1,0),IF('01_数值调参'!T19&lt;0,'03_全链计算'!F74+1,0),IF('01_数值调参'!T20&lt;0,'03_全链计算'!G74+1,0),IF('01_数值调参'!T21&lt;0,'03_全链计算'!H74+1,0),IF('01_数值调参'!T22&lt;0,'03_全链计算'!I74+1,0),IF('01_数值调参'!T23&lt;0,'03_全链计算'!J74+1,0),IF('01_数值调参'!T24&lt;0,'03_全链计算'!K74+1,0),IF('01_数值调参'!T25&lt;0,'03_全链计算'!L74+1,0),IF('01_数值调参'!T26&lt;0,'03_全链计算'!M74+1,0),IF('01_数值调参'!T27&lt;0,'03_全链计算'!N74+1,0),IF('01_数值调参'!T28&lt;0,'03_全链计算'!O74+1,0),IF('01_数值调参'!T29&lt;0,'03_全链计算'!P74+1,0),IF('01_数值调参'!T30&lt;0,'03_全链计算'!Q74+1,0),IF('01_数值调参'!T31&lt;0,'03_全链计算'!R74+1,0),IF('01_数值调参'!T32&lt;0,'03_全链计算'!S74+1,0),IF('01_数值调参'!T33&lt;0,'03_全链计算'!T74+1,0),IF('01_数值调参'!T34&lt;0,'03_全链计算'!U74+1,0),IF('01_数值调参'!T35&lt;0,'03_全链计算'!V74+1,0),IF('01_数值调参'!T36&lt;0,'03_全链计算'!W74+1,0),IF('01_数值调参'!T37&lt;0,'03_全链计算'!X74+1,0),IF('01_数值调参'!T38&lt;0,'03_全链计算'!Y74+1,0),IF('01_数值调参'!T39&lt;0,'03_全链计算'!Z74+1,0),IF('01_数值调参'!T40&lt;0,'03_全链计算'!AA74+1,0),IF('01_数值调参'!T41&lt;0,'03_全链计算'!AB74+1,0),IF('01_数值调参'!T42&lt;0,'03_全链计算'!AC74+1,0),IF('01_数值调参'!T43&lt;0,'03_全链计算'!AD74+1,0),IF('01_数值调参'!T44&lt;0,'03_全链计算'!AE74+1,0),IF('01_数值调参'!T45&lt;0,'03_全链计算'!AF74+1,0),IF('01_数值调参'!T46&lt;0,'03_全链计算'!AG74+1,0),IF('01_数值调参'!T47&lt;0,'03_全链计算'!AH74+1,0),IF('01_数值调参'!T48&lt;0,'03_全链计算'!AI74+1,0),IF('01_数值调参'!T49&lt;0,'03_全链计算'!AJ74+1,0),IF('01_数值调参'!T50&lt;0,'03_全链计算'!AK74+1,0),IF('01_数值调参'!T51&lt;0,'03_全链计算'!AL74+1,0),IF('01_数值调参'!T52&lt;0,'03_全链计算'!AM74+1,0))</x:f>
        <x:v>1</x:v>
      </x:c>
      <x:c r="U75" s="9" t="n">
        <x:f>MAX(IF('01_数值调参'!U18&lt;0,'03_全链计算'!E74+1,0),IF('01_数值调参'!U19&lt;0,'03_全链计算'!F74+1,0),IF('01_数值调参'!U20&lt;0,'03_全链计算'!G74+1,0),IF('01_数值调参'!U21&lt;0,'03_全链计算'!H74+1,0),IF('01_数值调参'!U22&lt;0,'03_全链计算'!I74+1,0),IF('01_数值调参'!U23&lt;0,'03_全链计算'!J74+1,0),IF('01_数值调参'!U24&lt;0,'03_全链计算'!K74+1,0),IF('01_数值调参'!U25&lt;0,'03_全链计算'!L74+1,0),IF('01_数值调参'!U26&lt;0,'03_全链计算'!M74+1,0),IF('01_数值调参'!U27&lt;0,'03_全链计算'!N74+1,0),IF('01_数值调参'!U28&lt;0,'03_全链计算'!O74+1,0),IF('01_数值调参'!U29&lt;0,'03_全链计算'!P74+1,0),IF('01_数值调参'!U30&lt;0,'03_全链计算'!Q74+1,0),IF('01_数值调参'!U31&lt;0,'03_全链计算'!R74+1,0),IF('01_数值调参'!U32&lt;0,'03_全链计算'!S74+1,0),IF('01_数值调参'!U33&lt;0,'03_全链计算'!T74+1,0),IF('01_数值调参'!U34&lt;0,'03_全链计算'!U74+1,0),IF('01_数值调参'!U35&lt;0,'03_全链计算'!V74+1,0),IF('01_数值调参'!U36&lt;0,'03_全链计算'!W74+1,0),IF('01_数值调参'!U37&lt;0,'03_全链计算'!X74+1,0),IF('01_数值调参'!U38&lt;0,'03_全链计算'!Y74+1,0),IF('01_数值调参'!U39&lt;0,'03_全链计算'!Z74+1,0),IF('01_数值调参'!U40&lt;0,'03_全链计算'!AA74+1,0),IF('01_数值调参'!U41&lt;0,'03_全链计算'!AB74+1,0),IF('01_数值调参'!U42&lt;0,'03_全链计算'!AC74+1,0),IF('01_数值调参'!U43&lt;0,'03_全链计算'!AD74+1,0),IF('01_数值调参'!U44&lt;0,'03_全链计算'!AE74+1,0),IF('01_数值调参'!U45&lt;0,'03_全链计算'!AF74+1,0),IF('01_数值调参'!U46&lt;0,'03_全链计算'!AG74+1,0),IF('01_数值调参'!U47&lt;0,'03_全链计算'!AH74+1,0),IF('01_数值调参'!U48&lt;0,'03_全链计算'!AI74+1,0),IF('01_数值调参'!U49&lt;0,'03_全链计算'!AJ74+1,0),IF('01_数值调参'!U50&lt;0,'03_全链计算'!AK74+1,0),IF('01_数值调参'!U51&lt;0,'03_全链计算'!AL74+1,0),IF('01_数值调参'!U52&lt;0,'03_全链计算'!AM74+1,0))</x:f>
        <x:v>1</x:v>
      </x:c>
      <x:c r="V75" s="9" t="n">
        <x:f>MAX(IF('01_数值调参'!V18&lt;0,'03_全链计算'!E74+1,0),IF('01_数值调参'!V19&lt;0,'03_全链计算'!F74+1,0),IF('01_数值调参'!V20&lt;0,'03_全链计算'!G74+1,0),IF('01_数值调参'!V21&lt;0,'03_全链计算'!H74+1,0),IF('01_数值调参'!V22&lt;0,'03_全链计算'!I74+1,0),IF('01_数值调参'!V23&lt;0,'03_全链计算'!J74+1,0),IF('01_数值调参'!V24&lt;0,'03_全链计算'!K74+1,0),IF('01_数值调参'!V25&lt;0,'03_全链计算'!L74+1,0),IF('01_数值调参'!V26&lt;0,'03_全链计算'!M74+1,0),IF('01_数值调参'!V27&lt;0,'03_全链计算'!N74+1,0),IF('01_数值调参'!V28&lt;0,'03_全链计算'!O74+1,0),IF('01_数值调参'!V29&lt;0,'03_全链计算'!P74+1,0),IF('01_数值调参'!V30&lt;0,'03_全链计算'!Q74+1,0),IF('01_数值调参'!V31&lt;0,'03_全链计算'!R74+1,0),IF('01_数值调参'!V32&lt;0,'03_全链计算'!S74+1,0),IF('01_数值调参'!V33&lt;0,'03_全链计算'!T74+1,0),IF('01_数值调参'!V34&lt;0,'03_全链计算'!U74+1,0),IF('01_数值调参'!V35&lt;0,'03_全链计算'!V74+1,0),IF('01_数值调参'!V36&lt;0,'03_全链计算'!W74+1,0),IF('01_数值调参'!V37&lt;0,'03_全链计算'!X74+1,0),IF('01_数值调参'!V38&lt;0,'03_全链计算'!Y74+1,0),IF('01_数值调参'!V39&lt;0,'03_全链计算'!Z74+1,0),IF('01_数值调参'!V40&lt;0,'03_全链计算'!AA74+1,0),IF('01_数值调参'!V41&lt;0,'03_全链计算'!AB74+1,0),IF('01_数值调参'!V42&lt;0,'03_全链计算'!AC74+1,0),IF('01_数值调参'!V43&lt;0,'03_全链计算'!AD74+1,0),IF('01_数值调参'!V44&lt;0,'03_全链计算'!AE74+1,0),IF('01_数值调参'!V45&lt;0,'03_全链计算'!AF74+1,0),IF('01_数值调参'!V46&lt;0,'03_全链计算'!AG74+1,0),IF('01_数值调参'!V47&lt;0,'03_全链计算'!AH74+1,0),IF('01_数值调参'!V48&lt;0,'03_全链计算'!AI74+1,0),IF('01_数值调参'!V49&lt;0,'03_全链计算'!AJ74+1,0),IF('01_数值调参'!V50&lt;0,'03_全链计算'!AK74+1,0),IF('01_数值调参'!V51&lt;0,'03_全链计算'!AL74+1,0),IF('01_数值调参'!V52&lt;0,'03_全链计算'!AM74+1,0))</x:f>
        <x:v>1</x:v>
      </x:c>
      <x:c r="W75" s="9" t="n">
        <x:f>MAX(IF('01_数值调参'!W18&lt;0,'03_全链计算'!E74+1,0),IF('01_数值调参'!W19&lt;0,'03_全链计算'!F74+1,0),IF('01_数值调参'!W20&lt;0,'03_全链计算'!G74+1,0),IF('01_数值调参'!W21&lt;0,'03_全链计算'!H74+1,0),IF('01_数值调参'!W22&lt;0,'03_全链计算'!I74+1,0),IF('01_数值调参'!W23&lt;0,'03_全链计算'!J74+1,0),IF('01_数值调参'!W24&lt;0,'03_全链计算'!K74+1,0),IF('01_数值调参'!W25&lt;0,'03_全链计算'!L74+1,0),IF('01_数值调参'!W26&lt;0,'03_全链计算'!M74+1,0),IF('01_数值调参'!W27&lt;0,'03_全链计算'!N74+1,0),IF('01_数值调参'!W28&lt;0,'03_全链计算'!O74+1,0),IF('01_数值调参'!W29&lt;0,'03_全链计算'!P74+1,0),IF('01_数值调参'!W30&lt;0,'03_全链计算'!Q74+1,0),IF('01_数值调参'!W31&lt;0,'03_全链计算'!R74+1,0),IF('01_数值调参'!W32&lt;0,'03_全链计算'!S74+1,0),IF('01_数值调参'!W33&lt;0,'03_全链计算'!T74+1,0),IF('01_数值调参'!W34&lt;0,'03_全链计算'!U74+1,0),IF('01_数值调参'!W35&lt;0,'03_全链计算'!V74+1,0),IF('01_数值调参'!W36&lt;0,'03_全链计算'!W74+1,0),IF('01_数值调参'!W37&lt;0,'03_全链计算'!X74+1,0),IF('01_数值调参'!W38&lt;0,'03_全链计算'!Y74+1,0),IF('01_数值调参'!W39&lt;0,'03_全链计算'!Z74+1,0),IF('01_数值调参'!W40&lt;0,'03_全链计算'!AA74+1,0),IF('01_数值调参'!W41&lt;0,'03_全链计算'!AB74+1,0),IF('01_数值调参'!W42&lt;0,'03_全链计算'!AC74+1,0),IF('01_数值调参'!W43&lt;0,'03_全链计算'!AD74+1,0),IF('01_数值调参'!W44&lt;0,'03_全链计算'!AE74+1,0),IF('01_数值调参'!W45&lt;0,'03_全链计算'!AF74+1,0),IF('01_数值调参'!W46&lt;0,'03_全链计算'!AG74+1,0),IF('01_数值调参'!W47&lt;0,'03_全链计算'!AH74+1,0),IF('01_数值调参'!W48&lt;0,'03_全链计算'!AI74+1,0),IF('01_数值调参'!W49&lt;0,'03_全链计算'!AJ74+1,0),IF('01_数值调参'!W50&lt;0,'03_全链计算'!AK74+1,0),IF('01_数值调参'!W51&lt;0,'03_全链计算'!AL74+1,0),IF('01_数值调参'!W52&lt;0,'03_全链计算'!AM74+1,0))</x:f>
        <x:v>1</x:v>
      </x:c>
      <x:c r="X75" s="9" t="n">
        <x:f>MAX(IF('01_数值调参'!X18&lt;0,'03_全链计算'!E74+1,0),IF('01_数值调参'!X19&lt;0,'03_全链计算'!F74+1,0),IF('01_数值调参'!X20&lt;0,'03_全链计算'!G74+1,0),IF('01_数值调参'!X21&lt;0,'03_全链计算'!H74+1,0),IF('01_数值调参'!X22&lt;0,'03_全链计算'!I74+1,0),IF('01_数值调参'!X23&lt;0,'03_全链计算'!J74+1,0),IF('01_数值调参'!X24&lt;0,'03_全链计算'!K74+1,0),IF('01_数值调参'!X25&lt;0,'03_全链计算'!L74+1,0),IF('01_数值调参'!X26&lt;0,'03_全链计算'!M74+1,0),IF('01_数值调参'!X27&lt;0,'03_全链计算'!N74+1,0),IF('01_数值调参'!X28&lt;0,'03_全链计算'!O74+1,0),IF('01_数值调参'!X29&lt;0,'03_全链计算'!P74+1,0),IF('01_数值调参'!X30&lt;0,'03_全链计算'!Q74+1,0),IF('01_数值调参'!X31&lt;0,'03_全链计算'!R74+1,0),IF('01_数值调参'!X32&lt;0,'03_全链计算'!S74+1,0),IF('01_数值调参'!X33&lt;0,'03_全链计算'!T74+1,0),IF('01_数值调参'!X34&lt;0,'03_全链计算'!U74+1,0),IF('01_数值调参'!X35&lt;0,'03_全链计算'!V74+1,0),IF('01_数值调参'!X36&lt;0,'03_全链计算'!W74+1,0),IF('01_数值调参'!X37&lt;0,'03_全链计算'!X74+1,0),IF('01_数值调参'!X38&lt;0,'03_全链计算'!Y74+1,0),IF('01_数值调参'!X39&lt;0,'03_全链计算'!Z74+1,0),IF('01_数值调参'!X40&lt;0,'03_全链计算'!AA74+1,0),IF('01_数值调参'!X41&lt;0,'03_全链计算'!AB74+1,0),IF('01_数值调参'!X42&lt;0,'03_全链计算'!AC74+1,0),IF('01_数值调参'!X43&lt;0,'03_全链计算'!AD74+1,0),IF('01_数值调参'!X44&lt;0,'03_全链计算'!AE74+1,0),IF('01_数值调参'!X45&lt;0,'03_全链计算'!AF74+1,0),IF('01_数值调参'!X46&lt;0,'03_全链计算'!AG74+1,0),IF('01_数值调参'!X47&lt;0,'03_全链计算'!AH74+1,0),IF('01_数值调参'!X48&lt;0,'03_全链计算'!AI74+1,0),IF('01_数值调参'!X49&lt;0,'03_全链计算'!AJ74+1,0),IF('01_数值调参'!X50&lt;0,'03_全链计算'!AK74+1,0),IF('01_数值调参'!X51&lt;0,'03_全链计算'!AL74+1,0),IF('01_数值调参'!X52&lt;0,'03_全链计算'!AM74+1,0))</x:f>
        <x:v>2</x:v>
      </x:c>
      <x:c r="Y75" s="9" t="n">
        <x:f>MAX(IF('01_数值调参'!Y18&lt;0,'03_全链计算'!E74+1,0),IF('01_数值调参'!Y19&lt;0,'03_全链计算'!F74+1,0),IF('01_数值调参'!Y20&lt;0,'03_全链计算'!G74+1,0),IF('01_数值调参'!Y21&lt;0,'03_全链计算'!H74+1,0),IF('01_数值调参'!Y22&lt;0,'03_全链计算'!I74+1,0),IF('01_数值调参'!Y23&lt;0,'03_全链计算'!J74+1,0),IF('01_数值调参'!Y24&lt;0,'03_全链计算'!K74+1,0),IF('01_数值调参'!Y25&lt;0,'03_全链计算'!L74+1,0),IF('01_数值调参'!Y26&lt;0,'03_全链计算'!M74+1,0),IF('01_数值调参'!Y27&lt;0,'03_全链计算'!N74+1,0),IF('01_数值调参'!Y28&lt;0,'03_全链计算'!O74+1,0),IF('01_数值调参'!Y29&lt;0,'03_全链计算'!P74+1,0),IF('01_数值调参'!Y30&lt;0,'03_全链计算'!Q74+1,0),IF('01_数值调参'!Y31&lt;0,'03_全链计算'!R74+1,0),IF('01_数值调参'!Y32&lt;0,'03_全链计算'!S74+1,0),IF('01_数值调参'!Y33&lt;0,'03_全链计算'!T74+1,0),IF('01_数值调参'!Y34&lt;0,'03_全链计算'!U74+1,0),IF('01_数值调参'!Y35&lt;0,'03_全链计算'!V74+1,0),IF('01_数值调参'!Y36&lt;0,'03_全链计算'!W74+1,0),IF('01_数值调参'!Y37&lt;0,'03_全链计算'!X74+1,0),IF('01_数值调参'!Y38&lt;0,'03_全链计算'!Y74+1,0),IF('01_数值调参'!Y39&lt;0,'03_全链计算'!Z74+1,0),IF('01_数值调参'!Y40&lt;0,'03_全链计算'!AA74+1,0),IF('01_数值调参'!Y41&lt;0,'03_全链计算'!AB74+1,0),IF('01_数值调参'!Y42&lt;0,'03_全链计算'!AC74+1,0),IF('01_数值调参'!Y43&lt;0,'03_全链计算'!AD74+1,0),IF('01_数值调参'!Y44&lt;0,'03_全链计算'!AE74+1,0),IF('01_数值调参'!Y45&lt;0,'03_全链计算'!AF74+1,0),IF('01_数值调参'!Y46&lt;0,'03_全链计算'!AG74+1,0),IF('01_数值调参'!Y47&lt;0,'03_全链计算'!AH74+1,0),IF('01_数值调参'!Y48&lt;0,'03_全链计算'!AI74+1,0),IF('01_数值调参'!Y49&lt;0,'03_全链计算'!AJ74+1,0),IF('01_数值调参'!Y50&lt;0,'03_全链计算'!AK74+1,0),IF('01_数值调参'!Y51&lt;0,'03_全链计算'!AL74+1,0),IF('01_数值调参'!Y52&lt;0,'03_全链计算'!AM74+1,0))</x:f>
        <x:v>2</x:v>
      </x:c>
      <x:c r="Z75" s="9" t="n">
        <x:f>MAX(IF('01_数值调参'!Z18&lt;0,'03_全链计算'!E74+1,0),IF('01_数值调参'!Z19&lt;0,'03_全链计算'!F74+1,0),IF('01_数值调参'!Z20&lt;0,'03_全链计算'!G74+1,0),IF('01_数值调参'!Z21&lt;0,'03_全链计算'!H74+1,0),IF('01_数值调参'!Z22&lt;0,'03_全链计算'!I74+1,0),IF('01_数值调参'!Z23&lt;0,'03_全链计算'!J74+1,0),IF('01_数值调参'!Z24&lt;0,'03_全链计算'!K74+1,0),IF('01_数值调参'!Z25&lt;0,'03_全链计算'!L74+1,0),IF('01_数值调参'!Z26&lt;0,'03_全链计算'!M74+1,0),IF('01_数值调参'!Z27&lt;0,'03_全链计算'!N74+1,0),IF('01_数值调参'!Z28&lt;0,'03_全链计算'!O74+1,0),IF('01_数值调参'!Z29&lt;0,'03_全链计算'!P74+1,0),IF('01_数值调参'!Z30&lt;0,'03_全链计算'!Q74+1,0),IF('01_数值调参'!Z31&lt;0,'03_全链计算'!R74+1,0),IF('01_数值调参'!Z32&lt;0,'03_全链计算'!S74+1,0),IF('01_数值调参'!Z33&lt;0,'03_全链计算'!T74+1,0),IF('01_数值调参'!Z34&lt;0,'03_全链计算'!U74+1,0),IF('01_数值调参'!Z35&lt;0,'03_全链计算'!V74+1,0),IF('01_数值调参'!Z36&lt;0,'03_全链计算'!W74+1,0),IF('01_数值调参'!Z37&lt;0,'03_全链计算'!X74+1,0),IF('01_数值调参'!Z38&lt;0,'03_全链计算'!Y74+1,0),IF('01_数值调参'!Z39&lt;0,'03_全链计算'!Z74+1,0),IF('01_数值调参'!Z40&lt;0,'03_全链计算'!AA74+1,0),IF('01_数值调参'!Z41&lt;0,'03_全链计算'!AB74+1,0),IF('01_数值调参'!Z42&lt;0,'03_全链计算'!AC74+1,0),IF('01_数值调参'!Z43&lt;0,'03_全链计算'!AD74+1,0),IF('01_数值调参'!Z44&lt;0,'03_全链计算'!AE74+1,0),IF('01_数值调参'!Z45&lt;0,'03_全链计算'!AF74+1,0),IF('01_数值调参'!Z46&lt;0,'03_全链计算'!AG74+1,0),IF('01_数值调参'!Z47&lt;0,'03_全链计算'!AH74+1,0),IF('01_数值调参'!Z48&lt;0,'03_全链计算'!AI74+1,0),IF('01_数值调参'!Z49&lt;0,'03_全链计算'!AJ74+1,0),IF('01_数值调参'!Z50&lt;0,'03_全链计算'!AK74+1,0),IF('01_数值调参'!Z51&lt;0,'03_全链计算'!AL74+1,0),IF('01_数值调参'!Z52&lt;0,'03_全链计算'!AM74+1,0))</x:f>
        <x:v>2</x:v>
      </x:c>
      <x:c r="AA75" s="9" t="n">
        <x:f>MAX(IF('01_数值调参'!AA18&lt;0,'03_全链计算'!E74+1,0),IF('01_数值调参'!AA19&lt;0,'03_全链计算'!F74+1,0),IF('01_数值调参'!AA20&lt;0,'03_全链计算'!G74+1,0),IF('01_数值调参'!AA21&lt;0,'03_全链计算'!H74+1,0),IF('01_数值调参'!AA22&lt;0,'03_全链计算'!I74+1,0),IF('01_数值调参'!AA23&lt;0,'03_全链计算'!J74+1,0),IF('01_数值调参'!AA24&lt;0,'03_全链计算'!K74+1,0),IF('01_数值调参'!AA25&lt;0,'03_全链计算'!L74+1,0),IF('01_数值调参'!AA26&lt;0,'03_全链计算'!M74+1,0),IF('01_数值调参'!AA27&lt;0,'03_全链计算'!N74+1,0),IF('01_数值调参'!AA28&lt;0,'03_全链计算'!O74+1,0),IF('01_数值调参'!AA29&lt;0,'03_全链计算'!P74+1,0),IF('01_数值调参'!AA30&lt;0,'03_全链计算'!Q74+1,0),IF('01_数值调参'!AA31&lt;0,'03_全链计算'!R74+1,0),IF('01_数值调参'!AA32&lt;0,'03_全链计算'!S74+1,0),IF('01_数值调参'!AA33&lt;0,'03_全链计算'!T74+1,0),IF('01_数值调参'!AA34&lt;0,'03_全链计算'!U74+1,0),IF('01_数值调参'!AA35&lt;0,'03_全链计算'!V74+1,0),IF('01_数值调参'!AA36&lt;0,'03_全链计算'!W74+1,0),IF('01_数值调参'!AA37&lt;0,'03_全链计算'!X74+1,0),IF('01_数值调参'!AA38&lt;0,'03_全链计算'!Y74+1,0),IF('01_数值调参'!AA39&lt;0,'03_全链计算'!Z74+1,0),IF('01_数值调参'!AA40&lt;0,'03_全链计算'!AA74+1,0),IF('01_数值调参'!AA41&lt;0,'03_全链计算'!AB74+1,0),IF('01_数值调参'!AA42&lt;0,'03_全链计算'!AC74+1,0),IF('01_数值调参'!AA43&lt;0,'03_全链计算'!AD74+1,0),IF('01_数值调参'!AA44&lt;0,'03_全链计算'!AE74+1,0),IF('01_数值调参'!AA45&lt;0,'03_全链计算'!AF74+1,0),IF('01_数值调参'!AA46&lt;0,'03_全链计算'!AG74+1,0),IF('01_数值调参'!AA47&lt;0,'03_全链计算'!AH74+1,0),IF('01_数值调参'!AA48&lt;0,'03_全链计算'!AI74+1,0),IF('01_数值调参'!AA49&lt;0,'03_全链计算'!AJ74+1,0),IF('01_数值调参'!AA50&lt;0,'03_全链计算'!AK74+1,0),IF('01_数值调参'!AA51&lt;0,'03_全链计算'!AL74+1,0),IF('01_数值调参'!AA52&lt;0,'03_全链计算'!AM74+1,0))</x:f>
        <x:v>2</x:v>
      </x:c>
      <x:c r="AB75" s="9" t="n">
        <x:f>MAX(IF('01_数值调参'!AB18&lt;0,'03_全链计算'!E74+1,0),IF('01_数值调参'!AB19&lt;0,'03_全链计算'!F74+1,0),IF('01_数值调参'!AB20&lt;0,'03_全链计算'!G74+1,0),IF('01_数值调参'!AB21&lt;0,'03_全链计算'!H74+1,0),IF('01_数值调参'!AB22&lt;0,'03_全链计算'!I74+1,0),IF('01_数值调参'!AB23&lt;0,'03_全链计算'!J74+1,0),IF('01_数值调参'!AB24&lt;0,'03_全链计算'!K74+1,0),IF('01_数值调参'!AB25&lt;0,'03_全链计算'!L74+1,0),IF('01_数值调参'!AB26&lt;0,'03_全链计算'!M74+1,0),IF('01_数值调参'!AB27&lt;0,'03_全链计算'!N74+1,0),IF('01_数值调参'!AB28&lt;0,'03_全链计算'!O74+1,0),IF('01_数值调参'!AB29&lt;0,'03_全链计算'!P74+1,0),IF('01_数值调参'!AB30&lt;0,'03_全链计算'!Q74+1,0),IF('01_数值调参'!AB31&lt;0,'03_全链计算'!R74+1,0),IF('01_数值调参'!AB32&lt;0,'03_全链计算'!S74+1,0),IF('01_数值调参'!AB33&lt;0,'03_全链计算'!T74+1,0),IF('01_数值调参'!AB34&lt;0,'03_全链计算'!U74+1,0),IF('01_数值调参'!AB35&lt;0,'03_全链计算'!V74+1,0),IF('01_数值调参'!AB36&lt;0,'03_全链计算'!W74+1,0),IF('01_数值调参'!AB37&lt;0,'03_全链计算'!X74+1,0),IF('01_数值调参'!AB38&lt;0,'03_全链计算'!Y74+1,0),IF('01_数值调参'!AB39&lt;0,'03_全链计算'!Z74+1,0),IF('01_数值调参'!AB40&lt;0,'03_全链计算'!AA74+1,0),IF('01_数值调参'!AB41&lt;0,'03_全链计算'!AB74+1,0),IF('01_数值调参'!AB42&lt;0,'03_全链计算'!AC74+1,0),IF('01_数值调参'!AB43&lt;0,'03_全链计算'!AD74+1,0),IF('01_数值调参'!AB44&lt;0,'03_全链计算'!AE74+1,0),IF('01_数值调参'!AB45&lt;0,'03_全链计算'!AF74+1,0),IF('01_数值调参'!AB46&lt;0,'03_全链计算'!AG74+1,0),IF('01_数值调参'!AB47&lt;0,'03_全链计算'!AH74+1,0),IF('01_数值调参'!AB48&lt;0,'03_全链计算'!AI74+1,0),IF('01_数值调参'!AB49&lt;0,'03_全链计算'!AJ74+1,0),IF('01_数值调参'!AB50&lt;0,'03_全链计算'!AK74+1,0),IF('01_数值调参'!AB51&lt;0,'03_全链计算'!AL74+1,0),IF('01_数值调参'!AB52&lt;0,'03_全链计算'!AM74+1,0))</x:f>
        <x:v>2</x:v>
      </x:c>
      <x:c r="AC75" s="9" t="n">
        <x:f>MAX(IF('01_数值调参'!AC18&lt;0,'03_全链计算'!E74+1,0),IF('01_数值调参'!AC19&lt;0,'03_全链计算'!F74+1,0),IF('01_数值调参'!AC20&lt;0,'03_全链计算'!G74+1,0),IF('01_数值调参'!AC21&lt;0,'03_全链计算'!H74+1,0),IF('01_数值调参'!AC22&lt;0,'03_全链计算'!I74+1,0),IF('01_数值调参'!AC23&lt;0,'03_全链计算'!J74+1,0),IF('01_数值调参'!AC24&lt;0,'03_全链计算'!K74+1,0),IF('01_数值调参'!AC25&lt;0,'03_全链计算'!L74+1,0),IF('01_数值调参'!AC26&lt;0,'03_全链计算'!M74+1,0),IF('01_数值调参'!AC27&lt;0,'03_全链计算'!N74+1,0),IF('01_数值调参'!AC28&lt;0,'03_全链计算'!O74+1,0),IF('01_数值调参'!AC29&lt;0,'03_全链计算'!P74+1,0),IF('01_数值调参'!AC30&lt;0,'03_全链计算'!Q74+1,0),IF('01_数值调参'!AC31&lt;0,'03_全链计算'!R74+1,0),IF('01_数值调参'!AC32&lt;0,'03_全链计算'!S74+1,0),IF('01_数值调参'!AC33&lt;0,'03_全链计算'!T74+1,0),IF('01_数值调参'!AC34&lt;0,'03_全链计算'!U74+1,0),IF('01_数值调参'!AC35&lt;0,'03_全链计算'!V74+1,0),IF('01_数值调参'!AC36&lt;0,'03_全链计算'!W74+1,0),IF('01_数值调参'!AC37&lt;0,'03_全链计算'!X74+1,0),IF('01_数值调参'!AC38&lt;0,'03_全链计算'!Y74+1,0),IF('01_数值调参'!AC39&lt;0,'03_全链计算'!Z74+1,0),IF('01_数值调参'!AC40&lt;0,'03_全链计算'!AA74+1,0),IF('01_数值调参'!AC41&lt;0,'03_全链计算'!AB74+1,0),IF('01_数值调参'!AC42&lt;0,'03_全链计算'!AC74+1,0),IF('01_数值调参'!AC43&lt;0,'03_全链计算'!AD74+1,0),IF('01_数值调参'!AC44&lt;0,'03_全链计算'!AE74+1,0),IF('01_数值调参'!AC45&lt;0,'03_全链计算'!AF74+1,0),IF('01_数值调参'!AC46&lt;0,'03_全链计算'!AG74+1,0),IF('01_数值调参'!AC47&lt;0,'03_全链计算'!AH74+1,0),IF('01_数值调参'!AC48&lt;0,'03_全链计算'!AI74+1,0),IF('01_数值调参'!AC49&lt;0,'03_全链计算'!AJ74+1,0),IF('01_数值调参'!AC50&lt;0,'03_全链计算'!AK74+1,0),IF('01_数值调参'!AC51&lt;0,'03_全链计算'!AL74+1,0),IF('01_数值调参'!AC52&lt;0,'03_全链计算'!AM74+1,0))</x:f>
        <x:v>2</x:v>
      </x:c>
      <x:c r="AD75" s="9" t="n">
        <x:f>MAX(IF('01_数值调参'!AD18&lt;0,'03_全链计算'!E74+1,0),IF('01_数值调参'!AD19&lt;0,'03_全链计算'!F74+1,0),IF('01_数值调参'!AD20&lt;0,'03_全链计算'!G74+1,0),IF('01_数值调参'!AD21&lt;0,'03_全链计算'!H74+1,0),IF('01_数值调参'!AD22&lt;0,'03_全链计算'!I74+1,0),IF('01_数值调参'!AD23&lt;0,'03_全链计算'!J74+1,0),IF('01_数值调参'!AD24&lt;0,'03_全链计算'!K74+1,0),IF('01_数值调参'!AD25&lt;0,'03_全链计算'!L74+1,0),IF('01_数值调参'!AD26&lt;0,'03_全链计算'!M74+1,0),IF('01_数值调参'!AD27&lt;0,'03_全链计算'!N74+1,0),IF('01_数值调参'!AD28&lt;0,'03_全链计算'!O74+1,0),IF('01_数值调参'!AD29&lt;0,'03_全链计算'!P74+1,0),IF('01_数值调参'!AD30&lt;0,'03_全链计算'!Q74+1,0),IF('01_数值调参'!AD31&lt;0,'03_全链计算'!R74+1,0),IF('01_数值调参'!AD32&lt;0,'03_全链计算'!S74+1,0),IF('01_数值调参'!AD33&lt;0,'03_全链计算'!T74+1,0),IF('01_数值调参'!AD34&lt;0,'03_全链计算'!U74+1,0),IF('01_数值调参'!AD35&lt;0,'03_全链计算'!V74+1,0),IF('01_数值调参'!AD36&lt;0,'03_全链计算'!W74+1,0),IF('01_数值调参'!AD37&lt;0,'03_全链计算'!X74+1,0),IF('01_数值调参'!AD38&lt;0,'03_全链计算'!Y74+1,0),IF('01_数值调参'!AD39&lt;0,'03_全链计算'!Z74+1,0),IF('01_数值调参'!AD40&lt;0,'03_全链计算'!AA74+1,0),IF('01_数值调参'!AD41&lt;0,'03_全链计算'!AB74+1,0),IF('01_数值调参'!AD42&lt;0,'03_全链计算'!AC74+1,0),IF('01_数值调参'!AD43&lt;0,'03_全链计算'!AD74+1,0),IF('01_数值调参'!AD44&lt;0,'03_全链计算'!AE74+1,0),IF('01_数值调参'!AD45&lt;0,'03_全链计算'!AF74+1,0),IF('01_数值调参'!AD46&lt;0,'03_全链计算'!AG74+1,0),IF('01_数值调参'!AD47&lt;0,'03_全链计算'!AH74+1,0),IF('01_数值调参'!AD48&lt;0,'03_全链计算'!AI74+1,0),IF('01_数值调参'!AD49&lt;0,'03_全链计算'!AJ74+1,0),IF('01_数值调参'!AD50&lt;0,'03_全链计算'!AK74+1,0),IF('01_数值调参'!AD51&lt;0,'03_全链计算'!AL74+1,0),IF('01_数值调参'!AD52&lt;0,'03_全链计算'!AM74+1,0))</x:f>
        <x:v>1</x:v>
      </x:c>
      <x:c r="AE75" s="9" t="n">
        <x:f>MAX(IF('01_数值调参'!AE18&lt;0,'03_全链计算'!E74+1,0),IF('01_数值调参'!AE19&lt;0,'03_全链计算'!F74+1,0),IF('01_数值调参'!AE20&lt;0,'03_全链计算'!G74+1,0),IF('01_数值调参'!AE21&lt;0,'03_全链计算'!H74+1,0),IF('01_数值调参'!AE22&lt;0,'03_全链计算'!I74+1,0),IF('01_数值调参'!AE23&lt;0,'03_全链计算'!J74+1,0),IF('01_数值调参'!AE24&lt;0,'03_全链计算'!K74+1,0),IF('01_数值调参'!AE25&lt;0,'03_全链计算'!L74+1,0),IF('01_数值调参'!AE26&lt;0,'03_全链计算'!M74+1,0),IF('01_数值调参'!AE27&lt;0,'03_全链计算'!N74+1,0),IF('01_数值调参'!AE28&lt;0,'03_全链计算'!O74+1,0),IF('01_数值调参'!AE29&lt;0,'03_全链计算'!P74+1,0),IF('01_数值调参'!AE30&lt;0,'03_全链计算'!Q74+1,0),IF('01_数值调参'!AE31&lt;0,'03_全链计算'!R74+1,0),IF('01_数值调参'!AE32&lt;0,'03_全链计算'!S74+1,0),IF('01_数值调参'!AE33&lt;0,'03_全链计算'!T74+1,0),IF('01_数值调参'!AE34&lt;0,'03_全链计算'!U74+1,0),IF('01_数值调参'!AE35&lt;0,'03_全链计算'!V74+1,0),IF('01_数值调参'!AE36&lt;0,'03_全链计算'!W74+1,0),IF('01_数值调参'!AE37&lt;0,'03_全链计算'!X74+1,0),IF('01_数值调参'!AE38&lt;0,'03_全链计算'!Y74+1,0),IF('01_数值调参'!AE39&lt;0,'03_全链计算'!Z74+1,0),IF('01_数值调参'!AE40&lt;0,'03_全链计算'!AA74+1,0),IF('01_数值调参'!AE41&lt;0,'03_全链计算'!AB74+1,0),IF('01_数值调参'!AE42&lt;0,'03_全链计算'!AC74+1,0),IF('01_数值调参'!AE43&lt;0,'03_全链计算'!AD74+1,0),IF('01_数值调参'!AE44&lt;0,'03_全链计算'!AE74+1,0),IF('01_数值调参'!AE45&lt;0,'03_全链计算'!AF74+1,0),IF('01_数值调参'!AE46&lt;0,'03_全链计算'!AG74+1,0),IF('01_数值调参'!AE47&lt;0,'03_全链计算'!AH74+1,0),IF('01_数值调参'!AE48&lt;0,'03_全链计算'!AI74+1,0),IF('01_数值调参'!AE49&lt;0,'03_全链计算'!AJ74+1,0),IF('01_数值调参'!AE50&lt;0,'03_全链计算'!AK74+1,0),IF('01_数值调参'!AE51&lt;0,'03_全链计算'!AL74+1,0),IF('01_数值调参'!AE52&lt;0,'03_全链计算'!AM74+1,0))</x:f>
        <x:v>1</x:v>
      </x:c>
      <x:c r="AF75" s="9" t="n">
        <x:f>MAX(IF('01_数值调参'!AF18&lt;0,'03_全链计算'!E74+1,0),IF('01_数值调参'!AF19&lt;0,'03_全链计算'!F74+1,0),IF('01_数值调参'!AF20&lt;0,'03_全链计算'!G74+1,0),IF('01_数值调参'!AF21&lt;0,'03_全链计算'!H74+1,0),IF('01_数值调参'!AF22&lt;0,'03_全链计算'!I74+1,0),IF('01_数值调参'!AF23&lt;0,'03_全链计算'!J74+1,0),IF('01_数值调参'!AF24&lt;0,'03_全链计算'!K74+1,0),IF('01_数值调参'!AF25&lt;0,'03_全链计算'!L74+1,0),IF('01_数值调参'!AF26&lt;0,'03_全链计算'!M74+1,0),IF('01_数值调参'!AF27&lt;0,'03_全链计算'!N74+1,0),IF('01_数值调参'!AF28&lt;0,'03_全链计算'!O74+1,0),IF('01_数值调参'!AF29&lt;0,'03_全链计算'!P74+1,0),IF('01_数值调参'!AF30&lt;0,'03_全链计算'!Q74+1,0),IF('01_数值调参'!AF31&lt;0,'03_全链计算'!R74+1,0),IF('01_数值调参'!AF32&lt;0,'03_全链计算'!S74+1,0),IF('01_数值调参'!AF33&lt;0,'03_全链计算'!T74+1,0),IF('01_数值调参'!AF34&lt;0,'03_全链计算'!U74+1,0),IF('01_数值调参'!AF35&lt;0,'03_全链计算'!V74+1,0),IF('01_数值调参'!AF36&lt;0,'03_全链计算'!W74+1,0),IF('01_数值调参'!AF37&lt;0,'03_全链计算'!X74+1,0),IF('01_数值调参'!AF38&lt;0,'03_全链计算'!Y74+1,0),IF('01_数值调参'!AF39&lt;0,'03_全链计算'!Z74+1,0),IF('01_数值调参'!AF40&lt;0,'03_全链计算'!AA74+1,0),IF('01_数值调参'!AF41&lt;0,'03_全链计算'!AB74+1,0),IF('01_数值调参'!AF42&lt;0,'03_全链计算'!AC74+1,0),IF('01_数值调参'!AF43&lt;0,'03_全链计算'!AD74+1,0),IF('01_数值调参'!AF44&lt;0,'03_全链计算'!AE74+1,0),IF('01_数值调参'!AF45&lt;0,'03_全链计算'!AF74+1,0),IF('01_数值调参'!AF46&lt;0,'03_全链计算'!AG74+1,0),IF('01_数值调参'!AF47&lt;0,'03_全链计算'!AH74+1,0),IF('01_数值调参'!AF48&lt;0,'03_全链计算'!AI74+1,0),IF('01_数值调参'!AF49&lt;0,'03_全链计算'!AJ74+1,0),IF('01_数值调参'!AF50&lt;0,'03_全链计算'!AK74+1,0),IF('01_数值调参'!AF51&lt;0,'03_全链计算'!AL74+1,0),IF('01_数值调参'!AF52&lt;0,'03_全链计算'!AM74+1,0))</x:f>
        <x:v>1</x:v>
      </x:c>
      <x:c r="AG75" s="9" t="n">
        <x:f>MAX(IF('01_数值调参'!AG18&lt;0,'03_全链计算'!E74+1,0),IF('01_数值调参'!AG19&lt;0,'03_全链计算'!F74+1,0),IF('01_数值调参'!AG20&lt;0,'03_全链计算'!G74+1,0),IF('01_数值调参'!AG21&lt;0,'03_全链计算'!H74+1,0),IF('01_数值调参'!AG22&lt;0,'03_全链计算'!I74+1,0),IF('01_数值调参'!AG23&lt;0,'03_全链计算'!J74+1,0),IF('01_数值调参'!AG24&lt;0,'03_全链计算'!K74+1,0),IF('01_数值调参'!AG25&lt;0,'03_全链计算'!L74+1,0),IF('01_数值调参'!AG26&lt;0,'03_全链计算'!M74+1,0),IF('01_数值调参'!AG27&lt;0,'03_全链计算'!N74+1,0),IF('01_数值调参'!AG28&lt;0,'03_全链计算'!O74+1,0),IF('01_数值调参'!AG29&lt;0,'03_全链计算'!P74+1,0),IF('01_数值调参'!AG30&lt;0,'03_全链计算'!Q74+1,0),IF('01_数值调参'!AG31&lt;0,'03_全链计算'!R74+1,0),IF('01_数值调参'!AG32&lt;0,'03_全链计算'!S74+1,0),IF('01_数值调参'!AG33&lt;0,'03_全链计算'!T74+1,0),IF('01_数值调参'!AG34&lt;0,'03_全链计算'!U74+1,0),IF('01_数值调参'!AG35&lt;0,'03_全链计算'!V74+1,0),IF('01_数值调参'!AG36&lt;0,'03_全链计算'!W74+1,0),IF('01_数值调参'!AG37&lt;0,'03_全链计算'!X74+1,0),IF('01_数值调参'!AG38&lt;0,'03_全链计算'!Y74+1,0),IF('01_数值调参'!AG39&lt;0,'03_全链计算'!Z74+1,0),IF('01_数值调参'!AG40&lt;0,'03_全链计算'!AA74+1,0),IF('01_数值调参'!AG41&lt;0,'03_全链计算'!AB74+1,0),IF('01_数值调参'!AG42&lt;0,'03_全链计算'!AC74+1,0),IF('01_数值调参'!AG43&lt;0,'03_全链计算'!AD74+1,0),IF('01_数值调参'!AG44&lt;0,'03_全链计算'!AE74+1,0),IF('01_数值调参'!AG45&lt;0,'03_全链计算'!AF74+1,0),IF('01_数值调参'!AG46&lt;0,'03_全链计算'!AG74+1,0),IF('01_数值调参'!AG47&lt;0,'03_全链计算'!AH74+1,0),IF('01_数值调参'!AG48&lt;0,'03_全链计算'!AI74+1,0),IF('01_数值调参'!AG49&lt;0,'03_全链计算'!AJ74+1,0),IF('01_数值调参'!AG50&lt;0,'03_全链计算'!AK74+1,0),IF('01_数值调参'!AG51&lt;0,'03_全链计算'!AL74+1,0),IF('01_数值调参'!AG52&lt;0,'03_全链计算'!AM74+1,0))</x:f>
        <x:v>1</x:v>
      </x:c>
      <x:c r="AH75" s="9" t="n">
        <x:f>MAX(IF('01_数值调参'!AH18&lt;0,'03_全链计算'!E74+1,0),IF('01_数值调参'!AH19&lt;0,'03_全链计算'!F74+1,0),IF('01_数值调参'!AH20&lt;0,'03_全链计算'!G74+1,0),IF('01_数值调参'!AH21&lt;0,'03_全链计算'!H74+1,0),IF('01_数值调参'!AH22&lt;0,'03_全链计算'!I74+1,0),IF('01_数值调参'!AH23&lt;0,'03_全链计算'!J74+1,0),IF('01_数值调参'!AH24&lt;0,'03_全链计算'!K74+1,0),IF('01_数值调参'!AH25&lt;0,'03_全链计算'!L74+1,0),IF('01_数值调参'!AH26&lt;0,'03_全链计算'!M74+1,0),IF('01_数值调参'!AH27&lt;0,'03_全链计算'!N74+1,0),IF('01_数值调参'!AH28&lt;0,'03_全链计算'!O74+1,0),IF('01_数值调参'!AH29&lt;0,'03_全链计算'!P74+1,0),IF('01_数值调参'!AH30&lt;0,'03_全链计算'!Q74+1,0),IF('01_数值调参'!AH31&lt;0,'03_全链计算'!R74+1,0),IF('01_数值调参'!AH32&lt;0,'03_全链计算'!S74+1,0),IF('01_数值调参'!AH33&lt;0,'03_全链计算'!T74+1,0),IF('01_数值调参'!AH34&lt;0,'03_全链计算'!U74+1,0),IF('01_数值调参'!AH35&lt;0,'03_全链计算'!V74+1,0),IF('01_数值调参'!AH36&lt;0,'03_全链计算'!W74+1,0),IF('01_数值调参'!AH37&lt;0,'03_全链计算'!X74+1,0),IF('01_数值调参'!AH38&lt;0,'03_全链计算'!Y74+1,0),IF('01_数值调参'!AH39&lt;0,'03_全链计算'!Z74+1,0),IF('01_数值调参'!AH40&lt;0,'03_全链计算'!AA74+1,0),IF('01_数值调参'!AH41&lt;0,'03_全链计算'!AB74+1,0),IF('01_数值调参'!AH42&lt;0,'03_全链计算'!AC74+1,0),IF('01_数值调参'!AH43&lt;0,'03_全链计算'!AD74+1,0),IF('01_数值调参'!AH44&lt;0,'03_全链计算'!AE74+1,0),IF('01_数值调参'!AH45&lt;0,'03_全链计算'!AF74+1,0),IF('01_数值调参'!AH46&lt;0,'03_全链计算'!AG74+1,0),IF('01_数值调参'!AH47&lt;0,'03_全链计算'!AH74+1,0),IF('01_数值调参'!AH48&lt;0,'03_全链计算'!AI74+1,0),IF('01_数值调参'!AH49&lt;0,'03_全链计算'!AJ74+1,0),IF('01_数值调参'!AH50&lt;0,'03_全链计算'!AK74+1,0),IF('01_数值调参'!AH51&lt;0,'03_全链计算'!AL74+1,0),IF('01_数值调参'!AH52&lt;0,'03_全链计算'!AM74+1,0))</x:f>
        <x:v>2</x:v>
      </x:c>
      <x:c r="AI75" s="9" t="n">
        <x:f>MAX(IF('01_数值调参'!AI18&lt;0,'03_全链计算'!E74+1,0),IF('01_数值调参'!AI19&lt;0,'03_全链计算'!F74+1,0),IF('01_数值调参'!AI20&lt;0,'03_全链计算'!G74+1,0),IF('01_数值调参'!AI21&lt;0,'03_全链计算'!H74+1,0),IF('01_数值调参'!AI22&lt;0,'03_全链计算'!I74+1,0),IF('01_数值调参'!AI23&lt;0,'03_全链计算'!J74+1,0),IF('01_数值调参'!AI24&lt;0,'03_全链计算'!K74+1,0),IF('01_数值调参'!AI25&lt;0,'03_全链计算'!L74+1,0),IF('01_数值调参'!AI26&lt;0,'03_全链计算'!M74+1,0),IF('01_数值调参'!AI27&lt;0,'03_全链计算'!N74+1,0),IF('01_数值调参'!AI28&lt;0,'03_全链计算'!O74+1,0),IF('01_数值调参'!AI29&lt;0,'03_全链计算'!P74+1,0),IF('01_数值调参'!AI30&lt;0,'03_全链计算'!Q74+1,0),IF('01_数值调参'!AI31&lt;0,'03_全链计算'!R74+1,0),IF('01_数值调参'!AI32&lt;0,'03_全链计算'!S74+1,0),IF('01_数值调参'!AI33&lt;0,'03_全链计算'!T74+1,0),IF('01_数值调参'!AI34&lt;0,'03_全链计算'!U74+1,0),IF('01_数值调参'!AI35&lt;0,'03_全链计算'!V74+1,0),IF('01_数值调参'!AI36&lt;0,'03_全链计算'!W74+1,0),IF('01_数值调参'!AI37&lt;0,'03_全链计算'!X74+1,0),IF('01_数值调参'!AI38&lt;0,'03_全链计算'!Y74+1,0),IF('01_数值调参'!AI39&lt;0,'03_全链计算'!Z74+1,0),IF('01_数值调参'!AI40&lt;0,'03_全链计算'!AA74+1,0),IF('01_数值调参'!AI41&lt;0,'03_全链计算'!AB74+1,0),IF('01_数值调参'!AI42&lt;0,'03_全链计算'!AC74+1,0),IF('01_数值调参'!AI43&lt;0,'03_全链计算'!AD74+1,0),IF('01_数值调参'!AI44&lt;0,'03_全链计算'!AE74+1,0),IF('01_数值调参'!AI45&lt;0,'03_全链计算'!AF74+1,0),IF('01_数值调参'!AI46&lt;0,'03_全链计算'!AG74+1,0),IF('01_数值调参'!AI47&lt;0,'03_全链计算'!AH74+1,0),IF('01_数值调参'!AI48&lt;0,'03_全链计算'!AI74+1,0),IF('01_数值调参'!AI49&lt;0,'03_全链计算'!AJ74+1,0),IF('01_数值调参'!AI50&lt;0,'03_全链计算'!AK74+1,0),IF('01_数值调参'!AI51&lt;0,'03_全链计算'!AL74+1,0),IF('01_数值调参'!AI52&lt;0,'03_全链计算'!AM74+1,0))</x:f>
        <x:v>2</x:v>
      </x:c>
      <x:c r="AJ75" s="9" t="n">
        <x:f>MAX(IF('01_数值调参'!AJ18&lt;0,'03_全链计算'!E74+1,0),IF('01_数值调参'!AJ19&lt;0,'03_全链计算'!F74+1,0),IF('01_数值调参'!AJ20&lt;0,'03_全链计算'!G74+1,0),IF('01_数值调参'!AJ21&lt;0,'03_全链计算'!H74+1,0),IF('01_数值调参'!AJ22&lt;0,'03_全链计算'!I74+1,0),IF('01_数值调参'!AJ23&lt;0,'03_全链计算'!J74+1,0),IF('01_数值调参'!AJ24&lt;0,'03_全链计算'!K74+1,0),IF('01_数值调参'!AJ25&lt;0,'03_全链计算'!L74+1,0),IF('01_数值调参'!AJ26&lt;0,'03_全链计算'!M74+1,0),IF('01_数值调参'!AJ27&lt;0,'03_全链计算'!N74+1,0),IF('01_数值调参'!AJ28&lt;0,'03_全链计算'!O74+1,0),IF('01_数值调参'!AJ29&lt;0,'03_全链计算'!P74+1,0),IF('01_数值调参'!AJ30&lt;0,'03_全链计算'!Q74+1,0),IF('01_数值调参'!AJ31&lt;0,'03_全链计算'!R74+1,0),IF('01_数值调参'!AJ32&lt;0,'03_全链计算'!S74+1,0),IF('01_数值调参'!AJ33&lt;0,'03_全链计算'!T74+1,0),IF('01_数值调参'!AJ34&lt;0,'03_全链计算'!U74+1,0),IF('01_数值调参'!AJ35&lt;0,'03_全链计算'!V74+1,0),IF('01_数值调参'!AJ36&lt;0,'03_全链计算'!W74+1,0),IF('01_数值调参'!AJ37&lt;0,'03_全链计算'!X74+1,0),IF('01_数值调参'!AJ38&lt;0,'03_全链计算'!Y74+1,0),IF('01_数值调参'!AJ39&lt;0,'03_全链计算'!Z74+1,0),IF('01_数值调参'!AJ40&lt;0,'03_全链计算'!AA74+1,0),IF('01_数值调参'!AJ41&lt;0,'03_全链计算'!AB74+1,0),IF('01_数值调参'!AJ42&lt;0,'03_全链计算'!AC74+1,0),IF('01_数值调参'!AJ43&lt;0,'03_全链计算'!AD74+1,0),IF('01_数值调参'!AJ44&lt;0,'03_全链计算'!AE74+1,0),IF('01_数值调参'!AJ45&lt;0,'03_全链计算'!AF74+1,0),IF('01_数值调参'!AJ46&lt;0,'03_全链计算'!AG74+1,0),IF('01_数值调参'!AJ47&lt;0,'03_全链计算'!AH74+1,0),IF('01_数值调参'!AJ48&lt;0,'03_全链计算'!AI74+1,0),IF('01_数值调参'!AJ49&lt;0,'03_全链计算'!AJ74+1,0),IF('01_数值调参'!AJ50&lt;0,'03_全链计算'!AK74+1,0),IF('01_数值调参'!AJ51&lt;0,'03_全链计算'!AL74+1,0),IF('01_数值调参'!AJ52&lt;0,'03_全链计算'!AM74+1,0))</x:f>
        <x:v>2</x:v>
      </x:c>
      <x:c r="AK75" s="9" t="n">
        <x:f>MAX(IF('01_数值调参'!AK18&lt;0,'03_全链计算'!E74+1,0),IF('01_数值调参'!AK19&lt;0,'03_全链计算'!F74+1,0),IF('01_数值调参'!AK20&lt;0,'03_全链计算'!G74+1,0),IF('01_数值调参'!AK21&lt;0,'03_全链计算'!H74+1,0),IF('01_数值调参'!AK22&lt;0,'03_全链计算'!I74+1,0),IF('01_数值调参'!AK23&lt;0,'03_全链计算'!J74+1,0),IF('01_数值调参'!AK24&lt;0,'03_全链计算'!K74+1,0),IF('01_数值调参'!AK25&lt;0,'03_全链计算'!L74+1,0),IF('01_数值调参'!AK26&lt;0,'03_全链计算'!M74+1,0),IF('01_数值调参'!AK27&lt;0,'03_全链计算'!N74+1,0),IF('01_数值调参'!AK28&lt;0,'03_全链计算'!O74+1,0),IF('01_数值调参'!AK29&lt;0,'03_全链计算'!P74+1,0),IF('01_数值调参'!AK30&lt;0,'03_全链计算'!Q74+1,0),IF('01_数值调参'!AK31&lt;0,'03_全链计算'!R74+1,0),IF('01_数值调参'!AK32&lt;0,'03_全链计算'!S74+1,0),IF('01_数值调参'!AK33&lt;0,'03_全链计算'!T74+1,0),IF('01_数值调参'!AK34&lt;0,'03_全链计算'!U74+1,0),IF('01_数值调参'!AK35&lt;0,'03_全链计算'!V74+1,0),IF('01_数值调参'!AK36&lt;0,'03_全链计算'!W74+1,0),IF('01_数值调参'!AK37&lt;0,'03_全链计算'!X74+1,0),IF('01_数值调参'!AK38&lt;0,'03_全链计算'!Y74+1,0),IF('01_数值调参'!AK39&lt;0,'03_全链计算'!Z74+1,0),IF('01_数值调参'!AK40&lt;0,'03_全链计算'!AA74+1,0),IF('01_数值调参'!AK41&lt;0,'03_全链计算'!AB74+1,0),IF('01_数值调参'!AK42&lt;0,'03_全链计算'!AC74+1,0),IF('01_数值调参'!AK43&lt;0,'03_全链计算'!AD74+1,0),IF('01_数值调参'!AK44&lt;0,'03_全链计算'!AE74+1,0),IF('01_数值调参'!AK45&lt;0,'03_全链计算'!AF74+1,0),IF('01_数值调参'!AK46&lt;0,'03_全链计算'!AG74+1,0),IF('01_数值调参'!AK47&lt;0,'03_全链计算'!AH74+1,0),IF('01_数值调参'!AK48&lt;0,'03_全链计算'!AI74+1,0),IF('01_数值调参'!AK49&lt;0,'03_全链计算'!AJ74+1,0),IF('01_数值调参'!AK50&lt;0,'03_全链计算'!AK74+1,0),IF('01_数值调参'!AK51&lt;0,'03_全链计算'!AL74+1,0),IF('01_数值调参'!AK52&lt;0,'03_全链计算'!AM74+1,0))</x:f>
        <x:v>2</x:v>
      </x:c>
      <x:c r="AL75" s="9" t="n">
        <x:f>MAX(IF('01_数值调参'!AL18&lt;0,'03_全链计算'!E74+1,0),IF('01_数值调参'!AL19&lt;0,'03_全链计算'!F74+1,0),IF('01_数值调参'!AL20&lt;0,'03_全链计算'!G74+1,0),IF('01_数值调参'!AL21&lt;0,'03_全链计算'!H74+1,0),IF('01_数值调参'!AL22&lt;0,'03_全链计算'!I74+1,0),IF('01_数值调参'!AL23&lt;0,'03_全链计算'!J74+1,0),IF('01_数值调参'!AL24&lt;0,'03_全链计算'!K74+1,0),IF('01_数值调参'!AL25&lt;0,'03_全链计算'!L74+1,0),IF('01_数值调参'!AL26&lt;0,'03_全链计算'!M74+1,0),IF('01_数值调参'!AL27&lt;0,'03_全链计算'!N74+1,0),IF('01_数值调参'!AL28&lt;0,'03_全链计算'!O74+1,0),IF('01_数值调参'!AL29&lt;0,'03_全链计算'!P74+1,0),IF('01_数值调参'!AL30&lt;0,'03_全链计算'!Q74+1,0),IF('01_数值调参'!AL31&lt;0,'03_全链计算'!R74+1,0),IF('01_数值调参'!AL32&lt;0,'03_全链计算'!S74+1,0),IF('01_数值调参'!AL33&lt;0,'03_全链计算'!T74+1,0),IF('01_数值调参'!AL34&lt;0,'03_全链计算'!U74+1,0),IF('01_数值调参'!AL35&lt;0,'03_全链计算'!V74+1,0),IF('01_数值调参'!AL36&lt;0,'03_全链计算'!W74+1,0),IF('01_数值调参'!AL37&lt;0,'03_全链计算'!X74+1,0),IF('01_数值调参'!AL38&lt;0,'03_全链计算'!Y74+1,0),IF('01_数值调参'!AL39&lt;0,'03_全链计算'!Z74+1,0),IF('01_数值调参'!AL40&lt;0,'03_全链计算'!AA74+1,0),IF('01_数值调参'!AL41&lt;0,'03_全链计算'!AB74+1,0),IF('01_数值调参'!AL42&lt;0,'03_全链计算'!AC74+1,0),IF('01_数值调参'!AL43&lt;0,'03_全链计算'!AD74+1,0),IF('01_数值调参'!AL44&lt;0,'03_全链计算'!AE74+1,0),IF('01_数值调参'!AL45&lt;0,'03_全链计算'!AF74+1,0),IF('01_数值调参'!AL46&lt;0,'03_全链计算'!AG74+1,0),IF('01_数值调参'!AL47&lt;0,'03_全链计算'!AH74+1,0),IF('01_数值调参'!AL48&lt;0,'03_全链计算'!AI74+1,0),IF('01_数值调参'!AL49&lt;0,'03_全链计算'!AJ74+1,0),IF('01_数值调参'!AL50&lt;0,'03_全链计算'!AK74+1,0),IF('01_数值调参'!AL51&lt;0,'03_全链计算'!AL74+1,0),IF('01_数值调参'!AL52&lt;0,'03_全链计算'!AM74+1,0))</x:f>
        <x:v>3</x:v>
      </x:c>
      <x:c r="AM75" s="9" t="n">
        <x:f>MAX(IF('01_数值调参'!AM18&lt;0,'03_全链计算'!E74+1,0),IF('01_数值调参'!AM19&lt;0,'03_全链计算'!F74+1,0),IF('01_数值调参'!AM20&lt;0,'03_全链计算'!G74+1,0),IF('01_数值调参'!AM21&lt;0,'03_全链计算'!H74+1,0),IF('01_数值调参'!AM22&lt;0,'03_全链计算'!I74+1,0),IF('01_数值调参'!AM23&lt;0,'03_全链计算'!J74+1,0),IF('01_数值调参'!AM24&lt;0,'03_全链计算'!K74+1,0),IF('01_数值调参'!AM25&lt;0,'03_全链计算'!L74+1,0),IF('01_数值调参'!AM26&lt;0,'03_全链计算'!M74+1,0),IF('01_数值调参'!AM27&lt;0,'03_全链计算'!N74+1,0),IF('01_数值调参'!AM28&lt;0,'03_全链计算'!O74+1,0),IF('01_数值调参'!AM29&lt;0,'03_全链计算'!P74+1,0),IF('01_数值调参'!AM30&lt;0,'03_全链计算'!Q74+1,0),IF('01_数值调参'!AM31&lt;0,'03_全链计算'!R74+1,0),IF('01_数值调参'!AM32&lt;0,'03_全链计算'!S74+1,0),IF('01_数值调参'!AM33&lt;0,'03_全链计算'!T74+1,0),IF('01_数值调参'!AM34&lt;0,'03_全链计算'!U74+1,0),IF('01_数值调参'!AM35&lt;0,'03_全链计算'!V74+1,0),IF('01_数值调参'!AM36&lt;0,'03_全链计算'!W74+1,0),IF('01_数值调参'!AM37&lt;0,'03_全链计算'!X74+1,0),IF('01_数值调参'!AM38&lt;0,'03_全链计算'!Y74+1,0),IF('01_数值调参'!AM39&lt;0,'03_全链计算'!Z74+1,0),IF('01_数值调参'!AM40&lt;0,'03_全链计算'!AA74+1,0),IF('01_数值调参'!AM41&lt;0,'03_全链计算'!AB74+1,0),IF('01_数值调参'!AM42&lt;0,'03_全链计算'!AC74+1,0),IF('01_数值调参'!AM43&lt;0,'03_全链计算'!AD74+1,0),IF('01_数值调参'!AM44&lt;0,'03_全链计算'!AE74+1,0),IF('01_数值调参'!AM45&lt;0,'03_全链计算'!AF74+1,0),IF('01_数值调参'!AM46&lt;0,'03_全链计算'!AG74+1,0),IF('01_数值调参'!AM47&lt;0,'03_全链计算'!AH74+1,0),IF('01_数值调参'!AM48&lt;0,'03_全链计算'!AI74+1,0),IF('01_数值调参'!AM49&lt;0,'03_全链计算'!AJ74+1,0),IF('01_数值调参'!AM50&lt;0,'03_全链计算'!AK74+1,0),IF('01_数值调参'!AM51&lt;0,'03_全链计算'!AL74+1,0),IF('01_数值调参'!AM52&lt;0,'03_全链计算'!AM74+1,0))</x:f>
        <x:v>3</x:v>
      </x:c>
    </x:row>
    <x:row r="76" ht="22" customHeight="1">
      <x:c r="A76" s="9" t="n">
        <x:v>31</x:v>
      </x:c>
      <x:c r="B76" s="9"/>
      <x:c r="C76" s="9"/>
      <x:c r="D76" s="9"/>
      <x:c r="E76" s="9" t="n">
        <x:f>MAX(IF('01_数值调参'!E18&lt;0,'03_全链计算'!E75+1,0),IF('01_数值调参'!E19&lt;0,'03_全链计算'!F75+1,0),IF('01_数值调参'!E20&lt;0,'03_全链计算'!G75+1,0),IF('01_数值调参'!E21&lt;0,'03_全链计算'!H75+1,0),IF('01_数值调参'!E22&lt;0,'03_全链计算'!I75+1,0),IF('01_数值调参'!E23&lt;0,'03_全链计算'!J75+1,0),IF('01_数值调参'!E24&lt;0,'03_全链计算'!K75+1,0),IF('01_数值调参'!E25&lt;0,'03_全链计算'!L75+1,0),IF('01_数值调参'!E26&lt;0,'03_全链计算'!M75+1,0),IF('01_数值调参'!E27&lt;0,'03_全链计算'!N75+1,0),IF('01_数值调参'!E28&lt;0,'03_全链计算'!O75+1,0),IF('01_数值调参'!E29&lt;0,'03_全链计算'!P75+1,0),IF('01_数值调参'!E30&lt;0,'03_全链计算'!Q75+1,0),IF('01_数值调参'!E31&lt;0,'03_全链计算'!R75+1,0),IF('01_数值调参'!E32&lt;0,'03_全链计算'!S75+1,0),IF('01_数值调参'!E33&lt;0,'03_全链计算'!T75+1,0),IF('01_数值调参'!E34&lt;0,'03_全链计算'!U75+1,0),IF('01_数值调参'!E35&lt;0,'03_全链计算'!V75+1,0),IF('01_数值调参'!E36&lt;0,'03_全链计算'!W75+1,0),IF('01_数值调参'!E37&lt;0,'03_全链计算'!X75+1,0),IF('01_数值调参'!E38&lt;0,'03_全链计算'!Y75+1,0),IF('01_数值调参'!E39&lt;0,'03_全链计算'!Z75+1,0),IF('01_数值调参'!E40&lt;0,'03_全链计算'!AA75+1,0),IF('01_数值调参'!E41&lt;0,'03_全链计算'!AB75+1,0),IF('01_数值调参'!E42&lt;0,'03_全链计算'!AC75+1,0),IF('01_数值调参'!E43&lt;0,'03_全链计算'!AD75+1,0),IF('01_数值调参'!E44&lt;0,'03_全链计算'!AE75+1,0),IF('01_数值调参'!E45&lt;0,'03_全链计算'!AF75+1,0),IF('01_数值调参'!E46&lt;0,'03_全链计算'!AG75+1,0),IF('01_数值调参'!E47&lt;0,'03_全链计算'!AH75+1,0),IF('01_数值调参'!E48&lt;0,'03_全链计算'!AI75+1,0),IF('01_数值调参'!E49&lt;0,'03_全链计算'!AJ75+1,0),IF('01_数值调参'!E50&lt;0,'03_全链计算'!AK75+1,0),IF('01_数值调参'!E51&lt;0,'03_全链计算'!AL75+1,0),IF('01_数值调参'!E52&lt;0,'03_全链计算'!AM75+1,0))</x:f>
        <x:v>0</x:v>
      </x:c>
      <x:c r="F76" s="9" t="n">
        <x:f>MAX(IF('01_数值调参'!F18&lt;0,'03_全链计算'!E75+1,0),IF('01_数值调参'!F19&lt;0,'03_全链计算'!F75+1,0),IF('01_数值调参'!F20&lt;0,'03_全链计算'!G75+1,0),IF('01_数值调参'!F21&lt;0,'03_全链计算'!H75+1,0),IF('01_数值调参'!F22&lt;0,'03_全链计算'!I75+1,0),IF('01_数值调参'!F23&lt;0,'03_全链计算'!J75+1,0),IF('01_数值调参'!F24&lt;0,'03_全链计算'!K75+1,0),IF('01_数值调参'!F25&lt;0,'03_全链计算'!L75+1,0),IF('01_数值调参'!F26&lt;0,'03_全链计算'!M75+1,0),IF('01_数值调参'!F27&lt;0,'03_全链计算'!N75+1,0),IF('01_数值调参'!F28&lt;0,'03_全链计算'!O75+1,0),IF('01_数值调参'!F29&lt;0,'03_全链计算'!P75+1,0),IF('01_数值调参'!F30&lt;0,'03_全链计算'!Q75+1,0),IF('01_数值调参'!F31&lt;0,'03_全链计算'!R75+1,0),IF('01_数值调参'!F32&lt;0,'03_全链计算'!S75+1,0),IF('01_数值调参'!F33&lt;0,'03_全链计算'!T75+1,0),IF('01_数值调参'!F34&lt;0,'03_全链计算'!U75+1,0),IF('01_数值调参'!F35&lt;0,'03_全链计算'!V75+1,0),IF('01_数值调参'!F36&lt;0,'03_全链计算'!W75+1,0),IF('01_数值调参'!F37&lt;0,'03_全链计算'!X75+1,0),IF('01_数值调参'!F38&lt;0,'03_全链计算'!Y75+1,0),IF('01_数值调参'!F39&lt;0,'03_全链计算'!Z75+1,0),IF('01_数值调参'!F40&lt;0,'03_全链计算'!AA75+1,0),IF('01_数值调参'!F41&lt;0,'03_全链计算'!AB75+1,0),IF('01_数值调参'!F42&lt;0,'03_全链计算'!AC75+1,0),IF('01_数值调参'!F43&lt;0,'03_全链计算'!AD75+1,0),IF('01_数值调参'!F44&lt;0,'03_全链计算'!AE75+1,0),IF('01_数值调参'!F45&lt;0,'03_全链计算'!AF75+1,0),IF('01_数值调参'!F46&lt;0,'03_全链计算'!AG75+1,0),IF('01_数值调参'!F47&lt;0,'03_全链计算'!AH75+1,0),IF('01_数值调参'!F48&lt;0,'03_全链计算'!AI75+1,0),IF('01_数值调参'!F49&lt;0,'03_全链计算'!AJ75+1,0),IF('01_数值调参'!F50&lt;0,'03_全链计算'!AK75+1,0),IF('01_数值调参'!F51&lt;0,'03_全链计算'!AL75+1,0),IF('01_数值调参'!F52&lt;0,'03_全链计算'!AM75+1,0))</x:f>
        <x:v>0</x:v>
      </x:c>
      <x:c r="G76" s="9" t="n">
        <x:f>MAX(IF('01_数值调参'!G18&lt;0,'03_全链计算'!E75+1,0),IF('01_数值调参'!G19&lt;0,'03_全链计算'!F75+1,0),IF('01_数值调参'!G20&lt;0,'03_全链计算'!G75+1,0),IF('01_数值调参'!G21&lt;0,'03_全链计算'!H75+1,0),IF('01_数值调参'!G22&lt;0,'03_全链计算'!I75+1,0),IF('01_数值调参'!G23&lt;0,'03_全链计算'!J75+1,0),IF('01_数值调参'!G24&lt;0,'03_全链计算'!K75+1,0),IF('01_数值调参'!G25&lt;0,'03_全链计算'!L75+1,0),IF('01_数值调参'!G26&lt;0,'03_全链计算'!M75+1,0),IF('01_数值调参'!G27&lt;0,'03_全链计算'!N75+1,0),IF('01_数值调参'!G28&lt;0,'03_全链计算'!O75+1,0),IF('01_数值调参'!G29&lt;0,'03_全链计算'!P75+1,0),IF('01_数值调参'!G30&lt;0,'03_全链计算'!Q75+1,0),IF('01_数值调参'!G31&lt;0,'03_全链计算'!R75+1,0),IF('01_数值调参'!G32&lt;0,'03_全链计算'!S75+1,0),IF('01_数值调参'!G33&lt;0,'03_全链计算'!T75+1,0),IF('01_数值调参'!G34&lt;0,'03_全链计算'!U75+1,0),IF('01_数值调参'!G35&lt;0,'03_全链计算'!V75+1,0),IF('01_数值调参'!G36&lt;0,'03_全链计算'!W75+1,0),IF('01_数值调参'!G37&lt;0,'03_全链计算'!X75+1,0),IF('01_数值调参'!G38&lt;0,'03_全链计算'!Y75+1,0),IF('01_数值调参'!G39&lt;0,'03_全链计算'!Z75+1,0),IF('01_数值调参'!G40&lt;0,'03_全链计算'!AA75+1,0),IF('01_数值调参'!G41&lt;0,'03_全链计算'!AB75+1,0),IF('01_数值调参'!G42&lt;0,'03_全链计算'!AC75+1,0),IF('01_数值调参'!G43&lt;0,'03_全链计算'!AD75+1,0),IF('01_数值调参'!G44&lt;0,'03_全链计算'!AE75+1,0),IF('01_数值调参'!G45&lt;0,'03_全链计算'!AF75+1,0),IF('01_数值调参'!G46&lt;0,'03_全链计算'!AG75+1,0),IF('01_数值调参'!G47&lt;0,'03_全链计算'!AH75+1,0),IF('01_数值调参'!G48&lt;0,'03_全链计算'!AI75+1,0),IF('01_数值调参'!G49&lt;0,'03_全链计算'!AJ75+1,0),IF('01_数值调参'!G50&lt;0,'03_全链计算'!AK75+1,0),IF('01_数值调参'!G51&lt;0,'03_全链计算'!AL75+1,0),IF('01_数值调参'!G52&lt;0,'03_全链计算'!AM75+1,0))</x:f>
        <x:v>0</x:v>
      </x:c>
      <x:c r="H76" s="9" t="n">
        <x:f>MAX(IF('01_数值调参'!H18&lt;0,'03_全链计算'!E75+1,0),IF('01_数值调参'!H19&lt;0,'03_全链计算'!F75+1,0),IF('01_数值调参'!H20&lt;0,'03_全链计算'!G75+1,0),IF('01_数值调参'!H21&lt;0,'03_全链计算'!H75+1,0),IF('01_数值调参'!H22&lt;0,'03_全链计算'!I75+1,0),IF('01_数值调参'!H23&lt;0,'03_全链计算'!J75+1,0),IF('01_数值调参'!H24&lt;0,'03_全链计算'!K75+1,0),IF('01_数值调参'!H25&lt;0,'03_全链计算'!L75+1,0),IF('01_数值调参'!H26&lt;0,'03_全链计算'!M75+1,0),IF('01_数值调参'!H27&lt;0,'03_全链计算'!N75+1,0),IF('01_数值调参'!H28&lt;0,'03_全链计算'!O75+1,0),IF('01_数值调参'!H29&lt;0,'03_全链计算'!P75+1,0),IF('01_数值调参'!H30&lt;0,'03_全链计算'!Q75+1,0),IF('01_数值调参'!H31&lt;0,'03_全链计算'!R75+1,0),IF('01_数值调参'!H32&lt;0,'03_全链计算'!S75+1,0),IF('01_数值调参'!H33&lt;0,'03_全链计算'!T75+1,0),IF('01_数值调参'!H34&lt;0,'03_全链计算'!U75+1,0),IF('01_数值调参'!H35&lt;0,'03_全链计算'!V75+1,0),IF('01_数值调参'!H36&lt;0,'03_全链计算'!W75+1,0),IF('01_数值调参'!H37&lt;0,'03_全链计算'!X75+1,0),IF('01_数值调参'!H38&lt;0,'03_全链计算'!Y75+1,0),IF('01_数值调参'!H39&lt;0,'03_全链计算'!Z75+1,0),IF('01_数值调参'!H40&lt;0,'03_全链计算'!AA75+1,0),IF('01_数值调参'!H41&lt;0,'03_全链计算'!AB75+1,0),IF('01_数值调参'!H42&lt;0,'03_全链计算'!AC75+1,0),IF('01_数值调参'!H43&lt;0,'03_全链计算'!AD75+1,0),IF('01_数值调参'!H44&lt;0,'03_全链计算'!AE75+1,0),IF('01_数值调参'!H45&lt;0,'03_全链计算'!AF75+1,0),IF('01_数值调参'!H46&lt;0,'03_全链计算'!AG75+1,0),IF('01_数值调参'!H47&lt;0,'03_全链计算'!AH75+1,0),IF('01_数值调参'!H48&lt;0,'03_全链计算'!AI75+1,0),IF('01_数值调参'!H49&lt;0,'03_全链计算'!AJ75+1,0),IF('01_数值调参'!H50&lt;0,'03_全链计算'!AK75+1,0),IF('01_数值调参'!H51&lt;0,'03_全链计算'!AL75+1,0),IF('01_数值调参'!H52&lt;0,'03_全链计算'!AM75+1,0))</x:f>
        <x:v>0</x:v>
      </x:c>
      <x:c r="I76" s="9" t="n">
        <x:f>MAX(IF('01_数值调参'!I18&lt;0,'03_全链计算'!E75+1,0),IF('01_数值调参'!I19&lt;0,'03_全链计算'!F75+1,0),IF('01_数值调参'!I20&lt;0,'03_全链计算'!G75+1,0),IF('01_数值调参'!I21&lt;0,'03_全链计算'!H75+1,0),IF('01_数值调参'!I22&lt;0,'03_全链计算'!I75+1,0),IF('01_数值调参'!I23&lt;0,'03_全链计算'!J75+1,0),IF('01_数值调参'!I24&lt;0,'03_全链计算'!K75+1,0),IF('01_数值调参'!I25&lt;0,'03_全链计算'!L75+1,0),IF('01_数值调参'!I26&lt;0,'03_全链计算'!M75+1,0),IF('01_数值调参'!I27&lt;0,'03_全链计算'!N75+1,0),IF('01_数值调参'!I28&lt;0,'03_全链计算'!O75+1,0),IF('01_数值调参'!I29&lt;0,'03_全链计算'!P75+1,0),IF('01_数值调参'!I30&lt;0,'03_全链计算'!Q75+1,0),IF('01_数值调参'!I31&lt;0,'03_全链计算'!R75+1,0),IF('01_数值调参'!I32&lt;0,'03_全链计算'!S75+1,0),IF('01_数值调参'!I33&lt;0,'03_全链计算'!T75+1,0),IF('01_数值调参'!I34&lt;0,'03_全链计算'!U75+1,0),IF('01_数值调参'!I35&lt;0,'03_全链计算'!V75+1,0),IF('01_数值调参'!I36&lt;0,'03_全链计算'!W75+1,0),IF('01_数值调参'!I37&lt;0,'03_全链计算'!X75+1,0),IF('01_数值调参'!I38&lt;0,'03_全链计算'!Y75+1,0),IF('01_数值调参'!I39&lt;0,'03_全链计算'!Z75+1,0),IF('01_数值调参'!I40&lt;0,'03_全链计算'!AA75+1,0),IF('01_数值调参'!I41&lt;0,'03_全链计算'!AB75+1,0),IF('01_数值调参'!I42&lt;0,'03_全链计算'!AC75+1,0),IF('01_数值调参'!I43&lt;0,'03_全链计算'!AD75+1,0),IF('01_数值调参'!I44&lt;0,'03_全链计算'!AE75+1,0),IF('01_数值调参'!I45&lt;0,'03_全链计算'!AF75+1,0),IF('01_数值调参'!I46&lt;0,'03_全链计算'!AG75+1,0),IF('01_数值调参'!I47&lt;0,'03_全链计算'!AH75+1,0),IF('01_数值调参'!I48&lt;0,'03_全链计算'!AI75+1,0),IF('01_数值调参'!I49&lt;0,'03_全链计算'!AJ75+1,0),IF('01_数值调参'!I50&lt;0,'03_全链计算'!AK75+1,0),IF('01_数值调参'!I51&lt;0,'03_全链计算'!AL75+1,0),IF('01_数值调参'!I52&lt;0,'03_全链计算'!AM75+1,0))</x:f>
        <x:v>0</x:v>
      </x:c>
      <x:c r="J76" s="9" t="n">
        <x:f>MAX(IF('01_数值调参'!J18&lt;0,'03_全链计算'!E75+1,0),IF('01_数值调参'!J19&lt;0,'03_全链计算'!F75+1,0),IF('01_数值调参'!J20&lt;0,'03_全链计算'!G75+1,0),IF('01_数值调参'!J21&lt;0,'03_全链计算'!H75+1,0),IF('01_数值调参'!J22&lt;0,'03_全链计算'!I75+1,0),IF('01_数值调参'!J23&lt;0,'03_全链计算'!J75+1,0),IF('01_数值调参'!J24&lt;0,'03_全链计算'!K75+1,0),IF('01_数值调参'!J25&lt;0,'03_全链计算'!L75+1,0),IF('01_数值调参'!J26&lt;0,'03_全链计算'!M75+1,0),IF('01_数值调参'!J27&lt;0,'03_全链计算'!N75+1,0),IF('01_数值调参'!J28&lt;0,'03_全链计算'!O75+1,0),IF('01_数值调参'!J29&lt;0,'03_全链计算'!P75+1,0),IF('01_数值调参'!J30&lt;0,'03_全链计算'!Q75+1,0),IF('01_数值调参'!J31&lt;0,'03_全链计算'!R75+1,0),IF('01_数值调参'!J32&lt;0,'03_全链计算'!S75+1,0),IF('01_数值调参'!J33&lt;0,'03_全链计算'!T75+1,0),IF('01_数值调参'!J34&lt;0,'03_全链计算'!U75+1,0),IF('01_数值调参'!J35&lt;0,'03_全链计算'!V75+1,0),IF('01_数值调参'!J36&lt;0,'03_全链计算'!W75+1,0),IF('01_数值调参'!J37&lt;0,'03_全链计算'!X75+1,0),IF('01_数值调参'!J38&lt;0,'03_全链计算'!Y75+1,0),IF('01_数值调参'!J39&lt;0,'03_全链计算'!Z75+1,0),IF('01_数值调参'!J40&lt;0,'03_全链计算'!AA75+1,0),IF('01_数值调参'!J41&lt;0,'03_全链计算'!AB75+1,0),IF('01_数值调参'!J42&lt;0,'03_全链计算'!AC75+1,0),IF('01_数值调参'!J43&lt;0,'03_全链计算'!AD75+1,0),IF('01_数值调参'!J44&lt;0,'03_全链计算'!AE75+1,0),IF('01_数值调参'!J45&lt;0,'03_全链计算'!AF75+1,0),IF('01_数值调参'!J46&lt;0,'03_全链计算'!AG75+1,0),IF('01_数值调参'!J47&lt;0,'03_全链计算'!AH75+1,0),IF('01_数值调参'!J48&lt;0,'03_全链计算'!AI75+1,0),IF('01_数值调参'!J49&lt;0,'03_全链计算'!AJ75+1,0),IF('01_数值调参'!J50&lt;0,'03_全链计算'!AK75+1,0),IF('01_数值调参'!J51&lt;0,'03_全链计算'!AL75+1,0),IF('01_数值调参'!J52&lt;0,'03_全链计算'!AM75+1,0))</x:f>
        <x:v>0</x:v>
      </x:c>
      <x:c r="K76" s="9" t="n">
        <x:f>MAX(IF('01_数值调参'!K18&lt;0,'03_全链计算'!E75+1,0),IF('01_数值调参'!K19&lt;0,'03_全链计算'!F75+1,0),IF('01_数值调参'!K20&lt;0,'03_全链计算'!G75+1,0),IF('01_数值调参'!K21&lt;0,'03_全链计算'!H75+1,0),IF('01_数值调参'!K22&lt;0,'03_全链计算'!I75+1,0),IF('01_数值调参'!K23&lt;0,'03_全链计算'!J75+1,0),IF('01_数值调参'!K24&lt;0,'03_全链计算'!K75+1,0),IF('01_数值调参'!K25&lt;0,'03_全链计算'!L75+1,0),IF('01_数值调参'!K26&lt;0,'03_全链计算'!M75+1,0),IF('01_数值调参'!K27&lt;0,'03_全链计算'!N75+1,0),IF('01_数值调参'!K28&lt;0,'03_全链计算'!O75+1,0),IF('01_数值调参'!K29&lt;0,'03_全链计算'!P75+1,0),IF('01_数值调参'!K30&lt;0,'03_全链计算'!Q75+1,0),IF('01_数值调参'!K31&lt;0,'03_全链计算'!R75+1,0),IF('01_数值调参'!K32&lt;0,'03_全链计算'!S75+1,0),IF('01_数值调参'!K33&lt;0,'03_全链计算'!T75+1,0),IF('01_数值调参'!K34&lt;0,'03_全链计算'!U75+1,0),IF('01_数值调参'!K35&lt;0,'03_全链计算'!V75+1,0),IF('01_数值调参'!K36&lt;0,'03_全链计算'!W75+1,0),IF('01_数值调参'!K37&lt;0,'03_全链计算'!X75+1,0),IF('01_数值调参'!K38&lt;0,'03_全链计算'!Y75+1,0),IF('01_数值调参'!K39&lt;0,'03_全链计算'!Z75+1,0),IF('01_数值调参'!K40&lt;0,'03_全链计算'!AA75+1,0),IF('01_数值调参'!K41&lt;0,'03_全链计算'!AB75+1,0),IF('01_数值调参'!K42&lt;0,'03_全链计算'!AC75+1,0),IF('01_数值调参'!K43&lt;0,'03_全链计算'!AD75+1,0),IF('01_数值调参'!K44&lt;0,'03_全链计算'!AE75+1,0),IF('01_数值调参'!K45&lt;0,'03_全链计算'!AF75+1,0),IF('01_数值调参'!K46&lt;0,'03_全链计算'!AG75+1,0),IF('01_数值调参'!K47&lt;0,'03_全链计算'!AH75+1,0),IF('01_数值调参'!K48&lt;0,'03_全链计算'!AI75+1,0),IF('01_数值调参'!K49&lt;0,'03_全链计算'!AJ75+1,0),IF('01_数值调参'!K50&lt;0,'03_全链计算'!AK75+1,0),IF('01_数值调参'!K51&lt;0,'03_全链计算'!AL75+1,0),IF('01_数值调参'!K52&lt;0,'03_全链计算'!AM75+1,0))</x:f>
        <x:v>0</x:v>
      </x:c>
      <x:c r="L76" s="9" t="n">
        <x:f>MAX(IF('01_数值调参'!L18&lt;0,'03_全链计算'!E75+1,0),IF('01_数值调参'!L19&lt;0,'03_全链计算'!F75+1,0),IF('01_数值调参'!L20&lt;0,'03_全链计算'!G75+1,0),IF('01_数值调参'!L21&lt;0,'03_全链计算'!H75+1,0),IF('01_数值调参'!L22&lt;0,'03_全链计算'!I75+1,0),IF('01_数值调参'!L23&lt;0,'03_全链计算'!J75+1,0),IF('01_数值调参'!L24&lt;0,'03_全链计算'!K75+1,0),IF('01_数值调参'!L25&lt;0,'03_全链计算'!L75+1,0),IF('01_数值调参'!L26&lt;0,'03_全链计算'!M75+1,0),IF('01_数值调参'!L27&lt;0,'03_全链计算'!N75+1,0),IF('01_数值调参'!L28&lt;0,'03_全链计算'!O75+1,0),IF('01_数值调参'!L29&lt;0,'03_全链计算'!P75+1,0),IF('01_数值调参'!L30&lt;0,'03_全链计算'!Q75+1,0),IF('01_数值调参'!L31&lt;0,'03_全链计算'!R75+1,0),IF('01_数值调参'!L32&lt;0,'03_全链计算'!S75+1,0),IF('01_数值调参'!L33&lt;0,'03_全链计算'!T75+1,0),IF('01_数值调参'!L34&lt;0,'03_全链计算'!U75+1,0),IF('01_数值调参'!L35&lt;0,'03_全链计算'!V75+1,0),IF('01_数值调参'!L36&lt;0,'03_全链计算'!W75+1,0),IF('01_数值调参'!L37&lt;0,'03_全链计算'!X75+1,0),IF('01_数值调参'!L38&lt;0,'03_全链计算'!Y75+1,0),IF('01_数值调参'!L39&lt;0,'03_全链计算'!Z75+1,0),IF('01_数值调参'!L40&lt;0,'03_全链计算'!AA75+1,0),IF('01_数值调参'!L41&lt;0,'03_全链计算'!AB75+1,0),IF('01_数值调参'!L42&lt;0,'03_全链计算'!AC75+1,0),IF('01_数值调参'!L43&lt;0,'03_全链计算'!AD75+1,0),IF('01_数值调参'!L44&lt;0,'03_全链计算'!AE75+1,0),IF('01_数值调参'!L45&lt;0,'03_全链计算'!AF75+1,0),IF('01_数值调参'!L46&lt;0,'03_全链计算'!AG75+1,0),IF('01_数值调参'!L47&lt;0,'03_全链计算'!AH75+1,0),IF('01_数值调参'!L48&lt;0,'03_全链计算'!AI75+1,0),IF('01_数值调参'!L49&lt;0,'03_全链计算'!AJ75+1,0),IF('01_数值调参'!L50&lt;0,'03_全链计算'!AK75+1,0),IF('01_数值调参'!L51&lt;0,'03_全链计算'!AL75+1,0),IF('01_数值调参'!L52&lt;0,'03_全链计算'!AM75+1,0))</x:f>
        <x:v>0</x:v>
      </x:c>
      <x:c r="M76" s="9" t="n">
        <x:f>MAX(IF('01_数值调参'!M18&lt;0,'03_全链计算'!E75+1,0),IF('01_数值调参'!M19&lt;0,'03_全链计算'!F75+1,0),IF('01_数值调参'!M20&lt;0,'03_全链计算'!G75+1,0),IF('01_数值调参'!M21&lt;0,'03_全链计算'!H75+1,0),IF('01_数值调参'!M22&lt;0,'03_全链计算'!I75+1,0),IF('01_数值调参'!M23&lt;0,'03_全链计算'!J75+1,0),IF('01_数值调参'!M24&lt;0,'03_全链计算'!K75+1,0),IF('01_数值调参'!M25&lt;0,'03_全链计算'!L75+1,0),IF('01_数值调参'!M26&lt;0,'03_全链计算'!M75+1,0),IF('01_数值调参'!M27&lt;0,'03_全链计算'!N75+1,0),IF('01_数值调参'!M28&lt;0,'03_全链计算'!O75+1,0),IF('01_数值调参'!M29&lt;0,'03_全链计算'!P75+1,0),IF('01_数值调参'!M30&lt;0,'03_全链计算'!Q75+1,0),IF('01_数值调参'!M31&lt;0,'03_全链计算'!R75+1,0),IF('01_数值调参'!M32&lt;0,'03_全链计算'!S75+1,0),IF('01_数值调参'!M33&lt;0,'03_全链计算'!T75+1,0),IF('01_数值调参'!M34&lt;0,'03_全链计算'!U75+1,0),IF('01_数值调参'!M35&lt;0,'03_全链计算'!V75+1,0),IF('01_数值调参'!M36&lt;0,'03_全链计算'!W75+1,0),IF('01_数值调参'!M37&lt;0,'03_全链计算'!X75+1,0),IF('01_数值调参'!M38&lt;0,'03_全链计算'!Y75+1,0),IF('01_数值调参'!M39&lt;0,'03_全链计算'!Z75+1,0),IF('01_数值调参'!M40&lt;0,'03_全链计算'!AA75+1,0),IF('01_数值调参'!M41&lt;0,'03_全链计算'!AB75+1,0),IF('01_数值调参'!M42&lt;0,'03_全链计算'!AC75+1,0),IF('01_数值调参'!M43&lt;0,'03_全链计算'!AD75+1,0),IF('01_数值调参'!M44&lt;0,'03_全链计算'!AE75+1,0),IF('01_数值调参'!M45&lt;0,'03_全链计算'!AF75+1,0),IF('01_数值调参'!M46&lt;0,'03_全链计算'!AG75+1,0),IF('01_数值调参'!M47&lt;0,'03_全链计算'!AH75+1,0),IF('01_数值调参'!M48&lt;0,'03_全链计算'!AI75+1,0),IF('01_数值调参'!M49&lt;0,'03_全链计算'!AJ75+1,0),IF('01_数值调参'!M50&lt;0,'03_全链计算'!AK75+1,0),IF('01_数值调参'!M51&lt;0,'03_全链计算'!AL75+1,0),IF('01_数值调参'!M52&lt;0,'03_全链计算'!AM75+1,0))</x:f>
        <x:v>0</x:v>
      </x:c>
      <x:c r="N76" s="9" t="n">
        <x:f>MAX(IF('01_数值调参'!N18&lt;0,'03_全链计算'!E75+1,0),IF('01_数值调参'!N19&lt;0,'03_全链计算'!F75+1,0),IF('01_数值调参'!N20&lt;0,'03_全链计算'!G75+1,0),IF('01_数值调参'!N21&lt;0,'03_全链计算'!H75+1,0),IF('01_数值调参'!N22&lt;0,'03_全链计算'!I75+1,0),IF('01_数值调参'!N23&lt;0,'03_全链计算'!J75+1,0),IF('01_数值调参'!N24&lt;0,'03_全链计算'!K75+1,0),IF('01_数值调参'!N25&lt;0,'03_全链计算'!L75+1,0),IF('01_数值调参'!N26&lt;0,'03_全链计算'!M75+1,0),IF('01_数值调参'!N27&lt;0,'03_全链计算'!N75+1,0),IF('01_数值调参'!N28&lt;0,'03_全链计算'!O75+1,0),IF('01_数值调参'!N29&lt;0,'03_全链计算'!P75+1,0),IF('01_数值调参'!N30&lt;0,'03_全链计算'!Q75+1,0),IF('01_数值调参'!N31&lt;0,'03_全链计算'!R75+1,0),IF('01_数值调参'!N32&lt;0,'03_全链计算'!S75+1,0),IF('01_数值调参'!N33&lt;0,'03_全链计算'!T75+1,0),IF('01_数值调参'!N34&lt;0,'03_全链计算'!U75+1,0),IF('01_数值调参'!N35&lt;0,'03_全链计算'!V75+1,0),IF('01_数值调参'!N36&lt;0,'03_全链计算'!W75+1,0),IF('01_数值调参'!N37&lt;0,'03_全链计算'!X75+1,0),IF('01_数值调参'!N38&lt;0,'03_全链计算'!Y75+1,0),IF('01_数值调参'!N39&lt;0,'03_全链计算'!Z75+1,0),IF('01_数值调参'!N40&lt;0,'03_全链计算'!AA75+1,0),IF('01_数值调参'!N41&lt;0,'03_全链计算'!AB75+1,0),IF('01_数值调参'!N42&lt;0,'03_全链计算'!AC75+1,0),IF('01_数值调参'!N43&lt;0,'03_全链计算'!AD75+1,0),IF('01_数值调参'!N44&lt;0,'03_全链计算'!AE75+1,0),IF('01_数值调参'!N45&lt;0,'03_全链计算'!AF75+1,0),IF('01_数值调参'!N46&lt;0,'03_全链计算'!AG75+1,0),IF('01_数值调参'!N47&lt;0,'03_全链计算'!AH75+1,0),IF('01_数值调参'!N48&lt;0,'03_全链计算'!AI75+1,0),IF('01_数值调参'!N49&lt;0,'03_全链计算'!AJ75+1,0),IF('01_数值调参'!N50&lt;0,'03_全链计算'!AK75+1,0),IF('01_数值调参'!N51&lt;0,'03_全链计算'!AL75+1,0),IF('01_数值调参'!N52&lt;0,'03_全链计算'!AM75+1,0))</x:f>
        <x:v>1</x:v>
      </x:c>
      <x:c r="O76" s="9" t="n">
        <x:f>MAX(IF('01_数值调参'!O18&lt;0,'03_全链计算'!E75+1,0),IF('01_数值调参'!O19&lt;0,'03_全链计算'!F75+1,0),IF('01_数值调参'!O20&lt;0,'03_全链计算'!G75+1,0),IF('01_数值调参'!O21&lt;0,'03_全链计算'!H75+1,0),IF('01_数值调参'!O22&lt;0,'03_全链计算'!I75+1,0),IF('01_数值调参'!O23&lt;0,'03_全链计算'!J75+1,0),IF('01_数值调参'!O24&lt;0,'03_全链计算'!K75+1,0),IF('01_数值调参'!O25&lt;0,'03_全链计算'!L75+1,0),IF('01_数值调参'!O26&lt;0,'03_全链计算'!M75+1,0),IF('01_数值调参'!O27&lt;0,'03_全链计算'!N75+1,0),IF('01_数值调参'!O28&lt;0,'03_全链计算'!O75+1,0),IF('01_数值调参'!O29&lt;0,'03_全链计算'!P75+1,0),IF('01_数值调参'!O30&lt;0,'03_全链计算'!Q75+1,0),IF('01_数值调参'!O31&lt;0,'03_全链计算'!R75+1,0),IF('01_数值调参'!O32&lt;0,'03_全链计算'!S75+1,0),IF('01_数值调参'!O33&lt;0,'03_全链计算'!T75+1,0),IF('01_数值调参'!O34&lt;0,'03_全链计算'!U75+1,0),IF('01_数值调参'!O35&lt;0,'03_全链计算'!V75+1,0),IF('01_数值调参'!O36&lt;0,'03_全链计算'!W75+1,0),IF('01_数值调参'!O37&lt;0,'03_全链计算'!X75+1,0),IF('01_数值调参'!O38&lt;0,'03_全链计算'!Y75+1,0),IF('01_数值调参'!O39&lt;0,'03_全链计算'!Z75+1,0),IF('01_数值调参'!O40&lt;0,'03_全链计算'!AA75+1,0),IF('01_数值调参'!O41&lt;0,'03_全链计算'!AB75+1,0),IF('01_数值调参'!O42&lt;0,'03_全链计算'!AC75+1,0),IF('01_数值调参'!O43&lt;0,'03_全链计算'!AD75+1,0),IF('01_数值调参'!O44&lt;0,'03_全链计算'!AE75+1,0),IF('01_数值调参'!O45&lt;0,'03_全链计算'!AF75+1,0),IF('01_数值调参'!O46&lt;0,'03_全链计算'!AG75+1,0),IF('01_数值调参'!O47&lt;0,'03_全链计算'!AH75+1,0),IF('01_数值调参'!O48&lt;0,'03_全链计算'!AI75+1,0),IF('01_数值调参'!O49&lt;0,'03_全链计算'!AJ75+1,0),IF('01_数值调参'!O50&lt;0,'03_全链计算'!AK75+1,0),IF('01_数值调参'!O51&lt;0,'03_全链计算'!AL75+1,0),IF('01_数值调参'!O52&lt;0,'03_全链计算'!AM75+1,0))</x:f>
        <x:v>1</x:v>
      </x:c>
      <x:c r="P76" s="9" t="n">
        <x:f>MAX(IF('01_数值调参'!P18&lt;0,'03_全链计算'!E75+1,0),IF('01_数值调参'!P19&lt;0,'03_全链计算'!F75+1,0),IF('01_数值调参'!P20&lt;0,'03_全链计算'!G75+1,0),IF('01_数值调参'!P21&lt;0,'03_全链计算'!H75+1,0),IF('01_数值调参'!P22&lt;0,'03_全链计算'!I75+1,0),IF('01_数值调参'!P23&lt;0,'03_全链计算'!J75+1,0),IF('01_数值调参'!P24&lt;0,'03_全链计算'!K75+1,0),IF('01_数值调参'!P25&lt;0,'03_全链计算'!L75+1,0),IF('01_数值调参'!P26&lt;0,'03_全链计算'!M75+1,0),IF('01_数值调参'!P27&lt;0,'03_全链计算'!N75+1,0),IF('01_数值调参'!P28&lt;0,'03_全链计算'!O75+1,0),IF('01_数值调参'!P29&lt;0,'03_全链计算'!P75+1,0),IF('01_数值调参'!P30&lt;0,'03_全链计算'!Q75+1,0),IF('01_数值调参'!P31&lt;0,'03_全链计算'!R75+1,0),IF('01_数值调参'!P32&lt;0,'03_全链计算'!S75+1,0),IF('01_数值调参'!P33&lt;0,'03_全链计算'!T75+1,0),IF('01_数值调参'!P34&lt;0,'03_全链计算'!U75+1,0),IF('01_数值调参'!P35&lt;0,'03_全链计算'!V75+1,0),IF('01_数值调参'!P36&lt;0,'03_全链计算'!W75+1,0),IF('01_数值调参'!P37&lt;0,'03_全链计算'!X75+1,0),IF('01_数值调参'!P38&lt;0,'03_全链计算'!Y75+1,0),IF('01_数值调参'!P39&lt;0,'03_全链计算'!Z75+1,0),IF('01_数值调参'!P40&lt;0,'03_全链计算'!AA75+1,0),IF('01_数值调参'!P41&lt;0,'03_全链计算'!AB75+1,0),IF('01_数值调参'!P42&lt;0,'03_全链计算'!AC75+1,0),IF('01_数值调参'!P43&lt;0,'03_全链计算'!AD75+1,0),IF('01_数值调参'!P44&lt;0,'03_全链计算'!AE75+1,0),IF('01_数值调参'!P45&lt;0,'03_全链计算'!AF75+1,0),IF('01_数值调参'!P46&lt;0,'03_全链计算'!AG75+1,0),IF('01_数值调参'!P47&lt;0,'03_全链计算'!AH75+1,0),IF('01_数值调参'!P48&lt;0,'03_全链计算'!AI75+1,0),IF('01_数值调参'!P49&lt;0,'03_全链计算'!AJ75+1,0),IF('01_数值调参'!P50&lt;0,'03_全链计算'!AK75+1,0),IF('01_数值调参'!P51&lt;0,'03_全链计算'!AL75+1,0),IF('01_数值调参'!P52&lt;0,'03_全链计算'!AM75+1,0))</x:f>
        <x:v>1</x:v>
      </x:c>
      <x:c r="Q76" s="9" t="n">
        <x:f>MAX(IF('01_数值调参'!Q18&lt;0,'03_全链计算'!E75+1,0),IF('01_数值调参'!Q19&lt;0,'03_全链计算'!F75+1,0),IF('01_数值调参'!Q20&lt;0,'03_全链计算'!G75+1,0),IF('01_数值调参'!Q21&lt;0,'03_全链计算'!H75+1,0),IF('01_数值调参'!Q22&lt;0,'03_全链计算'!I75+1,0),IF('01_数值调参'!Q23&lt;0,'03_全链计算'!J75+1,0),IF('01_数值调参'!Q24&lt;0,'03_全链计算'!K75+1,0),IF('01_数值调参'!Q25&lt;0,'03_全链计算'!L75+1,0),IF('01_数值调参'!Q26&lt;0,'03_全链计算'!M75+1,0),IF('01_数值调参'!Q27&lt;0,'03_全链计算'!N75+1,0),IF('01_数值调参'!Q28&lt;0,'03_全链计算'!O75+1,0),IF('01_数值调参'!Q29&lt;0,'03_全链计算'!P75+1,0),IF('01_数值调参'!Q30&lt;0,'03_全链计算'!Q75+1,0),IF('01_数值调参'!Q31&lt;0,'03_全链计算'!R75+1,0),IF('01_数值调参'!Q32&lt;0,'03_全链计算'!S75+1,0),IF('01_数值调参'!Q33&lt;0,'03_全链计算'!T75+1,0),IF('01_数值调参'!Q34&lt;0,'03_全链计算'!U75+1,0),IF('01_数值调参'!Q35&lt;0,'03_全链计算'!V75+1,0),IF('01_数值调参'!Q36&lt;0,'03_全链计算'!W75+1,0),IF('01_数值调参'!Q37&lt;0,'03_全链计算'!X75+1,0),IF('01_数值调参'!Q38&lt;0,'03_全链计算'!Y75+1,0),IF('01_数值调参'!Q39&lt;0,'03_全链计算'!Z75+1,0),IF('01_数值调参'!Q40&lt;0,'03_全链计算'!AA75+1,0),IF('01_数值调参'!Q41&lt;0,'03_全链计算'!AB75+1,0),IF('01_数值调参'!Q42&lt;0,'03_全链计算'!AC75+1,0),IF('01_数值调参'!Q43&lt;0,'03_全链计算'!AD75+1,0),IF('01_数值调参'!Q44&lt;0,'03_全链计算'!AE75+1,0),IF('01_数值调参'!Q45&lt;0,'03_全链计算'!AF75+1,0),IF('01_数值调参'!Q46&lt;0,'03_全链计算'!AG75+1,0),IF('01_数值调参'!Q47&lt;0,'03_全链计算'!AH75+1,0),IF('01_数值调参'!Q48&lt;0,'03_全链计算'!AI75+1,0),IF('01_数值调参'!Q49&lt;0,'03_全链计算'!AJ75+1,0),IF('01_数值调参'!Q50&lt;0,'03_全链计算'!AK75+1,0),IF('01_数值调参'!Q51&lt;0,'03_全链计算'!AL75+1,0),IF('01_数值调参'!Q52&lt;0,'03_全链计算'!AM75+1,0))</x:f>
        <x:v>1</x:v>
      </x:c>
      <x:c r="R76" s="9" t="n">
        <x:f>MAX(IF('01_数值调参'!R18&lt;0,'03_全链计算'!E75+1,0),IF('01_数值调参'!R19&lt;0,'03_全链计算'!F75+1,0),IF('01_数值调参'!R20&lt;0,'03_全链计算'!G75+1,0),IF('01_数值调参'!R21&lt;0,'03_全链计算'!H75+1,0),IF('01_数值调参'!R22&lt;0,'03_全链计算'!I75+1,0),IF('01_数值调参'!R23&lt;0,'03_全链计算'!J75+1,0),IF('01_数值调参'!R24&lt;0,'03_全链计算'!K75+1,0),IF('01_数值调参'!R25&lt;0,'03_全链计算'!L75+1,0),IF('01_数值调参'!R26&lt;0,'03_全链计算'!M75+1,0),IF('01_数值调参'!R27&lt;0,'03_全链计算'!N75+1,0),IF('01_数值调参'!R28&lt;0,'03_全链计算'!O75+1,0),IF('01_数值调参'!R29&lt;0,'03_全链计算'!P75+1,0),IF('01_数值调参'!R30&lt;0,'03_全链计算'!Q75+1,0),IF('01_数值调参'!R31&lt;0,'03_全链计算'!R75+1,0),IF('01_数值调参'!R32&lt;0,'03_全链计算'!S75+1,0),IF('01_数值调参'!R33&lt;0,'03_全链计算'!T75+1,0),IF('01_数值调参'!R34&lt;0,'03_全链计算'!U75+1,0),IF('01_数值调参'!R35&lt;0,'03_全链计算'!V75+1,0),IF('01_数值调参'!R36&lt;0,'03_全链计算'!W75+1,0),IF('01_数值调参'!R37&lt;0,'03_全链计算'!X75+1,0),IF('01_数值调参'!R38&lt;0,'03_全链计算'!Y75+1,0),IF('01_数值调参'!R39&lt;0,'03_全链计算'!Z75+1,0),IF('01_数值调参'!R40&lt;0,'03_全链计算'!AA75+1,0),IF('01_数值调参'!R41&lt;0,'03_全链计算'!AB75+1,0),IF('01_数值调参'!R42&lt;0,'03_全链计算'!AC75+1,0),IF('01_数值调参'!R43&lt;0,'03_全链计算'!AD75+1,0),IF('01_数值调参'!R44&lt;0,'03_全链计算'!AE75+1,0),IF('01_数值调参'!R45&lt;0,'03_全链计算'!AF75+1,0),IF('01_数值调参'!R46&lt;0,'03_全链计算'!AG75+1,0),IF('01_数值调参'!R47&lt;0,'03_全链计算'!AH75+1,0),IF('01_数值调参'!R48&lt;0,'03_全链计算'!AI75+1,0),IF('01_数值调参'!R49&lt;0,'03_全链计算'!AJ75+1,0),IF('01_数值调参'!R50&lt;0,'03_全链计算'!AK75+1,0),IF('01_数值调参'!R51&lt;0,'03_全链计算'!AL75+1,0),IF('01_数值调参'!R52&lt;0,'03_全链计算'!AM75+1,0))</x:f>
        <x:v>1</x:v>
      </x:c>
      <x:c r="S76" s="9" t="n">
        <x:f>MAX(IF('01_数值调参'!S18&lt;0,'03_全链计算'!E75+1,0),IF('01_数值调参'!S19&lt;0,'03_全链计算'!F75+1,0),IF('01_数值调参'!S20&lt;0,'03_全链计算'!G75+1,0),IF('01_数值调参'!S21&lt;0,'03_全链计算'!H75+1,0),IF('01_数值调参'!S22&lt;0,'03_全链计算'!I75+1,0),IF('01_数值调参'!S23&lt;0,'03_全链计算'!J75+1,0),IF('01_数值调参'!S24&lt;0,'03_全链计算'!K75+1,0),IF('01_数值调参'!S25&lt;0,'03_全链计算'!L75+1,0),IF('01_数值调参'!S26&lt;0,'03_全链计算'!M75+1,0),IF('01_数值调参'!S27&lt;0,'03_全链计算'!N75+1,0),IF('01_数值调参'!S28&lt;0,'03_全链计算'!O75+1,0),IF('01_数值调参'!S29&lt;0,'03_全链计算'!P75+1,0),IF('01_数值调参'!S30&lt;0,'03_全链计算'!Q75+1,0),IF('01_数值调参'!S31&lt;0,'03_全链计算'!R75+1,0),IF('01_数值调参'!S32&lt;0,'03_全链计算'!S75+1,0),IF('01_数值调参'!S33&lt;0,'03_全链计算'!T75+1,0),IF('01_数值调参'!S34&lt;0,'03_全链计算'!U75+1,0),IF('01_数值调参'!S35&lt;0,'03_全链计算'!V75+1,0),IF('01_数值调参'!S36&lt;0,'03_全链计算'!W75+1,0),IF('01_数值调参'!S37&lt;0,'03_全链计算'!X75+1,0),IF('01_数值调参'!S38&lt;0,'03_全链计算'!Y75+1,0),IF('01_数值调参'!S39&lt;0,'03_全链计算'!Z75+1,0),IF('01_数值调参'!S40&lt;0,'03_全链计算'!AA75+1,0),IF('01_数值调参'!S41&lt;0,'03_全链计算'!AB75+1,0),IF('01_数值调参'!S42&lt;0,'03_全链计算'!AC75+1,0),IF('01_数值调参'!S43&lt;0,'03_全链计算'!AD75+1,0),IF('01_数值调参'!S44&lt;0,'03_全链计算'!AE75+1,0),IF('01_数值调参'!S45&lt;0,'03_全链计算'!AF75+1,0),IF('01_数值调参'!S46&lt;0,'03_全链计算'!AG75+1,0),IF('01_数值调参'!S47&lt;0,'03_全链计算'!AH75+1,0),IF('01_数值调参'!S48&lt;0,'03_全链计算'!AI75+1,0),IF('01_数值调参'!S49&lt;0,'03_全链计算'!AJ75+1,0),IF('01_数值调参'!S50&lt;0,'03_全链计算'!AK75+1,0),IF('01_数值调参'!S51&lt;0,'03_全链计算'!AL75+1,0),IF('01_数值调参'!S52&lt;0,'03_全链计算'!AM75+1,0))</x:f>
        <x:v>1</x:v>
      </x:c>
      <x:c r="T76" s="9" t="n">
        <x:f>MAX(IF('01_数值调参'!T18&lt;0,'03_全链计算'!E75+1,0),IF('01_数值调参'!T19&lt;0,'03_全链计算'!F75+1,0),IF('01_数值调参'!T20&lt;0,'03_全链计算'!G75+1,0),IF('01_数值调参'!T21&lt;0,'03_全链计算'!H75+1,0),IF('01_数值调参'!T22&lt;0,'03_全链计算'!I75+1,0),IF('01_数值调参'!T23&lt;0,'03_全链计算'!J75+1,0),IF('01_数值调参'!T24&lt;0,'03_全链计算'!K75+1,0),IF('01_数值调参'!T25&lt;0,'03_全链计算'!L75+1,0),IF('01_数值调参'!T26&lt;0,'03_全链计算'!M75+1,0),IF('01_数值调参'!T27&lt;0,'03_全链计算'!N75+1,0),IF('01_数值调参'!T28&lt;0,'03_全链计算'!O75+1,0),IF('01_数值调参'!T29&lt;0,'03_全链计算'!P75+1,0),IF('01_数值调参'!T30&lt;0,'03_全链计算'!Q75+1,0),IF('01_数值调参'!T31&lt;0,'03_全链计算'!R75+1,0),IF('01_数值调参'!T32&lt;0,'03_全链计算'!S75+1,0),IF('01_数值调参'!T33&lt;0,'03_全链计算'!T75+1,0),IF('01_数值调参'!T34&lt;0,'03_全链计算'!U75+1,0),IF('01_数值调参'!T35&lt;0,'03_全链计算'!V75+1,0),IF('01_数值调参'!T36&lt;0,'03_全链计算'!W75+1,0),IF('01_数值调参'!T37&lt;0,'03_全链计算'!X75+1,0),IF('01_数值调参'!T38&lt;0,'03_全链计算'!Y75+1,0),IF('01_数值调参'!T39&lt;0,'03_全链计算'!Z75+1,0),IF('01_数值调参'!T40&lt;0,'03_全链计算'!AA75+1,0),IF('01_数值调参'!T41&lt;0,'03_全链计算'!AB75+1,0),IF('01_数值调参'!T42&lt;0,'03_全链计算'!AC75+1,0),IF('01_数值调参'!T43&lt;0,'03_全链计算'!AD75+1,0),IF('01_数值调参'!T44&lt;0,'03_全链计算'!AE75+1,0),IF('01_数值调参'!T45&lt;0,'03_全链计算'!AF75+1,0),IF('01_数值调参'!T46&lt;0,'03_全链计算'!AG75+1,0),IF('01_数值调参'!T47&lt;0,'03_全链计算'!AH75+1,0),IF('01_数值调参'!T48&lt;0,'03_全链计算'!AI75+1,0),IF('01_数值调参'!T49&lt;0,'03_全链计算'!AJ75+1,0),IF('01_数值调参'!T50&lt;0,'03_全链计算'!AK75+1,0),IF('01_数值调参'!T51&lt;0,'03_全链计算'!AL75+1,0),IF('01_数值调参'!T52&lt;0,'03_全链计算'!AM75+1,0))</x:f>
        <x:v>1</x:v>
      </x:c>
      <x:c r="U76" s="9" t="n">
        <x:f>MAX(IF('01_数值调参'!U18&lt;0,'03_全链计算'!E75+1,0),IF('01_数值调参'!U19&lt;0,'03_全链计算'!F75+1,0),IF('01_数值调参'!U20&lt;0,'03_全链计算'!G75+1,0),IF('01_数值调参'!U21&lt;0,'03_全链计算'!H75+1,0),IF('01_数值调参'!U22&lt;0,'03_全链计算'!I75+1,0),IF('01_数值调参'!U23&lt;0,'03_全链计算'!J75+1,0),IF('01_数值调参'!U24&lt;0,'03_全链计算'!K75+1,0),IF('01_数值调参'!U25&lt;0,'03_全链计算'!L75+1,0),IF('01_数值调参'!U26&lt;0,'03_全链计算'!M75+1,0),IF('01_数值调参'!U27&lt;0,'03_全链计算'!N75+1,0),IF('01_数值调参'!U28&lt;0,'03_全链计算'!O75+1,0),IF('01_数值调参'!U29&lt;0,'03_全链计算'!P75+1,0),IF('01_数值调参'!U30&lt;0,'03_全链计算'!Q75+1,0),IF('01_数值调参'!U31&lt;0,'03_全链计算'!R75+1,0),IF('01_数值调参'!U32&lt;0,'03_全链计算'!S75+1,0),IF('01_数值调参'!U33&lt;0,'03_全链计算'!T75+1,0),IF('01_数值调参'!U34&lt;0,'03_全链计算'!U75+1,0),IF('01_数值调参'!U35&lt;0,'03_全链计算'!V75+1,0),IF('01_数值调参'!U36&lt;0,'03_全链计算'!W75+1,0),IF('01_数值调参'!U37&lt;0,'03_全链计算'!X75+1,0),IF('01_数值调参'!U38&lt;0,'03_全链计算'!Y75+1,0),IF('01_数值调参'!U39&lt;0,'03_全链计算'!Z75+1,0),IF('01_数值调参'!U40&lt;0,'03_全链计算'!AA75+1,0),IF('01_数值调参'!U41&lt;0,'03_全链计算'!AB75+1,0),IF('01_数值调参'!U42&lt;0,'03_全链计算'!AC75+1,0),IF('01_数值调参'!U43&lt;0,'03_全链计算'!AD75+1,0),IF('01_数值调参'!U44&lt;0,'03_全链计算'!AE75+1,0),IF('01_数值调参'!U45&lt;0,'03_全链计算'!AF75+1,0),IF('01_数值调参'!U46&lt;0,'03_全链计算'!AG75+1,0),IF('01_数值调参'!U47&lt;0,'03_全链计算'!AH75+1,0),IF('01_数值调参'!U48&lt;0,'03_全链计算'!AI75+1,0),IF('01_数值调参'!U49&lt;0,'03_全链计算'!AJ75+1,0),IF('01_数值调参'!U50&lt;0,'03_全链计算'!AK75+1,0),IF('01_数值调参'!U51&lt;0,'03_全链计算'!AL75+1,0),IF('01_数值调参'!U52&lt;0,'03_全链计算'!AM75+1,0))</x:f>
        <x:v>1</x:v>
      </x:c>
      <x:c r="V76" s="9" t="n">
        <x:f>MAX(IF('01_数值调参'!V18&lt;0,'03_全链计算'!E75+1,0),IF('01_数值调参'!V19&lt;0,'03_全链计算'!F75+1,0),IF('01_数值调参'!V20&lt;0,'03_全链计算'!G75+1,0),IF('01_数值调参'!V21&lt;0,'03_全链计算'!H75+1,0),IF('01_数值调参'!V22&lt;0,'03_全链计算'!I75+1,0),IF('01_数值调参'!V23&lt;0,'03_全链计算'!J75+1,0),IF('01_数值调参'!V24&lt;0,'03_全链计算'!K75+1,0),IF('01_数值调参'!V25&lt;0,'03_全链计算'!L75+1,0),IF('01_数值调参'!V26&lt;0,'03_全链计算'!M75+1,0),IF('01_数值调参'!V27&lt;0,'03_全链计算'!N75+1,0),IF('01_数值调参'!V28&lt;0,'03_全链计算'!O75+1,0),IF('01_数值调参'!V29&lt;0,'03_全链计算'!P75+1,0),IF('01_数值调参'!V30&lt;0,'03_全链计算'!Q75+1,0),IF('01_数值调参'!V31&lt;0,'03_全链计算'!R75+1,0),IF('01_数值调参'!V32&lt;0,'03_全链计算'!S75+1,0),IF('01_数值调参'!V33&lt;0,'03_全链计算'!T75+1,0),IF('01_数值调参'!V34&lt;0,'03_全链计算'!U75+1,0),IF('01_数值调参'!V35&lt;0,'03_全链计算'!V75+1,0),IF('01_数值调参'!V36&lt;0,'03_全链计算'!W75+1,0),IF('01_数值调参'!V37&lt;0,'03_全链计算'!X75+1,0),IF('01_数值调参'!V38&lt;0,'03_全链计算'!Y75+1,0),IF('01_数值调参'!V39&lt;0,'03_全链计算'!Z75+1,0),IF('01_数值调参'!V40&lt;0,'03_全链计算'!AA75+1,0),IF('01_数值调参'!V41&lt;0,'03_全链计算'!AB75+1,0),IF('01_数值调参'!V42&lt;0,'03_全链计算'!AC75+1,0),IF('01_数值调参'!V43&lt;0,'03_全链计算'!AD75+1,0),IF('01_数值调参'!V44&lt;0,'03_全链计算'!AE75+1,0),IF('01_数值调参'!V45&lt;0,'03_全链计算'!AF75+1,0),IF('01_数值调参'!V46&lt;0,'03_全链计算'!AG75+1,0),IF('01_数值调参'!V47&lt;0,'03_全链计算'!AH75+1,0),IF('01_数值调参'!V48&lt;0,'03_全链计算'!AI75+1,0),IF('01_数值调参'!V49&lt;0,'03_全链计算'!AJ75+1,0),IF('01_数值调参'!V50&lt;0,'03_全链计算'!AK75+1,0),IF('01_数值调参'!V51&lt;0,'03_全链计算'!AL75+1,0),IF('01_数值调参'!V52&lt;0,'03_全链计算'!AM75+1,0))</x:f>
        <x:v>1</x:v>
      </x:c>
      <x:c r="W76" s="9" t="n">
        <x:f>MAX(IF('01_数值调参'!W18&lt;0,'03_全链计算'!E75+1,0),IF('01_数值调参'!W19&lt;0,'03_全链计算'!F75+1,0),IF('01_数值调参'!W20&lt;0,'03_全链计算'!G75+1,0),IF('01_数值调参'!W21&lt;0,'03_全链计算'!H75+1,0),IF('01_数值调参'!W22&lt;0,'03_全链计算'!I75+1,0),IF('01_数值调参'!W23&lt;0,'03_全链计算'!J75+1,0),IF('01_数值调参'!W24&lt;0,'03_全链计算'!K75+1,0),IF('01_数值调参'!W25&lt;0,'03_全链计算'!L75+1,0),IF('01_数值调参'!W26&lt;0,'03_全链计算'!M75+1,0),IF('01_数值调参'!W27&lt;0,'03_全链计算'!N75+1,0),IF('01_数值调参'!W28&lt;0,'03_全链计算'!O75+1,0),IF('01_数值调参'!W29&lt;0,'03_全链计算'!P75+1,0),IF('01_数值调参'!W30&lt;0,'03_全链计算'!Q75+1,0),IF('01_数值调参'!W31&lt;0,'03_全链计算'!R75+1,0),IF('01_数值调参'!W32&lt;0,'03_全链计算'!S75+1,0),IF('01_数值调参'!W33&lt;0,'03_全链计算'!T75+1,0),IF('01_数值调参'!W34&lt;0,'03_全链计算'!U75+1,0),IF('01_数值调参'!W35&lt;0,'03_全链计算'!V75+1,0),IF('01_数值调参'!W36&lt;0,'03_全链计算'!W75+1,0),IF('01_数值调参'!W37&lt;0,'03_全链计算'!X75+1,0),IF('01_数值调参'!W38&lt;0,'03_全链计算'!Y75+1,0),IF('01_数值调参'!W39&lt;0,'03_全链计算'!Z75+1,0),IF('01_数值调参'!W40&lt;0,'03_全链计算'!AA75+1,0),IF('01_数值调参'!W41&lt;0,'03_全链计算'!AB75+1,0),IF('01_数值调参'!W42&lt;0,'03_全链计算'!AC75+1,0),IF('01_数值调参'!W43&lt;0,'03_全链计算'!AD75+1,0),IF('01_数值调参'!W44&lt;0,'03_全链计算'!AE75+1,0),IF('01_数值调参'!W45&lt;0,'03_全链计算'!AF75+1,0),IF('01_数值调参'!W46&lt;0,'03_全链计算'!AG75+1,0),IF('01_数值调参'!W47&lt;0,'03_全链计算'!AH75+1,0),IF('01_数值调参'!W48&lt;0,'03_全链计算'!AI75+1,0),IF('01_数值调参'!W49&lt;0,'03_全链计算'!AJ75+1,0),IF('01_数值调参'!W50&lt;0,'03_全链计算'!AK75+1,0),IF('01_数值调参'!W51&lt;0,'03_全链计算'!AL75+1,0),IF('01_数值调参'!W52&lt;0,'03_全链计算'!AM75+1,0))</x:f>
        <x:v>1</x:v>
      </x:c>
      <x:c r="X76" s="9" t="n">
        <x:f>MAX(IF('01_数值调参'!X18&lt;0,'03_全链计算'!E75+1,0),IF('01_数值调参'!X19&lt;0,'03_全链计算'!F75+1,0),IF('01_数值调参'!X20&lt;0,'03_全链计算'!G75+1,0),IF('01_数值调参'!X21&lt;0,'03_全链计算'!H75+1,0),IF('01_数值调参'!X22&lt;0,'03_全链计算'!I75+1,0),IF('01_数值调参'!X23&lt;0,'03_全链计算'!J75+1,0),IF('01_数值调参'!X24&lt;0,'03_全链计算'!K75+1,0),IF('01_数值调参'!X25&lt;0,'03_全链计算'!L75+1,0),IF('01_数值调参'!X26&lt;0,'03_全链计算'!M75+1,0),IF('01_数值调参'!X27&lt;0,'03_全链计算'!N75+1,0),IF('01_数值调参'!X28&lt;0,'03_全链计算'!O75+1,0),IF('01_数值调参'!X29&lt;0,'03_全链计算'!P75+1,0),IF('01_数值调参'!X30&lt;0,'03_全链计算'!Q75+1,0),IF('01_数值调参'!X31&lt;0,'03_全链计算'!R75+1,0),IF('01_数值调参'!X32&lt;0,'03_全链计算'!S75+1,0),IF('01_数值调参'!X33&lt;0,'03_全链计算'!T75+1,0),IF('01_数值调参'!X34&lt;0,'03_全链计算'!U75+1,0),IF('01_数值调参'!X35&lt;0,'03_全链计算'!V75+1,0),IF('01_数值调参'!X36&lt;0,'03_全链计算'!W75+1,0),IF('01_数值调参'!X37&lt;0,'03_全链计算'!X75+1,0),IF('01_数值调参'!X38&lt;0,'03_全链计算'!Y75+1,0),IF('01_数值调参'!X39&lt;0,'03_全链计算'!Z75+1,0),IF('01_数值调参'!X40&lt;0,'03_全链计算'!AA75+1,0),IF('01_数值调参'!X41&lt;0,'03_全链计算'!AB75+1,0),IF('01_数值调参'!X42&lt;0,'03_全链计算'!AC75+1,0),IF('01_数值调参'!X43&lt;0,'03_全链计算'!AD75+1,0),IF('01_数值调参'!X44&lt;0,'03_全链计算'!AE75+1,0),IF('01_数值调参'!X45&lt;0,'03_全链计算'!AF75+1,0),IF('01_数值调参'!X46&lt;0,'03_全链计算'!AG75+1,0),IF('01_数值调参'!X47&lt;0,'03_全链计算'!AH75+1,0),IF('01_数值调参'!X48&lt;0,'03_全链计算'!AI75+1,0),IF('01_数值调参'!X49&lt;0,'03_全链计算'!AJ75+1,0),IF('01_数值调参'!X50&lt;0,'03_全链计算'!AK75+1,0),IF('01_数值调参'!X51&lt;0,'03_全链计算'!AL75+1,0),IF('01_数值调参'!X52&lt;0,'03_全链计算'!AM75+1,0))</x:f>
        <x:v>2</x:v>
      </x:c>
      <x:c r="Y76" s="9" t="n">
        <x:f>MAX(IF('01_数值调参'!Y18&lt;0,'03_全链计算'!E75+1,0),IF('01_数值调参'!Y19&lt;0,'03_全链计算'!F75+1,0),IF('01_数值调参'!Y20&lt;0,'03_全链计算'!G75+1,0),IF('01_数值调参'!Y21&lt;0,'03_全链计算'!H75+1,0),IF('01_数值调参'!Y22&lt;0,'03_全链计算'!I75+1,0),IF('01_数值调参'!Y23&lt;0,'03_全链计算'!J75+1,0),IF('01_数值调参'!Y24&lt;0,'03_全链计算'!K75+1,0),IF('01_数值调参'!Y25&lt;0,'03_全链计算'!L75+1,0),IF('01_数值调参'!Y26&lt;0,'03_全链计算'!M75+1,0),IF('01_数值调参'!Y27&lt;0,'03_全链计算'!N75+1,0),IF('01_数值调参'!Y28&lt;0,'03_全链计算'!O75+1,0),IF('01_数值调参'!Y29&lt;0,'03_全链计算'!P75+1,0),IF('01_数值调参'!Y30&lt;0,'03_全链计算'!Q75+1,0),IF('01_数值调参'!Y31&lt;0,'03_全链计算'!R75+1,0),IF('01_数值调参'!Y32&lt;0,'03_全链计算'!S75+1,0),IF('01_数值调参'!Y33&lt;0,'03_全链计算'!T75+1,0),IF('01_数值调参'!Y34&lt;0,'03_全链计算'!U75+1,0),IF('01_数值调参'!Y35&lt;0,'03_全链计算'!V75+1,0),IF('01_数值调参'!Y36&lt;0,'03_全链计算'!W75+1,0),IF('01_数值调参'!Y37&lt;0,'03_全链计算'!X75+1,0),IF('01_数值调参'!Y38&lt;0,'03_全链计算'!Y75+1,0),IF('01_数值调参'!Y39&lt;0,'03_全链计算'!Z75+1,0),IF('01_数值调参'!Y40&lt;0,'03_全链计算'!AA75+1,0),IF('01_数值调参'!Y41&lt;0,'03_全链计算'!AB75+1,0),IF('01_数值调参'!Y42&lt;0,'03_全链计算'!AC75+1,0),IF('01_数值调参'!Y43&lt;0,'03_全链计算'!AD75+1,0),IF('01_数值调参'!Y44&lt;0,'03_全链计算'!AE75+1,0),IF('01_数值调参'!Y45&lt;0,'03_全链计算'!AF75+1,0),IF('01_数值调参'!Y46&lt;0,'03_全链计算'!AG75+1,0),IF('01_数值调参'!Y47&lt;0,'03_全链计算'!AH75+1,0),IF('01_数值调参'!Y48&lt;0,'03_全链计算'!AI75+1,0),IF('01_数值调参'!Y49&lt;0,'03_全链计算'!AJ75+1,0),IF('01_数值调参'!Y50&lt;0,'03_全链计算'!AK75+1,0),IF('01_数值调参'!Y51&lt;0,'03_全链计算'!AL75+1,0),IF('01_数值调参'!Y52&lt;0,'03_全链计算'!AM75+1,0))</x:f>
        <x:v>2</x:v>
      </x:c>
      <x:c r="Z76" s="9" t="n">
        <x:f>MAX(IF('01_数值调参'!Z18&lt;0,'03_全链计算'!E75+1,0),IF('01_数值调参'!Z19&lt;0,'03_全链计算'!F75+1,0),IF('01_数值调参'!Z20&lt;0,'03_全链计算'!G75+1,0),IF('01_数值调参'!Z21&lt;0,'03_全链计算'!H75+1,0),IF('01_数值调参'!Z22&lt;0,'03_全链计算'!I75+1,0),IF('01_数值调参'!Z23&lt;0,'03_全链计算'!J75+1,0),IF('01_数值调参'!Z24&lt;0,'03_全链计算'!K75+1,0),IF('01_数值调参'!Z25&lt;0,'03_全链计算'!L75+1,0),IF('01_数值调参'!Z26&lt;0,'03_全链计算'!M75+1,0),IF('01_数值调参'!Z27&lt;0,'03_全链计算'!N75+1,0),IF('01_数值调参'!Z28&lt;0,'03_全链计算'!O75+1,0),IF('01_数值调参'!Z29&lt;0,'03_全链计算'!P75+1,0),IF('01_数值调参'!Z30&lt;0,'03_全链计算'!Q75+1,0),IF('01_数值调参'!Z31&lt;0,'03_全链计算'!R75+1,0),IF('01_数值调参'!Z32&lt;0,'03_全链计算'!S75+1,0),IF('01_数值调参'!Z33&lt;0,'03_全链计算'!T75+1,0),IF('01_数值调参'!Z34&lt;0,'03_全链计算'!U75+1,0),IF('01_数值调参'!Z35&lt;0,'03_全链计算'!V75+1,0),IF('01_数值调参'!Z36&lt;0,'03_全链计算'!W75+1,0),IF('01_数值调参'!Z37&lt;0,'03_全链计算'!X75+1,0),IF('01_数值调参'!Z38&lt;0,'03_全链计算'!Y75+1,0),IF('01_数值调参'!Z39&lt;0,'03_全链计算'!Z75+1,0),IF('01_数值调参'!Z40&lt;0,'03_全链计算'!AA75+1,0),IF('01_数值调参'!Z41&lt;0,'03_全链计算'!AB75+1,0),IF('01_数值调参'!Z42&lt;0,'03_全链计算'!AC75+1,0),IF('01_数值调参'!Z43&lt;0,'03_全链计算'!AD75+1,0),IF('01_数值调参'!Z44&lt;0,'03_全链计算'!AE75+1,0),IF('01_数值调参'!Z45&lt;0,'03_全链计算'!AF75+1,0),IF('01_数值调参'!Z46&lt;0,'03_全链计算'!AG75+1,0),IF('01_数值调参'!Z47&lt;0,'03_全链计算'!AH75+1,0),IF('01_数值调参'!Z48&lt;0,'03_全链计算'!AI75+1,0),IF('01_数值调参'!Z49&lt;0,'03_全链计算'!AJ75+1,0),IF('01_数值调参'!Z50&lt;0,'03_全链计算'!AK75+1,0),IF('01_数值调参'!Z51&lt;0,'03_全链计算'!AL75+1,0),IF('01_数值调参'!Z52&lt;0,'03_全链计算'!AM75+1,0))</x:f>
        <x:v>2</x:v>
      </x:c>
      <x:c r="AA76" s="9" t="n">
        <x:f>MAX(IF('01_数值调参'!AA18&lt;0,'03_全链计算'!E75+1,0),IF('01_数值调参'!AA19&lt;0,'03_全链计算'!F75+1,0),IF('01_数值调参'!AA20&lt;0,'03_全链计算'!G75+1,0),IF('01_数值调参'!AA21&lt;0,'03_全链计算'!H75+1,0),IF('01_数值调参'!AA22&lt;0,'03_全链计算'!I75+1,0),IF('01_数值调参'!AA23&lt;0,'03_全链计算'!J75+1,0),IF('01_数值调参'!AA24&lt;0,'03_全链计算'!K75+1,0),IF('01_数值调参'!AA25&lt;0,'03_全链计算'!L75+1,0),IF('01_数值调参'!AA26&lt;0,'03_全链计算'!M75+1,0),IF('01_数值调参'!AA27&lt;0,'03_全链计算'!N75+1,0),IF('01_数值调参'!AA28&lt;0,'03_全链计算'!O75+1,0),IF('01_数值调参'!AA29&lt;0,'03_全链计算'!P75+1,0),IF('01_数值调参'!AA30&lt;0,'03_全链计算'!Q75+1,0),IF('01_数值调参'!AA31&lt;0,'03_全链计算'!R75+1,0),IF('01_数值调参'!AA32&lt;0,'03_全链计算'!S75+1,0),IF('01_数值调参'!AA33&lt;0,'03_全链计算'!T75+1,0),IF('01_数值调参'!AA34&lt;0,'03_全链计算'!U75+1,0),IF('01_数值调参'!AA35&lt;0,'03_全链计算'!V75+1,0),IF('01_数值调参'!AA36&lt;0,'03_全链计算'!W75+1,0),IF('01_数值调参'!AA37&lt;0,'03_全链计算'!X75+1,0),IF('01_数值调参'!AA38&lt;0,'03_全链计算'!Y75+1,0),IF('01_数值调参'!AA39&lt;0,'03_全链计算'!Z75+1,0),IF('01_数值调参'!AA40&lt;0,'03_全链计算'!AA75+1,0),IF('01_数值调参'!AA41&lt;0,'03_全链计算'!AB75+1,0),IF('01_数值调参'!AA42&lt;0,'03_全链计算'!AC75+1,0),IF('01_数值调参'!AA43&lt;0,'03_全链计算'!AD75+1,0),IF('01_数值调参'!AA44&lt;0,'03_全链计算'!AE75+1,0),IF('01_数值调参'!AA45&lt;0,'03_全链计算'!AF75+1,0),IF('01_数值调参'!AA46&lt;0,'03_全链计算'!AG75+1,0),IF('01_数值调参'!AA47&lt;0,'03_全链计算'!AH75+1,0),IF('01_数值调参'!AA48&lt;0,'03_全链计算'!AI75+1,0),IF('01_数值调参'!AA49&lt;0,'03_全链计算'!AJ75+1,0),IF('01_数值调参'!AA50&lt;0,'03_全链计算'!AK75+1,0),IF('01_数值调参'!AA51&lt;0,'03_全链计算'!AL75+1,0),IF('01_数值调参'!AA52&lt;0,'03_全链计算'!AM75+1,0))</x:f>
        <x:v>2</x:v>
      </x:c>
      <x:c r="AB76" s="9" t="n">
        <x:f>MAX(IF('01_数值调参'!AB18&lt;0,'03_全链计算'!E75+1,0),IF('01_数值调参'!AB19&lt;0,'03_全链计算'!F75+1,0),IF('01_数值调参'!AB20&lt;0,'03_全链计算'!G75+1,0),IF('01_数值调参'!AB21&lt;0,'03_全链计算'!H75+1,0),IF('01_数值调参'!AB22&lt;0,'03_全链计算'!I75+1,0),IF('01_数值调参'!AB23&lt;0,'03_全链计算'!J75+1,0),IF('01_数值调参'!AB24&lt;0,'03_全链计算'!K75+1,0),IF('01_数值调参'!AB25&lt;0,'03_全链计算'!L75+1,0),IF('01_数值调参'!AB26&lt;0,'03_全链计算'!M75+1,0),IF('01_数值调参'!AB27&lt;0,'03_全链计算'!N75+1,0),IF('01_数值调参'!AB28&lt;0,'03_全链计算'!O75+1,0),IF('01_数值调参'!AB29&lt;0,'03_全链计算'!P75+1,0),IF('01_数值调参'!AB30&lt;0,'03_全链计算'!Q75+1,0),IF('01_数值调参'!AB31&lt;0,'03_全链计算'!R75+1,0),IF('01_数值调参'!AB32&lt;0,'03_全链计算'!S75+1,0),IF('01_数值调参'!AB33&lt;0,'03_全链计算'!T75+1,0),IF('01_数值调参'!AB34&lt;0,'03_全链计算'!U75+1,0),IF('01_数值调参'!AB35&lt;0,'03_全链计算'!V75+1,0),IF('01_数值调参'!AB36&lt;0,'03_全链计算'!W75+1,0),IF('01_数值调参'!AB37&lt;0,'03_全链计算'!X75+1,0),IF('01_数值调参'!AB38&lt;0,'03_全链计算'!Y75+1,0),IF('01_数值调参'!AB39&lt;0,'03_全链计算'!Z75+1,0),IF('01_数值调参'!AB40&lt;0,'03_全链计算'!AA75+1,0),IF('01_数值调参'!AB41&lt;0,'03_全链计算'!AB75+1,0),IF('01_数值调参'!AB42&lt;0,'03_全链计算'!AC75+1,0),IF('01_数值调参'!AB43&lt;0,'03_全链计算'!AD75+1,0),IF('01_数值调参'!AB44&lt;0,'03_全链计算'!AE75+1,0),IF('01_数值调参'!AB45&lt;0,'03_全链计算'!AF75+1,0),IF('01_数值调参'!AB46&lt;0,'03_全链计算'!AG75+1,0),IF('01_数值调参'!AB47&lt;0,'03_全链计算'!AH75+1,0),IF('01_数值调参'!AB48&lt;0,'03_全链计算'!AI75+1,0),IF('01_数值调参'!AB49&lt;0,'03_全链计算'!AJ75+1,0),IF('01_数值调参'!AB50&lt;0,'03_全链计算'!AK75+1,0),IF('01_数值调参'!AB51&lt;0,'03_全链计算'!AL75+1,0),IF('01_数值调参'!AB52&lt;0,'03_全链计算'!AM75+1,0))</x:f>
        <x:v>2</x:v>
      </x:c>
      <x:c r="AC76" s="9" t="n">
        <x:f>MAX(IF('01_数值调参'!AC18&lt;0,'03_全链计算'!E75+1,0),IF('01_数值调参'!AC19&lt;0,'03_全链计算'!F75+1,0),IF('01_数值调参'!AC20&lt;0,'03_全链计算'!G75+1,0),IF('01_数值调参'!AC21&lt;0,'03_全链计算'!H75+1,0),IF('01_数值调参'!AC22&lt;0,'03_全链计算'!I75+1,0),IF('01_数值调参'!AC23&lt;0,'03_全链计算'!J75+1,0),IF('01_数值调参'!AC24&lt;0,'03_全链计算'!K75+1,0),IF('01_数值调参'!AC25&lt;0,'03_全链计算'!L75+1,0),IF('01_数值调参'!AC26&lt;0,'03_全链计算'!M75+1,0),IF('01_数值调参'!AC27&lt;0,'03_全链计算'!N75+1,0),IF('01_数值调参'!AC28&lt;0,'03_全链计算'!O75+1,0),IF('01_数值调参'!AC29&lt;0,'03_全链计算'!P75+1,0),IF('01_数值调参'!AC30&lt;0,'03_全链计算'!Q75+1,0),IF('01_数值调参'!AC31&lt;0,'03_全链计算'!R75+1,0),IF('01_数值调参'!AC32&lt;0,'03_全链计算'!S75+1,0),IF('01_数值调参'!AC33&lt;0,'03_全链计算'!T75+1,0),IF('01_数值调参'!AC34&lt;0,'03_全链计算'!U75+1,0),IF('01_数值调参'!AC35&lt;0,'03_全链计算'!V75+1,0),IF('01_数值调参'!AC36&lt;0,'03_全链计算'!W75+1,0),IF('01_数值调参'!AC37&lt;0,'03_全链计算'!X75+1,0),IF('01_数值调参'!AC38&lt;0,'03_全链计算'!Y75+1,0),IF('01_数值调参'!AC39&lt;0,'03_全链计算'!Z75+1,0),IF('01_数值调参'!AC40&lt;0,'03_全链计算'!AA75+1,0),IF('01_数值调参'!AC41&lt;0,'03_全链计算'!AB75+1,0),IF('01_数值调参'!AC42&lt;0,'03_全链计算'!AC75+1,0),IF('01_数值调参'!AC43&lt;0,'03_全链计算'!AD75+1,0),IF('01_数值调参'!AC44&lt;0,'03_全链计算'!AE75+1,0),IF('01_数值调参'!AC45&lt;0,'03_全链计算'!AF75+1,0),IF('01_数值调参'!AC46&lt;0,'03_全链计算'!AG75+1,0),IF('01_数值调参'!AC47&lt;0,'03_全链计算'!AH75+1,0),IF('01_数值调参'!AC48&lt;0,'03_全链计算'!AI75+1,0),IF('01_数值调参'!AC49&lt;0,'03_全链计算'!AJ75+1,0),IF('01_数值调参'!AC50&lt;0,'03_全链计算'!AK75+1,0),IF('01_数值调参'!AC51&lt;0,'03_全链计算'!AL75+1,0),IF('01_数值调参'!AC52&lt;0,'03_全链计算'!AM75+1,0))</x:f>
        <x:v>2</x:v>
      </x:c>
      <x:c r="AD76" s="9" t="n">
        <x:f>MAX(IF('01_数值调参'!AD18&lt;0,'03_全链计算'!E75+1,0),IF('01_数值调参'!AD19&lt;0,'03_全链计算'!F75+1,0),IF('01_数值调参'!AD20&lt;0,'03_全链计算'!G75+1,0),IF('01_数值调参'!AD21&lt;0,'03_全链计算'!H75+1,0),IF('01_数值调参'!AD22&lt;0,'03_全链计算'!I75+1,0),IF('01_数值调参'!AD23&lt;0,'03_全链计算'!J75+1,0),IF('01_数值调参'!AD24&lt;0,'03_全链计算'!K75+1,0),IF('01_数值调参'!AD25&lt;0,'03_全链计算'!L75+1,0),IF('01_数值调参'!AD26&lt;0,'03_全链计算'!M75+1,0),IF('01_数值调参'!AD27&lt;0,'03_全链计算'!N75+1,0),IF('01_数值调参'!AD28&lt;0,'03_全链计算'!O75+1,0),IF('01_数值调参'!AD29&lt;0,'03_全链计算'!P75+1,0),IF('01_数值调参'!AD30&lt;0,'03_全链计算'!Q75+1,0),IF('01_数值调参'!AD31&lt;0,'03_全链计算'!R75+1,0),IF('01_数值调参'!AD32&lt;0,'03_全链计算'!S75+1,0),IF('01_数值调参'!AD33&lt;0,'03_全链计算'!T75+1,0),IF('01_数值调参'!AD34&lt;0,'03_全链计算'!U75+1,0),IF('01_数值调参'!AD35&lt;0,'03_全链计算'!V75+1,0),IF('01_数值调参'!AD36&lt;0,'03_全链计算'!W75+1,0),IF('01_数值调参'!AD37&lt;0,'03_全链计算'!X75+1,0),IF('01_数值调参'!AD38&lt;0,'03_全链计算'!Y75+1,0),IF('01_数值调参'!AD39&lt;0,'03_全链计算'!Z75+1,0),IF('01_数值调参'!AD40&lt;0,'03_全链计算'!AA75+1,0),IF('01_数值调参'!AD41&lt;0,'03_全链计算'!AB75+1,0),IF('01_数值调参'!AD42&lt;0,'03_全链计算'!AC75+1,0),IF('01_数值调参'!AD43&lt;0,'03_全链计算'!AD75+1,0),IF('01_数值调参'!AD44&lt;0,'03_全链计算'!AE75+1,0),IF('01_数值调参'!AD45&lt;0,'03_全链计算'!AF75+1,0),IF('01_数值调参'!AD46&lt;0,'03_全链计算'!AG75+1,0),IF('01_数值调参'!AD47&lt;0,'03_全链计算'!AH75+1,0),IF('01_数值调参'!AD48&lt;0,'03_全链计算'!AI75+1,0),IF('01_数值调参'!AD49&lt;0,'03_全链计算'!AJ75+1,0),IF('01_数值调参'!AD50&lt;0,'03_全链计算'!AK75+1,0),IF('01_数值调参'!AD51&lt;0,'03_全链计算'!AL75+1,0),IF('01_数值调参'!AD52&lt;0,'03_全链计算'!AM75+1,0))</x:f>
        <x:v>1</x:v>
      </x:c>
      <x:c r="AE76" s="9" t="n">
        <x:f>MAX(IF('01_数值调参'!AE18&lt;0,'03_全链计算'!E75+1,0),IF('01_数值调参'!AE19&lt;0,'03_全链计算'!F75+1,0),IF('01_数值调参'!AE20&lt;0,'03_全链计算'!G75+1,0),IF('01_数值调参'!AE21&lt;0,'03_全链计算'!H75+1,0),IF('01_数值调参'!AE22&lt;0,'03_全链计算'!I75+1,0),IF('01_数值调参'!AE23&lt;0,'03_全链计算'!J75+1,0),IF('01_数值调参'!AE24&lt;0,'03_全链计算'!K75+1,0),IF('01_数值调参'!AE25&lt;0,'03_全链计算'!L75+1,0),IF('01_数值调参'!AE26&lt;0,'03_全链计算'!M75+1,0),IF('01_数值调参'!AE27&lt;0,'03_全链计算'!N75+1,0),IF('01_数值调参'!AE28&lt;0,'03_全链计算'!O75+1,0),IF('01_数值调参'!AE29&lt;0,'03_全链计算'!P75+1,0),IF('01_数值调参'!AE30&lt;0,'03_全链计算'!Q75+1,0),IF('01_数值调参'!AE31&lt;0,'03_全链计算'!R75+1,0),IF('01_数值调参'!AE32&lt;0,'03_全链计算'!S75+1,0),IF('01_数值调参'!AE33&lt;0,'03_全链计算'!T75+1,0),IF('01_数值调参'!AE34&lt;0,'03_全链计算'!U75+1,0),IF('01_数值调参'!AE35&lt;0,'03_全链计算'!V75+1,0),IF('01_数值调参'!AE36&lt;0,'03_全链计算'!W75+1,0),IF('01_数值调参'!AE37&lt;0,'03_全链计算'!X75+1,0),IF('01_数值调参'!AE38&lt;0,'03_全链计算'!Y75+1,0),IF('01_数值调参'!AE39&lt;0,'03_全链计算'!Z75+1,0),IF('01_数值调参'!AE40&lt;0,'03_全链计算'!AA75+1,0),IF('01_数值调参'!AE41&lt;0,'03_全链计算'!AB75+1,0),IF('01_数值调参'!AE42&lt;0,'03_全链计算'!AC75+1,0),IF('01_数值调参'!AE43&lt;0,'03_全链计算'!AD75+1,0),IF('01_数值调参'!AE44&lt;0,'03_全链计算'!AE75+1,0),IF('01_数值调参'!AE45&lt;0,'03_全链计算'!AF75+1,0),IF('01_数值调参'!AE46&lt;0,'03_全链计算'!AG75+1,0),IF('01_数值调参'!AE47&lt;0,'03_全链计算'!AH75+1,0),IF('01_数值调参'!AE48&lt;0,'03_全链计算'!AI75+1,0),IF('01_数值调参'!AE49&lt;0,'03_全链计算'!AJ75+1,0),IF('01_数值调参'!AE50&lt;0,'03_全链计算'!AK75+1,0),IF('01_数值调参'!AE51&lt;0,'03_全链计算'!AL75+1,0),IF('01_数值调参'!AE52&lt;0,'03_全链计算'!AM75+1,0))</x:f>
        <x:v>1</x:v>
      </x:c>
      <x:c r="AF76" s="9" t="n">
        <x:f>MAX(IF('01_数值调参'!AF18&lt;0,'03_全链计算'!E75+1,0),IF('01_数值调参'!AF19&lt;0,'03_全链计算'!F75+1,0),IF('01_数值调参'!AF20&lt;0,'03_全链计算'!G75+1,0),IF('01_数值调参'!AF21&lt;0,'03_全链计算'!H75+1,0),IF('01_数值调参'!AF22&lt;0,'03_全链计算'!I75+1,0),IF('01_数值调参'!AF23&lt;0,'03_全链计算'!J75+1,0),IF('01_数值调参'!AF24&lt;0,'03_全链计算'!K75+1,0),IF('01_数值调参'!AF25&lt;0,'03_全链计算'!L75+1,0),IF('01_数值调参'!AF26&lt;0,'03_全链计算'!M75+1,0),IF('01_数值调参'!AF27&lt;0,'03_全链计算'!N75+1,0),IF('01_数值调参'!AF28&lt;0,'03_全链计算'!O75+1,0),IF('01_数值调参'!AF29&lt;0,'03_全链计算'!P75+1,0),IF('01_数值调参'!AF30&lt;0,'03_全链计算'!Q75+1,0),IF('01_数值调参'!AF31&lt;0,'03_全链计算'!R75+1,0),IF('01_数值调参'!AF32&lt;0,'03_全链计算'!S75+1,0),IF('01_数值调参'!AF33&lt;0,'03_全链计算'!T75+1,0),IF('01_数值调参'!AF34&lt;0,'03_全链计算'!U75+1,0),IF('01_数值调参'!AF35&lt;0,'03_全链计算'!V75+1,0),IF('01_数值调参'!AF36&lt;0,'03_全链计算'!W75+1,0),IF('01_数值调参'!AF37&lt;0,'03_全链计算'!X75+1,0),IF('01_数值调参'!AF38&lt;0,'03_全链计算'!Y75+1,0),IF('01_数值调参'!AF39&lt;0,'03_全链计算'!Z75+1,0),IF('01_数值调参'!AF40&lt;0,'03_全链计算'!AA75+1,0),IF('01_数值调参'!AF41&lt;0,'03_全链计算'!AB75+1,0),IF('01_数值调参'!AF42&lt;0,'03_全链计算'!AC75+1,0),IF('01_数值调参'!AF43&lt;0,'03_全链计算'!AD75+1,0),IF('01_数值调参'!AF44&lt;0,'03_全链计算'!AE75+1,0),IF('01_数值调参'!AF45&lt;0,'03_全链计算'!AF75+1,0),IF('01_数值调参'!AF46&lt;0,'03_全链计算'!AG75+1,0),IF('01_数值调参'!AF47&lt;0,'03_全链计算'!AH75+1,0),IF('01_数值调参'!AF48&lt;0,'03_全链计算'!AI75+1,0),IF('01_数值调参'!AF49&lt;0,'03_全链计算'!AJ75+1,0),IF('01_数值调参'!AF50&lt;0,'03_全链计算'!AK75+1,0),IF('01_数值调参'!AF51&lt;0,'03_全链计算'!AL75+1,0),IF('01_数值调参'!AF52&lt;0,'03_全链计算'!AM75+1,0))</x:f>
        <x:v>1</x:v>
      </x:c>
      <x:c r="AG76" s="9" t="n">
        <x:f>MAX(IF('01_数值调参'!AG18&lt;0,'03_全链计算'!E75+1,0),IF('01_数值调参'!AG19&lt;0,'03_全链计算'!F75+1,0),IF('01_数值调参'!AG20&lt;0,'03_全链计算'!G75+1,0),IF('01_数值调参'!AG21&lt;0,'03_全链计算'!H75+1,0),IF('01_数值调参'!AG22&lt;0,'03_全链计算'!I75+1,0),IF('01_数值调参'!AG23&lt;0,'03_全链计算'!J75+1,0),IF('01_数值调参'!AG24&lt;0,'03_全链计算'!K75+1,0),IF('01_数值调参'!AG25&lt;0,'03_全链计算'!L75+1,0),IF('01_数值调参'!AG26&lt;0,'03_全链计算'!M75+1,0),IF('01_数值调参'!AG27&lt;0,'03_全链计算'!N75+1,0),IF('01_数值调参'!AG28&lt;0,'03_全链计算'!O75+1,0),IF('01_数值调参'!AG29&lt;0,'03_全链计算'!P75+1,0),IF('01_数值调参'!AG30&lt;0,'03_全链计算'!Q75+1,0),IF('01_数值调参'!AG31&lt;0,'03_全链计算'!R75+1,0),IF('01_数值调参'!AG32&lt;0,'03_全链计算'!S75+1,0),IF('01_数值调参'!AG33&lt;0,'03_全链计算'!T75+1,0),IF('01_数值调参'!AG34&lt;0,'03_全链计算'!U75+1,0),IF('01_数值调参'!AG35&lt;0,'03_全链计算'!V75+1,0),IF('01_数值调参'!AG36&lt;0,'03_全链计算'!W75+1,0),IF('01_数值调参'!AG37&lt;0,'03_全链计算'!X75+1,0),IF('01_数值调参'!AG38&lt;0,'03_全链计算'!Y75+1,0),IF('01_数值调参'!AG39&lt;0,'03_全链计算'!Z75+1,0),IF('01_数值调参'!AG40&lt;0,'03_全链计算'!AA75+1,0),IF('01_数值调参'!AG41&lt;0,'03_全链计算'!AB75+1,0),IF('01_数值调参'!AG42&lt;0,'03_全链计算'!AC75+1,0),IF('01_数值调参'!AG43&lt;0,'03_全链计算'!AD75+1,0),IF('01_数值调参'!AG44&lt;0,'03_全链计算'!AE75+1,0),IF('01_数值调参'!AG45&lt;0,'03_全链计算'!AF75+1,0),IF('01_数值调参'!AG46&lt;0,'03_全链计算'!AG75+1,0),IF('01_数值调参'!AG47&lt;0,'03_全链计算'!AH75+1,0),IF('01_数值调参'!AG48&lt;0,'03_全链计算'!AI75+1,0),IF('01_数值调参'!AG49&lt;0,'03_全链计算'!AJ75+1,0),IF('01_数值调参'!AG50&lt;0,'03_全链计算'!AK75+1,0),IF('01_数值调参'!AG51&lt;0,'03_全链计算'!AL75+1,0),IF('01_数值调参'!AG52&lt;0,'03_全链计算'!AM75+1,0))</x:f>
        <x:v>1</x:v>
      </x:c>
      <x:c r="AH76" s="9" t="n">
        <x:f>MAX(IF('01_数值调参'!AH18&lt;0,'03_全链计算'!E75+1,0),IF('01_数值调参'!AH19&lt;0,'03_全链计算'!F75+1,0),IF('01_数值调参'!AH20&lt;0,'03_全链计算'!G75+1,0),IF('01_数值调参'!AH21&lt;0,'03_全链计算'!H75+1,0),IF('01_数值调参'!AH22&lt;0,'03_全链计算'!I75+1,0),IF('01_数值调参'!AH23&lt;0,'03_全链计算'!J75+1,0),IF('01_数值调参'!AH24&lt;0,'03_全链计算'!K75+1,0),IF('01_数值调参'!AH25&lt;0,'03_全链计算'!L75+1,0),IF('01_数值调参'!AH26&lt;0,'03_全链计算'!M75+1,0),IF('01_数值调参'!AH27&lt;0,'03_全链计算'!N75+1,0),IF('01_数值调参'!AH28&lt;0,'03_全链计算'!O75+1,0),IF('01_数值调参'!AH29&lt;0,'03_全链计算'!P75+1,0),IF('01_数值调参'!AH30&lt;0,'03_全链计算'!Q75+1,0),IF('01_数值调参'!AH31&lt;0,'03_全链计算'!R75+1,0),IF('01_数值调参'!AH32&lt;0,'03_全链计算'!S75+1,0),IF('01_数值调参'!AH33&lt;0,'03_全链计算'!T75+1,0),IF('01_数值调参'!AH34&lt;0,'03_全链计算'!U75+1,0),IF('01_数值调参'!AH35&lt;0,'03_全链计算'!V75+1,0),IF('01_数值调参'!AH36&lt;0,'03_全链计算'!W75+1,0),IF('01_数值调参'!AH37&lt;0,'03_全链计算'!X75+1,0),IF('01_数值调参'!AH38&lt;0,'03_全链计算'!Y75+1,0),IF('01_数值调参'!AH39&lt;0,'03_全链计算'!Z75+1,0),IF('01_数值调参'!AH40&lt;0,'03_全链计算'!AA75+1,0),IF('01_数值调参'!AH41&lt;0,'03_全链计算'!AB75+1,0),IF('01_数值调参'!AH42&lt;0,'03_全链计算'!AC75+1,0),IF('01_数值调参'!AH43&lt;0,'03_全链计算'!AD75+1,0),IF('01_数值调参'!AH44&lt;0,'03_全链计算'!AE75+1,0),IF('01_数值调参'!AH45&lt;0,'03_全链计算'!AF75+1,0),IF('01_数值调参'!AH46&lt;0,'03_全链计算'!AG75+1,0),IF('01_数值调参'!AH47&lt;0,'03_全链计算'!AH75+1,0),IF('01_数值调参'!AH48&lt;0,'03_全链计算'!AI75+1,0),IF('01_数值调参'!AH49&lt;0,'03_全链计算'!AJ75+1,0),IF('01_数值调参'!AH50&lt;0,'03_全链计算'!AK75+1,0),IF('01_数值调参'!AH51&lt;0,'03_全链计算'!AL75+1,0),IF('01_数值调参'!AH52&lt;0,'03_全链计算'!AM75+1,0))</x:f>
        <x:v>2</x:v>
      </x:c>
      <x:c r="AI76" s="9" t="n">
        <x:f>MAX(IF('01_数值调参'!AI18&lt;0,'03_全链计算'!E75+1,0),IF('01_数值调参'!AI19&lt;0,'03_全链计算'!F75+1,0),IF('01_数值调参'!AI20&lt;0,'03_全链计算'!G75+1,0),IF('01_数值调参'!AI21&lt;0,'03_全链计算'!H75+1,0),IF('01_数值调参'!AI22&lt;0,'03_全链计算'!I75+1,0),IF('01_数值调参'!AI23&lt;0,'03_全链计算'!J75+1,0),IF('01_数值调参'!AI24&lt;0,'03_全链计算'!K75+1,0),IF('01_数值调参'!AI25&lt;0,'03_全链计算'!L75+1,0),IF('01_数值调参'!AI26&lt;0,'03_全链计算'!M75+1,0),IF('01_数值调参'!AI27&lt;0,'03_全链计算'!N75+1,0),IF('01_数值调参'!AI28&lt;0,'03_全链计算'!O75+1,0),IF('01_数值调参'!AI29&lt;0,'03_全链计算'!P75+1,0),IF('01_数值调参'!AI30&lt;0,'03_全链计算'!Q75+1,0),IF('01_数值调参'!AI31&lt;0,'03_全链计算'!R75+1,0),IF('01_数值调参'!AI32&lt;0,'03_全链计算'!S75+1,0),IF('01_数值调参'!AI33&lt;0,'03_全链计算'!T75+1,0),IF('01_数值调参'!AI34&lt;0,'03_全链计算'!U75+1,0),IF('01_数值调参'!AI35&lt;0,'03_全链计算'!V75+1,0),IF('01_数值调参'!AI36&lt;0,'03_全链计算'!W75+1,0),IF('01_数值调参'!AI37&lt;0,'03_全链计算'!X75+1,0),IF('01_数值调参'!AI38&lt;0,'03_全链计算'!Y75+1,0),IF('01_数值调参'!AI39&lt;0,'03_全链计算'!Z75+1,0),IF('01_数值调参'!AI40&lt;0,'03_全链计算'!AA75+1,0),IF('01_数值调参'!AI41&lt;0,'03_全链计算'!AB75+1,0),IF('01_数值调参'!AI42&lt;0,'03_全链计算'!AC75+1,0),IF('01_数值调参'!AI43&lt;0,'03_全链计算'!AD75+1,0),IF('01_数值调参'!AI44&lt;0,'03_全链计算'!AE75+1,0),IF('01_数值调参'!AI45&lt;0,'03_全链计算'!AF75+1,0),IF('01_数值调参'!AI46&lt;0,'03_全链计算'!AG75+1,0),IF('01_数值调参'!AI47&lt;0,'03_全链计算'!AH75+1,0),IF('01_数值调参'!AI48&lt;0,'03_全链计算'!AI75+1,0),IF('01_数值调参'!AI49&lt;0,'03_全链计算'!AJ75+1,0),IF('01_数值调参'!AI50&lt;0,'03_全链计算'!AK75+1,0),IF('01_数值调参'!AI51&lt;0,'03_全链计算'!AL75+1,0),IF('01_数值调参'!AI52&lt;0,'03_全链计算'!AM75+1,0))</x:f>
        <x:v>2</x:v>
      </x:c>
      <x:c r="AJ76" s="9" t="n">
        <x:f>MAX(IF('01_数值调参'!AJ18&lt;0,'03_全链计算'!E75+1,0),IF('01_数值调参'!AJ19&lt;0,'03_全链计算'!F75+1,0),IF('01_数值调参'!AJ20&lt;0,'03_全链计算'!G75+1,0),IF('01_数值调参'!AJ21&lt;0,'03_全链计算'!H75+1,0),IF('01_数值调参'!AJ22&lt;0,'03_全链计算'!I75+1,0),IF('01_数值调参'!AJ23&lt;0,'03_全链计算'!J75+1,0),IF('01_数值调参'!AJ24&lt;0,'03_全链计算'!K75+1,0),IF('01_数值调参'!AJ25&lt;0,'03_全链计算'!L75+1,0),IF('01_数值调参'!AJ26&lt;0,'03_全链计算'!M75+1,0),IF('01_数值调参'!AJ27&lt;0,'03_全链计算'!N75+1,0),IF('01_数值调参'!AJ28&lt;0,'03_全链计算'!O75+1,0),IF('01_数值调参'!AJ29&lt;0,'03_全链计算'!P75+1,0),IF('01_数值调参'!AJ30&lt;0,'03_全链计算'!Q75+1,0),IF('01_数值调参'!AJ31&lt;0,'03_全链计算'!R75+1,0),IF('01_数值调参'!AJ32&lt;0,'03_全链计算'!S75+1,0),IF('01_数值调参'!AJ33&lt;0,'03_全链计算'!T75+1,0),IF('01_数值调参'!AJ34&lt;0,'03_全链计算'!U75+1,0),IF('01_数值调参'!AJ35&lt;0,'03_全链计算'!V75+1,0),IF('01_数值调参'!AJ36&lt;0,'03_全链计算'!W75+1,0),IF('01_数值调参'!AJ37&lt;0,'03_全链计算'!X75+1,0),IF('01_数值调参'!AJ38&lt;0,'03_全链计算'!Y75+1,0),IF('01_数值调参'!AJ39&lt;0,'03_全链计算'!Z75+1,0),IF('01_数值调参'!AJ40&lt;0,'03_全链计算'!AA75+1,0),IF('01_数值调参'!AJ41&lt;0,'03_全链计算'!AB75+1,0),IF('01_数值调参'!AJ42&lt;0,'03_全链计算'!AC75+1,0),IF('01_数值调参'!AJ43&lt;0,'03_全链计算'!AD75+1,0),IF('01_数值调参'!AJ44&lt;0,'03_全链计算'!AE75+1,0),IF('01_数值调参'!AJ45&lt;0,'03_全链计算'!AF75+1,0),IF('01_数值调参'!AJ46&lt;0,'03_全链计算'!AG75+1,0),IF('01_数值调参'!AJ47&lt;0,'03_全链计算'!AH75+1,0),IF('01_数值调参'!AJ48&lt;0,'03_全链计算'!AI75+1,0),IF('01_数值调参'!AJ49&lt;0,'03_全链计算'!AJ75+1,0),IF('01_数值调参'!AJ50&lt;0,'03_全链计算'!AK75+1,0),IF('01_数值调参'!AJ51&lt;0,'03_全链计算'!AL75+1,0),IF('01_数值调参'!AJ52&lt;0,'03_全链计算'!AM75+1,0))</x:f>
        <x:v>2</x:v>
      </x:c>
      <x:c r="AK76" s="9" t="n">
        <x:f>MAX(IF('01_数值调参'!AK18&lt;0,'03_全链计算'!E75+1,0),IF('01_数值调参'!AK19&lt;0,'03_全链计算'!F75+1,0),IF('01_数值调参'!AK20&lt;0,'03_全链计算'!G75+1,0),IF('01_数值调参'!AK21&lt;0,'03_全链计算'!H75+1,0),IF('01_数值调参'!AK22&lt;0,'03_全链计算'!I75+1,0),IF('01_数值调参'!AK23&lt;0,'03_全链计算'!J75+1,0),IF('01_数值调参'!AK24&lt;0,'03_全链计算'!K75+1,0),IF('01_数值调参'!AK25&lt;0,'03_全链计算'!L75+1,0),IF('01_数值调参'!AK26&lt;0,'03_全链计算'!M75+1,0),IF('01_数值调参'!AK27&lt;0,'03_全链计算'!N75+1,0),IF('01_数值调参'!AK28&lt;0,'03_全链计算'!O75+1,0),IF('01_数值调参'!AK29&lt;0,'03_全链计算'!P75+1,0),IF('01_数值调参'!AK30&lt;0,'03_全链计算'!Q75+1,0),IF('01_数值调参'!AK31&lt;0,'03_全链计算'!R75+1,0),IF('01_数值调参'!AK32&lt;0,'03_全链计算'!S75+1,0),IF('01_数值调参'!AK33&lt;0,'03_全链计算'!T75+1,0),IF('01_数值调参'!AK34&lt;0,'03_全链计算'!U75+1,0),IF('01_数值调参'!AK35&lt;0,'03_全链计算'!V75+1,0),IF('01_数值调参'!AK36&lt;0,'03_全链计算'!W75+1,0),IF('01_数值调参'!AK37&lt;0,'03_全链计算'!X75+1,0),IF('01_数值调参'!AK38&lt;0,'03_全链计算'!Y75+1,0),IF('01_数值调参'!AK39&lt;0,'03_全链计算'!Z75+1,0),IF('01_数值调参'!AK40&lt;0,'03_全链计算'!AA75+1,0),IF('01_数值调参'!AK41&lt;0,'03_全链计算'!AB75+1,0),IF('01_数值调参'!AK42&lt;0,'03_全链计算'!AC75+1,0),IF('01_数值调参'!AK43&lt;0,'03_全链计算'!AD75+1,0),IF('01_数值调参'!AK44&lt;0,'03_全链计算'!AE75+1,0),IF('01_数值调参'!AK45&lt;0,'03_全链计算'!AF75+1,0),IF('01_数值调参'!AK46&lt;0,'03_全链计算'!AG75+1,0),IF('01_数值调参'!AK47&lt;0,'03_全链计算'!AH75+1,0),IF('01_数值调参'!AK48&lt;0,'03_全链计算'!AI75+1,0),IF('01_数值调参'!AK49&lt;0,'03_全链计算'!AJ75+1,0),IF('01_数值调参'!AK50&lt;0,'03_全链计算'!AK75+1,0),IF('01_数值调参'!AK51&lt;0,'03_全链计算'!AL75+1,0),IF('01_数值调参'!AK52&lt;0,'03_全链计算'!AM75+1,0))</x:f>
        <x:v>2</x:v>
      </x:c>
      <x:c r="AL76" s="9" t="n">
        <x:f>MAX(IF('01_数值调参'!AL18&lt;0,'03_全链计算'!E75+1,0),IF('01_数值调参'!AL19&lt;0,'03_全链计算'!F75+1,0),IF('01_数值调参'!AL20&lt;0,'03_全链计算'!G75+1,0),IF('01_数值调参'!AL21&lt;0,'03_全链计算'!H75+1,0),IF('01_数值调参'!AL22&lt;0,'03_全链计算'!I75+1,0),IF('01_数值调参'!AL23&lt;0,'03_全链计算'!J75+1,0),IF('01_数值调参'!AL24&lt;0,'03_全链计算'!K75+1,0),IF('01_数值调参'!AL25&lt;0,'03_全链计算'!L75+1,0),IF('01_数值调参'!AL26&lt;0,'03_全链计算'!M75+1,0),IF('01_数值调参'!AL27&lt;0,'03_全链计算'!N75+1,0),IF('01_数值调参'!AL28&lt;0,'03_全链计算'!O75+1,0),IF('01_数值调参'!AL29&lt;0,'03_全链计算'!P75+1,0),IF('01_数值调参'!AL30&lt;0,'03_全链计算'!Q75+1,0),IF('01_数值调参'!AL31&lt;0,'03_全链计算'!R75+1,0),IF('01_数值调参'!AL32&lt;0,'03_全链计算'!S75+1,0),IF('01_数值调参'!AL33&lt;0,'03_全链计算'!T75+1,0),IF('01_数值调参'!AL34&lt;0,'03_全链计算'!U75+1,0),IF('01_数值调参'!AL35&lt;0,'03_全链计算'!V75+1,0),IF('01_数值调参'!AL36&lt;0,'03_全链计算'!W75+1,0),IF('01_数值调参'!AL37&lt;0,'03_全链计算'!X75+1,0),IF('01_数值调参'!AL38&lt;0,'03_全链计算'!Y75+1,0),IF('01_数值调参'!AL39&lt;0,'03_全链计算'!Z75+1,0),IF('01_数值调参'!AL40&lt;0,'03_全链计算'!AA75+1,0),IF('01_数值调参'!AL41&lt;0,'03_全链计算'!AB75+1,0),IF('01_数值调参'!AL42&lt;0,'03_全链计算'!AC75+1,0),IF('01_数值调参'!AL43&lt;0,'03_全链计算'!AD75+1,0),IF('01_数值调参'!AL44&lt;0,'03_全链计算'!AE75+1,0),IF('01_数值调参'!AL45&lt;0,'03_全链计算'!AF75+1,0),IF('01_数值调参'!AL46&lt;0,'03_全链计算'!AG75+1,0),IF('01_数值调参'!AL47&lt;0,'03_全链计算'!AH75+1,0),IF('01_数值调参'!AL48&lt;0,'03_全链计算'!AI75+1,0),IF('01_数值调参'!AL49&lt;0,'03_全链计算'!AJ75+1,0),IF('01_数值调参'!AL50&lt;0,'03_全链计算'!AK75+1,0),IF('01_数值调参'!AL51&lt;0,'03_全链计算'!AL75+1,0),IF('01_数值调参'!AL52&lt;0,'03_全链计算'!AM75+1,0))</x:f>
        <x:v>3</x:v>
      </x:c>
      <x:c r="AM76" s="9" t="n">
        <x:f>MAX(IF('01_数值调参'!AM18&lt;0,'03_全链计算'!E75+1,0),IF('01_数值调参'!AM19&lt;0,'03_全链计算'!F75+1,0),IF('01_数值调参'!AM20&lt;0,'03_全链计算'!G75+1,0),IF('01_数值调参'!AM21&lt;0,'03_全链计算'!H75+1,0),IF('01_数值调参'!AM22&lt;0,'03_全链计算'!I75+1,0),IF('01_数值调参'!AM23&lt;0,'03_全链计算'!J75+1,0),IF('01_数值调参'!AM24&lt;0,'03_全链计算'!K75+1,0),IF('01_数值调参'!AM25&lt;0,'03_全链计算'!L75+1,0),IF('01_数值调参'!AM26&lt;0,'03_全链计算'!M75+1,0),IF('01_数值调参'!AM27&lt;0,'03_全链计算'!N75+1,0),IF('01_数值调参'!AM28&lt;0,'03_全链计算'!O75+1,0),IF('01_数值调参'!AM29&lt;0,'03_全链计算'!P75+1,0),IF('01_数值调参'!AM30&lt;0,'03_全链计算'!Q75+1,0),IF('01_数值调参'!AM31&lt;0,'03_全链计算'!R75+1,0),IF('01_数值调参'!AM32&lt;0,'03_全链计算'!S75+1,0),IF('01_数值调参'!AM33&lt;0,'03_全链计算'!T75+1,0),IF('01_数值调参'!AM34&lt;0,'03_全链计算'!U75+1,0),IF('01_数值调参'!AM35&lt;0,'03_全链计算'!V75+1,0),IF('01_数值调参'!AM36&lt;0,'03_全链计算'!W75+1,0),IF('01_数值调参'!AM37&lt;0,'03_全链计算'!X75+1,0),IF('01_数值调参'!AM38&lt;0,'03_全链计算'!Y75+1,0),IF('01_数值调参'!AM39&lt;0,'03_全链计算'!Z75+1,0),IF('01_数值调参'!AM40&lt;0,'03_全链计算'!AA75+1,0),IF('01_数值调参'!AM41&lt;0,'03_全链计算'!AB75+1,0),IF('01_数值调参'!AM42&lt;0,'03_全链计算'!AC75+1,0),IF('01_数值调参'!AM43&lt;0,'03_全链计算'!AD75+1,0),IF('01_数值调参'!AM44&lt;0,'03_全链计算'!AE75+1,0),IF('01_数值调参'!AM45&lt;0,'03_全链计算'!AF75+1,0),IF('01_数值调参'!AM46&lt;0,'03_全链计算'!AG75+1,0),IF('01_数值调参'!AM47&lt;0,'03_全链计算'!AH75+1,0),IF('01_数值调参'!AM48&lt;0,'03_全链计算'!AI75+1,0),IF('01_数值调参'!AM49&lt;0,'03_全链计算'!AJ75+1,0),IF('01_数值调参'!AM50&lt;0,'03_全链计算'!AK75+1,0),IF('01_数值调参'!AM51&lt;0,'03_全链计算'!AL75+1,0),IF('01_数值调参'!AM52&lt;0,'03_全链计算'!AM75+1,0))</x:f>
        <x:v>3</x:v>
      </x:c>
    </x:row>
    <x:row r="77" ht="22" customHeight="1">
      <x:c r="A77" s="9" t="n">
        <x:v>32</x:v>
      </x:c>
      <x:c r="B77" s="9"/>
      <x:c r="C77" s="9"/>
      <x:c r="D77" s="9"/>
      <x:c r="E77" s="9" t="n">
        <x:f>MAX(IF('01_数值调参'!E18&lt;0,'03_全链计算'!E76+1,0),IF('01_数值调参'!E19&lt;0,'03_全链计算'!F76+1,0),IF('01_数值调参'!E20&lt;0,'03_全链计算'!G76+1,0),IF('01_数值调参'!E21&lt;0,'03_全链计算'!H76+1,0),IF('01_数值调参'!E22&lt;0,'03_全链计算'!I76+1,0),IF('01_数值调参'!E23&lt;0,'03_全链计算'!J76+1,0),IF('01_数值调参'!E24&lt;0,'03_全链计算'!K76+1,0),IF('01_数值调参'!E25&lt;0,'03_全链计算'!L76+1,0),IF('01_数值调参'!E26&lt;0,'03_全链计算'!M76+1,0),IF('01_数值调参'!E27&lt;0,'03_全链计算'!N76+1,0),IF('01_数值调参'!E28&lt;0,'03_全链计算'!O76+1,0),IF('01_数值调参'!E29&lt;0,'03_全链计算'!P76+1,0),IF('01_数值调参'!E30&lt;0,'03_全链计算'!Q76+1,0),IF('01_数值调参'!E31&lt;0,'03_全链计算'!R76+1,0),IF('01_数值调参'!E32&lt;0,'03_全链计算'!S76+1,0),IF('01_数值调参'!E33&lt;0,'03_全链计算'!T76+1,0),IF('01_数值调参'!E34&lt;0,'03_全链计算'!U76+1,0),IF('01_数值调参'!E35&lt;0,'03_全链计算'!V76+1,0),IF('01_数值调参'!E36&lt;0,'03_全链计算'!W76+1,0),IF('01_数值调参'!E37&lt;0,'03_全链计算'!X76+1,0),IF('01_数值调参'!E38&lt;0,'03_全链计算'!Y76+1,0),IF('01_数值调参'!E39&lt;0,'03_全链计算'!Z76+1,0),IF('01_数值调参'!E40&lt;0,'03_全链计算'!AA76+1,0),IF('01_数值调参'!E41&lt;0,'03_全链计算'!AB76+1,0),IF('01_数值调参'!E42&lt;0,'03_全链计算'!AC76+1,0),IF('01_数值调参'!E43&lt;0,'03_全链计算'!AD76+1,0),IF('01_数值调参'!E44&lt;0,'03_全链计算'!AE76+1,0),IF('01_数值调参'!E45&lt;0,'03_全链计算'!AF76+1,0),IF('01_数值调参'!E46&lt;0,'03_全链计算'!AG76+1,0),IF('01_数值调参'!E47&lt;0,'03_全链计算'!AH76+1,0),IF('01_数值调参'!E48&lt;0,'03_全链计算'!AI76+1,0),IF('01_数值调参'!E49&lt;0,'03_全链计算'!AJ76+1,0),IF('01_数值调参'!E50&lt;0,'03_全链计算'!AK76+1,0),IF('01_数值调参'!E51&lt;0,'03_全链计算'!AL76+1,0),IF('01_数值调参'!E52&lt;0,'03_全链计算'!AM76+1,0))</x:f>
        <x:v>0</x:v>
      </x:c>
      <x:c r="F77" s="9" t="n">
        <x:f>MAX(IF('01_数值调参'!F18&lt;0,'03_全链计算'!E76+1,0),IF('01_数值调参'!F19&lt;0,'03_全链计算'!F76+1,0),IF('01_数值调参'!F20&lt;0,'03_全链计算'!G76+1,0),IF('01_数值调参'!F21&lt;0,'03_全链计算'!H76+1,0),IF('01_数值调参'!F22&lt;0,'03_全链计算'!I76+1,0),IF('01_数值调参'!F23&lt;0,'03_全链计算'!J76+1,0),IF('01_数值调参'!F24&lt;0,'03_全链计算'!K76+1,0),IF('01_数值调参'!F25&lt;0,'03_全链计算'!L76+1,0),IF('01_数值调参'!F26&lt;0,'03_全链计算'!M76+1,0),IF('01_数值调参'!F27&lt;0,'03_全链计算'!N76+1,0),IF('01_数值调参'!F28&lt;0,'03_全链计算'!O76+1,0),IF('01_数值调参'!F29&lt;0,'03_全链计算'!P76+1,0),IF('01_数值调参'!F30&lt;0,'03_全链计算'!Q76+1,0),IF('01_数值调参'!F31&lt;0,'03_全链计算'!R76+1,0),IF('01_数值调参'!F32&lt;0,'03_全链计算'!S76+1,0),IF('01_数值调参'!F33&lt;0,'03_全链计算'!T76+1,0),IF('01_数值调参'!F34&lt;0,'03_全链计算'!U76+1,0),IF('01_数值调参'!F35&lt;0,'03_全链计算'!V76+1,0),IF('01_数值调参'!F36&lt;0,'03_全链计算'!W76+1,0),IF('01_数值调参'!F37&lt;0,'03_全链计算'!X76+1,0),IF('01_数值调参'!F38&lt;0,'03_全链计算'!Y76+1,0),IF('01_数值调参'!F39&lt;0,'03_全链计算'!Z76+1,0),IF('01_数值调参'!F40&lt;0,'03_全链计算'!AA76+1,0),IF('01_数值调参'!F41&lt;0,'03_全链计算'!AB76+1,0),IF('01_数值调参'!F42&lt;0,'03_全链计算'!AC76+1,0),IF('01_数值调参'!F43&lt;0,'03_全链计算'!AD76+1,0),IF('01_数值调参'!F44&lt;0,'03_全链计算'!AE76+1,0),IF('01_数值调参'!F45&lt;0,'03_全链计算'!AF76+1,0),IF('01_数值调参'!F46&lt;0,'03_全链计算'!AG76+1,0),IF('01_数值调参'!F47&lt;0,'03_全链计算'!AH76+1,0),IF('01_数值调参'!F48&lt;0,'03_全链计算'!AI76+1,0),IF('01_数值调参'!F49&lt;0,'03_全链计算'!AJ76+1,0),IF('01_数值调参'!F50&lt;0,'03_全链计算'!AK76+1,0),IF('01_数值调参'!F51&lt;0,'03_全链计算'!AL76+1,0),IF('01_数值调参'!F52&lt;0,'03_全链计算'!AM76+1,0))</x:f>
        <x:v>0</x:v>
      </x:c>
      <x:c r="G77" s="9" t="n">
        <x:f>MAX(IF('01_数值调参'!G18&lt;0,'03_全链计算'!E76+1,0),IF('01_数值调参'!G19&lt;0,'03_全链计算'!F76+1,0),IF('01_数值调参'!G20&lt;0,'03_全链计算'!G76+1,0),IF('01_数值调参'!G21&lt;0,'03_全链计算'!H76+1,0),IF('01_数值调参'!G22&lt;0,'03_全链计算'!I76+1,0),IF('01_数值调参'!G23&lt;0,'03_全链计算'!J76+1,0),IF('01_数值调参'!G24&lt;0,'03_全链计算'!K76+1,0),IF('01_数值调参'!G25&lt;0,'03_全链计算'!L76+1,0),IF('01_数值调参'!G26&lt;0,'03_全链计算'!M76+1,0),IF('01_数值调参'!G27&lt;0,'03_全链计算'!N76+1,0),IF('01_数值调参'!G28&lt;0,'03_全链计算'!O76+1,0),IF('01_数值调参'!G29&lt;0,'03_全链计算'!P76+1,0),IF('01_数值调参'!G30&lt;0,'03_全链计算'!Q76+1,0),IF('01_数值调参'!G31&lt;0,'03_全链计算'!R76+1,0),IF('01_数值调参'!G32&lt;0,'03_全链计算'!S76+1,0),IF('01_数值调参'!G33&lt;0,'03_全链计算'!T76+1,0),IF('01_数值调参'!G34&lt;0,'03_全链计算'!U76+1,0),IF('01_数值调参'!G35&lt;0,'03_全链计算'!V76+1,0),IF('01_数值调参'!G36&lt;0,'03_全链计算'!W76+1,0),IF('01_数值调参'!G37&lt;0,'03_全链计算'!X76+1,0),IF('01_数值调参'!G38&lt;0,'03_全链计算'!Y76+1,0),IF('01_数值调参'!G39&lt;0,'03_全链计算'!Z76+1,0),IF('01_数值调参'!G40&lt;0,'03_全链计算'!AA76+1,0),IF('01_数值调参'!G41&lt;0,'03_全链计算'!AB76+1,0),IF('01_数值调参'!G42&lt;0,'03_全链计算'!AC76+1,0),IF('01_数值调参'!G43&lt;0,'03_全链计算'!AD76+1,0),IF('01_数值调参'!G44&lt;0,'03_全链计算'!AE76+1,0),IF('01_数值调参'!G45&lt;0,'03_全链计算'!AF76+1,0),IF('01_数值调参'!G46&lt;0,'03_全链计算'!AG76+1,0),IF('01_数值调参'!G47&lt;0,'03_全链计算'!AH76+1,0),IF('01_数值调参'!G48&lt;0,'03_全链计算'!AI76+1,0),IF('01_数值调参'!G49&lt;0,'03_全链计算'!AJ76+1,0),IF('01_数值调参'!G50&lt;0,'03_全链计算'!AK76+1,0),IF('01_数值调参'!G51&lt;0,'03_全链计算'!AL76+1,0),IF('01_数值调参'!G52&lt;0,'03_全链计算'!AM76+1,0))</x:f>
        <x:v>0</x:v>
      </x:c>
      <x:c r="H77" s="9" t="n">
        <x:f>MAX(IF('01_数值调参'!H18&lt;0,'03_全链计算'!E76+1,0),IF('01_数值调参'!H19&lt;0,'03_全链计算'!F76+1,0),IF('01_数值调参'!H20&lt;0,'03_全链计算'!G76+1,0),IF('01_数值调参'!H21&lt;0,'03_全链计算'!H76+1,0),IF('01_数值调参'!H22&lt;0,'03_全链计算'!I76+1,0),IF('01_数值调参'!H23&lt;0,'03_全链计算'!J76+1,0),IF('01_数值调参'!H24&lt;0,'03_全链计算'!K76+1,0),IF('01_数值调参'!H25&lt;0,'03_全链计算'!L76+1,0),IF('01_数值调参'!H26&lt;0,'03_全链计算'!M76+1,0),IF('01_数值调参'!H27&lt;0,'03_全链计算'!N76+1,0),IF('01_数值调参'!H28&lt;0,'03_全链计算'!O76+1,0),IF('01_数值调参'!H29&lt;0,'03_全链计算'!P76+1,0),IF('01_数值调参'!H30&lt;0,'03_全链计算'!Q76+1,0),IF('01_数值调参'!H31&lt;0,'03_全链计算'!R76+1,0),IF('01_数值调参'!H32&lt;0,'03_全链计算'!S76+1,0),IF('01_数值调参'!H33&lt;0,'03_全链计算'!T76+1,0),IF('01_数值调参'!H34&lt;0,'03_全链计算'!U76+1,0),IF('01_数值调参'!H35&lt;0,'03_全链计算'!V76+1,0),IF('01_数值调参'!H36&lt;0,'03_全链计算'!W76+1,0),IF('01_数值调参'!H37&lt;0,'03_全链计算'!X76+1,0),IF('01_数值调参'!H38&lt;0,'03_全链计算'!Y76+1,0),IF('01_数值调参'!H39&lt;0,'03_全链计算'!Z76+1,0),IF('01_数值调参'!H40&lt;0,'03_全链计算'!AA76+1,0),IF('01_数值调参'!H41&lt;0,'03_全链计算'!AB76+1,0),IF('01_数值调参'!H42&lt;0,'03_全链计算'!AC76+1,0),IF('01_数值调参'!H43&lt;0,'03_全链计算'!AD76+1,0),IF('01_数值调参'!H44&lt;0,'03_全链计算'!AE76+1,0),IF('01_数值调参'!H45&lt;0,'03_全链计算'!AF76+1,0),IF('01_数值调参'!H46&lt;0,'03_全链计算'!AG76+1,0),IF('01_数值调参'!H47&lt;0,'03_全链计算'!AH76+1,0),IF('01_数值调参'!H48&lt;0,'03_全链计算'!AI76+1,0),IF('01_数值调参'!H49&lt;0,'03_全链计算'!AJ76+1,0),IF('01_数值调参'!H50&lt;0,'03_全链计算'!AK76+1,0),IF('01_数值调参'!H51&lt;0,'03_全链计算'!AL76+1,0),IF('01_数值调参'!H52&lt;0,'03_全链计算'!AM76+1,0))</x:f>
        <x:v>0</x:v>
      </x:c>
      <x:c r="I77" s="9" t="n">
        <x:f>MAX(IF('01_数值调参'!I18&lt;0,'03_全链计算'!E76+1,0),IF('01_数值调参'!I19&lt;0,'03_全链计算'!F76+1,0),IF('01_数值调参'!I20&lt;0,'03_全链计算'!G76+1,0),IF('01_数值调参'!I21&lt;0,'03_全链计算'!H76+1,0),IF('01_数值调参'!I22&lt;0,'03_全链计算'!I76+1,0),IF('01_数值调参'!I23&lt;0,'03_全链计算'!J76+1,0),IF('01_数值调参'!I24&lt;0,'03_全链计算'!K76+1,0),IF('01_数值调参'!I25&lt;0,'03_全链计算'!L76+1,0),IF('01_数值调参'!I26&lt;0,'03_全链计算'!M76+1,0),IF('01_数值调参'!I27&lt;0,'03_全链计算'!N76+1,0),IF('01_数值调参'!I28&lt;0,'03_全链计算'!O76+1,0),IF('01_数值调参'!I29&lt;0,'03_全链计算'!P76+1,0),IF('01_数值调参'!I30&lt;0,'03_全链计算'!Q76+1,0),IF('01_数值调参'!I31&lt;0,'03_全链计算'!R76+1,0),IF('01_数值调参'!I32&lt;0,'03_全链计算'!S76+1,0),IF('01_数值调参'!I33&lt;0,'03_全链计算'!T76+1,0),IF('01_数值调参'!I34&lt;0,'03_全链计算'!U76+1,0),IF('01_数值调参'!I35&lt;0,'03_全链计算'!V76+1,0),IF('01_数值调参'!I36&lt;0,'03_全链计算'!W76+1,0),IF('01_数值调参'!I37&lt;0,'03_全链计算'!X76+1,0),IF('01_数值调参'!I38&lt;0,'03_全链计算'!Y76+1,0),IF('01_数值调参'!I39&lt;0,'03_全链计算'!Z76+1,0),IF('01_数值调参'!I40&lt;0,'03_全链计算'!AA76+1,0),IF('01_数值调参'!I41&lt;0,'03_全链计算'!AB76+1,0),IF('01_数值调参'!I42&lt;0,'03_全链计算'!AC76+1,0),IF('01_数值调参'!I43&lt;0,'03_全链计算'!AD76+1,0),IF('01_数值调参'!I44&lt;0,'03_全链计算'!AE76+1,0),IF('01_数值调参'!I45&lt;0,'03_全链计算'!AF76+1,0),IF('01_数值调参'!I46&lt;0,'03_全链计算'!AG76+1,0),IF('01_数值调参'!I47&lt;0,'03_全链计算'!AH76+1,0),IF('01_数值调参'!I48&lt;0,'03_全链计算'!AI76+1,0),IF('01_数值调参'!I49&lt;0,'03_全链计算'!AJ76+1,0),IF('01_数值调参'!I50&lt;0,'03_全链计算'!AK76+1,0),IF('01_数值调参'!I51&lt;0,'03_全链计算'!AL76+1,0),IF('01_数值调参'!I52&lt;0,'03_全链计算'!AM76+1,0))</x:f>
        <x:v>0</x:v>
      </x:c>
      <x:c r="J77" s="9" t="n">
        <x:f>MAX(IF('01_数值调参'!J18&lt;0,'03_全链计算'!E76+1,0),IF('01_数值调参'!J19&lt;0,'03_全链计算'!F76+1,0),IF('01_数值调参'!J20&lt;0,'03_全链计算'!G76+1,0),IF('01_数值调参'!J21&lt;0,'03_全链计算'!H76+1,0),IF('01_数值调参'!J22&lt;0,'03_全链计算'!I76+1,0),IF('01_数值调参'!J23&lt;0,'03_全链计算'!J76+1,0),IF('01_数值调参'!J24&lt;0,'03_全链计算'!K76+1,0),IF('01_数值调参'!J25&lt;0,'03_全链计算'!L76+1,0),IF('01_数值调参'!J26&lt;0,'03_全链计算'!M76+1,0),IF('01_数值调参'!J27&lt;0,'03_全链计算'!N76+1,0),IF('01_数值调参'!J28&lt;0,'03_全链计算'!O76+1,0),IF('01_数值调参'!J29&lt;0,'03_全链计算'!P76+1,0),IF('01_数值调参'!J30&lt;0,'03_全链计算'!Q76+1,0),IF('01_数值调参'!J31&lt;0,'03_全链计算'!R76+1,0),IF('01_数值调参'!J32&lt;0,'03_全链计算'!S76+1,0),IF('01_数值调参'!J33&lt;0,'03_全链计算'!T76+1,0),IF('01_数值调参'!J34&lt;0,'03_全链计算'!U76+1,0),IF('01_数值调参'!J35&lt;0,'03_全链计算'!V76+1,0),IF('01_数值调参'!J36&lt;0,'03_全链计算'!W76+1,0),IF('01_数值调参'!J37&lt;0,'03_全链计算'!X76+1,0),IF('01_数值调参'!J38&lt;0,'03_全链计算'!Y76+1,0),IF('01_数值调参'!J39&lt;0,'03_全链计算'!Z76+1,0),IF('01_数值调参'!J40&lt;0,'03_全链计算'!AA76+1,0),IF('01_数值调参'!J41&lt;0,'03_全链计算'!AB76+1,0),IF('01_数值调参'!J42&lt;0,'03_全链计算'!AC76+1,0),IF('01_数值调参'!J43&lt;0,'03_全链计算'!AD76+1,0),IF('01_数值调参'!J44&lt;0,'03_全链计算'!AE76+1,0),IF('01_数值调参'!J45&lt;0,'03_全链计算'!AF76+1,0),IF('01_数值调参'!J46&lt;0,'03_全链计算'!AG76+1,0),IF('01_数值调参'!J47&lt;0,'03_全链计算'!AH76+1,0),IF('01_数值调参'!J48&lt;0,'03_全链计算'!AI76+1,0),IF('01_数值调参'!J49&lt;0,'03_全链计算'!AJ76+1,0),IF('01_数值调参'!J50&lt;0,'03_全链计算'!AK76+1,0),IF('01_数值调参'!J51&lt;0,'03_全链计算'!AL76+1,0),IF('01_数值调参'!J52&lt;0,'03_全链计算'!AM76+1,0))</x:f>
        <x:v>0</x:v>
      </x:c>
      <x:c r="K77" s="9" t="n">
        <x:f>MAX(IF('01_数值调参'!K18&lt;0,'03_全链计算'!E76+1,0),IF('01_数值调参'!K19&lt;0,'03_全链计算'!F76+1,0),IF('01_数值调参'!K20&lt;0,'03_全链计算'!G76+1,0),IF('01_数值调参'!K21&lt;0,'03_全链计算'!H76+1,0),IF('01_数值调参'!K22&lt;0,'03_全链计算'!I76+1,0),IF('01_数值调参'!K23&lt;0,'03_全链计算'!J76+1,0),IF('01_数值调参'!K24&lt;0,'03_全链计算'!K76+1,0),IF('01_数值调参'!K25&lt;0,'03_全链计算'!L76+1,0),IF('01_数值调参'!K26&lt;0,'03_全链计算'!M76+1,0),IF('01_数值调参'!K27&lt;0,'03_全链计算'!N76+1,0),IF('01_数值调参'!K28&lt;0,'03_全链计算'!O76+1,0),IF('01_数值调参'!K29&lt;0,'03_全链计算'!P76+1,0),IF('01_数值调参'!K30&lt;0,'03_全链计算'!Q76+1,0),IF('01_数值调参'!K31&lt;0,'03_全链计算'!R76+1,0),IF('01_数值调参'!K32&lt;0,'03_全链计算'!S76+1,0),IF('01_数值调参'!K33&lt;0,'03_全链计算'!T76+1,0),IF('01_数值调参'!K34&lt;0,'03_全链计算'!U76+1,0),IF('01_数值调参'!K35&lt;0,'03_全链计算'!V76+1,0),IF('01_数值调参'!K36&lt;0,'03_全链计算'!W76+1,0),IF('01_数值调参'!K37&lt;0,'03_全链计算'!X76+1,0),IF('01_数值调参'!K38&lt;0,'03_全链计算'!Y76+1,0),IF('01_数值调参'!K39&lt;0,'03_全链计算'!Z76+1,0),IF('01_数值调参'!K40&lt;0,'03_全链计算'!AA76+1,0),IF('01_数值调参'!K41&lt;0,'03_全链计算'!AB76+1,0),IF('01_数值调参'!K42&lt;0,'03_全链计算'!AC76+1,0),IF('01_数值调参'!K43&lt;0,'03_全链计算'!AD76+1,0),IF('01_数值调参'!K44&lt;0,'03_全链计算'!AE76+1,0),IF('01_数值调参'!K45&lt;0,'03_全链计算'!AF76+1,0),IF('01_数值调参'!K46&lt;0,'03_全链计算'!AG76+1,0),IF('01_数值调参'!K47&lt;0,'03_全链计算'!AH76+1,0),IF('01_数值调参'!K48&lt;0,'03_全链计算'!AI76+1,0),IF('01_数值调参'!K49&lt;0,'03_全链计算'!AJ76+1,0),IF('01_数值调参'!K50&lt;0,'03_全链计算'!AK76+1,0),IF('01_数值调参'!K51&lt;0,'03_全链计算'!AL76+1,0),IF('01_数值调参'!K52&lt;0,'03_全链计算'!AM76+1,0))</x:f>
        <x:v>0</x:v>
      </x:c>
      <x:c r="L77" s="9" t="n">
        <x:f>MAX(IF('01_数值调参'!L18&lt;0,'03_全链计算'!E76+1,0),IF('01_数值调参'!L19&lt;0,'03_全链计算'!F76+1,0),IF('01_数值调参'!L20&lt;0,'03_全链计算'!G76+1,0),IF('01_数值调参'!L21&lt;0,'03_全链计算'!H76+1,0),IF('01_数值调参'!L22&lt;0,'03_全链计算'!I76+1,0),IF('01_数值调参'!L23&lt;0,'03_全链计算'!J76+1,0),IF('01_数值调参'!L24&lt;0,'03_全链计算'!K76+1,0),IF('01_数值调参'!L25&lt;0,'03_全链计算'!L76+1,0),IF('01_数值调参'!L26&lt;0,'03_全链计算'!M76+1,0),IF('01_数值调参'!L27&lt;0,'03_全链计算'!N76+1,0),IF('01_数值调参'!L28&lt;0,'03_全链计算'!O76+1,0),IF('01_数值调参'!L29&lt;0,'03_全链计算'!P76+1,0),IF('01_数值调参'!L30&lt;0,'03_全链计算'!Q76+1,0),IF('01_数值调参'!L31&lt;0,'03_全链计算'!R76+1,0),IF('01_数值调参'!L32&lt;0,'03_全链计算'!S76+1,0),IF('01_数值调参'!L33&lt;0,'03_全链计算'!T76+1,0),IF('01_数值调参'!L34&lt;0,'03_全链计算'!U76+1,0),IF('01_数值调参'!L35&lt;0,'03_全链计算'!V76+1,0),IF('01_数值调参'!L36&lt;0,'03_全链计算'!W76+1,0),IF('01_数值调参'!L37&lt;0,'03_全链计算'!X76+1,0),IF('01_数值调参'!L38&lt;0,'03_全链计算'!Y76+1,0),IF('01_数值调参'!L39&lt;0,'03_全链计算'!Z76+1,0),IF('01_数值调参'!L40&lt;0,'03_全链计算'!AA76+1,0),IF('01_数值调参'!L41&lt;0,'03_全链计算'!AB76+1,0),IF('01_数值调参'!L42&lt;0,'03_全链计算'!AC76+1,0),IF('01_数值调参'!L43&lt;0,'03_全链计算'!AD76+1,0),IF('01_数值调参'!L44&lt;0,'03_全链计算'!AE76+1,0),IF('01_数值调参'!L45&lt;0,'03_全链计算'!AF76+1,0),IF('01_数值调参'!L46&lt;0,'03_全链计算'!AG76+1,0),IF('01_数值调参'!L47&lt;0,'03_全链计算'!AH76+1,0),IF('01_数值调参'!L48&lt;0,'03_全链计算'!AI76+1,0),IF('01_数值调参'!L49&lt;0,'03_全链计算'!AJ76+1,0),IF('01_数值调参'!L50&lt;0,'03_全链计算'!AK76+1,0),IF('01_数值调参'!L51&lt;0,'03_全链计算'!AL76+1,0),IF('01_数值调参'!L52&lt;0,'03_全链计算'!AM76+1,0))</x:f>
        <x:v>0</x:v>
      </x:c>
      <x:c r="M77" s="9" t="n">
        <x:f>MAX(IF('01_数值调参'!M18&lt;0,'03_全链计算'!E76+1,0),IF('01_数值调参'!M19&lt;0,'03_全链计算'!F76+1,0),IF('01_数值调参'!M20&lt;0,'03_全链计算'!G76+1,0),IF('01_数值调参'!M21&lt;0,'03_全链计算'!H76+1,0),IF('01_数值调参'!M22&lt;0,'03_全链计算'!I76+1,0),IF('01_数值调参'!M23&lt;0,'03_全链计算'!J76+1,0),IF('01_数值调参'!M24&lt;0,'03_全链计算'!K76+1,0),IF('01_数值调参'!M25&lt;0,'03_全链计算'!L76+1,0),IF('01_数值调参'!M26&lt;0,'03_全链计算'!M76+1,0),IF('01_数值调参'!M27&lt;0,'03_全链计算'!N76+1,0),IF('01_数值调参'!M28&lt;0,'03_全链计算'!O76+1,0),IF('01_数值调参'!M29&lt;0,'03_全链计算'!P76+1,0),IF('01_数值调参'!M30&lt;0,'03_全链计算'!Q76+1,0),IF('01_数值调参'!M31&lt;0,'03_全链计算'!R76+1,0),IF('01_数值调参'!M32&lt;0,'03_全链计算'!S76+1,0),IF('01_数值调参'!M33&lt;0,'03_全链计算'!T76+1,0),IF('01_数值调参'!M34&lt;0,'03_全链计算'!U76+1,0),IF('01_数值调参'!M35&lt;0,'03_全链计算'!V76+1,0),IF('01_数值调参'!M36&lt;0,'03_全链计算'!W76+1,0),IF('01_数值调参'!M37&lt;0,'03_全链计算'!X76+1,0),IF('01_数值调参'!M38&lt;0,'03_全链计算'!Y76+1,0),IF('01_数值调参'!M39&lt;0,'03_全链计算'!Z76+1,0),IF('01_数值调参'!M40&lt;0,'03_全链计算'!AA76+1,0),IF('01_数值调参'!M41&lt;0,'03_全链计算'!AB76+1,0),IF('01_数值调参'!M42&lt;0,'03_全链计算'!AC76+1,0),IF('01_数值调参'!M43&lt;0,'03_全链计算'!AD76+1,0),IF('01_数值调参'!M44&lt;0,'03_全链计算'!AE76+1,0),IF('01_数值调参'!M45&lt;0,'03_全链计算'!AF76+1,0),IF('01_数值调参'!M46&lt;0,'03_全链计算'!AG76+1,0),IF('01_数值调参'!M47&lt;0,'03_全链计算'!AH76+1,0),IF('01_数值调参'!M48&lt;0,'03_全链计算'!AI76+1,0),IF('01_数值调参'!M49&lt;0,'03_全链计算'!AJ76+1,0),IF('01_数值调参'!M50&lt;0,'03_全链计算'!AK76+1,0),IF('01_数值调参'!M51&lt;0,'03_全链计算'!AL76+1,0),IF('01_数值调参'!M52&lt;0,'03_全链计算'!AM76+1,0))</x:f>
        <x:v>0</x:v>
      </x:c>
      <x:c r="N77" s="9" t="n">
        <x:f>MAX(IF('01_数值调参'!N18&lt;0,'03_全链计算'!E76+1,0),IF('01_数值调参'!N19&lt;0,'03_全链计算'!F76+1,0),IF('01_数值调参'!N20&lt;0,'03_全链计算'!G76+1,0),IF('01_数值调参'!N21&lt;0,'03_全链计算'!H76+1,0),IF('01_数值调参'!N22&lt;0,'03_全链计算'!I76+1,0),IF('01_数值调参'!N23&lt;0,'03_全链计算'!J76+1,0),IF('01_数值调参'!N24&lt;0,'03_全链计算'!K76+1,0),IF('01_数值调参'!N25&lt;0,'03_全链计算'!L76+1,0),IF('01_数值调参'!N26&lt;0,'03_全链计算'!M76+1,0),IF('01_数值调参'!N27&lt;0,'03_全链计算'!N76+1,0),IF('01_数值调参'!N28&lt;0,'03_全链计算'!O76+1,0),IF('01_数值调参'!N29&lt;0,'03_全链计算'!P76+1,0),IF('01_数值调参'!N30&lt;0,'03_全链计算'!Q76+1,0),IF('01_数值调参'!N31&lt;0,'03_全链计算'!R76+1,0),IF('01_数值调参'!N32&lt;0,'03_全链计算'!S76+1,0),IF('01_数值调参'!N33&lt;0,'03_全链计算'!T76+1,0),IF('01_数值调参'!N34&lt;0,'03_全链计算'!U76+1,0),IF('01_数值调参'!N35&lt;0,'03_全链计算'!V76+1,0),IF('01_数值调参'!N36&lt;0,'03_全链计算'!W76+1,0),IF('01_数值调参'!N37&lt;0,'03_全链计算'!X76+1,0),IF('01_数值调参'!N38&lt;0,'03_全链计算'!Y76+1,0),IF('01_数值调参'!N39&lt;0,'03_全链计算'!Z76+1,0),IF('01_数值调参'!N40&lt;0,'03_全链计算'!AA76+1,0),IF('01_数值调参'!N41&lt;0,'03_全链计算'!AB76+1,0),IF('01_数值调参'!N42&lt;0,'03_全链计算'!AC76+1,0),IF('01_数值调参'!N43&lt;0,'03_全链计算'!AD76+1,0),IF('01_数值调参'!N44&lt;0,'03_全链计算'!AE76+1,0),IF('01_数值调参'!N45&lt;0,'03_全链计算'!AF76+1,0),IF('01_数值调参'!N46&lt;0,'03_全链计算'!AG76+1,0),IF('01_数值调参'!N47&lt;0,'03_全链计算'!AH76+1,0),IF('01_数值调参'!N48&lt;0,'03_全链计算'!AI76+1,0),IF('01_数值调参'!N49&lt;0,'03_全链计算'!AJ76+1,0),IF('01_数值调参'!N50&lt;0,'03_全链计算'!AK76+1,0),IF('01_数值调参'!N51&lt;0,'03_全链计算'!AL76+1,0),IF('01_数值调参'!N52&lt;0,'03_全链计算'!AM76+1,0))</x:f>
        <x:v>1</x:v>
      </x:c>
      <x:c r="O77" s="9" t="n">
        <x:f>MAX(IF('01_数值调参'!O18&lt;0,'03_全链计算'!E76+1,0),IF('01_数值调参'!O19&lt;0,'03_全链计算'!F76+1,0),IF('01_数值调参'!O20&lt;0,'03_全链计算'!G76+1,0),IF('01_数值调参'!O21&lt;0,'03_全链计算'!H76+1,0),IF('01_数值调参'!O22&lt;0,'03_全链计算'!I76+1,0),IF('01_数值调参'!O23&lt;0,'03_全链计算'!J76+1,0),IF('01_数值调参'!O24&lt;0,'03_全链计算'!K76+1,0),IF('01_数值调参'!O25&lt;0,'03_全链计算'!L76+1,0),IF('01_数值调参'!O26&lt;0,'03_全链计算'!M76+1,0),IF('01_数值调参'!O27&lt;0,'03_全链计算'!N76+1,0),IF('01_数值调参'!O28&lt;0,'03_全链计算'!O76+1,0),IF('01_数值调参'!O29&lt;0,'03_全链计算'!P76+1,0),IF('01_数值调参'!O30&lt;0,'03_全链计算'!Q76+1,0),IF('01_数值调参'!O31&lt;0,'03_全链计算'!R76+1,0),IF('01_数值调参'!O32&lt;0,'03_全链计算'!S76+1,0),IF('01_数值调参'!O33&lt;0,'03_全链计算'!T76+1,0),IF('01_数值调参'!O34&lt;0,'03_全链计算'!U76+1,0),IF('01_数值调参'!O35&lt;0,'03_全链计算'!V76+1,0),IF('01_数值调参'!O36&lt;0,'03_全链计算'!W76+1,0),IF('01_数值调参'!O37&lt;0,'03_全链计算'!X76+1,0),IF('01_数值调参'!O38&lt;0,'03_全链计算'!Y76+1,0),IF('01_数值调参'!O39&lt;0,'03_全链计算'!Z76+1,0),IF('01_数值调参'!O40&lt;0,'03_全链计算'!AA76+1,0),IF('01_数值调参'!O41&lt;0,'03_全链计算'!AB76+1,0),IF('01_数值调参'!O42&lt;0,'03_全链计算'!AC76+1,0),IF('01_数值调参'!O43&lt;0,'03_全链计算'!AD76+1,0),IF('01_数值调参'!O44&lt;0,'03_全链计算'!AE76+1,0),IF('01_数值调参'!O45&lt;0,'03_全链计算'!AF76+1,0),IF('01_数值调参'!O46&lt;0,'03_全链计算'!AG76+1,0),IF('01_数值调参'!O47&lt;0,'03_全链计算'!AH76+1,0),IF('01_数值调参'!O48&lt;0,'03_全链计算'!AI76+1,0),IF('01_数值调参'!O49&lt;0,'03_全链计算'!AJ76+1,0),IF('01_数值调参'!O50&lt;0,'03_全链计算'!AK76+1,0),IF('01_数值调参'!O51&lt;0,'03_全链计算'!AL76+1,0),IF('01_数值调参'!O52&lt;0,'03_全链计算'!AM76+1,0))</x:f>
        <x:v>1</x:v>
      </x:c>
      <x:c r="P77" s="9" t="n">
        <x:f>MAX(IF('01_数值调参'!P18&lt;0,'03_全链计算'!E76+1,0),IF('01_数值调参'!P19&lt;0,'03_全链计算'!F76+1,0),IF('01_数值调参'!P20&lt;0,'03_全链计算'!G76+1,0),IF('01_数值调参'!P21&lt;0,'03_全链计算'!H76+1,0),IF('01_数值调参'!P22&lt;0,'03_全链计算'!I76+1,0),IF('01_数值调参'!P23&lt;0,'03_全链计算'!J76+1,0),IF('01_数值调参'!P24&lt;0,'03_全链计算'!K76+1,0),IF('01_数值调参'!P25&lt;0,'03_全链计算'!L76+1,0),IF('01_数值调参'!P26&lt;0,'03_全链计算'!M76+1,0),IF('01_数值调参'!P27&lt;0,'03_全链计算'!N76+1,0),IF('01_数值调参'!P28&lt;0,'03_全链计算'!O76+1,0),IF('01_数值调参'!P29&lt;0,'03_全链计算'!P76+1,0),IF('01_数值调参'!P30&lt;0,'03_全链计算'!Q76+1,0),IF('01_数值调参'!P31&lt;0,'03_全链计算'!R76+1,0),IF('01_数值调参'!P32&lt;0,'03_全链计算'!S76+1,0),IF('01_数值调参'!P33&lt;0,'03_全链计算'!T76+1,0),IF('01_数值调参'!P34&lt;0,'03_全链计算'!U76+1,0),IF('01_数值调参'!P35&lt;0,'03_全链计算'!V76+1,0),IF('01_数值调参'!P36&lt;0,'03_全链计算'!W76+1,0),IF('01_数值调参'!P37&lt;0,'03_全链计算'!X76+1,0),IF('01_数值调参'!P38&lt;0,'03_全链计算'!Y76+1,0),IF('01_数值调参'!P39&lt;0,'03_全链计算'!Z76+1,0),IF('01_数值调参'!P40&lt;0,'03_全链计算'!AA76+1,0),IF('01_数值调参'!P41&lt;0,'03_全链计算'!AB76+1,0),IF('01_数值调参'!P42&lt;0,'03_全链计算'!AC76+1,0),IF('01_数值调参'!P43&lt;0,'03_全链计算'!AD76+1,0),IF('01_数值调参'!P44&lt;0,'03_全链计算'!AE76+1,0),IF('01_数值调参'!P45&lt;0,'03_全链计算'!AF76+1,0),IF('01_数值调参'!P46&lt;0,'03_全链计算'!AG76+1,0),IF('01_数值调参'!P47&lt;0,'03_全链计算'!AH76+1,0),IF('01_数值调参'!P48&lt;0,'03_全链计算'!AI76+1,0),IF('01_数值调参'!P49&lt;0,'03_全链计算'!AJ76+1,0),IF('01_数值调参'!P50&lt;0,'03_全链计算'!AK76+1,0),IF('01_数值调参'!P51&lt;0,'03_全链计算'!AL76+1,0),IF('01_数值调参'!P52&lt;0,'03_全链计算'!AM76+1,0))</x:f>
        <x:v>1</x:v>
      </x:c>
      <x:c r="Q77" s="9" t="n">
        <x:f>MAX(IF('01_数值调参'!Q18&lt;0,'03_全链计算'!E76+1,0),IF('01_数值调参'!Q19&lt;0,'03_全链计算'!F76+1,0),IF('01_数值调参'!Q20&lt;0,'03_全链计算'!G76+1,0),IF('01_数值调参'!Q21&lt;0,'03_全链计算'!H76+1,0),IF('01_数值调参'!Q22&lt;0,'03_全链计算'!I76+1,0),IF('01_数值调参'!Q23&lt;0,'03_全链计算'!J76+1,0),IF('01_数值调参'!Q24&lt;0,'03_全链计算'!K76+1,0),IF('01_数值调参'!Q25&lt;0,'03_全链计算'!L76+1,0),IF('01_数值调参'!Q26&lt;0,'03_全链计算'!M76+1,0),IF('01_数值调参'!Q27&lt;0,'03_全链计算'!N76+1,0),IF('01_数值调参'!Q28&lt;0,'03_全链计算'!O76+1,0),IF('01_数值调参'!Q29&lt;0,'03_全链计算'!P76+1,0),IF('01_数值调参'!Q30&lt;0,'03_全链计算'!Q76+1,0),IF('01_数值调参'!Q31&lt;0,'03_全链计算'!R76+1,0),IF('01_数值调参'!Q32&lt;0,'03_全链计算'!S76+1,0),IF('01_数值调参'!Q33&lt;0,'03_全链计算'!T76+1,0),IF('01_数值调参'!Q34&lt;0,'03_全链计算'!U76+1,0),IF('01_数值调参'!Q35&lt;0,'03_全链计算'!V76+1,0),IF('01_数值调参'!Q36&lt;0,'03_全链计算'!W76+1,0),IF('01_数值调参'!Q37&lt;0,'03_全链计算'!X76+1,0),IF('01_数值调参'!Q38&lt;0,'03_全链计算'!Y76+1,0),IF('01_数值调参'!Q39&lt;0,'03_全链计算'!Z76+1,0),IF('01_数值调参'!Q40&lt;0,'03_全链计算'!AA76+1,0),IF('01_数值调参'!Q41&lt;0,'03_全链计算'!AB76+1,0),IF('01_数值调参'!Q42&lt;0,'03_全链计算'!AC76+1,0),IF('01_数值调参'!Q43&lt;0,'03_全链计算'!AD76+1,0),IF('01_数值调参'!Q44&lt;0,'03_全链计算'!AE76+1,0),IF('01_数值调参'!Q45&lt;0,'03_全链计算'!AF76+1,0),IF('01_数值调参'!Q46&lt;0,'03_全链计算'!AG76+1,0),IF('01_数值调参'!Q47&lt;0,'03_全链计算'!AH76+1,0),IF('01_数值调参'!Q48&lt;0,'03_全链计算'!AI76+1,0),IF('01_数值调参'!Q49&lt;0,'03_全链计算'!AJ76+1,0),IF('01_数值调参'!Q50&lt;0,'03_全链计算'!AK76+1,0),IF('01_数值调参'!Q51&lt;0,'03_全链计算'!AL76+1,0),IF('01_数值调参'!Q52&lt;0,'03_全链计算'!AM76+1,0))</x:f>
        <x:v>1</x:v>
      </x:c>
      <x:c r="R77" s="9" t="n">
        <x:f>MAX(IF('01_数值调参'!R18&lt;0,'03_全链计算'!E76+1,0),IF('01_数值调参'!R19&lt;0,'03_全链计算'!F76+1,0),IF('01_数值调参'!R20&lt;0,'03_全链计算'!G76+1,0),IF('01_数值调参'!R21&lt;0,'03_全链计算'!H76+1,0),IF('01_数值调参'!R22&lt;0,'03_全链计算'!I76+1,0),IF('01_数值调参'!R23&lt;0,'03_全链计算'!J76+1,0),IF('01_数值调参'!R24&lt;0,'03_全链计算'!K76+1,0),IF('01_数值调参'!R25&lt;0,'03_全链计算'!L76+1,0),IF('01_数值调参'!R26&lt;0,'03_全链计算'!M76+1,0),IF('01_数值调参'!R27&lt;0,'03_全链计算'!N76+1,0),IF('01_数值调参'!R28&lt;0,'03_全链计算'!O76+1,0),IF('01_数值调参'!R29&lt;0,'03_全链计算'!P76+1,0),IF('01_数值调参'!R30&lt;0,'03_全链计算'!Q76+1,0),IF('01_数值调参'!R31&lt;0,'03_全链计算'!R76+1,0),IF('01_数值调参'!R32&lt;0,'03_全链计算'!S76+1,0),IF('01_数值调参'!R33&lt;0,'03_全链计算'!T76+1,0),IF('01_数值调参'!R34&lt;0,'03_全链计算'!U76+1,0),IF('01_数值调参'!R35&lt;0,'03_全链计算'!V76+1,0),IF('01_数值调参'!R36&lt;0,'03_全链计算'!W76+1,0),IF('01_数值调参'!R37&lt;0,'03_全链计算'!X76+1,0),IF('01_数值调参'!R38&lt;0,'03_全链计算'!Y76+1,0),IF('01_数值调参'!R39&lt;0,'03_全链计算'!Z76+1,0),IF('01_数值调参'!R40&lt;0,'03_全链计算'!AA76+1,0),IF('01_数值调参'!R41&lt;0,'03_全链计算'!AB76+1,0),IF('01_数值调参'!R42&lt;0,'03_全链计算'!AC76+1,0),IF('01_数值调参'!R43&lt;0,'03_全链计算'!AD76+1,0),IF('01_数值调参'!R44&lt;0,'03_全链计算'!AE76+1,0),IF('01_数值调参'!R45&lt;0,'03_全链计算'!AF76+1,0),IF('01_数值调参'!R46&lt;0,'03_全链计算'!AG76+1,0),IF('01_数值调参'!R47&lt;0,'03_全链计算'!AH76+1,0),IF('01_数值调参'!R48&lt;0,'03_全链计算'!AI76+1,0),IF('01_数值调参'!R49&lt;0,'03_全链计算'!AJ76+1,0),IF('01_数值调参'!R50&lt;0,'03_全链计算'!AK76+1,0),IF('01_数值调参'!R51&lt;0,'03_全链计算'!AL76+1,0),IF('01_数值调参'!R52&lt;0,'03_全链计算'!AM76+1,0))</x:f>
        <x:v>1</x:v>
      </x:c>
      <x:c r="S77" s="9" t="n">
        <x:f>MAX(IF('01_数值调参'!S18&lt;0,'03_全链计算'!E76+1,0),IF('01_数值调参'!S19&lt;0,'03_全链计算'!F76+1,0),IF('01_数值调参'!S20&lt;0,'03_全链计算'!G76+1,0),IF('01_数值调参'!S21&lt;0,'03_全链计算'!H76+1,0),IF('01_数值调参'!S22&lt;0,'03_全链计算'!I76+1,0),IF('01_数值调参'!S23&lt;0,'03_全链计算'!J76+1,0),IF('01_数值调参'!S24&lt;0,'03_全链计算'!K76+1,0),IF('01_数值调参'!S25&lt;0,'03_全链计算'!L76+1,0),IF('01_数值调参'!S26&lt;0,'03_全链计算'!M76+1,0),IF('01_数值调参'!S27&lt;0,'03_全链计算'!N76+1,0),IF('01_数值调参'!S28&lt;0,'03_全链计算'!O76+1,0),IF('01_数值调参'!S29&lt;0,'03_全链计算'!P76+1,0),IF('01_数值调参'!S30&lt;0,'03_全链计算'!Q76+1,0),IF('01_数值调参'!S31&lt;0,'03_全链计算'!R76+1,0),IF('01_数值调参'!S32&lt;0,'03_全链计算'!S76+1,0),IF('01_数值调参'!S33&lt;0,'03_全链计算'!T76+1,0),IF('01_数值调参'!S34&lt;0,'03_全链计算'!U76+1,0),IF('01_数值调参'!S35&lt;0,'03_全链计算'!V76+1,0),IF('01_数值调参'!S36&lt;0,'03_全链计算'!W76+1,0),IF('01_数值调参'!S37&lt;0,'03_全链计算'!X76+1,0),IF('01_数值调参'!S38&lt;0,'03_全链计算'!Y76+1,0),IF('01_数值调参'!S39&lt;0,'03_全链计算'!Z76+1,0),IF('01_数值调参'!S40&lt;0,'03_全链计算'!AA76+1,0),IF('01_数值调参'!S41&lt;0,'03_全链计算'!AB76+1,0),IF('01_数值调参'!S42&lt;0,'03_全链计算'!AC76+1,0),IF('01_数值调参'!S43&lt;0,'03_全链计算'!AD76+1,0),IF('01_数值调参'!S44&lt;0,'03_全链计算'!AE76+1,0),IF('01_数值调参'!S45&lt;0,'03_全链计算'!AF76+1,0),IF('01_数值调参'!S46&lt;0,'03_全链计算'!AG76+1,0),IF('01_数值调参'!S47&lt;0,'03_全链计算'!AH76+1,0),IF('01_数值调参'!S48&lt;0,'03_全链计算'!AI76+1,0),IF('01_数值调参'!S49&lt;0,'03_全链计算'!AJ76+1,0),IF('01_数值调参'!S50&lt;0,'03_全链计算'!AK76+1,0),IF('01_数值调参'!S51&lt;0,'03_全链计算'!AL76+1,0),IF('01_数值调参'!S52&lt;0,'03_全链计算'!AM76+1,0))</x:f>
        <x:v>1</x:v>
      </x:c>
      <x:c r="T77" s="9" t="n">
        <x:f>MAX(IF('01_数值调参'!T18&lt;0,'03_全链计算'!E76+1,0),IF('01_数值调参'!T19&lt;0,'03_全链计算'!F76+1,0),IF('01_数值调参'!T20&lt;0,'03_全链计算'!G76+1,0),IF('01_数值调参'!T21&lt;0,'03_全链计算'!H76+1,0),IF('01_数值调参'!T22&lt;0,'03_全链计算'!I76+1,0),IF('01_数值调参'!T23&lt;0,'03_全链计算'!J76+1,0),IF('01_数值调参'!T24&lt;0,'03_全链计算'!K76+1,0),IF('01_数值调参'!T25&lt;0,'03_全链计算'!L76+1,0),IF('01_数值调参'!T26&lt;0,'03_全链计算'!M76+1,0),IF('01_数值调参'!T27&lt;0,'03_全链计算'!N76+1,0),IF('01_数值调参'!T28&lt;0,'03_全链计算'!O76+1,0),IF('01_数值调参'!T29&lt;0,'03_全链计算'!P76+1,0),IF('01_数值调参'!T30&lt;0,'03_全链计算'!Q76+1,0),IF('01_数值调参'!T31&lt;0,'03_全链计算'!R76+1,0),IF('01_数值调参'!T32&lt;0,'03_全链计算'!S76+1,0),IF('01_数值调参'!T33&lt;0,'03_全链计算'!T76+1,0),IF('01_数值调参'!T34&lt;0,'03_全链计算'!U76+1,0),IF('01_数值调参'!T35&lt;0,'03_全链计算'!V76+1,0),IF('01_数值调参'!T36&lt;0,'03_全链计算'!W76+1,0),IF('01_数值调参'!T37&lt;0,'03_全链计算'!X76+1,0),IF('01_数值调参'!T38&lt;0,'03_全链计算'!Y76+1,0),IF('01_数值调参'!T39&lt;0,'03_全链计算'!Z76+1,0),IF('01_数值调参'!T40&lt;0,'03_全链计算'!AA76+1,0),IF('01_数值调参'!T41&lt;0,'03_全链计算'!AB76+1,0),IF('01_数值调参'!T42&lt;0,'03_全链计算'!AC76+1,0),IF('01_数值调参'!T43&lt;0,'03_全链计算'!AD76+1,0),IF('01_数值调参'!T44&lt;0,'03_全链计算'!AE76+1,0),IF('01_数值调参'!T45&lt;0,'03_全链计算'!AF76+1,0),IF('01_数值调参'!T46&lt;0,'03_全链计算'!AG76+1,0),IF('01_数值调参'!T47&lt;0,'03_全链计算'!AH76+1,0),IF('01_数值调参'!T48&lt;0,'03_全链计算'!AI76+1,0),IF('01_数值调参'!T49&lt;0,'03_全链计算'!AJ76+1,0),IF('01_数值调参'!T50&lt;0,'03_全链计算'!AK76+1,0),IF('01_数值调参'!T51&lt;0,'03_全链计算'!AL76+1,0),IF('01_数值调参'!T52&lt;0,'03_全链计算'!AM76+1,0))</x:f>
        <x:v>1</x:v>
      </x:c>
      <x:c r="U77" s="9" t="n">
        <x:f>MAX(IF('01_数值调参'!U18&lt;0,'03_全链计算'!E76+1,0),IF('01_数值调参'!U19&lt;0,'03_全链计算'!F76+1,0),IF('01_数值调参'!U20&lt;0,'03_全链计算'!G76+1,0),IF('01_数值调参'!U21&lt;0,'03_全链计算'!H76+1,0),IF('01_数值调参'!U22&lt;0,'03_全链计算'!I76+1,0),IF('01_数值调参'!U23&lt;0,'03_全链计算'!J76+1,0),IF('01_数值调参'!U24&lt;0,'03_全链计算'!K76+1,0),IF('01_数值调参'!U25&lt;0,'03_全链计算'!L76+1,0),IF('01_数值调参'!U26&lt;0,'03_全链计算'!M76+1,0),IF('01_数值调参'!U27&lt;0,'03_全链计算'!N76+1,0),IF('01_数值调参'!U28&lt;0,'03_全链计算'!O76+1,0),IF('01_数值调参'!U29&lt;0,'03_全链计算'!P76+1,0),IF('01_数值调参'!U30&lt;0,'03_全链计算'!Q76+1,0),IF('01_数值调参'!U31&lt;0,'03_全链计算'!R76+1,0),IF('01_数值调参'!U32&lt;0,'03_全链计算'!S76+1,0),IF('01_数值调参'!U33&lt;0,'03_全链计算'!T76+1,0),IF('01_数值调参'!U34&lt;0,'03_全链计算'!U76+1,0),IF('01_数值调参'!U35&lt;0,'03_全链计算'!V76+1,0),IF('01_数值调参'!U36&lt;0,'03_全链计算'!W76+1,0),IF('01_数值调参'!U37&lt;0,'03_全链计算'!X76+1,0),IF('01_数值调参'!U38&lt;0,'03_全链计算'!Y76+1,0),IF('01_数值调参'!U39&lt;0,'03_全链计算'!Z76+1,0),IF('01_数值调参'!U40&lt;0,'03_全链计算'!AA76+1,0),IF('01_数值调参'!U41&lt;0,'03_全链计算'!AB76+1,0),IF('01_数值调参'!U42&lt;0,'03_全链计算'!AC76+1,0),IF('01_数值调参'!U43&lt;0,'03_全链计算'!AD76+1,0),IF('01_数值调参'!U44&lt;0,'03_全链计算'!AE76+1,0),IF('01_数值调参'!U45&lt;0,'03_全链计算'!AF76+1,0),IF('01_数值调参'!U46&lt;0,'03_全链计算'!AG76+1,0),IF('01_数值调参'!U47&lt;0,'03_全链计算'!AH76+1,0),IF('01_数值调参'!U48&lt;0,'03_全链计算'!AI76+1,0),IF('01_数值调参'!U49&lt;0,'03_全链计算'!AJ76+1,0),IF('01_数值调参'!U50&lt;0,'03_全链计算'!AK76+1,0),IF('01_数值调参'!U51&lt;0,'03_全链计算'!AL76+1,0),IF('01_数值调参'!U52&lt;0,'03_全链计算'!AM76+1,0))</x:f>
        <x:v>1</x:v>
      </x:c>
      <x:c r="V77" s="9" t="n">
        <x:f>MAX(IF('01_数值调参'!V18&lt;0,'03_全链计算'!E76+1,0),IF('01_数值调参'!V19&lt;0,'03_全链计算'!F76+1,0),IF('01_数值调参'!V20&lt;0,'03_全链计算'!G76+1,0),IF('01_数值调参'!V21&lt;0,'03_全链计算'!H76+1,0),IF('01_数值调参'!V22&lt;0,'03_全链计算'!I76+1,0),IF('01_数值调参'!V23&lt;0,'03_全链计算'!J76+1,0),IF('01_数值调参'!V24&lt;0,'03_全链计算'!K76+1,0),IF('01_数值调参'!V25&lt;0,'03_全链计算'!L76+1,0),IF('01_数值调参'!V26&lt;0,'03_全链计算'!M76+1,0),IF('01_数值调参'!V27&lt;0,'03_全链计算'!N76+1,0),IF('01_数值调参'!V28&lt;0,'03_全链计算'!O76+1,0),IF('01_数值调参'!V29&lt;0,'03_全链计算'!P76+1,0),IF('01_数值调参'!V30&lt;0,'03_全链计算'!Q76+1,0),IF('01_数值调参'!V31&lt;0,'03_全链计算'!R76+1,0),IF('01_数值调参'!V32&lt;0,'03_全链计算'!S76+1,0),IF('01_数值调参'!V33&lt;0,'03_全链计算'!T76+1,0),IF('01_数值调参'!V34&lt;0,'03_全链计算'!U76+1,0),IF('01_数值调参'!V35&lt;0,'03_全链计算'!V76+1,0),IF('01_数值调参'!V36&lt;0,'03_全链计算'!W76+1,0),IF('01_数值调参'!V37&lt;0,'03_全链计算'!X76+1,0),IF('01_数值调参'!V38&lt;0,'03_全链计算'!Y76+1,0),IF('01_数值调参'!V39&lt;0,'03_全链计算'!Z76+1,0),IF('01_数值调参'!V40&lt;0,'03_全链计算'!AA76+1,0),IF('01_数值调参'!V41&lt;0,'03_全链计算'!AB76+1,0),IF('01_数值调参'!V42&lt;0,'03_全链计算'!AC76+1,0),IF('01_数值调参'!V43&lt;0,'03_全链计算'!AD76+1,0),IF('01_数值调参'!V44&lt;0,'03_全链计算'!AE76+1,0),IF('01_数值调参'!V45&lt;0,'03_全链计算'!AF76+1,0),IF('01_数值调参'!V46&lt;0,'03_全链计算'!AG76+1,0),IF('01_数值调参'!V47&lt;0,'03_全链计算'!AH76+1,0),IF('01_数值调参'!V48&lt;0,'03_全链计算'!AI76+1,0),IF('01_数值调参'!V49&lt;0,'03_全链计算'!AJ76+1,0),IF('01_数值调参'!V50&lt;0,'03_全链计算'!AK76+1,0),IF('01_数值调参'!V51&lt;0,'03_全链计算'!AL76+1,0),IF('01_数值调参'!V52&lt;0,'03_全链计算'!AM76+1,0))</x:f>
        <x:v>1</x:v>
      </x:c>
      <x:c r="W77" s="9" t="n">
        <x:f>MAX(IF('01_数值调参'!W18&lt;0,'03_全链计算'!E76+1,0),IF('01_数值调参'!W19&lt;0,'03_全链计算'!F76+1,0),IF('01_数值调参'!W20&lt;0,'03_全链计算'!G76+1,0),IF('01_数值调参'!W21&lt;0,'03_全链计算'!H76+1,0),IF('01_数值调参'!W22&lt;0,'03_全链计算'!I76+1,0),IF('01_数值调参'!W23&lt;0,'03_全链计算'!J76+1,0),IF('01_数值调参'!W24&lt;0,'03_全链计算'!K76+1,0),IF('01_数值调参'!W25&lt;0,'03_全链计算'!L76+1,0),IF('01_数值调参'!W26&lt;0,'03_全链计算'!M76+1,0),IF('01_数值调参'!W27&lt;0,'03_全链计算'!N76+1,0),IF('01_数值调参'!W28&lt;0,'03_全链计算'!O76+1,0),IF('01_数值调参'!W29&lt;0,'03_全链计算'!P76+1,0),IF('01_数值调参'!W30&lt;0,'03_全链计算'!Q76+1,0),IF('01_数值调参'!W31&lt;0,'03_全链计算'!R76+1,0),IF('01_数值调参'!W32&lt;0,'03_全链计算'!S76+1,0),IF('01_数值调参'!W33&lt;0,'03_全链计算'!T76+1,0),IF('01_数值调参'!W34&lt;0,'03_全链计算'!U76+1,0),IF('01_数值调参'!W35&lt;0,'03_全链计算'!V76+1,0),IF('01_数值调参'!W36&lt;0,'03_全链计算'!W76+1,0),IF('01_数值调参'!W37&lt;0,'03_全链计算'!X76+1,0),IF('01_数值调参'!W38&lt;0,'03_全链计算'!Y76+1,0),IF('01_数值调参'!W39&lt;0,'03_全链计算'!Z76+1,0),IF('01_数值调参'!W40&lt;0,'03_全链计算'!AA76+1,0),IF('01_数值调参'!W41&lt;0,'03_全链计算'!AB76+1,0),IF('01_数值调参'!W42&lt;0,'03_全链计算'!AC76+1,0),IF('01_数值调参'!W43&lt;0,'03_全链计算'!AD76+1,0),IF('01_数值调参'!W44&lt;0,'03_全链计算'!AE76+1,0),IF('01_数值调参'!W45&lt;0,'03_全链计算'!AF76+1,0),IF('01_数值调参'!W46&lt;0,'03_全链计算'!AG76+1,0),IF('01_数值调参'!W47&lt;0,'03_全链计算'!AH76+1,0),IF('01_数值调参'!W48&lt;0,'03_全链计算'!AI76+1,0),IF('01_数值调参'!W49&lt;0,'03_全链计算'!AJ76+1,0),IF('01_数值调参'!W50&lt;0,'03_全链计算'!AK76+1,0),IF('01_数值调参'!W51&lt;0,'03_全链计算'!AL76+1,0),IF('01_数值调参'!W52&lt;0,'03_全链计算'!AM76+1,0))</x:f>
        <x:v>1</x:v>
      </x:c>
      <x:c r="X77" s="9" t="n">
        <x:f>MAX(IF('01_数值调参'!X18&lt;0,'03_全链计算'!E76+1,0),IF('01_数值调参'!X19&lt;0,'03_全链计算'!F76+1,0),IF('01_数值调参'!X20&lt;0,'03_全链计算'!G76+1,0),IF('01_数值调参'!X21&lt;0,'03_全链计算'!H76+1,0),IF('01_数值调参'!X22&lt;0,'03_全链计算'!I76+1,0),IF('01_数值调参'!X23&lt;0,'03_全链计算'!J76+1,0),IF('01_数值调参'!X24&lt;0,'03_全链计算'!K76+1,0),IF('01_数值调参'!X25&lt;0,'03_全链计算'!L76+1,0),IF('01_数值调参'!X26&lt;0,'03_全链计算'!M76+1,0),IF('01_数值调参'!X27&lt;0,'03_全链计算'!N76+1,0),IF('01_数值调参'!X28&lt;0,'03_全链计算'!O76+1,0),IF('01_数值调参'!X29&lt;0,'03_全链计算'!P76+1,0),IF('01_数值调参'!X30&lt;0,'03_全链计算'!Q76+1,0),IF('01_数值调参'!X31&lt;0,'03_全链计算'!R76+1,0),IF('01_数值调参'!X32&lt;0,'03_全链计算'!S76+1,0),IF('01_数值调参'!X33&lt;0,'03_全链计算'!T76+1,0),IF('01_数值调参'!X34&lt;0,'03_全链计算'!U76+1,0),IF('01_数值调参'!X35&lt;0,'03_全链计算'!V76+1,0),IF('01_数值调参'!X36&lt;0,'03_全链计算'!W76+1,0),IF('01_数值调参'!X37&lt;0,'03_全链计算'!X76+1,0),IF('01_数值调参'!X38&lt;0,'03_全链计算'!Y76+1,0),IF('01_数值调参'!X39&lt;0,'03_全链计算'!Z76+1,0),IF('01_数值调参'!X40&lt;0,'03_全链计算'!AA76+1,0),IF('01_数值调参'!X41&lt;0,'03_全链计算'!AB76+1,0),IF('01_数值调参'!X42&lt;0,'03_全链计算'!AC76+1,0),IF('01_数值调参'!X43&lt;0,'03_全链计算'!AD76+1,0),IF('01_数值调参'!X44&lt;0,'03_全链计算'!AE76+1,0),IF('01_数值调参'!X45&lt;0,'03_全链计算'!AF76+1,0),IF('01_数值调参'!X46&lt;0,'03_全链计算'!AG76+1,0),IF('01_数值调参'!X47&lt;0,'03_全链计算'!AH76+1,0),IF('01_数值调参'!X48&lt;0,'03_全链计算'!AI76+1,0),IF('01_数值调参'!X49&lt;0,'03_全链计算'!AJ76+1,0),IF('01_数值调参'!X50&lt;0,'03_全链计算'!AK76+1,0),IF('01_数值调参'!X51&lt;0,'03_全链计算'!AL76+1,0),IF('01_数值调参'!X52&lt;0,'03_全链计算'!AM76+1,0))</x:f>
        <x:v>2</x:v>
      </x:c>
      <x:c r="Y77" s="9" t="n">
        <x:f>MAX(IF('01_数值调参'!Y18&lt;0,'03_全链计算'!E76+1,0),IF('01_数值调参'!Y19&lt;0,'03_全链计算'!F76+1,0),IF('01_数值调参'!Y20&lt;0,'03_全链计算'!G76+1,0),IF('01_数值调参'!Y21&lt;0,'03_全链计算'!H76+1,0),IF('01_数值调参'!Y22&lt;0,'03_全链计算'!I76+1,0),IF('01_数值调参'!Y23&lt;0,'03_全链计算'!J76+1,0),IF('01_数值调参'!Y24&lt;0,'03_全链计算'!K76+1,0),IF('01_数值调参'!Y25&lt;0,'03_全链计算'!L76+1,0),IF('01_数值调参'!Y26&lt;0,'03_全链计算'!M76+1,0),IF('01_数值调参'!Y27&lt;0,'03_全链计算'!N76+1,0),IF('01_数值调参'!Y28&lt;0,'03_全链计算'!O76+1,0),IF('01_数值调参'!Y29&lt;0,'03_全链计算'!P76+1,0),IF('01_数值调参'!Y30&lt;0,'03_全链计算'!Q76+1,0),IF('01_数值调参'!Y31&lt;0,'03_全链计算'!R76+1,0),IF('01_数值调参'!Y32&lt;0,'03_全链计算'!S76+1,0),IF('01_数值调参'!Y33&lt;0,'03_全链计算'!T76+1,0),IF('01_数值调参'!Y34&lt;0,'03_全链计算'!U76+1,0),IF('01_数值调参'!Y35&lt;0,'03_全链计算'!V76+1,0),IF('01_数值调参'!Y36&lt;0,'03_全链计算'!W76+1,0),IF('01_数值调参'!Y37&lt;0,'03_全链计算'!X76+1,0),IF('01_数值调参'!Y38&lt;0,'03_全链计算'!Y76+1,0),IF('01_数值调参'!Y39&lt;0,'03_全链计算'!Z76+1,0),IF('01_数值调参'!Y40&lt;0,'03_全链计算'!AA76+1,0),IF('01_数值调参'!Y41&lt;0,'03_全链计算'!AB76+1,0),IF('01_数值调参'!Y42&lt;0,'03_全链计算'!AC76+1,0),IF('01_数值调参'!Y43&lt;0,'03_全链计算'!AD76+1,0),IF('01_数值调参'!Y44&lt;0,'03_全链计算'!AE76+1,0),IF('01_数值调参'!Y45&lt;0,'03_全链计算'!AF76+1,0),IF('01_数值调参'!Y46&lt;0,'03_全链计算'!AG76+1,0),IF('01_数值调参'!Y47&lt;0,'03_全链计算'!AH76+1,0),IF('01_数值调参'!Y48&lt;0,'03_全链计算'!AI76+1,0),IF('01_数值调参'!Y49&lt;0,'03_全链计算'!AJ76+1,0),IF('01_数值调参'!Y50&lt;0,'03_全链计算'!AK76+1,0),IF('01_数值调参'!Y51&lt;0,'03_全链计算'!AL76+1,0),IF('01_数值调参'!Y52&lt;0,'03_全链计算'!AM76+1,0))</x:f>
        <x:v>2</x:v>
      </x:c>
      <x:c r="Z77" s="9" t="n">
        <x:f>MAX(IF('01_数值调参'!Z18&lt;0,'03_全链计算'!E76+1,0),IF('01_数值调参'!Z19&lt;0,'03_全链计算'!F76+1,0),IF('01_数值调参'!Z20&lt;0,'03_全链计算'!G76+1,0),IF('01_数值调参'!Z21&lt;0,'03_全链计算'!H76+1,0),IF('01_数值调参'!Z22&lt;0,'03_全链计算'!I76+1,0),IF('01_数值调参'!Z23&lt;0,'03_全链计算'!J76+1,0),IF('01_数值调参'!Z24&lt;0,'03_全链计算'!K76+1,0),IF('01_数值调参'!Z25&lt;0,'03_全链计算'!L76+1,0),IF('01_数值调参'!Z26&lt;0,'03_全链计算'!M76+1,0),IF('01_数值调参'!Z27&lt;0,'03_全链计算'!N76+1,0),IF('01_数值调参'!Z28&lt;0,'03_全链计算'!O76+1,0),IF('01_数值调参'!Z29&lt;0,'03_全链计算'!P76+1,0),IF('01_数值调参'!Z30&lt;0,'03_全链计算'!Q76+1,0),IF('01_数值调参'!Z31&lt;0,'03_全链计算'!R76+1,0),IF('01_数值调参'!Z32&lt;0,'03_全链计算'!S76+1,0),IF('01_数值调参'!Z33&lt;0,'03_全链计算'!T76+1,0),IF('01_数值调参'!Z34&lt;0,'03_全链计算'!U76+1,0),IF('01_数值调参'!Z35&lt;0,'03_全链计算'!V76+1,0),IF('01_数值调参'!Z36&lt;0,'03_全链计算'!W76+1,0),IF('01_数值调参'!Z37&lt;0,'03_全链计算'!X76+1,0),IF('01_数值调参'!Z38&lt;0,'03_全链计算'!Y76+1,0),IF('01_数值调参'!Z39&lt;0,'03_全链计算'!Z76+1,0),IF('01_数值调参'!Z40&lt;0,'03_全链计算'!AA76+1,0),IF('01_数值调参'!Z41&lt;0,'03_全链计算'!AB76+1,0),IF('01_数值调参'!Z42&lt;0,'03_全链计算'!AC76+1,0),IF('01_数值调参'!Z43&lt;0,'03_全链计算'!AD76+1,0),IF('01_数值调参'!Z44&lt;0,'03_全链计算'!AE76+1,0),IF('01_数值调参'!Z45&lt;0,'03_全链计算'!AF76+1,0),IF('01_数值调参'!Z46&lt;0,'03_全链计算'!AG76+1,0),IF('01_数值调参'!Z47&lt;0,'03_全链计算'!AH76+1,0),IF('01_数值调参'!Z48&lt;0,'03_全链计算'!AI76+1,0),IF('01_数值调参'!Z49&lt;0,'03_全链计算'!AJ76+1,0),IF('01_数值调参'!Z50&lt;0,'03_全链计算'!AK76+1,0),IF('01_数值调参'!Z51&lt;0,'03_全链计算'!AL76+1,0),IF('01_数值调参'!Z52&lt;0,'03_全链计算'!AM76+1,0))</x:f>
        <x:v>2</x:v>
      </x:c>
      <x:c r="AA77" s="9" t="n">
        <x:f>MAX(IF('01_数值调参'!AA18&lt;0,'03_全链计算'!E76+1,0),IF('01_数值调参'!AA19&lt;0,'03_全链计算'!F76+1,0),IF('01_数值调参'!AA20&lt;0,'03_全链计算'!G76+1,0),IF('01_数值调参'!AA21&lt;0,'03_全链计算'!H76+1,0),IF('01_数值调参'!AA22&lt;0,'03_全链计算'!I76+1,0),IF('01_数值调参'!AA23&lt;0,'03_全链计算'!J76+1,0),IF('01_数值调参'!AA24&lt;0,'03_全链计算'!K76+1,0),IF('01_数值调参'!AA25&lt;0,'03_全链计算'!L76+1,0),IF('01_数值调参'!AA26&lt;0,'03_全链计算'!M76+1,0),IF('01_数值调参'!AA27&lt;0,'03_全链计算'!N76+1,0),IF('01_数值调参'!AA28&lt;0,'03_全链计算'!O76+1,0),IF('01_数值调参'!AA29&lt;0,'03_全链计算'!P76+1,0),IF('01_数值调参'!AA30&lt;0,'03_全链计算'!Q76+1,0),IF('01_数值调参'!AA31&lt;0,'03_全链计算'!R76+1,0),IF('01_数值调参'!AA32&lt;0,'03_全链计算'!S76+1,0),IF('01_数值调参'!AA33&lt;0,'03_全链计算'!T76+1,0),IF('01_数值调参'!AA34&lt;0,'03_全链计算'!U76+1,0),IF('01_数值调参'!AA35&lt;0,'03_全链计算'!V76+1,0),IF('01_数值调参'!AA36&lt;0,'03_全链计算'!W76+1,0),IF('01_数值调参'!AA37&lt;0,'03_全链计算'!X76+1,0),IF('01_数值调参'!AA38&lt;0,'03_全链计算'!Y76+1,0),IF('01_数值调参'!AA39&lt;0,'03_全链计算'!Z76+1,0),IF('01_数值调参'!AA40&lt;0,'03_全链计算'!AA76+1,0),IF('01_数值调参'!AA41&lt;0,'03_全链计算'!AB76+1,0),IF('01_数值调参'!AA42&lt;0,'03_全链计算'!AC76+1,0),IF('01_数值调参'!AA43&lt;0,'03_全链计算'!AD76+1,0),IF('01_数值调参'!AA44&lt;0,'03_全链计算'!AE76+1,0),IF('01_数值调参'!AA45&lt;0,'03_全链计算'!AF76+1,0),IF('01_数值调参'!AA46&lt;0,'03_全链计算'!AG76+1,0),IF('01_数值调参'!AA47&lt;0,'03_全链计算'!AH76+1,0),IF('01_数值调参'!AA48&lt;0,'03_全链计算'!AI76+1,0),IF('01_数值调参'!AA49&lt;0,'03_全链计算'!AJ76+1,0),IF('01_数值调参'!AA50&lt;0,'03_全链计算'!AK76+1,0),IF('01_数值调参'!AA51&lt;0,'03_全链计算'!AL76+1,0),IF('01_数值调参'!AA52&lt;0,'03_全链计算'!AM76+1,0))</x:f>
        <x:v>2</x:v>
      </x:c>
      <x:c r="AB77" s="9" t="n">
        <x:f>MAX(IF('01_数值调参'!AB18&lt;0,'03_全链计算'!E76+1,0),IF('01_数值调参'!AB19&lt;0,'03_全链计算'!F76+1,0),IF('01_数值调参'!AB20&lt;0,'03_全链计算'!G76+1,0),IF('01_数值调参'!AB21&lt;0,'03_全链计算'!H76+1,0),IF('01_数值调参'!AB22&lt;0,'03_全链计算'!I76+1,0),IF('01_数值调参'!AB23&lt;0,'03_全链计算'!J76+1,0),IF('01_数值调参'!AB24&lt;0,'03_全链计算'!K76+1,0),IF('01_数值调参'!AB25&lt;0,'03_全链计算'!L76+1,0),IF('01_数值调参'!AB26&lt;0,'03_全链计算'!M76+1,0),IF('01_数值调参'!AB27&lt;0,'03_全链计算'!N76+1,0),IF('01_数值调参'!AB28&lt;0,'03_全链计算'!O76+1,0),IF('01_数值调参'!AB29&lt;0,'03_全链计算'!P76+1,0),IF('01_数值调参'!AB30&lt;0,'03_全链计算'!Q76+1,0),IF('01_数值调参'!AB31&lt;0,'03_全链计算'!R76+1,0),IF('01_数值调参'!AB32&lt;0,'03_全链计算'!S76+1,0),IF('01_数值调参'!AB33&lt;0,'03_全链计算'!T76+1,0),IF('01_数值调参'!AB34&lt;0,'03_全链计算'!U76+1,0),IF('01_数值调参'!AB35&lt;0,'03_全链计算'!V76+1,0),IF('01_数值调参'!AB36&lt;0,'03_全链计算'!W76+1,0),IF('01_数值调参'!AB37&lt;0,'03_全链计算'!X76+1,0),IF('01_数值调参'!AB38&lt;0,'03_全链计算'!Y76+1,0),IF('01_数值调参'!AB39&lt;0,'03_全链计算'!Z76+1,0),IF('01_数值调参'!AB40&lt;0,'03_全链计算'!AA76+1,0),IF('01_数值调参'!AB41&lt;0,'03_全链计算'!AB76+1,0),IF('01_数值调参'!AB42&lt;0,'03_全链计算'!AC76+1,0),IF('01_数值调参'!AB43&lt;0,'03_全链计算'!AD76+1,0),IF('01_数值调参'!AB44&lt;0,'03_全链计算'!AE76+1,0),IF('01_数值调参'!AB45&lt;0,'03_全链计算'!AF76+1,0),IF('01_数值调参'!AB46&lt;0,'03_全链计算'!AG76+1,0),IF('01_数值调参'!AB47&lt;0,'03_全链计算'!AH76+1,0),IF('01_数值调参'!AB48&lt;0,'03_全链计算'!AI76+1,0),IF('01_数值调参'!AB49&lt;0,'03_全链计算'!AJ76+1,0),IF('01_数值调参'!AB50&lt;0,'03_全链计算'!AK76+1,0),IF('01_数值调参'!AB51&lt;0,'03_全链计算'!AL76+1,0),IF('01_数值调参'!AB52&lt;0,'03_全链计算'!AM76+1,0))</x:f>
        <x:v>2</x:v>
      </x:c>
      <x:c r="AC77" s="9" t="n">
        <x:f>MAX(IF('01_数值调参'!AC18&lt;0,'03_全链计算'!E76+1,0),IF('01_数值调参'!AC19&lt;0,'03_全链计算'!F76+1,0),IF('01_数值调参'!AC20&lt;0,'03_全链计算'!G76+1,0),IF('01_数值调参'!AC21&lt;0,'03_全链计算'!H76+1,0),IF('01_数值调参'!AC22&lt;0,'03_全链计算'!I76+1,0),IF('01_数值调参'!AC23&lt;0,'03_全链计算'!J76+1,0),IF('01_数值调参'!AC24&lt;0,'03_全链计算'!K76+1,0),IF('01_数值调参'!AC25&lt;0,'03_全链计算'!L76+1,0),IF('01_数值调参'!AC26&lt;0,'03_全链计算'!M76+1,0),IF('01_数值调参'!AC27&lt;0,'03_全链计算'!N76+1,0),IF('01_数值调参'!AC28&lt;0,'03_全链计算'!O76+1,0),IF('01_数值调参'!AC29&lt;0,'03_全链计算'!P76+1,0),IF('01_数值调参'!AC30&lt;0,'03_全链计算'!Q76+1,0),IF('01_数值调参'!AC31&lt;0,'03_全链计算'!R76+1,0),IF('01_数值调参'!AC32&lt;0,'03_全链计算'!S76+1,0),IF('01_数值调参'!AC33&lt;0,'03_全链计算'!T76+1,0),IF('01_数值调参'!AC34&lt;0,'03_全链计算'!U76+1,0),IF('01_数值调参'!AC35&lt;0,'03_全链计算'!V76+1,0),IF('01_数值调参'!AC36&lt;0,'03_全链计算'!W76+1,0),IF('01_数值调参'!AC37&lt;0,'03_全链计算'!X76+1,0),IF('01_数值调参'!AC38&lt;0,'03_全链计算'!Y76+1,0),IF('01_数值调参'!AC39&lt;0,'03_全链计算'!Z76+1,0),IF('01_数值调参'!AC40&lt;0,'03_全链计算'!AA76+1,0),IF('01_数值调参'!AC41&lt;0,'03_全链计算'!AB76+1,0),IF('01_数值调参'!AC42&lt;0,'03_全链计算'!AC76+1,0),IF('01_数值调参'!AC43&lt;0,'03_全链计算'!AD76+1,0),IF('01_数值调参'!AC44&lt;0,'03_全链计算'!AE76+1,0),IF('01_数值调参'!AC45&lt;0,'03_全链计算'!AF76+1,0),IF('01_数值调参'!AC46&lt;0,'03_全链计算'!AG76+1,0),IF('01_数值调参'!AC47&lt;0,'03_全链计算'!AH76+1,0),IF('01_数值调参'!AC48&lt;0,'03_全链计算'!AI76+1,0),IF('01_数值调参'!AC49&lt;0,'03_全链计算'!AJ76+1,0),IF('01_数值调参'!AC50&lt;0,'03_全链计算'!AK76+1,0),IF('01_数值调参'!AC51&lt;0,'03_全链计算'!AL76+1,0),IF('01_数值调参'!AC52&lt;0,'03_全链计算'!AM76+1,0))</x:f>
        <x:v>2</x:v>
      </x:c>
      <x:c r="AD77" s="9" t="n">
        <x:f>MAX(IF('01_数值调参'!AD18&lt;0,'03_全链计算'!E76+1,0),IF('01_数值调参'!AD19&lt;0,'03_全链计算'!F76+1,0),IF('01_数值调参'!AD20&lt;0,'03_全链计算'!G76+1,0),IF('01_数值调参'!AD21&lt;0,'03_全链计算'!H76+1,0),IF('01_数值调参'!AD22&lt;0,'03_全链计算'!I76+1,0),IF('01_数值调参'!AD23&lt;0,'03_全链计算'!J76+1,0),IF('01_数值调参'!AD24&lt;0,'03_全链计算'!K76+1,0),IF('01_数值调参'!AD25&lt;0,'03_全链计算'!L76+1,0),IF('01_数值调参'!AD26&lt;0,'03_全链计算'!M76+1,0),IF('01_数值调参'!AD27&lt;0,'03_全链计算'!N76+1,0),IF('01_数值调参'!AD28&lt;0,'03_全链计算'!O76+1,0),IF('01_数值调参'!AD29&lt;0,'03_全链计算'!P76+1,0),IF('01_数值调参'!AD30&lt;0,'03_全链计算'!Q76+1,0),IF('01_数值调参'!AD31&lt;0,'03_全链计算'!R76+1,0),IF('01_数值调参'!AD32&lt;0,'03_全链计算'!S76+1,0),IF('01_数值调参'!AD33&lt;0,'03_全链计算'!T76+1,0),IF('01_数值调参'!AD34&lt;0,'03_全链计算'!U76+1,0),IF('01_数值调参'!AD35&lt;0,'03_全链计算'!V76+1,0),IF('01_数值调参'!AD36&lt;0,'03_全链计算'!W76+1,0),IF('01_数值调参'!AD37&lt;0,'03_全链计算'!X76+1,0),IF('01_数值调参'!AD38&lt;0,'03_全链计算'!Y76+1,0),IF('01_数值调参'!AD39&lt;0,'03_全链计算'!Z76+1,0),IF('01_数值调参'!AD40&lt;0,'03_全链计算'!AA76+1,0),IF('01_数值调参'!AD41&lt;0,'03_全链计算'!AB76+1,0),IF('01_数值调参'!AD42&lt;0,'03_全链计算'!AC76+1,0),IF('01_数值调参'!AD43&lt;0,'03_全链计算'!AD76+1,0),IF('01_数值调参'!AD44&lt;0,'03_全链计算'!AE76+1,0),IF('01_数值调参'!AD45&lt;0,'03_全链计算'!AF76+1,0),IF('01_数值调参'!AD46&lt;0,'03_全链计算'!AG76+1,0),IF('01_数值调参'!AD47&lt;0,'03_全链计算'!AH76+1,0),IF('01_数值调参'!AD48&lt;0,'03_全链计算'!AI76+1,0),IF('01_数值调参'!AD49&lt;0,'03_全链计算'!AJ76+1,0),IF('01_数值调参'!AD50&lt;0,'03_全链计算'!AK76+1,0),IF('01_数值调参'!AD51&lt;0,'03_全链计算'!AL76+1,0),IF('01_数值调参'!AD52&lt;0,'03_全链计算'!AM76+1,0))</x:f>
        <x:v>1</x:v>
      </x:c>
      <x:c r="AE77" s="9" t="n">
        <x:f>MAX(IF('01_数值调参'!AE18&lt;0,'03_全链计算'!E76+1,0),IF('01_数值调参'!AE19&lt;0,'03_全链计算'!F76+1,0),IF('01_数值调参'!AE20&lt;0,'03_全链计算'!G76+1,0),IF('01_数值调参'!AE21&lt;0,'03_全链计算'!H76+1,0),IF('01_数值调参'!AE22&lt;0,'03_全链计算'!I76+1,0),IF('01_数值调参'!AE23&lt;0,'03_全链计算'!J76+1,0),IF('01_数值调参'!AE24&lt;0,'03_全链计算'!K76+1,0),IF('01_数值调参'!AE25&lt;0,'03_全链计算'!L76+1,0),IF('01_数值调参'!AE26&lt;0,'03_全链计算'!M76+1,0),IF('01_数值调参'!AE27&lt;0,'03_全链计算'!N76+1,0),IF('01_数值调参'!AE28&lt;0,'03_全链计算'!O76+1,0),IF('01_数值调参'!AE29&lt;0,'03_全链计算'!P76+1,0),IF('01_数值调参'!AE30&lt;0,'03_全链计算'!Q76+1,0),IF('01_数值调参'!AE31&lt;0,'03_全链计算'!R76+1,0),IF('01_数值调参'!AE32&lt;0,'03_全链计算'!S76+1,0),IF('01_数值调参'!AE33&lt;0,'03_全链计算'!T76+1,0),IF('01_数值调参'!AE34&lt;0,'03_全链计算'!U76+1,0),IF('01_数值调参'!AE35&lt;0,'03_全链计算'!V76+1,0),IF('01_数值调参'!AE36&lt;0,'03_全链计算'!W76+1,0),IF('01_数值调参'!AE37&lt;0,'03_全链计算'!X76+1,0),IF('01_数值调参'!AE38&lt;0,'03_全链计算'!Y76+1,0),IF('01_数值调参'!AE39&lt;0,'03_全链计算'!Z76+1,0),IF('01_数值调参'!AE40&lt;0,'03_全链计算'!AA76+1,0),IF('01_数值调参'!AE41&lt;0,'03_全链计算'!AB76+1,0),IF('01_数值调参'!AE42&lt;0,'03_全链计算'!AC76+1,0),IF('01_数值调参'!AE43&lt;0,'03_全链计算'!AD76+1,0),IF('01_数值调参'!AE44&lt;0,'03_全链计算'!AE76+1,0),IF('01_数值调参'!AE45&lt;0,'03_全链计算'!AF76+1,0),IF('01_数值调参'!AE46&lt;0,'03_全链计算'!AG76+1,0),IF('01_数值调参'!AE47&lt;0,'03_全链计算'!AH76+1,0),IF('01_数值调参'!AE48&lt;0,'03_全链计算'!AI76+1,0),IF('01_数值调参'!AE49&lt;0,'03_全链计算'!AJ76+1,0),IF('01_数值调参'!AE50&lt;0,'03_全链计算'!AK76+1,0),IF('01_数值调参'!AE51&lt;0,'03_全链计算'!AL76+1,0),IF('01_数值调参'!AE52&lt;0,'03_全链计算'!AM76+1,0))</x:f>
        <x:v>1</x:v>
      </x:c>
      <x:c r="AF77" s="9" t="n">
        <x:f>MAX(IF('01_数值调参'!AF18&lt;0,'03_全链计算'!E76+1,0),IF('01_数值调参'!AF19&lt;0,'03_全链计算'!F76+1,0),IF('01_数值调参'!AF20&lt;0,'03_全链计算'!G76+1,0),IF('01_数值调参'!AF21&lt;0,'03_全链计算'!H76+1,0),IF('01_数值调参'!AF22&lt;0,'03_全链计算'!I76+1,0),IF('01_数值调参'!AF23&lt;0,'03_全链计算'!J76+1,0),IF('01_数值调参'!AF24&lt;0,'03_全链计算'!K76+1,0),IF('01_数值调参'!AF25&lt;0,'03_全链计算'!L76+1,0),IF('01_数值调参'!AF26&lt;0,'03_全链计算'!M76+1,0),IF('01_数值调参'!AF27&lt;0,'03_全链计算'!N76+1,0),IF('01_数值调参'!AF28&lt;0,'03_全链计算'!O76+1,0),IF('01_数值调参'!AF29&lt;0,'03_全链计算'!P76+1,0),IF('01_数值调参'!AF30&lt;0,'03_全链计算'!Q76+1,0),IF('01_数值调参'!AF31&lt;0,'03_全链计算'!R76+1,0),IF('01_数值调参'!AF32&lt;0,'03_全链计算'!S76+1,0),IF('01_数值调参'!AF33&lt;0,'03_全链计算'!T76+1,0),IF('01_数值调参'!AF34&lt;0,'03_全链计算'!U76+1,0),IF('01_数值调参'!AF35&lt;0,'03_全链计算'!V76+1,0),IF('01_数值调参'!AF36&lt;0,'03_全链计算'!W76+1,0),IF('01_数值调参'!AF37&lt;0,'03_全链计算'!X76+1,0),IF('01_数值调参'!AF38&lt;0,'03_全链计算'!Y76+1,0),IF('01_数值调参'!AF39&lt;0,'03_全链计算'!Z76+1,0),IF('01_数值调参'!AF40&lt;0,'03_全链计算'!AA76+1,0),IF('01_数值调参'!AF41&lt;0,'03_全链计算'!AB76+1,0),IF('01_数值调参'!AF42&lt;0,'03_全链计算'!AC76+1,0),IF('01_数值调参'!AF43&lt;0,'03_全链计算'!AD76+1,0),IF('01_数值调参'!AF44&lt;0,'03_全链计算'!AE76+1,0),IF('01_数值调参'!AF45&lt;0,'03_全链计算'!AF76+1,0),IF('01_数值调参'!AF46&lt;0,'03_全链计算'!AG76+1,0),IF('01_数值调参'!AF47&lt;0,'03_全链计算'!AH76+1,0),IF('01_数值调参'!AF48&lt;0,'03_全链计算'!AI76+1,0),IF('01_数值调参'!AF49&lt;0,'03_全链计算'!AJ76+1,0),IF('01_数值调参'!AF50&lt;0,'03_全链计算'!AK76+1,0),IF('01_数值调参'!AF51&lt;0,'03_全链计算'!AL76+1,0),IF('01_数值调参'!AF52&lt;0,'03_全链计算'!AM76+1,0))</x:f>
        <x:v>1</x:v>
      </x:c>
      <x:c r="AG77" s="9" t="n">
        <x:f>MAX(IF('01_数值调参'!AG18&lt;0,'03_全链计算'!E76+1,0),IF('01_数值调参'!AG19&lt;0,'03_全链计算'!F76+1,0),IF('01_数值调参'!AG20&lt;0,'03_全链计算'!G76+1,0),IF('01_数值调参'!AG21&lt;0,'03_全链计算'!H76+1,0),IF('01_数值调参'!AG22&lt;0,'03_全链计算'!I76+1,0),IF('01_数值调参'!AG23&lt;0,'03_全链计算'!J76+1,0),IF('01_数值调参'!AG24&lt;0,'03_全链计算'!K76+1,0),IF('01_数值调参'!AG25&lt;0,'03_全链计算'!L76+1,0),IF('01_数值调参'!AG26&lt;0,'03_全链计算'!M76+1,0),IF('01_数值调参'!AG27&lt;0,'03_全链计算'!N76+1,0),IF('01_数值调参'!AG28&lt;0,'03_全链计算'!O76+1,0),IF('01_数值调参'!AG29&lt;0,'03_全链计算'!P76+1,0),IF('01_数值调参'!AG30&lt;0,'03_全链计算'!Q76+1,0),IF('01_数值调参'!AG31&lt;0,'03_全链计算'!R76+1,0),IF('01_数值调参'!AG32&lt;0,'03_全链计算'!S76+1,0),IF('01_数值调参'!AG33&lt;0,'03_全链计算'!T76+1,0),IF('01_数值调参'!AG34&lt;0,'03_全链计算'!U76+1,0),IF('01_数值调参'!AG35&lt;0,'03_全链计算'!V76+1,0),IF('01_数值调参'!AG36&lt;0,'03_全链计算'!W76+1,0),IF('01_数值调参'!AG37&lt;0,'03_全链计算'!X76+1,0),IF('01_数值调参'!AG38&lt;0,'03_全链计算'!Y76+1,0),IF('01_数值调参'!AG39&lt;0,'03_全链计算'!Z76+1,0),IF('01_数值调参'!AG40&lt;0,'03_全链计算'!AA76+1,0),IF('01_数值调参'!AG41&lt;0,'03_全链计算'!AB76+1,0),IF('01_数值调参'!AG42&lt;0,'03_全链计算'!AC76+1,0),IF('01_数值调参'!AG43&lt;0,'03_全链计算'!AD76+1,0),IF('01_数值调参'!AG44&lt;0,'03_全链计算'!AE76+1,0),IF('01_数值调参'!AG45&lt;0,'03_全链计算'!AF76+1,0),IF('01_数值调参'!AG46&lt;0,'03_全链计算'!AG76+1,0),IF('01_数值调参'!AG47&lt;0,'03_全链计算'!AH76+1,0),IF('01_数值调参'!AG48&lt;0,'03_全链计算'!AI76+1,0),IF('01_数值调参'!AG49&lt;0,'03_全链计算'!AJ76+1,0),IF('01_数值调参'!AG50&lt;0,'03_全链计算'!AK76+1,0),IF('01_数值调参'!AG51&lt;0,'03_全链计算'!AL76+1,0),IF('01_数值调参'!AG52&lt;0,'03_全链计算'!AM76+1,0))</x:f>
        <x:v>1</x:v>
      </x:c>
      <x:c r="AH77" s="9" t="n">
        <x:f>MAX(IF('01_数值调参'!AH18&lt;0,'03_全链计算'!E76+1,0),IF('01_数值调参'!AH19&lt;0,'03_全链计算'!F76+1,0),IF('01_数值调参'!AH20&lt;0,'03_全链计算'!G76+1,0),IF('01_数值调参'!AH21&lt;0,'03_全链计算'!H76+1,0),IF('01_数值调参'!AH22&lt;0,'03_全链计算'!I76+1,0),IF('01_数值调参'!AH23&lt;0,'03_全链计算'!J76+1,0),IF('01_数值调参'!AH24&lt;0,'03_全链计算'!K76+1,0),IF('01_数值调参'!AH25&lt;0,'03_全链计算'!L76+1,0),IF('01_数值调参'!AH26&lt;0,'03_全链计算'!M76+1,0),IF('01_数值调参'!AH27&lt;0,'03_全链计算'!N76+1,0),IF('01_数值调参'!AH28&lt;0,'03_全链计算'!O76+1,0),IF('01_数值调参'!AH29&lt;0,'03_全链计算'!P76+1,0),IF('01_数值调参'!AH30&lt;0,'03_全链计算'!Q76+1,0),IF('01_数值调参'!AH31&lt;0,'03_全链计算'!R76+1,0),IF('01_数值调参'!AH32&lt;0,'03_全链计算'!S76+1,0),IF('01_数值调参'!AH33&lt;0,'03_全链计算'!T76+1,0),IF('01_数值调参'!AH34&lt;0,'03_全链计算'!U76+1,0),IF('01_数值调参'!AH35&lt;0,'03_全链计算'!V76+1,0),IF('01_数值调参'!AH36&lt;0,'03_全链计算'!W76+1,0),IF('01_数值调参'!AH37&lt;0,'03_全链计算'!X76+1,0),IF('01_数值调参'!AH38&lt;0,'03_全链计算'!Y76+1,0),IF('01_数值调参'!AH39&lt;0,'03_全链计算'!Z76+1,0),IF('01_数值调参'!AH40&lt;0,'03_全链计算'!AA76+1,0),IF('01_数值调参'!AH41&lt;0,'03_全链计算'!AB76+1,0),IF('01_数值调参'!AH42&lt;0,'03_全链计算'!AC76+1,0),IF('01_数值调参'!AH43&lt;0,'03_全链计算'!AD76+1,0),IF('01_数值调参'!AH44&lt;0,'03_全链计算'!AE76+1,0),IF('01_数值调参'!AH45&lt;0,'03_全链计算'!AF76+1,0),IF('01_数值调参'!AH46&lt;0,'03_全链计算'!AG76+1,0),IF('01_数值调参'!AH47&lt;0,'03_全链计算'!AH76+1,0),IF('01_数值调参'!AH48&lt;0,'03_全链计算'!AI76+1,0),IF('01_数值调参'!AH49&lt;0,'03_全链计算'!AJ76+1,0),IF('01_数值调参'!AH50&lt;0,'03_全链计算'!AK76+1,0),IF('01_数值调参'!AH51&lt;0,'03_全链计算'!AL76+1,0),IF('01_数值调参'!AH52&lt;0,'03_全链计算'!AM76+1,0))</x:f>
        <x:v>2</x:v>
      </x:c>
      <x:c r="AI77" s="9" t="n">
        <x:f>MAX(IF('01_数值调参'!AI18&lt;0,'03_全链计算'!E76+1,0),IF('01_数值调参'!AI19&lt;0,'03_全链计算'!F76+1,0),IF('01_数值调参'!AI20&lt;0,'03_全链计算'!G76+1,0),IF('01_数值调参'!AI21&lt;0,'03_全链计算'!H76+1,0),IF('01_数值调参'!AI22&lt;0,'03_全链计算'!I76+1,0),IF('01_数值调参'!AI23&lt;0,'03_全链计算'!J76+1,0),IF('01_数值调参'!AI24&lt;0,'03_全链计算'!K76+1,0),IF('01_数值调参'!AI25&lt;0,'03_全链计算'!L76+1,0),IF('01_数值调参'!AI26&lt;0,'03_全链计算'!M76+1,0),IF('01_数值调参'!AI27&lt;0,'03_全链计算'!N76+1,0),IF('01_数值调参'!AI28&lt;0,'03_全链计算'!O76+1,0),IF('01_数值调参'!AI29&lt;0,'03_全链计算'!P76+1,0),IF('01_数值调参'!AI30&lt;0,'03_全链计算'!Q76+1,0),IF('01_数值调参'!AI31&lt;0,'03_全链计算'!R76+1,0),IF('01_数值调参'!AI32&lt;0,'03_全链计算'!S76+1,0),IF('01_数值调参'!AI33&lt;0,'03_全链计算'!T76+1,0),IF('01_数值调参'!AI34&lt;0,'03_全链计算'!U76+1,0),IF('01_数值调参'!AI35&lt;0,'03_全链计算'!V76+1,0),IF('01_数值调参'!AI36&lt;0,'03_全链计算'!W76+1,0),IF('01_数值调参'!AI37&lt;0,'03_全链计算'!X76+1,0),IF('01_数值调参'!AI38&lt;0,'03_全链计算'!Y76+1,0),IF('01_数值调参'!AI39&lt;0,'03_全链计算'!Z76+1,0),IF('01_数值调参'!AI40&lt;0,'03_全链计算'!AA76+1,0),IF('01_数值调参'!AI41&lt;0,'03_全链计算'!AB76+1,0),IF('01_数值调参'!AI42&lt;0,'03_全链计算'!AC76+1,0),IF('01_数值调参'!AI43&lt;0,'03_全链计算'!AD76+1,0),IF('01_数值调参'!AI44&lt;0,'03_全链计算'!AE76+1,0),IF('01_数值调参'!AI45&lt;0,'03_全链计算'!AF76+1,0),IF('01_数值调参'!AI46&lt;0,'03_全链计算'!AG76+1,0),IF('01_数值调参'!AI47&lt;0,'03_全链计算'!AH76+1,0),IF('01_数值调参'!AI48&lt;0,'03_全链计算'!AI76+1,0),IF('01_数值调参'!AI49&lt;0,'03_全链计算'!AJ76+1,0),IF('01_数值调参'!AI50&lt;0,'03_全链计算'!AK76+1,0),IF('01_数值调参'!AI51&lt;0,'03_全链计算'!AL76+1,0),IF('01_数值调参'!AI52&lt;0,'03_全链计算'!AM76+1,0))</x:f>
        <x:v>2</x:v>
      </x:c>
      <x:c r="AJ77" s="9" t="n">
        <x:f>MAX(IF('01_数值调参'!AJ18&lt;0,'03_全链计算'!E76+1,0),IF('01_数值调参'!AJ19&lt;0,'03_全链计算'!F76+1,0),IF('01_数值调参'!AJ20&lt;0,'03_全链计算'!G76+1,0),IF('01_数值调参'!AJ21&lt;0,'03_全链计算'!H76+1,0),IF('01_数值调参'!AJ22&lt;0,'03_全链计算'!I76+1,0),IF('01_数值调参'!AJ23&lt;0,'03_全链计算'!J76+1,0),IF('01_数值调参'!AJ24&lt;0,'03_全链计算'!K76+1,0),IF('01_数值调参'!AJ25&lt;0,'03_全链计算'!L76+1,0),IF('01_数值调参'!AJ26&lt;0,'03_全链计算'!M76+1,0),IF('01_数值调参'!AJ27&lt;0,'03_全链计算'!N76+1,0),IF('01_数值调参'!AJ28&lt;0,'03_全链计算'!O76+1,0),IF('01_数值调参'!AJ29&lt;0,'03_全链计算'!P76+1,0),IF('01_数值调参'!AJ30&lt;0,'03_全链计算'!Q76+1,0),IF('01_数值调参'!AJ31&lt;0,'03_全链计算'!R76+1,0),IF('01_数值调参'!AJ32&lt;0,'03_全链计算'!S76+1,0),IF('01_数值调参'!AJ33&lt;0,'03_全链计算'!T76+1,0),IF('01_数值调参'!AJ34&lt;0,'03_全链计算'!U76+1,0),IF('01_数值调参'!AJ35&lt;0,'03_全链计算'!V76+1,0),IF('01_数值调参'!AJ36&lt;0,'03_全链计算'!W76+1,0),IF('01_数值调参'!AJ37&lt;0,'03_全链计算'!X76+1,0),IF('01_数值调参'!AJ38&lt;0,'03_全链计算'!Y76+1,0),IF('01_数值调参'!AJ39&lt;0,'03_全链计算'!Z76+1,0),IF('01_数值调参'!AJ40&lt;0,'03_全链计算'!AA76+1,0),IF('01_数值调参'!AJ41&lt;0,'03_全链计算'!AB76+1,0),IF('01_数值调参'!AJ42&lt;0,'03_全链计算'!AC76+1,0),IF('01_数值调参'!AJ43&lt;0,'03_全链计算'!AD76+1,0),IF('01_数值调参'!AJ44&lt;0,'03_全链计算'!AE76+1,0),IF('01_数值调参'!AJ45&lt;0,'03_全链计算'!AF76+1,0),IF('01_数值调参'!AJ46&lt;0,'03_全链计算'!AG76+1,0),IF('01_数值调参'!AJ47&lt;0,'03_全链计算'!AH76+1,0),IF('01_数值调参'!AJ48&lt;0,'03_全链计算'!AI76+1,0),IF('01_数值调参'!AJ49&lt;0,'03_全链计算'!AJ76+1,0),IF('01_数值调参'!AJ50&lt;0,'03_全链计算'!AK76+1,0),IF('01_数值调参'!AJ51&lt;0,'03_全链计算'!AL76+1,0),IF('01_数值调参'!AJ52&lt;0,'03_全链计算'!AM76+1,0))</x:f>
        <x:v>2</x:v>
      </x:c>
      <x:c r="AK77" s="9" t="n">
        <x:f>MAX(IF('01_数值调参'!AK18&lt;0,'03_全链计算'!E76+1,0),IF('01_数值调参'!AK19&lt;0,'03_全链计算'!F76+1,0),IF('01_数值调参'!AK20&lt;0,'03_全链计算'!G76+1,0),IF('01_数值调参'!AK21&lt;0,'03_全链计算'!H76+1,0),IF('01_数值调参'!AK22&lt;0,'03_全链计算'!I76+1,0),IF('01_数值调参'!AK23&lt;0,'03_全链计算'!J76+1,0),IF('01_数值调参'!AK24&lt;0,'03_全链计算'!K76+1,0),IF('01_数值调参'!AK25&lt;0,'03_全链计算'!L76+1,0),IF('01_数值调参'!AK26&lt;0,'03_全链计算'!M76+1,0),IF('01_数值调参'!AK27&lt;0,'03_全链计算'!N76+1,0),IF('01_数值调参'!AK28&lt;0,'03_全链计算'!O76+1,0),IF('01_数值调参'!AK29&lt;0,'03_全链计算'!P76+1,0),IF('01_数值调参'!AK30&lt;0,'03_全链计算'!Q76+1,0),IF('01_数值调参'!AK31&lt;0,'03_全链计算'!R76+1,0),IF('01_数值调参'!AK32&lt;0,'03_全链计算'!S76+1,0),IF('01_数值调参'!AK33&lt;0,'03_全链计算'!T76+1,0),IF('01_数值调参'!AK34&lt;0,'03_全链计算'!U76+1,0),IF('01_数值调参'!AK35&lt;0,'03_全链计算'!V76+1,0),IF('01_数值调参'!AK36&lt;0,'03_全链计算'!W76+1,0),IF('01_数值调参'!AK37&lt;0,'03_全链计算'!X76+1,0),IF('01_数值调参'!AK38&lt;0,'03_全链计算'!Y76+1,0),IF('01_数值调参'!AK39&lt;0,'03_全链计算'!Z76+1,0),IF('01_数值调参'!AK40&lt;0,'03_全链计算'!AA76+1,0),IF('01_数值调参'!AK41&lt;0,'03_全链计算'!AB76+1,0),IF('01_数值调参'!AK42&lt;0,'03_全链计算'!AC76+1,0),IF('01_数值调参'!AK43&lt;0,'03_全链计算'!AD76+1,0),IF('01_数值调参'!AK44&lt;0,'03_全链计算'!AE76+1,0),IF('01_数值调参'!AK45&lt;0,'03_全链计算'!AF76+1,0),IF('01_数值调参'!AK46&lt;0,'03_全链计算'!AG76+1,0),IF('01_数值调参'!AK47&lt;0,'03_全链计算'!AH76+1,0),IF('01_数值调参'!AK48&lt;0,'03_全链计算'!AI76+1,0),IF('01_数值调参'!AK49&lt;0,'03_全链计算'!AJ76+1,0),IF('01_数值调参'!AK50&lt;0,'03_全链计算'!AK76+1,0),IF('01_数值调参'!AK51&lt;0,'03_全链计算'!AL76+1,0),IF('01_数值调参'!AK52&lt;0,'03_全链计算'!AM76+1,0))</x:f>
        <x:v>2</x:v>
      </x:c>
      <x:c r="AL77" s="9" t="n">
        <x:f>MAX(IF('01_数值调参'!AL18&lt;0,'03_全链计算'!E76+1,0),IF('01_数值调参'!AL19&lt;0,'03_全链计算'!F76+1,0),IF('01_数值调参'!AL20&lt;0,'03_全链计算'!G76+1,0),IF('01_数值调参'!AL21&lt;0,'03_全链计算'!H76+1,0),IF('01_数值调参'!AL22&lt;0,'03_全链计算'!I76+1,0),IF('01_数值调参'!AL23&lt;0,'03_全链计算'!J76+1,0),IF('01_数值调参'!AL24&lt;0,'03_全链计算'!K76+1,0),IF('01_数值调参'!AL25&lt;0,'03_全链计算'!L76+1,0),IF('01_数值调参'!AL26&lt;0,'03_全链计算'!M76+1,0),IF('01_数值调参'!AL27&lt;0,'03_全链计算'!N76+1,0),IF('01_数值调参'!AL28&lt;0,'03_全链计算'!O76+1,0),IF('01_数值调参'!AL29&lt;0,'03_全链计算'!P76+1,0),IF('01_数值调参'!AL30&lt;0,'03_全链计算'!Q76+1,0),IF('01_数值调参'!AL31&lt;0,'03_全链计算'!R76+1,0),IF('01_数值调参'!AL32&lt;0,'03_全链计算'!S76+1,0),IF('01_数值调参'!AL33&lt;0,'03_全链计算'!T76+1,0),IF('01_数值调参'!AL34&lt;0,'03_全链计算'!U76+1,0),IF('01_数值调参'!AL35&lt;0,'03_全链计算'!V76+1,0),IF('01_数值调参'!AL36&lt;0,'03_全链计算'!W76+1,0),IF('01_数值调参'!AL37&lt;0,'03_全链计算'!X76+1,0),IF('01_数值调参'!AL38&lt;0,'03_全链计算'!Y76+1,0),IF('01_数值调参'!AL39&lt;0,'03_全链计算'!Z76+1,0),IF('01_数值调参'!AL40&lt;0,'03_全链计算'!AA76+1,0),IF('01_数值调参'!AL41&lt;0,'03_全链计算'!AB76+1,0),IF('01_数值调参'!AL42&lt;0,'03_全链计算'!AC76+1,0),IF('01_数值调参'!AL43&lt;0,'03_全链计算'!AD76+1,0),IF('01_数值调参'!AL44&lt;0,'03_全链计算'!AE76+1,0),IF('01_数值调参'!AL45&lt;0,'03_全链计算'!AF76+1,0),IF('01_数值调参'!AL46&lt;0,'03_全链计算'!AG76+1,0),IF('01_数值调参'!AL47&lt;0,'03_全链计算'!AH76+1,0),IF('01_数值调参'!AL48&lt;0,'03_全链计算'!AI76+1,0),IF('01_数值调参'!AL49&lt;0,'03_全链计算'!AJ76+1,0),IF('01_数值调参'!AL50&lt;0,'03_全链计算'!AK76+1,0),IF('01_数值调参'!AL51&lt;0,'03_全链计算'!AL76+1,0),IF('01_数值调参'!AL52&lt;0,'03_全链计算'!AM76+1,0))</x:f>
        <x:v>3</x:v>
      </x:c>
      <x:c r="AM77" s="9" t="n">
        <x:f>MAX(IF('01_数值调参'!AM18&lt;0,'03_全链计算'!E76+1,0),IF('01_数值调参'!AM19&lt;0,'03_全链计算'!F76+1,0),IF('01_数值调参'!AM20&lt;0,'03_全链计算'!G76+1,0),IF('01_数值调参'!AM21&lt;0,'03_全链计算'!H76+1,0),IF('01_数值调参'!AM22&lt;0,'03_全链计算'!I76+1,0),IF('01_数值调参'!AM23&lt;0,'03_全链计算'!J76+1,0),IF('01_数值调参'!AM24&lt;0,'03_全链计算'!K76+1,0),IF('01_数值调参'!AM25&lt;0,'03_全链计算'!L76+1,0),IF('01_数值调参'!AM26&lt;0,'03_全链计算'!M76+1,0),IF('01_数值调参'!AM27&lt;0,'03_全链计算'!N76+1,0),IF('01_数值调参'!AM28&lt;0,'03_全链计算'!O76+1,0),IF('01_数值调参'!AM29&lt;0,'03_全链计算'!P76+1,0),IF('01_数值调参'!AM30&lt;0,'03_全链计算'!Q76+1,0),IF('01_数值调参'!AM31&lt;0,'03_全链计算'!R76+1,0),IF('01_数值调参'!AM32&lt;0,'03_全链计算'!S76+1,0),IF('01_数值调参'!AM33&lt;0,'03_全链计算'!T76+1,0),IF('01_数值调参'!AM34&lt;0,'03_全链计算'!U76+1,0),IF('01_数值调参'!AM35&lt;0,'03_全链计算'!V76+1,0),IF('01_数值调参'!AM36&lt;0,'03_全链计算'!W76+1,0),IF('01_数值调参'!AM37&lt;0,'03_全链计算'!X76+1,0),IF('01_数值调参'!AM38&lt;0,'03_全链计算'!Y76+1,0),IF('01_数值调参'!AM39&lt;0,'03_全链计算'!Z76+1,0),IF('01_数值调参'!AM40&lt;0,'03_全链计算'!AA76+1,0),IF('01_数值调参'!AM41&lt;0,'03_全链计算'!AB76+1,0),IF('01_数值调参'!AM42&lt;0,'03_全链计算'!AC76+1,0),IF('01_数值调参'!AM43&lt;0,'03_全链计算'!AD76+1,0),IF('01_数值调参'!AM44&lt;0,'03_全链计算'!AE76+1,0),IF('01_数值调参'!AM45&lt;0,'03_全链计算'!AF76+1,0),IF('01_数值调参'!AM46&lt;0,'03_全链计算'!AG76+1,0),IF('01_数值调参'!AM47&lt;0,'03_全链计算'!AH76+1,0),IF('01_数值调参'!AM48&lt;0,'03_全链计算'!AI76+1,0),IF('01_数值调参'!AM49&lt;0,'03_全链计算'!AJ76+1,0),IF('01_数值调参'!AM50&lt;0,'03_全链计算'!AK76+1,0),IF('01_数值调参'!AM51&lt;0,'03_全链计算'!AL76+1,0),IF('01_数值调参'!AM52&lt;0,'03_全链计算'!AM76+1,0))</x:f>
        <x:v>3</x:v>
      </x:c>
    </x:row>
    <x:row r="78" ht="22" customHeight="1">
      <x:c r="A78" s="9" t="n">
        <x:v>33</x:v>
      </x:c>
      <x:c r="B78" s="9"/>
      <x:c r="C78" s="9"/>
      <x:c r="D78" s="9"/>
      <x:c r="E78" s="9" t="n">
        <x:f>MAX(IF('01_数值调参'!E18&lt;0,'03_全链计算'!E77+1,0),IF('01_数值调参'!E19&lt;0,'03_全链计算'!F77+1,0),IF('01_数值调参'!E20&lt;0,'03_全链计算'!G77+1,0),IF('01_数值调参'!E21&lt;0,'03_全链计算'!H77+1,0),IF('01_数值调参'!E22&lt;0,'03_全链计算'!I77+1,0),IF('01_数值调参'!E23&lt;0,'03_全链计算'!J77+1,0),IF('01_数值调参'!E24&lt;0,'03_全链计算'!K77+1,0),IF('01_数值调参'!E25&lt;0,'03_全链计算'!L77+1,0),IF('01_数值调参'!E26&lt;0,'03_全链计算'!M77+1,0),IF('01_数值调参'!E27&lt;0,'03_全链计算'!N77+1,0),IF('01_数值调参'!E28&lt;0,'03_全链计算'!O77+1,0),IF('01_数值调参'!E29&lt;0,'03_全链计算'!P77+1,0),IF('01_数值调参'!E30&lt;0,'03_全链计算'!Q77+1,0),IF('01_数值调参'!E31&lt;0,'03_全链计算'!R77+1,0),IF('01_数值调参'!E32&lt;0,'03_全链计算'!S77+1,0),IF('01_数值调参'!E33&lt;0,'03_全链计算'!T77+1,0),IF('01_数值调参'!E34&lt;0,'03_全链计算'!U77+1,0),IF('01_数值调参'!E35&lt;0,'03_全链计算'!V77+1,0),IF('01_数值调参'!E36&lt;0,'03_全链计算'!W77+1,0),IF('01_数值调参'!E37&lt;0,'03_全链计算'!X77+1,0),IF('01_数值调参'!E38&lt;0,'03_全链计算'!Y77+1,0),IF('01_数值调参'!E39&lt;0,'03_全链计算'!Z77+1,0),IF('01_数值调参'!E40&lt;0,'03_全链计算'!AA77+1,0),IF('01_数值调参'!E41&lt;0,'03_全链计算'!AB77+1,0),IF('01_数值调参'!E42&lt;0,'03_全链计算'!AC77+1,0),IF('01_数值调参'!E43&lt;0,'03_全链计算'!AD77+1,0),IF('01_数值调参'!E44&lt;0,'03_全链计算'!AE77+1,0),IF('01_数值调参'!E45&lt;0,'03_全链计算'!AF77+1,0),IF('01_数值调参'!E46&lt;0,'03_全链计算'!AG77+1,0),IF('01_数值调参'!E47&lt;0,'03_全链计算'!AH77+1,0),IF('01_数值调参'!E48&lt;0,'03_全链计算'!AI77+1,0),IF('01_数值调参'!E49&lt;0,'03_全链计算'!AJ77+1,0),IF('01_数值调参'!E50&lt;0,'03_全链计算'!AK77+1,0),IF('01_数值调参'!E51&lt;0,'03_全链计算'!AL77+1,0),IF('01_数值调参'!E52&lt;0,'03_全链计算'!AM77+1,0))</x:f>
        <x:v>0</x:v>
      </x:c>
      <x:c r="F78" s="9" t="n">
        <x:f>MAX(IF('01_数值调参'!F18&lt;0,'03_全链计算'!E77+1,0),IF('01_数值调参'!F19&lt;0,'03_全链计算'!F77+1,0),IF('01_数值调参'!F20&lt;0,'03_全链计算'!G77+1,0),IF('01_数值调参'!F21&lt;0,'03_全链计算'!H77+1,0),IF('01_数值调参'!F22&lt;0,'03_全链计算'!I77+1,0),IF('01_数值调参'!F23&lt;0,'03_全链计算'!J77+1,0),IF('01_数值调参'!F24&lt;0,'03_全链计算'!K77+1,0),IF('01_数值调参'!F25&lt;0,'03_全链计算'!L77+1,0),IF('01_数值调参'!F26&lt;0,'03_全链计算'!M77+1,0),IF('01_数值调参'!F27&lt;0,'03_全链计算'!N77+1,0),IF('01_数值调参'!F28&lt;0,'03_全链计算'!O77+1,0),IF('01_数值调参'!F29&lt;0,'03_全链计算'!P77+1,0),IF('01_数值调参'!F30&lt;0,'03_全链计算'!Q77+1,0),IF('01_数值调参'!F31&lt;0,'03_全链计算'!R77+1,0),IF('01_数值调参'!F32&lt;0,'03_全链计算'!S77+1,0),IF('01_数值调参'!F33&lt;0,'03_全链计算'!T77+1,0),IF('01_数值调参'!F34&lt;0,'03_全链计算'!U77+1,0),IF('01_数值调参'!F35&lt;0,'03_全链计算'!V77+1,0),IF('01_数值调参'!F36&lt;0,'03_全链计算'!W77+1,0),IF('01_数值调参'!F37&lt;0,'03_全链计算'!X77+1,0),IF('01_数值调参'!F38&lt;0,'03_全链计算'!Y77+1,0),IF('01_数值调参'!F39&lt;0,'03_全链计算'!Z77+1,0),IF('01_数值调参'!F40&lt;0,'03_全链计算'!AA77+1,0),IF('01_数值调参'!F41&lt;0,'03_全链计算'!AB77+1,0),IF('01_数值调参'!F42&lt;0,'03_全链计算'!AC77+1,0),IF('01_数值调参'!F43&lt;0,'03_全链计算'!AD77+1,0),IF('01_数值调参'!F44&lt;0,'03_全链计算'!AE77+1,0),IF('01_数值调参'!F45&lt;0,'03_全链计算'!AF77+1,0),IF('01_数值调参'!F46&lt;0,'03_全链计算'!AG77+1,0),IF('01_数值调参'!F47&lt;0,'03_全链计算'!AH77+1,0),IF('01_数值调参'!F48&lt;0,'03_全链计算'!AI77+1,0),IF('01_数值调参'!F49&lt;0,'03_全链计算'!AJ77+1,0),IF('01_数值调参'!F50&lt;0,'03_全链计算'!AK77+1,0),IF('01_数值调参'!F51&lt;0,'03_全链计算'!AL77+1,0),IF('01_数值调参'!F52&lt;0,'03_全链计算'!AM77+1,0))</x:f>
        <x:v>0</x:v>
      </x:c>
      <x:c r="G78" s="9" t="n">
        <x:f>MAX(IF('01_数值调参'!G18&lt;0,'03_全链计算'!E77+1,0),IF('01_数值调参'!G19&lt;0,'03_全链计算'!F77+1,0),IF('01_数值调参'!G20&lt;0,'03_全链计算'!G77+1,0),IF('01_数值调参'!G21&lt;0,'03_全链计算'!H77+1,0),IF('01_数值调参'!G22&lt;0,'03_全链计算'!I77+1,0),IF('01_数值调参'!G23&lt;0,'03_全链计算'!J77+1,0),IF('01_数值调参'!G24&lt;0,'03_全链计算'!K77+1,0),IF('01_数值调参'!G25&lt;0,'03_全链计算'!L77+1,0),IF('01_数值调参'!G26&lt;0,'03_全链计算'!M77+1,0),IF('01_数值调参'!G27&lt;0,'03_全链计算'!N77+1,0),IF('01_数值调参'!G28&lt;0,'03_全链计算'!O77+1,0),IF('01_数值调参'!G29&lt;0,'03_全链计算'!P77+1,0),IF('01_数值调参'!G30&lt;0,'03_全链计算'!Q77+1,0),IF('01_数值调参'!G31&lt;0,'03_全链计算'!R77+1,0),IF('01_数值调参'!G32&lt;0,'03_全链计算'!S77+1,0),IF('01_数值调参'!G33&lt;0,'03_全链计算'!T77+1,0),IF('01_数值调参'!G34&lt;0,'03_全链计算'!U77+1,0),IF('01_数值调参'!G35&lt;0,'03_全链计算'!V77+1,0),IF('01_数值调参'!G36&lt;0,'03_全链计算'!W77+1,0),IF('01_数值调参'!G37&lt;0,'03_全链计算'!X77+1,0),IF('01_数值调参'!G38&lt;0,'03_全链计算'!Y77+1,0),IF('01_数值调参'!G39&lt;0,'03_全链计算'!Z77+1,0),IF('01_数值调参'!G40&lt;0,'03_全链计算'!AA77+1,0),IF('01_数值调参'!G41&lt;0,'03_全链计算'!AB77+1,0),IF('01_数值调参'!G42&lt;0,'03_全链计算'!AC77+1,0),IF('01_数值调参'!G43&lt;0,'03_全链计算'!AD77+1,0),IF('01_数值调参'!G44&lt;0,'03_全链计算'!AE77+1,0),IF('01_数值调参'!G45&lt;0,'03_全链计算'!AF77+1,0),IF('01_数值调参'!G46&lt;0,'03_全链计算'!AG77+1,0),IF('01_数值调参'!G47&lt;0,'03_全链计算'!AH77+1,0),IF('01_数值调参'!G48&lt;0,'03_全链计算'!AI77+1,0),IF('01_数值调参'!G49&lt;0,'03_全链计算'!AJ77+1,0),IF('01_数值调参'!G50&lt;0,'03_全链计算'!AK77+1,0),IF('01_数值调参'!G51&lt;0,'03_全链计算'!AL77+1,0),IF('01_数值调参'!G52&lt;0,'03_全链计算'!AM77+1,0))</x:f>
        <x:v>0</x:v>
      </x:c>
      <x:c r="H78" s="9" t="n">
        <x:f>MAX(IF('01_数值调参'!H18&lt;0,'03_全链计算'!E77+1,0),IF('01_数值调参'!H19&lt;0,'03_全链计算'!F77+1,0),IF('01_数值调参'!H20&lt;0,'03_全链计算'!G77+1,0),IF('01_数值调参'!H21&lt;0,'03_全链计算'!H77+1,0),IF('01_数值调参'!H22&lt;0,'03_全链计算'!I77+1,0),IF('01_数值调参'!H23&lt;0,'03_全链计算'!J77+1,0),IF('01_数值调参'!H24&lt;0,'03_全链计算'!K77+1,0),IF('01_数值调参'!H25&lt;0,'03_全链计算'!L77+1,0),IF('01_数值调参'!H26&lt;0,'03_全链计算'!M77+1,0),IF('01_数值调参'!H27&lt;0,'03_全链计算'!N77+1,0),IF('01_数值调参'!H28&lt;0,'03_全链计算'!O77+1,0),IF('01_数值调参'!H29&lt;0,'03_全链计算'!P77+1,0),IF('01_数值调参'!H30&lt;0,'03_全链计算'!Q77+1,0),IF('01_数值调参'!H31&lt;0,'03_全链计算'!R77+1,0),IF('01_数值调参'!H32&lt;0,'03_全链计算'!S77+1,0),IF('01_数值调参'!H33&lt;0,'03_全链计算'!T77+1,0),IF('01_数值调参'!H34&lt;0,'03_全链计算'!U77+1,0),IF('01_数值调参'!H35&lt;0,'03_全链计算'!V77+1,0),IF('01_数值调参'!H36&lt;0,'03_全链计算'!W77+1,0),IF('01_数值调参'!H37&lt;0,'03_全链计算'!X77+1,0),IF('01_数值调参'!H38&lt;0,'03_全链计算'!Y77+1,0),IF('01_数值调参'!H39&lt;0,'03_全链计算'!Z77+1,0),IF('01_数值调参'!H40&lt;0,'03_全链计算'!AA77+1,0),IF('01_数值调参'!H41&lt;0,'03_全链计算'!AB77+1,0),IF('01_数值调参'!H42&lt;0,'03_全链计算'!AC77+1,0),IF('01_数值调参'!H43&lt;0,'03_全链计算'!AD77+1,0),IF('01_数值调参'!H44&lt;0,'03_全链计算'!AE77+1,0),IF('01_数值调参'!H45&lt;0,'03_全链计算'!AF77+1,0),IF('01_数值调参'!H46&lt;0,'03_全链计算'!AG77+1,0),IF('01_数值调参'!H47&lt;0,'03_全链计算'!AH77+1,0),IF('01_数值调参'!H48&lt;0,'03_全链计算'!AI77+1,0),IF('01_数值调参'!H49&lt;0,'03_全链计算'!AJ77+1,0),IF('01_数值调参'!H50&lt;0,'03_全链计算'!AK77+1,0),IF('01_数值调参'!H51&lt;0,'03_全链计算'!AL77+1,0),IF('01_数值调参'!H52&lt;0,'03_全链计算'!AM77+1,0))</x:f>
        <x:v>0</x:v>
      </x:c>
      <x:c r="I78" s="9" t="n">
        <x:f>MAX(IF('01_数值调参'!I18&lt;0,'03_全链计算'!E77+1,0),IF('01_数值调参'!I19&lt;0,'03_全链计算'!F77+1,0),IF('01_数值调参'!I20&lt;0,'03_全链计算'!G77+1,0),IF('01_数值调参'!I21&lt;0,'03_全链计算'!H77+1,0),IF('01_数值调参'!I22&lt;0,'03_全链计算'!I77+1,0),IF('01_数值调参'!I23&lt;0,'03_全链计算'!J77+1,0),IF('01_数值调参'!I24&lt;0,'03_全链计算'!K77+1,0),IF('01_数值调参'!I25&lt;0,'03_全链计算'!L77+1,0),IF('01_数值调参'!I26&lt;0,'03_全链计算'!M77+1,0),IF('01_数值调参'!I27&lt;0,'03_全链计算'!N77+1,0),IF('01_数值调参'!I28&lt;0,'03_全链计算'!O77+1,0),IF('01_数值调参'!I29&lt;0,'03_全链计算'!P77+1,0),IF('01_数值调参'!I30&lt;0,'03_全链计算'!Q77+1,0),IF('01_数值调参'!I31&lt;0,'03_全链计算'!R77+1,0),IF('01_数值调参'!I32&lt;0,'03_全链计算'!S77+1,0),IF('01_数值调参'!I33&lt;0,'03_全链计算'!T77+1,0),IF('01_数值调参'!I34&lt;0,'03_全链计算'!U77+1,0),IF('01_数值调参'!I35&lt;0,'03_全链计算'!V77+1,0),IF('01_数值调参'!I36&lt;0,'03_全链计算'!W77+1,0),IF('01_数值调参'!I37&lt;0,'03_全链计算'!X77+1,0),IF('01_数值调参'!I38&lt;0,'03_全链计算'!Y77+1,0),IF('01_数值调参'!I39&lt;0,'03_全链计算'!Z77+1,0),IF('01_数值调参'!I40&lt;0,'03_全链计算'!AA77+1,0),IF('01_数值调参'!I41&lt;0,'03_全链计算'!AB77+1,0),IF('01_数值调参'!I42&lt;0,'03_全链计算'!AC77+1,0),IF('01_数值调参'!I43&lt;0,'03_全链计算'!AD77+1,0),IF('01_数值调参'!I44&lt;0,'03_全链计算'!AE77+1,0),IF('01_数值调参'!I45&lt;0,'03_全链计算'!AF77+1,0),IF('01_数值调参'!I46&lt;0,'03_全链计算'!AG77+1,0),IF('01_数值调参'!I47&lt;0,'03_全链计算'!AH77+1,0),IF('01_数值调参'!I48&lt;0,'03_全链计算'!AI77+1,0),IF('01_数值调参'!I49&lt;0,'03_全链计算'!AJ77+1,0),IF('01_数值调参'!I50&lt;0,'03_全链计算'!AK77+1,0),IF('01_数值调参'!I51&lt;0,'03_全链计算'!AL77+1,0),IF('01_数值调参'!I52&lt;0,'03_全链计算'!AM77+1,0))</x:f>
        <x:v>0</x:v>
      </x:c>
      <x:c r="J78" s="9" t="n">
        <x:f>MAX(IF('01_数值调参'!J18&lt;0,'03_全链计算'!E77+1,0),IF('01_数值调参'!J19&lt;0,'03_全链计算'!F77+1,0),IF('01_数值调参'!J20&lt;0,'03_全链计算'!G77+1,0),IF('01_数值调参'!J21&lt;0,'03_全链计算'!H77+1,0),IF('01_数值调参'!J22&lt;0,'03_全链计算'!I77+1,0),IF('01_数值调参'!J23&lt;0,'03_全链计算'!J77+1,0),IF('01_数值调参'!J24&lt;0,'03_全链计算'!K77+1,0),IF('01_数值调参'!J25&lt;0,'03_全链计算'!L77+1,0),IF('01_数值调参'!J26&lt;0,'03_全链计算'!M77+1,0),IF('01_数值调参'!J27&lt;0,'03_全链计算'!N77+1,0),IF('01_数值调参'!J28&lt;0,'03_全链计算'!O77+1,0),IF('01_数值调参'!J29&lt;0,'03_全链计算'!P77+1,0),IF('01_数值调参'!J30&lt;0,'03_全链计算'!Q77+1,0),IF('01_数值调参'!J31&lt;0,'03_全链计算'!R77+1,0),IF('01_数值调参'!J32&lt;0,'03_全链计算'!S77+1,0),IF('01_数值调参'!J33&lt;0,'03_全链计算'!T77+1,0),IF('01_数值调参'!J34&lt;0,'03_全链计算'!U77+1,0),IF('01_数值调参'!J35&lt;0,'03_全链计算'!V77+1,0),IF('01_数值调参'!J36&lt;0,'03_全链计算'!W77+1,0),IF('01_数值调参'!J37&lt;0,'03_全链计算'!X77+1,0),IF('01_数值调参'!J38&lt;0,'03_全链计算'!Y77+1,0),IF('01_数值调参'!J39&lt;0,'03_全链计算'!Z77+1,0),IF('01_数值调参'!J40&lt;0,'03_全链计算'!AA77+1,0),IF('01_数值调参'!J41&lt;0,'03_全链计算'!AB77+1,0),IF('01_数值调参'!J42&lt;0,'03_全链计算'!AC77+1,0),IF('01_数值调参'!J43&lt;0,'03_全链计算'!AD77+1,0),IF('01_数值调参'!J44&lt;0,'03_全链计算'!AE77+1,0),IF('01_数值调参'!J45&lt;0,'03_全链计算'!AF77+1,0),IF('01_数值调参'!J46&lt;0,'03_全链计算'!AG77+1,0),IF('01_数值调参'!J47&lt;0,'03_全链计算'!AH77+1,0),IF('01_数值调参'!J48&lt;0,'03_全链计算'!AI77+1,0),IF('01_数值调参'!J49&lt;0,'03_全链计算'!AJ77+1,0),IF('01_数值调参'!J50&lt;0,'03_全链计算'!AK77+1,0),IF('01_数值调参'!J51&lt;0,'03_全链计算'!AL77+1,0),IF('01_数值调参'!J52&lt;0,'03_全链计算'!AM77+1,0))</x:f>
        <x:v>0</x:v>
      </x:c>
      <x:c r="K78" s="9" t="n">
        <x:f>MAX(IF('01_数值调参'!K18&lt;0,'03_全链计算'!E77+1,0),IF('01_数值调参'!K19&lt;0,'03_全链计算'!F77+1,0),IF('01_数值调参'!K20&lt;0,'03_全链计算'!G77+1,0),IF('01_数值调参'!K21&lt;0,'03_全链计算'!H77+1,0),IF('01_数值调参'!K22&lt;0,'03_全链计算'!I77+1,0),IF('01_数值调参'!K23&lt;0,'03_全链计算'!J77+1,0),IF('01_数值调参'!K24&lt;0,'03_全链计算'!K77+1,0),IF('01_数值调参'!K25&lt;0,'03_全链计算'!L77+1,0),IF('01_数值调参'!K26&lt;0,'03_全链计算'!M77+1,0),IF('01_数值调参'!K27&lt;0,'03_全链计算'!N77+1,0),IF('01_数值调参'!K28&lt;0,'03_全链计算'!O77+1,0),IF('01_数值调参'!K29&lt;0,'03_全链计算'!P77+1,0),IF('01_数值调参'!K30&lt;0,'03_全链计算'!Q77+1,0),IF('01_数值调参'!K31&lt;0,'03_全链计算'!R77+1,0),IF('01_数值调参'!K32&lt;0,'03_全链计算'!S77+1,0),IF('01_数值调参'!K33&lt;0,'03_全链计算'!T77+1,0),IF('01_数值调参'!K34&lt;0,'03_全链计算'!U77+1,0),IF('01_数值调参'!K35&lt;0,'03_全链计算'!V77+1,0),IF('01_数值调参'!K36&lt;0,'03_全链计算'!W77+1,0),IF('01_数值调参'!K37&lt;0,'03_全链计算'!X77+1,0),IF('01_数值调参'!K38&lt;0,'03_全链计算'!Y77+1,0),IF('01_数值调参'!K39&lt;0,'03_全链计算'!Z77+1,0),IF('01_数值调参'!K40&lt;0,'03_全链计算'!AA77+1,0),IF('01_数值调参'!K41&lt;0,'03_全链计算'!AB77+1,0),IF('01_数值调参'!K42&lt;0,'03_全链计算'!AC77+1,0),IF('01_数值调参'!K43&lt;0,'03_全链计算'!AD77+1,0),IF('01_数值调参'!K44&lt;0,'03_全链计算'!AE77+1,0),IF('01_数值调参'!K45&lt;0,'03_全链计算'!AF77+1,0),IF('01_数值调参'!K46&lt;0,'03_全链计算'!AG77+1,0),IF('01_数值调参'!K47&lt;0,'03_全链计算'!AH77+1,0),IF('01_数值调参'!K48&lt;0,'03_全链计算'!AI77+1,0),IF('01_数值调参'!K49&lt;0,'03_全链计算'!AJ77+1,0),IF('01_数值调参'!K50&lt;0,'03_全链计算'!AK77+1,0),IF('01_数值调参'!K51&lt;0,'03_全链计算'!AL77+1,0),IF('01_数值调参'!K52&lt;0,'03_全链计算'!AM77+1,0))</x:f>
        <x:v>0</x:v>
      </x:c>
      <x:c r="L78" s="9" t="n">
        <x:f>MAX(IF('01_数值调参'!L18&lt;0,'03_全链计算'!E77+1,0),IF('01_数值调参'!L19&lt;0,'03_全链计算'!F77+1,0),IF('01_数值调参'!L20&lt;0,'03_全链计算'!G77+1,0),IF('01_数值调参'!L21&lt;0,'03_全链计算'!H77+1,0),IF('01_数值调参'!L22&lt;0,'03_全链计算'!I77+1,0),IF('01_数值调参'!L23&lt;0,'03_全链计算'!J77+1,0),IF('01_数值调参'!L24&lt;0,'03_全链计算'!K77+1,0),IF('01_数值调参'!L25&lt;0,'03_全链计算'!L77+1,0),IF('01_数值调参'!L26&lt;0,'03_全链计算'!M77+1,0),IF('01_数值调参'!L27&lt;0,'03_全链计算'!N77+1,0),IF('01_数值调参'!L28&lt;0,'03_全链计算'!O77+1,0),IF('01_数值调参'!L29&lt;0,'03_全链计算'!P77+1,0),IF('01_数值调参'!L30&lt;0,'03_全链计算'!Q77+1,0),IF('01_数值调参'!L31&lt;0,'03_全链计算'!R77+1,0),IF('01_数值调参'!L32&lt;0,'03_全链计算'!S77+1,0),IF('01_数值调参'!L33&lt;0,'03_全链计算'!T77+1,0),IF('01_数值调参'!L34&lt;0,'03_全链计算'!U77+1,0),IF('01_数值调参'!L35&lt;0,'03_全链计算'!V77+1,0),IF('01_数值调参'!L36&lt;0,'03_全链计算'!W77+1,0),IF('01_数值调参'!L37&lt;0,'03_全链计算'!X77+1,0),IF('01_数值调参'!L38&lt;0,'03_全链计算'!Y77+1,0),IF('01_数值调参'!L39&lt;0,'03_全链计算'!Z77+1,0),IF('01_数值调参'!L40&lt;0,'03_全链计算'!AA77+1,0),IF('01_数值调参'!L41&lt;0,'03_全链计算'!AB77+1,0),IF('01_数值调参'!L42&lt;0,'03_全链计算'!AC77+1,0),IF('01_数值调参'!L43&lt;0,'03_全链计算'!AD77+1,0),IF('01_数值调参'!L44&lt;0,'03_全链计算'!AE77+1,0),IF('01_数值调参'!L45&lt;0,'03_全链计算'!AF77+1,0),IF('01_数值调参'!L46&lt;0,'03_全链计算'!AG77+1,0),IF('01_数值调参'!L47&lt;0,'03_全链计算'!AH77+1,0),IF('01_数值调参'!L48&lt;0,'03_全链计算'!AI77+1,0),IF('01_数值调参'!L49&lt;0,'03_全链计算'!AJ77+1,0),IF('01_数值调参'!L50&lt;0,'03_全链计算'!AK77+1,0),IF('01_数值调参'!L51&lt;0,'03_全链计算'!AL77+1,0),IF('01_数值调参'!L52&lt;0,'03_全链计算'!AM77+1,0))</x:f>
        <x:v>0</x:v>
      </x:c>
      <x:c r="M78" s="9" t="n">
        <x:f>MAX(IF('01_数值调参'!M18&lt;0,'03_全链计算'!E77+1,0),IF('01_数值调参'!M19&lt;0,'03_全链计算'!F77+1,0),IF('01_数值调参'!M20&lt;0,'03_全链计算'!G77+1,0),IF('01_数值调参'!M21&lt;0,'03_全链计算'!H77+1,0),IF('01_数值调参'!M22&lt;0,'03_全链计算'!I77+1,0),IF('01_数值调参'!M23&lt;0,'03_全链计算'!J77+1,0),IF('01_数值调参'!M24&lt;0,'03_全链计算'!K77+1,0),IF('01_数值调参'!M25&lt;0,'03_全链计算'!L77+1,0),IF('01_数值调参'!M26&lt;0,'03_全链计算'!M77+1,0),IF('01_数值调参'!M27&lt;0,'03_全链计算'!N77+1,0),IF('01_数值调参'!M28&lt;0,'03_全链计算'!O77+1,0),IF('01_数值调参'!M29&lt;0,'03_全链计算'!P77+1,0),IF('01_数值调参'!M30&lt;0,'03_全链计算'!Q77+1,0),IF('01_数值调参'!M31&lt;0,'03_全链计算'!R77+1,0),IF('01_数值调参'!M32&lt;0,'03_全链计算'!S77+1,0),IF('01_数值调参'!M33&lt;0,'03_全链计算'!T77+1,0),IF('01_数值调参'!M34&lt;0,'03_全链计算'!U77+1,0),IF('01_数值调参'!M35&lt;0,'03_全链计算'!V77+1,0),IF('01_数值调参'!M36&lt;0,'03_全链计算'!W77+1,0),IF('01_数值调参'!M37&lt;0,'03_全链计算'!X77+1,0),IF('01_数值调参'!M38&lt;0,'03_全链计算'!Y77+1,0),IF('01_数值调参'!M39&lt;0,'03_全链计算'!Z77+1,0),IF('01_数值调参'!M40&lt;0,'03_全链计算'!AA77+1,0),IF('01_数值调参'!M41&lt;0,'03_全链计算'!AB77+1,0),IF('01_数值调参'!M42&lt;0,'03_全链计算'!AC77+1,0),IF('01_数值调参'!M43&lt;0,'03_全链计算'!AD77+1,0),IF('01_数值调参'!M44&lt;0,'03_全链计算'!AE77+1,0),IF('01_数值调参'!M45&lt;0,'03_全链计算'!AF77+1,0),IF('01_数值调参'!M46&lt;0,'03_全链计算'!AG77+1,0),IF('01_数值调参'!M47&lt;0,'03_全链计算'!AH77+1,0),IF('01_数值调参'!M48&lt;0,'03_全链计算'!AI77+1,0),IF('01_数值调参'!M49&lt;0,'03_全链计算'!AJ77+1,0),IF('01_数值调参'!M50&lt;0,'03_全链计算'!AK77+1,0),IF('01_数值调参'!M51&lt;0,'03_全链计算'!AL77+1,0),IF('01_数值调参'!M52&lt;0,'03_全链计算'!AM77+1,0))</x:f>
        <x:v>0</x:v>
      </x:c>
      <x:c r="N78" s="9" t="n">
        <x:f>MAX(IF('01_数值调参'!N18&lt;0,'03_全链计算'!E77+1,0),IF('01_数值调参'!N19&lt;0,'03_全链计算'!F77+1,0),IF('01_数值调参'!N20&lt;0,'03_全链计算'!G77+1,0),IF('01_数值调参'!N21&lt;0,'03_全链计算'!H77+1,0),IF('01_数值调参'!N22&lt;0,'03_全链计算'!I77+1,0),IF('01_数值调参'!N23&lt;0,'03_全链计算'!J77+1,0),IF('01_数值调参'!N24&lt;0,'03_全链计算'!K77+1,0),IF('01_数值调参'!N25&lt;0,'03_全链计算'!L77+1,0),IF('01_数值调参'!N26&lt;0,'03_全链计算'!M77+1,0),IF('01_数值调参'!N27&lt;0,'03_全链计算'!N77+1,0),IF('01_数值调参'!N28&lt;0,'03_全链计算'!O77+1,0),IF('01_数值调参'!N29&lt;0,'03_全链计算'!P77+1,0),IF('01_数值调参'!N30&lt;0,'03_全链计算'!Q77+1,0),IF('01_数值调参'!N31&lt;0,'03_全链计算'!R77+1,0),IF('01_数值调参'!N32&lt;0,'03_全链计算'!S77+1,0),IF('01_数值调参'!N33&lt;0,'03_全链计算'!T77+1,0),IF('01_数值调参'!N34&lt;0,'03_全链计算'!U77+1,0),IF('01_数值调参'!N35&lt;0,'03_全链计算'!V77+1,0),IF('01_数值调参'!N36&lt;0,'03_全链计算'!W77+1,0),IF('01_数值调参'!N37&lt;0,'03_全链计算'!X77+1,0),IF('01_数值调参'!N38&lt;0,'03_全链计算'!Y77+1,0),IF('01_数值调参'!N39&lt;0,'03_全链计算'!Z77+1,0),IF('01_数值调参'!N40&lt;0,'03_全链计算'!AA77+1,0),IF('01_数值调参'!N41&lt;0,'03_全链计算'!AB77+1,0),IF('01_数值调参'!N42&lt;0,'03_全链计算'!AC77+1,0),IF('01_数值调参'!N43&lt;0,'03_全链计算'!AD77+1,0),IF('01_数值调参'!N44&lt;0,'03_全链计算'!AE77+1,0),IF('01_数值调参'!N45&lt;0,'03_全链计算'!AF77+1,0),IF('01_数值调参'!N46&lt;0,'03_全链计算'!AG77+1,0),IF('01_数值调参'!N47&lt;0,'03_全链计算'!AH77+1,0),IF('01_数值调参'!N48&lt;0,'03_全链计算'!AI77+1,0),IF('01_数值调参'!N49&lt;0,'03_全链计算'!AJ77+1,0),IF('01_数值调参'!N50&lt;0,'03_全链计算'!AK77+1,0),IF('01_数值调参'!N51&lt;0,'03_全链计算'!AL77+1,0),IF('01_数值调参'!N52&lt;0,'03_全链计算'!AM77+1,0))</x:f>
        <x:v>1</x:v>
      </x:c>
      <x:c r="O78" s="9" t="n">
        <x:f>MAX(IF('01_数值调参'!O18&lt;0,'03_全链计算'!E77+1,0),IF('01_数值调参'!O19&lt;0,'03_全链计算'!F77+1,0),IF('01_数值调参'!O20&lt;0,'03_全链计算'!G77+1,0),IF('01_数值调参'!O21&lt;0,'03_全链计算'!H77+1,0),IF('01_数值调参'!O22&lt;0,'03_全链计算'!I77+1,0),IF('01_数值调参'!O23&lt;0,'03_全链计算'!J77+1,0),IF('01_数值调参'!O24&lt;0,'03_全链计算'!K77+1,0),IF('01_数值调参'!O25&lt;0,'03_全链计算'!L77+1,0),IF('01_数值调参'!O26&lt;0,'03_全链计算'!M77+1,0),IF('01_数值调参'!O27&lt;0,'03_全链计算'!N77+1,0),IF('01_数值调参'!O28&lt;0,'03_全链计算'!O77+1,0),IF('01_数值调参'!O29&lt;0,'03_全链计算'!P77+1,0),IF('01_数值调参'!O30&lt;0,'03_全链计算'!Q77+1,0),IF('01_数值调参'!O31&lt;0,'03_全链计算'!R77+1,0),IF('01_数值调参'!O32&lt;0,'03_全链计算'!S77+1,0),IF('01_数值调参'!O33&lt;0,'03_全链计算'!T77+1,0),IF('01_数值调参'!O34&lt;0,'03_全链计算'!U77+1,0),IF('01_数值调参'!O35&lt;0,'03_全链计算'!V77+1,0),IF('01_数值调参'!O36&lt;0,'03_全链计算'!W77+1,0),IF('01_数值调参'!O37&lt;0,'03_全链计算'!X77+1,0),IF('01_数值调参'!O38&lt;0,'03_全链计算'!Y77+1,0),IF('01_数值调参'!O39&lt;0,'03_全链计算'!Z77+1,0),IF('01_数值调参'!O40&lt;0,'03_全链计算'!AA77+1,0),IF('01_数值调参'!O41&lt;0,'03_全链计算'!AB77+1,0),IF('01_数值调参'!O42&lt;0,'03_全链计算'!AC77+1,0),IF('01_数值调参'!O43&lt;0,'03_全链计算'!AD77+1,0),IF('01_数值调参'!O44&lt;0,'03_全链计算'!AE77+1,0),IF('01_数值调参'!O45&lt;0,'03_全链计算'!AF77+1,0),IF('01_数值调参'!O46&lt;0,'03_全链计算'!AG77+1,0),IF('01_数值调参'!O47&lt;0,'03_全链计算'!AH77+1,0),IF('01_数值调参'!O48&lt;0,'03_全链计算'!AI77+1,0),IF('01_数值调参'!O49&lt;0,'03_全链计算'!AJ77+1,0),IF('01_数值调参'!O50&lt;0,'03_全链计算'!AK77+1,0),IF('01_数值调参'!O51&lt;0,'03_全链计算'!AL77+1,0),IF('01_数值调参'!O52&lt;0,'03_全链计算'!AM77+1,0))</x:f>
        <x:v>1</x:v>
      </x:c>
      <x:c r="P78" s="9" t="n">
        <x:f>MAX(IF('01_数值调参'!P18&lt;0,'03_全链计算'!E77+1,0),IF('01_数值调参'!P19&lt;0,'03_全链计算'!F77+1,0),IF('01_数值调参'!P20&lt;0,'03_全链计算'!G77+1,0),IF('01_数值调参'!P21&lt;0,'03_全链计算'!H77+1,0),IF('01_数值调参'!P22&lt;0,'03_全链计算'!I77+1,0),IF('01_数值调参'!P23&lt;0,'03_全链计算'!J77+1,0),IF('01_数值调参'!P24&lt;0,'03_全链计算'!K77+1,0),IF('01_数值调参'!P25&lt;0,'03_全链计算'!L77+1,0),IF('01_数值调参'!P26&lt;0,'03_全链计算'!M77+1,0),IF('01_数值调参'!P27&lt;0,'03_全链计算'!N77+1,0),IF('01_数值调参'!P28&lt;0,'03_全链计算'!O77+1,0),IF('01_数值调参'!P29&lt;0,'03_全链计算'!P77+1,0),IF('01_数值调参'!P30&lt;0,'03_全链计算'!Q77+1,0),IF('01_数值调参'!P31&lt;0,'03_全链计算'!R77+1,0),IF('01_数值调参'!P32&lt;0,'03_全链计算'!S77+1,0),IF('01_数值调参'!P33&lt;0,'03_全链计算'!T77+1,0),IF('01_数值调参'!P34&lt;0,'03_全链计算'!U77+1,0),IF('01_数值调参'!P35&lt;0,'03_全链计算'!V77+1,0),IF('01_数值调参'!P36&lt;0,'03_全链计算'!W77+1,0),IF('01_数值调参'!P37&lt;0,'03_全链计算'!X77+1,0),IF('01_数值调参'!P38&lt;0,'03_全链计算'!Y77+1,0),IF('01_数值调参'!P39&lt;0,'03_全链计算'!Z77+1,0),IF('01_数值调参'!P40&lt;0,'03_全链计算'!AA77+1,0),IF('01_数值调参'!P41&lt;0,'03_全链计算'!AB77+1,0),IF('01_数值调参'!P42&lt;0,'03_全链计算'!AC77+1,0),IF('01_数值调参'!P43&lt;0,'03_全链计算'!AD77+1,0),IF('01_数值调参'!P44&lt;0,'03_全链计算'!AE77+1,0),IF('01_数值调参'!P45&lt;0,'03_全链计算'!AF77+1,0),IF('01_数值调参'!P46&lt;0,'03_全链计算'!AG77+1,0),IF('01_数值调参'!P47&lt;0,'03_全链计算'!AH77+1,0),IF('01_数值调参'!P48&lt;0,'03_全链计算'!AI77+1,0),IF('01_数值调参'!P49&lt;0,'03_全链计算'!AJ77+1,0),IF('01_数值调参'!P50&lt;0,'03_全链计算'!AK77+1,0),IF('01_数值调参'!P51&lt;0,'03_全链计算'!AL77+1,0),IF('01_数值调参'!P52&lt;0,'03_全链计算'!AM77+1,0))</x:f>
        <x:v>1</x:v>
      </x:c>
      <x:c r="Q78" s="9" t="n">
        <x:f>MAX(IF('01_数值调参'!Q18&lt;0,'03_全链计算'!E77+1,0),IF('01_数值调参'!Q19&lt;0,'03_全链计算'!F77+1,0),IF('01_数值调参'!Q20&lt;0,'03_全链计算'!G77+1,0),IF('01_数值调参'!Q21&lt;0,'03_全链计算'!H77+1,0),IF('01_数值调参'!Q22&lt;0,'03_全链计算'!I77+1,0),IF('01_数值调参'!Q23&lt;0,'03_全链计算'!J77+1,0),IF('01_数值调参'!Q24&lt;0,'03_全链计算'!K77+1,0),IF('01_数值调参'!Q25&lt;0,'03_全链计算'!L77+1,0),IF('01_数值调参'!Q26&lt;0,'03_全链计算'!M77+1,0),IF('01_数值调参'!Q27&lt;0,'03_全链计算'!N77+1,0),IF('01_数值调参'!Q28&lt;0,'03_全链计算'!O77+1,0),IF('01_数值调参'!Q29&lt;0,'03_全链计算'!P77+1,0),IF('01_数值调参'!Q30&lt;0,'03_全链计算'!Q77+1,0),IF('01_数值调参'!Q31&lt;0,'03_全链计算'!R77+1,0),IF('01_数值调参'!Q32&lt;0,'03_全链计算'!S77+1,0),IF('01_数值调参'!Q33&lt;0,'03_全链计算'!T77+1,0),IF('01_数值调参'!Q34&lt;0,'03_全链计算'!U77+1,0),IF('01_数值调参'!Q35&lt;0,'03_全链计算'!V77+1,0),IF('01_数值调参'!Q36&lt;0,'03_全链计算'!W77+1,0),IF('01_数值调参'!Q37&lt;0,'03_全链计算'!X77+1,0),IF('01_数值调参'!Q38&lt;0,'03_全链计算'!Y77+1,0),IF('01_数值调参'!Q39&lt;0,'03_全链计算'!Z77+1,0),IF('01_数值调参'!Q40&lt;0,'03_全链计算'!AA77+1,0),IF('01_数值调参'!Q41&lt;0,'03_全链计算'!AB77+1,0),IF('01_数值调参'!Q42&lt;0,'03_全链计算'!AC77+1,0),IF('01_数值调参'!Q43&lt;0,'03_全链计算'!AD77+1,0),IF('01_数值调参'!Q44&lt;0,'03_全链计算'!AE77+1,0),IF('01_数值调参'!Q45&lt;0,'03_全链计算'!AF77+1,0),IF('01_数值调参'!Q46&lt;0,'03_全链计算'!AG77+1,0),IF('01_数值调参'!Q47&lt;0,'03_全链计算'!AH77+1,0),IF('01_数值调参'!Q48&lt;0,'03_全链计算'!AI77+1,0),IF('01_数值调参'!Q49&lt;0,'03_全链计算'!AJ77+1,0),IF('01_数值调参'!Q50&lt;0,'03_全链计算'!AK77+1,0),IF('01_数值调参'!Q51&lt;0,'03_全链计算'!AL77+1,0),IF('01_数值调参'!Q52&lt;0,'03_全链计算'!AM77+1,0))</x:f>
        <x:v>1</x:v>
      </x:c>
      <x:c r="R78" s="9" t="n">
        <x:f>MAX(IF('01_数值调参'!R18&lt;0,'03_全链计算'!E77+1,0),IF('01_数值调参'!R19&lt;0,'03_全链计算'!F77+1,0),IF('01_数值调参'!R20&lt;0,'03_全链计算'!G77+1,0),IF('01_数值调参'!R21&lt;0,'03_全链计算'!H77+1,0),IF('01_数值调参'!R22&lt;0,'03_全链计算'!I77+1,0),IF('01_数值调参'!R23&lt;0,'03_全链计算'!J77+1,0),IF('01_数值调参'!R24&lt;0,'03_全链计算'!K77+1,0),IF('01_数值调参'!R25&lt;0,'03_全链计算'!L77+1,0),IF('01_数值调参'!R26&lt;0,'03_全链计算'!M77+1,0),IF('01_数值调参'!R27&lt;0,'03_全链计算'!N77+1,0),IF('01_数值调参'!R28&lt;0,'03_全链计算'!O77+1,0),IF('01_数值调参'!R29&lt;0,'03_全链计算'!P77+1,0),IF('01_数值调参'!R30&lt;0,'03_全链计算'!Q77+1,0),IF('01_数值调参'!R31&lt;0,'03_全链计算'!R77+1,0),IF('01_数值调参'!R32&lt;0,'03_全链计算'!S77+1,0),IF('01_数值调参'!R33&lt;0,'03_全链计算'!T77+1,0),IF('01_数值调参'!R34&lt;0,'03_全链计算'!U77+1,0),IF('01_数值调参'!R35&lt;0,'03_全链计算'!V77+1,0),IF('01_数值调参'!R36&lt;0,'03_全链计算'!W77+1,0),IF('01_数值调参'!R37&lt;0,'03_全链计算'!X77+1,0),IF('01_数值调参'!R38&lt;0,'03_全链计算'!Y77+1,0),IF('01_数值调参'!R39&lt;0,'03_全链计算'!Z77+1,0),IF('01_数值调参'!R40&lt;0,'03_全链计算'!AA77+1,0),IF('01_数值调参'!R41&lt;0,'03_全链计算'!AB77+1,0),IF('01_数值调参'!R42&lt;0,'03_全链计算'!AC77+1,0),IF('01_数值调参'!R43&lt;0,'03_全链计算'!AD77+1,0),IF('01_数值调参'!R44&lt;0,'03_全链计算'!AE77+1,0),IF('01_数值调参'!R45&lt;0,'03_全链计算'!AF77+1,0),IF('01_数值调参'!R46&lt;0,'03_全链计算'!AG77+1,0),IF('01_数值调参'!R47&lt;0,'03_全链计算'!AH77+1,0),IF('01_数值调参'!R48&lt;0,'03_全链计算'!AI77+1,0),IF('01_数值调参'!R49&lt;0,'03_全链计算'!AJ77+1,0),IF('01_数值调参'!R50&lt;0,'03_全链计算'!AK77+1,0),IF('01_数值调参'!R51&lt;0,'03_全链计算'!AL77+1,0),IF('01_数值调参'!R52&lt;0,'03_全链计算'!AM77+1,0))</x:f>
        <x:v>1</x:v>
      </x:c>
      <x:c r="S78" s="9" t="n">
        <x:f>MAX(IF('01_数值调参'!S18&lt;0,'03_全链计算'!E77+1,0),IF('01_数值调参'!S19&lt;0,'03_全链计算'!F77+1,0),IF('01_数值调参'!S20&lt;0,'03_全链计算'!G77+1,0),IF('01_数值调参'!S21&lt;0,'03_全链计算'!H77+1,0),IF('01_数值调参'!S22&lt;0,'03_全链计算'!I77+1,0),IF('01_数值调参'!S23&lt;0,'03_全链计算'!J77+1,0),IF('01_数值调参'!S24&lt;0,'03_全链计算'!K77+1,0),IF('01_数值调参'!S25&lt;0,'03_全链计算'!L77+1,0),IF('01_数值调参'!S26&lt;0,'03_全链计算'!M77+1,0),IF('01_数值调参'!S27&lt;0,'03_全链计算'!N77+1,0),IF('01_数值调参'!S28&lt;0,'03_全链计算'!O77+1,0),IF('01_数值调参'!S29&lt;0,'03_全链计算'!P77+1,0),IF('01_数值调参'!S30&lt;0,'03_全链计算'!Q77+1,0),IF('01_数值调参'!S31&lt;0,'03_全链计算'!R77+1,0),IF('01_数值调参'!S32&lt;0,'03_全链计算'!S77+1,0),IF('01_数值调参'!S33&lt;0,'03_全链计算'!T77+1,0),IF('01_数值调参'!S34&lt;0,'03_全链计算'!U77+1,0),IF('01_数值调参'!S35&lt;0,'03_全链计算'!V77+1,0),IF('01_数值调参'!S36&lt;0,'03_全链计算'!W77+1,0),IF('01_数值调参'!S37&lt;0,'03_全链计算'!X77+1,0),IF('01_数值调参'!S38&lt;0,'03_全链计算'!Y77+1,0),IF('01_数值调参'!S39&lt;0,'03_全链计算'!Z77+1,0),IF('01_数值调参'!S40&lt;0,'03_全链计算'!AA77+1,0),IF('01_数值调参'!S41&lt;0,'03_全链计算'!AB77+1,0),IF('01_数值调参'!S42&lt;0,'03_全链计算'!AC77+1,0),IF('01_数值调参'!S43&lt;0,'03_全链计算'!AD77+1,0),IF('01_数值调参'!S44&lt;0,'03_全链计算'!AE77+1,0),IF('01_数值调参'!S45&lt;0,'03_全链计算'!AF77+1,0),IF('01_数值调参'!S46&lt;0,'03_全链计算'!AG77+1,0),IF('01_数值调参'!S47&lt;0,'03_全链计算'!AH77+1,0),IF('01_数值调参'!S48&lt;0,'03_全链计算'!AI77+1,0),IF('01_数值调参'!S49&lt;0,'03_全链计算'!AJ77+1,0),IF('01_数值调参'!S50&lt;0,'03_全链计算'!AK77+1,0),IF('01_数值调参'!S51&lt;0,'03_全链计算'!AL77+1,0),IF('01_数值调参'!S52&lt;0,'03_全链计算'!AM77+1,0))</x:f>
        <x:v>1</x:v>
      </x:c>
      <x:c r="T78" s="9" t="n">
        <x:f>MAX(IF('01_数值调参'!T18&lt;0,'03_全链计算'!E77+1,0),IF('01_数值调参'!T19&lt;0,'03_全链计算'!F77+1,0),IF('01_数值调参'!T20&lt;0,'03_全链计算'!G77+1,0),IF('01_数值调参'!T21&lt;0,'03_全链计算'!H77+1,0),IF('01_数值调参'!T22&lt;0,'03_全链计算'!I77+1,0),IF('01_数值调参'!T23&lt;0,'03_全链计算'!J77+1,0),IF('01_数值调参'!T24&lt;0,'03_全链计算'!K77+1,0),IF('01_数值调参'!T25&lt;0,'03_全链计算'!L77+1,0),IF('01_数值调参'!T26&lt;0,'03_全链计算'!M77+1,0),IF('01_数值调参'!T27&lt;0,'03_全链计算'!N77+1,0),IF('01_数值调参'!T28&lt;0,'03_全链计算'!O77+1,0),IF('01_数值调参'!T29&lt;0,'03_全链计算'!P77+1,0),IF('01_数值调参'!T30&lt;0,'03_全链计算'!Q77+1,0),IF('01_数值调参'!T31&lt;0,'03_全链计算'!R77+1,0),IF('01_数值调参'!T32&lt;0,'03_全链计算'!S77+1,0),IF('01_数值调参'!T33&lt;0,'03_全链计算'!T77+1,0),IF('01_数值调参'!T34&lt;0,'03_全链计算'!U77+1,0),IF('01_数值调参'!T35&lt;0,'03_全链计算'!V77+1,0),IF('01_数值调参'!T36&lt;0,'03_全链计算'!W77+1,0),IF('01_数值调参'!T37&lt;0,'03_全链计算'!X77+1,0),IF('01_数值调参'!T38&lt;0,'03_全链计算'!Y77+1,0),IF('01_数值调参'!T39&lt;0,'03_全链计算'!Z77+1,0),IF('01_数值调参'!T40&lt;0,'03_全链计算'!AA77+1,0),IF('01_数值调参'!T41&lt;0,'03_全链计算'!AB77+1,0),IF('01_数值调参'!T42&lt;0,'03_全链计算'!AC77+1,0),IF('01_数值调参'!T43&lt;0,'03_全链计算'!AD77+1,0),IF('01_数值调参'!T44&lt;0,'03_全链计算'!AE77+1,0),IF('01_数值调参'!T45&lt;0,'03_全链计算'!AF77+1,0),IF('01_数值调参'!T46&lt;0,'03_全链计算'!AG77+1,0),IF('01_数值调参'!T47&lt;0,'03_全链计算'!AH77+1,0),IF('01_数值调参'!T48&lt;0,'03_全链计算'!AI77+1,0),IF('01_数值调参'!T49&lt;0,'03_全链计算'!AJ77+1,0),IF('01_数值调参'!T50&lt;0,'03_全链计算'!AK77+1,0),IF('01_数值调参'!T51&lt;0,'03_全链计算'!AL77+1,0),IF('01_数值调参'!T52&lt;0,'03_全链计算'!AM77+1,0))</x:f>
        <x:v>1</x:v>
      </x:c>
      <x:c r="U78" s="9" t="n">
        <x:f>MAX(IF('01_数值调参'!U18&lt;0,'03_全链计算'!E77+1,0),IF('01_数值调参'!U19&lt;0,'03_全链计算'!F77+1,0),IF('01_数值调参'!U20&lt;0,'03_全链计算'!G77+1,0),IF('01_数值调参'!U21&lt;0,'03_全链计算'!H77+1,0),IF('01_数值调参'!U22&lt;0,'03_全链计算'!I77+1,0),IF('01_数值调参'!U23&lt;0,'03_全链计算'!J77+1,0),IF('01_数值调参'!U24&lt;0,'03_全链计算'!K77+1,0),IF('01_数值调参'!U25&lt;0,'03_全链计算'!L77+1,0),IF('01_数值调参'!U26&lt;0,'03_全链计算'!M77+1,0),IF('01_数值调参'!U27&lt;0,'03_全链计算'!N77+1,0),IF('01_数值调参'!U28&lt;0,'03_全链计算'!O77+1,0),IF('01_数值调参'!U29&lt;0,'03_全链计算'!P77+1,0),IF('01_数值调参'!U30&lt;0,'03_全链计算'!Q77+1,0),IF('01_数值调参'!U31&lt;0,'03_全链计算'!R77+1,0),IF('01_数值调参'!U32&lt;0,'03_全链计算'!S77+1,0),IF('01_数值调参'!U33&lt;0,'03_全链计算'!T77+1,0),IF('01_数值调参'!U34&lt;0,'03_全链计算'!U77+1,0),IF('01_数值调参'!U35&lt;0,'03_全链计算'!V77+1,0),IF('01_数值调参'!U36&lt;0,'03_全链计算'!W77+1,0),IF('01_数值调参'!U37&lt;0,'03_全链计算'!X77+1,0),IF('01_数值调参'!U38&lt;0,'03_全链计算'!Y77+1,0),IF('01_数值调参'!U39&lt;0,'03_全链计算'!Z77+1,0),IF('01_数值调参'!U40&lt;0,'03_全链计算'!AA77+1,0),IF('01_数值调参'!U41&lt;0,'03_全链计算'!AB77+1,0),IF('01_数值调参'!U42&lt;0,'03_全链计算'!AC77+1,0),IF('01_数值调参'!U43&lt;0,'03_全链计算'!AD77+1,0),IF('01_数值调参'!U44&lt;0,'03_全链计算'!AE77+1,0),IF('01_数值调参'!U45&lt;0,'03_全链计算'!AF77+1,0),IF('01_数值调参'!U46&lt;0,'03_全链计算'!AG77+1,0),IF('01_数值调参'!U47&lt;0,'03_全链计算'!AH77+1,0),IF('01_数值调参'!U48&lt;0,'03_全链计算'!AI77+1,0),IF('01_数值调参'!U49&lt;0,'03_全链计算'!AJ77+1,0),IF('01_数值调参'!U50&lt;0,'03_全链计算'!AK77+1,0),IF('01_数值调参'!U51&lt;0,'03_全链计算'!AL77+1,0),IF('01_数值调参'!U52&lt;0,'03_全链计算'!AM77+1,0))</x:f>
        <x:v>1</x:v>
      </x:c>
      <x:c r="V78" s="9" t="n">
        <x:f>MAX(IF('01_数值调参'!V18&lt;0,'03_全链计算'!E77+1,0),IF('01_数值调参'!V19&lt;0,'03_全链计算'!F77+1,0),IF('01_数值调参'!V20&lt;0,'03_全链计算'!G77+1,0),IF('01_数值调参'!V21&lt;0,'03_全链计算'!H77+1,0),IF('01_数值调参'!V22&lt;0,'03_全链计算'!I77+1,0),IF('01_数值调参'!V23&lt;0,'03_全链计算'!J77+1,0),IF('01_数值调参'!V24&lt;0,'03_全链计算'!K77+1,0),IF('01_数值调参'!V25&lt;0,'03_全链计算'!L77+1,0),IF('01_数值调参'!V26&lt;0,'03_全链计算'!M77+1,0),IF('01_数值调参'!V27&lt;0,'03_全链计算'!N77+1,0),IF('01_数值调参'!V28&lt;0,'03_全链计算'!O77+1,0),IF('01_数值调参'!V29&lt;0,'03_全链计算'!P77+1,0),IF('01_数值调参'!V30&lt;0,'03_全链计算'!Q77+1,0),IF('01_数值调参'!V31&lt;0,'03_全链计算'!R77+1,0),IF('01_数值调参'!V32&lt;0,'03_全链计算'!S77+1,0),IF('01_数值调参'!V33&lt;0,'03_全链计算'!T77+1,0),IF('01_数值调参'!V34&lt;0,'03_全链计算'!U77+1,0),IF('01_数值调参'!V35&lt;0,'03_全链计算'!V77+1,0),IF('01_数值调参'!V36&lt;0,'03_全链计算'!W77+1,0),IF('01_数值调参'!V37&lt;0,'03_全链计算'!X77+1,0),IF('01_数值调参'!V38&lt;0,'03_全链计算'!Y77+1,0),IF('01_数值调参'!V39&lt;0,'03_全链计算'!Z77+1,0),IF('01_数值调参'!V40&lt;0,'03_全链计算'!AA77+1,0),IF('01_数值调参'!V41&lt;0,'03_全链计算'!AB77+1,0),IF('01_数值调参'!V42&lt;0,'03_全链计算'!AC77+1,0),IF('01_数值调参'!V43&lt;0,'03_全链计算'!AD77+1,0),IF('01_数值调参'!V44&lt;0,'03_全链计算'!AE77+1,0),IF('01_数值调参'!V45&lt;0,'03_全链计算'!AF77+1,0),IF('01_数值调参'!V46&lt;0,'03_全链计算'!AG77+1,0),IF('01_数值调参'!V47&lt;0,'03_全链计算'!AH77+1,0),IF('01_数值调参'!V48&lt;0,'03_全链计算'!AI77+1,0),IF('01_数值调参'!V49&lt;0,'03_全链计算'!AJ77+1,0),IF('01_数值调参'!V50&lt;0,'03_全链计算'!AK77+1,0),IF('01_数值调参'!V51&lt;0,'03_全链计算'!AL77+1,0),IF('01_数值调参'!V52&lt;0,'03_全链计算'!AM77+1,0))</x:f>
        <x:v>1</x:v>
      </x:c>
      <x:c r="W78" s="9" t="n">
        <x:f>MAX(IF('01_数值调参'!W18&lt;0,'03_全链计算'!E77+1,0),IF('01_数值调参'!W19&lt;0,'03_全链计算'!F77+1,0),IF('01_数值调参'!W20&lt;0,'03_全链计算'!G77+1,0),IF('01_数值调参'!W21&lt;0,'03_全链计算'!H77+1,0),IF('01_数值调参'!W22&lt;0,'03_全链计算'!I77+1,0),IF('01_数值调参'!W23&lt;0,'03_全链计算'!J77+1,0),IF('01_数值调参'!W24&lt;0,'03_全链计算'!K77+1,0),IF('01_数值调参'!W25&lt;0,'03_全链计算'!L77+1,0),IF('01_数值调参'!W26&lt;0,'03_全链计算'!M77+1,0),IF('01_数值调参'!W27&lt;0,'03_全链计算'!N77+1,0),IF('01_数值调参'!W28&lt;0,'03_全链计算'!O77+1,0),IF('01_数值调参'!W29&lt;0,'03_全链计算'!P77+1,0),IF('01_数值调参'!W30&lt;0,'03_全链计算'!Q77+1,0),IF('01_数值调参'!W31&lt;0,'03_全链计算'!R77+1,0),IF('01_数值调参'!W32&lt;0,'03_全链计算'!S77+1,0),IF('01_数值调参'!W33&lt;0,'03_全链计算'!T77+1,0),IF('01_数值调参'!W34&lt;0,'03_全链计算'!U77+1,0),IF('01_数值调参'!W35&lt;0,'03_全链计算'!V77+1,0),IF('01_数值调参'!W36&lt;0,'03_全链计算'!W77+1,0),IF('01_数值调参'!W37&lt;0,'03_全链计算'!X77+1,0),IF('01_数值调参'!W38&lt;0,'03_全链计算'!Y77+1,0),IF('01_数值调参'!W39&lt;0,'03_全链计算'!Z77+1,0),IF('01_数值调参'!W40&lt;0,'03_全链计算'!AA77+1,0),IF('01_数值调参'!W41&lt;0,'03_全链计算'!AB77+1,0),IF('01_数值调参'!W42&lt;0,'03_全链计算'!AC77+1,0),IF('01_数值调参'!W43&lt;0,'03_全链计算'!AD77+1,0),IF('01_数值调参'!W44&lt;0,'03_全链计算'!AE77+1,0),IF('01_数值调参'!W45&lt;0,'03_全链计算'!AF77+1,0),IF('01_数值调参'!W46&lt;0,'03_全链计算'!AG77+1,0),IF('01_数值调参'!W47&lt;0,'03_全链计算'!AH77+1,0),IF('01_数值调参'!W48&lt;0,'03_全链计算'!AI77+1,0),IF('01_数值调参'!W49&lt;0,'03_全链计算'!AJ77+1,0),IF('01_数值调参'!W50&lt;0,'03_全链计算'!AK77+1,0),IF('01_数值调参'!W51&lt;0,'03_全链计算'!AL77+1,0),IF('01_数值调参'!W52&lt;0,'03_全链计算'!AM77+1,0))</x:f>
        <x:v>1</x:v>
      </x:c>
      <x:c r="X78" s="9" t="n">
        <x:f>MAX(IF('01_数值调参'!X18&lt;0,'03_全链计算'!E77+1,0),IF('01_数值调参'!X19&lt;0,'03_全链计算'!F77+1,0),IF('01_数值调参'!X20&lt;0,'03_全链计算'!G77+1,0),IF('01_数值调参'!X21&lt;0,'03_全链计算'!H77+1,0),IF('01_数值调参'!X22&lt;0,'03_全链计算'!I77+1,0),IF('01_数值调参'!X23&lt;0,'03_全链计算'!J77+1,0),IF('01_数值调参'!X24&lt;0,'03_全链计算'!K77+1,0),IF('01_数值调参'!X25&lt;0,'03_全链计算'!L77+1,0),IF('01_数值调参'!X26&lt;0,'03_全链计算'!M77+1,0),IF('01_数值调参'!X27&lt;0,'03_全链计算'!N77+1,0),IF('01_数值调参'!X28&lt;0,'03_全链计算'!O77+1,0),IF('01_数值调参'!X29&lt;0,'03_全链计算'!P77+1,0),IF('01_数值调参'!X30&lt;0,'03_全链计算'!Q77+1,0),IF('01_数值调参'!X31&lt;0,'03_全链计算'!R77+1,0),IF('01_数值调参'!X32&lt;0,'03_全链计算'!S77+1,0),IF('01_数值调参'!X33&lt;0,'03_全链计算'!T77+1,0),IF('01_数值调参'!X34&lt;0,'03_全链计算'!U77+1,0),IF('01_数值调参'!X35&lt;0,'03_全链计算'!V77+1,0),IF('01_数值调参'!X36&lt;0,'03_全链计算'!W77+1,0),IF('01_数值调参'!X37&lt;0,'03_全链计算'!X77+1,0),IF('01_数值调参'!X38&lt;0,'03_全链计算'!Y77+1,0),IF('01_数值调参'!X39&lt;0,'03_全链计算'!Z77+1,0),IF('01_数值调参'!X40&lt;0,'03_全链计算'!AA77+1,0),IF('01_数值调参'!X41&lt;0,'03_全链计算'!AB77+1,0),IF('01_数值调参'!X42&lt;0,'03_全链计算'!AC77+1,0),IF('01_数值调参'!X43&lt;0,'03_全链计算'!AD77+1,0),IF('01_数值调参'!X44&lt;0,'03_全链计算'!AE77+1,0),IF('01_数值调参'!X45&lt;0,'03_全链计算'!AF77+1,0),IF('01_数值调参'!X46&lt;0,'03_全链计算'!AG77+1,0),IF('01_数值调参'!X47&lt;0,'03_全链计算'!AH77+1,0),IF('01_数值调参'!X48&lt;0,'03_全链计算'!AI77+1,0),IF('01_数值调参'!X49&lt;0,'03_全链计算'!AJ77+1,0),IF('01_数值调参'!X50&lt;0,'03_全链计算'!AK77+1,0),IF('01_数值调参'!X51&lt;0,'03_全链计算'!AL77+1,0),IF('01_数值调参'!X52&lt;0,'03_全链计算'!AM77+1,0))</x:f>
        <x:v>2</x:v>
      </x:c>
      <x:c r="Y78" s="9" t="n">
        <x:f>MAX(IF('01_数值调参'!Y18&lt;0,'03_全链计算'!E77+1,0),IF('01_数值调参'!Y19&lt;0,'03_全链计算'!F77+1,0),IF('01_数值调参'!Y20&lt;0,'03_全链计算'!G77+1,0),IF('01_数值调参'!Y21&lt;0,'03_全链计算'!H77+1,0),IF('01_数值调参'!Y22&lt;0,'03_全链计算'!I77+1,0),IF('01_数值调参'!Y23&lt;0,'03_全链计算'!J77+1,0),IF('01_数值调参'!Y24&lt;0,'03_全链计算'!K77+1,0),IF('01_数值调参'!Y25&lt;0,'03_全链计算'!L77+1,0),IF('01_数值调参'!Y26&lt;0,'03_全链计算'!M77+1,0),IF('01_数值调参'!Y27&lt;0,'03_全链计算'!N77+1,0),IF('01_数值调参'!Y28&lt;0,'03_全链计算'!O77+1,0),IF('01_数值调参'!Y29&lt;0,'03_全链计算'!P77+1,0),IF('01_数值调参'!Y30&lt;0,'03_全链计算'!Q77+1,0),IF('01_数值调参'!Y31&lt;0,'03_全链计算'!R77+1,0),IF('01_数值调参'!Y32&lt;0,'03_全链计算'!S77+1,0),IF('01_数值调参'!Y33&lt;0,'03_全链计算'!T77+1,0),IF('01_数值调参'!Y34&lt;0,'03_全链计算'!U77+1,0),IF('01_数值调参'!Y35&lt;0,'03_全链计算'!V77+1,0),IF('01_数值调参'!Y36&lt;0,'03_全链计算'!W77+1,0),IF('01_数值调参'!Y37&lt;0,'03_全链计算'!X77+1,0),IF('01_数值调参'!Y38&lt;0,'03_全链计算'!Y77+1,0),IF('01_数值调参'!Y39&lt;0,'03_全链计算'!Z77+1,0),IF('01_数值调参'!Y40&lt;0,'03_全链计算'!AA77+1,0),IF('01_数值调参'!Y41&lt;0,'03_全链计算'!AB77+1,0),IF('01_数值调参'!Y42&lt;0,'03_全链计算'!AC77+1,0),IF('01_数值调参'!Y43&lt;0,'03_全链计算'!AD77+1,0),IF('01_数值调参'!Y44&lt;0,'03_全链计算'!AE77+1,0),IF('01_数值调参'!Y45&lt;0,'03_全链计算'!AF77+1,0),IF('01_数值调参'!Y46&lt;0,'03_全链计算'!AG77+1,0),IF('01_数值调参'!Y47&lt;0,'03_全链计算'!AH77+1,0),IF('01_数值调参'!Y48&lt;0,'03_全链计算'!AI77+1,0),IF('01_数值调参'!Y49&lt;0,'03_全链计算'!AJ77+1,0),IF('01_数值调参'!Y50&lt;0,'03_全链计算'!AK77+1,0),IF('01_数值调参'!Y51&lt;0,'03_全链计算'!AL77+1,0),IF('01_数值调参'!Y52&lt;0,'03_全链计算'!AM77+1,0))</x:f>
        <x:v>2</x:v>
      </x:c>
      <x:c r="Z78" s="9" t="n">
        <x:f>MAX(IF('01_数值调参'!Z18&lt;0,'03_全链计算'!E77+1,0),IF('01_数值调参'!Z19&lt;0,'03_全链计算'!F77+1,0),IF('01_数值调参'!Z20&lt;0,'03_全链计算'!G77+1,0),IF('01_数值调参'!Z21&lt;0,'03_全链计算'!H77+1,0),IF('01_数值调参'!Z22&lt;0,'03_全链计算'!I77+1,0),IF('01_数值调参'!Z23&lt;0,'03_全链计算'!J77+1,0),IF('01_数值调参'!Z24&lt;0,'03_全链计算'!K77+1,0),IF('01_数值调参'!Z25&lt;0,'03_全链计算'!L77+1,0),IF('01_数值调参'!Z26&lt;0,'03_全链计算'!M77+1,0),IF('01_数值调参'!Z27&lt;0,'03_全链计算'!N77+1,0),IF('01_数值调参'!Z28&lt;0,'03_全链计算'!O77+1,0),IF('01_数值调参'!Z29&lt;0,'03_全链计算'!P77+1,0),IF('01_数值调参'!Z30&lt;0,'03_全链计算'!Q77+1,0),IF('01_数值调参'!Z31&lt;0,'03_全链计算'!R77+1,0),IF('01_数值调参'!Z32&lt;0,'03_全链计算'!S77+1,0),IF('01_数值调参'!Z33&lt;0,'03_全链计算'!T77+1,0),IF('01_数值调参'!Z34&lt;0,'03_全链计算'!U77+1,0),IF('01_数值调参'!Z35&lt;0,'03_全链计算'!V77+1,0),IF('01_数值调参'!Z36&lt;0,'03_全链计算'!W77+1,0),IF('01_数值调参'!Z37&lt;0,'03_全链计算'!X77+1,0),IF('01_数值调参'!Z38&lt;0,'03_全链计算'!Y77+1,0),IF('01_数值调参'!Z39&lt;0,'03_全链计算'!Z77+1,0),IF('01_数值调参'!Z40&lt;0,'03_全链计算'!AA77+1,0),IF('01_数值调参'!Z41&lt;0,'03_全链计算'!AB77+1,0),IF('01_数值调参'!Z42&lt;0,'03_全链计算'!AC77+1,0),IF('01_数值调参'!Z43&lt;0,'03_全链计算'!AD77+1,0),IF('01_数值调参'!Z44&lt;0,'03_全链计算'!AE77+1,0),IF('01_数值调参'!Z45&lt;0,'03_全链计算'!AF77+1,0),IF('01_数值调参'!Z46&lt;0,'03_全链计算'!AG77+1,0),IF('01_数值调参'!Z47&lt;0,'03_全链计算'!AH77+1,0),IF('01_数值调参'!Z48&lt;0,'03_全链计算'!AI77+1,0),IF('01_数值调参'!Z49&lt;0,'03_全链计算'!AJ77+1,0),IF('01_数值调参'!Z50&lt;0,'03_全链计算'!AK77+1,0),IF('01_数值调参'!Z51&lt;0,'03_全链计算'!AL77+1,0),IF('01_数值调参'!Z52&lt;0,'03_全链计算'!AM77+1,0))</x:f>
        <x:v>2</x:v>
      </x:c>
      <x:c r="AA78" s="9" t="n">
        <x:f>MAX(IF('01_数值调参'!AA18&lt;0,'03_全链计算'!E77+1,0),IF('01_数值调参'!AA19&lt;0,'03_全链计算'!F77+1,0),IF('01_数值调参'!AA20&lt;0,'03_全链计算'!G77+1,0),IF('01_数值调参'!AA21&lt;0,'03_全链计算'!H77+1,0),IF('01_数值调参'!AA22&lt;0,'03_全链计算'!I77+1,0),IF('01_数值调参'!AA23&lt;0,'03_全链计算'!J77+1,0),IF('01_数值调参'!AA24&lt;0,'03_全链计算'!K77+1,0),IF('01_数值调参'!AA25&lt;0,'03_全链计算'!L77+1,0),IF('01_数值调参'!AA26&lt;0,'03_全链计算'!M77+1,0),IF('01_数值调参'!AA27&lt;0,'03_全链计算'!N77+1,0),IF('01_数值调参'!AA28&lt;0,'03_全链计算'!O77+1,0),IF('01_数值调参'!AA29&lt;0,'03_全链计算'!P77+1,0),IF('01_数值调参'!AA30&lt;0,'03_全链计算'!Q77+1,0),IF('01_数值调参'!AA31&lt;0,'03_全链计算'!R77+1,0),IF('01_数值调参'!AA32&lt;0,'03_全链计算'!S77+1,0),IF('01_数值调参'!AA33&lt;0,'03_全链计算'!T77+1,0),IF('01_数值调参'!AA34&lt;0,'03_全链计算'!U77+1,0),IF('01_数值调参'!AA35&lt;0,'03_全链计算'!V77+1,0),IF('01_数值调参'!AA36&lt;0,'03_全链计算'!W77+1,0),IF('01_数值调参'!AA37&lt;0,'03_全链计算'!X77+1,0),IF('01_数值调参'!AA38&lt;0,'03_全链计算'!Y77+1,0),IF('01_数值调参'!AA39&lt;0,'03_全链计算'!Z77+1,0),IF('01_数值调参'!AA40&lt;0,'03_全链计算'!AA77+1,0),IF('01_数值调参'!AA41&lt;0,'03_全链计算'!AB77+1,0),IF('01_数值调参'!AA42&lt;0,'03_全链计算'!AC77+1,0),IF('01_数值调参'!AA43&lt;0,'03_全链计算'!AD77+1,0),IF('01_数值调参'!AA44&lt;0,'03_全链计算'!AE77+1,0),IF('01_数值调参'!AA45&lt;0,'03_全链计算'!AF77+1,0),IF('01_数值调参'!AA46&lt;0,'03_全链计算'!AG77+1,0),IF('01_数值调参'!AA47&lt;0,'03_全链计算'!AH77+1,0),IF('01_数值调参'!AA48&lt;0,'03_全链计算'!AI77+1,0),IF('01_数值调参'!AA49&lt;0,'03_全链计算'!AJ77+1,0),IF('01_数值调参'!AA50&lt;0,'03_全链计算'!AK77+1,0),IF('01_数值调参'!AA51&lt;0,'03_全链计算'!AL77+1,0),IF('01_数值调参'!AA52&lt;0,'03_全链计算'!AM77+1,0))</x:f>
        <x:v>2</x:v>
      </x:c>
      <x:c r="AB78" s="9" t="n">
        <x:f>MAX(IF('01_数值调参'!AB18&lt;0,'03_全链计算'!E77+1,0),IF('01_数值调参'!AB19&lt;0,'03_全链计算'!F77+1,0),IF('01_数值调参'!AB20&lt;0,'03_全链计算'!G77+1,0),IF('01_数值调参'!AB21&lt;0,'03_全链计算'!H77+1,0),IF('01_数值调参'!AB22&lt;0,'03_全链计算'!I77+1,0),IF('01_数值调参'!AB23&lt;0,'03_全链计算'!J77+1,0),IF('01_数值调参'!AB24&lt;0,'03_全链计算'!K77+1,0),IF('01_数值调参'!AB25&lt;0,'03_全链计算'!L77+1,0),IF('01_数值调参'!AB26&lt;0,'03_全链计算'!M77+1,0),IF('01_数值调参'!AB27&lt;0,'03_全链计算'!N77+1,0),IF('01_数值调参'!AB28&lt;0,'03_全链计算'!O77+1,0),IF('01_数值调参'!AB29&lt;0,'03_全链计算'!P77+1,0),IF('01_数值调参'!AB30&lt;0,'03_全链计算'!Q77+1,0),IF('01_数值调参'!AB31&lt;0,'03_全链计算'!R77+1,0),IF('01_数值调参'!AB32&lt;0,'03_全链计算'!S77+1,0),IF('01_数值调参'!AB33&lt;0,'03_全链计算'!T77+1,0),IF('01_数值调参'!AB34&lt;0,'03_全链计算'!U77+1,0),IF('01_数值调参'!AB35&lt;0,'03_全链计算'!V77+1,0),IF('01_数值调参'!AB36&lt;0,'03_全链计算'!W77+1,0),IF('01_数值调参'!AB37&lt;0,'03_全链计算'!X77+1,0),IF('01_数值调参'!AB38&lt;0,'03_全链计算'!Y77+1,0),IF('01_数值调参'!AB39&lt;0,'03_全链计算'!Z77+1,0),IF('01_数值调参'!AB40&lt;0,'03_全链计算'!AA77+1,0),IF('01_数值调参'!AB41&lt;0,'03_全链计算'!AB77+1,0),IF('01_数值调参'!AB42&lt;0,'03_全链计算'!AC77+1,0),IF('01_数值调参'!AB43&lt;0,'03_全链计算'!AD77+1,0),IF('01_数值调参'!AB44&lt;0,'03_全链计算'!AE77+1,0),IF('01_数值调参'!AB45&lt;0,'03_全链计算'!AF77+1,0),IF('01_数值调参'!AB46&lt;0,'03_全链计算'!AG77+1,0),IF('01_数值调参'!AB47&lt;0,'03_全链计算'!AH77+1,0),IF('01_数值调参'!AB48&lt;0,'03_全链计算'!AI77+1,0),IF('01_数值调参'!AB49&lt;0,'03_全链计算'!AJ77+1,0),IF('01_数值调参'!AB50&lt;0,'03_全链计算'!AK77+1,0),IF('01_数值调参'!AB51&lt;0,'03_全链计算'!AL77+1,0),IF('01_数值调参'!AB52&lt;0,'03_全链计算'!AM77+1,0))</x:f>
        <x:v>2</x:v>
      </x:c>
      <x:c r="AC78" s="9" t="n">
        <x:f>MAX(IF('01_数值调参'!AC18&lt;0,'03_全链计算'!E77+1,0),IF('01_数值调参'!AC19&lt;0,'03_全链计算'!F77+1,0),IF('01_数值调参'!AC20&lt;0,'03_全链计算'!G77+1,0),IF('01_数值调参'!AC21&lt;0,'03_全链计算'!H77+1,0),IF('01_数值调参'!AC22&lt;0,'03_全链计算'!I77+1,0),IF('01_数值调参'!AC23&lt;0,'03_全链计算'!J77+1,0),IF('01_数值调参'!AC24&lt;0,'03_全链计算'!K77+1,0),IF('01_数值调参'!AC25&lt;0,'03_全链计算'!L77+1,0),IF('01_数值调参'!AC26&lt;0,'03_全链计算'!M77+1,0),IF('01_数值调参'!AC27&lt;0,'03_全链计算'!N77+1,0),IF('01_数值调参'!AC28&lt;0,'03_全链计算'!O77+1,0),IF('01_数值调参'!AC29&lt;0,'03_全链计算'!P77+1,0),IF('01_数值调参'!AC30&lt;0,'03_全链计算'!Q77+1,0),IF('01_数值调参'!AC31&lt;0,'03_全链计算'!R77+1,0),IF('01_数值调参'!AC32&lt;0,'03_全链计算'!S77+1,0),IF('01_数值调参'!AC33&lt;0,'03_全链计算'!T77+1,0),IF('01_数值调参'!AC34&lt;0,'03_全链计算'!U77+1,0),IF('01_数值调参'!AC35&lt;0,'03_全链计算'!V77+1,0),IF('01_数值调参'!AC36&lt;0,'03_全链计算'!W77+1,0),IF('01_数值调参'!AC37&lt;0,'03_全链计算'!X77+1,0),IF('01_数值调参'!AC38&lt;0,'03_全链计算'!Y77+1,0),IF('01_数值调参'!AC39&lt;0,'03_全链计算'!Z77+1,0),IF('01_数值调参'!AC40&lt;0,'03_全链计算'!AA77+1,0),IF('01_数值调参'!AC41&lt;0,'03_全链计算'!AB77+1,0),IF('01_数值调参'!AC42&lt;0,'03_全链计算'!AC77+1,0),IF('01_数值调参'!AC43&lt;0,'03_全链计算'!AD77+1,0),IF('01_数值调参'!AC44&lt;0,'03_全链计算'!AE77+1,0),IF('01_数值调参'!AC45&lt;0,'03_全链计算'!AF77+1,0),IF('01_数值调参'!AC46&lt;0,'03_全链计算'!AG77+1,0),IF('01_数值调参'!AC47&lt;0,'03_全链计算'!AH77+1,0),IF('01_数值调参'!AC48&lt;0,'03_全链计算'!AI77+1,0),IF('01_数值调参'!AC49&lt;0,'03_全链计算'!AJ77+1,0),IF('01_数值调参'!AC50&lt;0,'03_全链计算'!AK77+1,0),IF('01_数值调参'!AC51&lt;0,'03_全链计算'!AL77+1,0),IF('01_数值调参'!AC52&lt;0,'03_全链计算'!AM77+1,0))</x:f>
        <x:v>2</x:v>
      </x:c>
      <x:c r="AD78" s="9" t="n">
        <x:f>MAX(IF('01_数值调参'!AD18&lt;0,'03_全链计算'!E77+1,0),IF('01_数值调参'!AD19&lt;0,'03_全链计算'!F77+1,0),IF('01_数值调参'!AD20&lt;0,'03_全链计算'!G77+1,0),IF('01_数值调参'!AD21&lt;0,'03_全链计算'!H77+1,0),IF('01_数值调参'!AD22&lt;0,'03_全链计算'!I77+1,0),IF('01_数值调参'!AD23&lt;0,'03_全链计算'!J77+1,0),IF('01_数值调参'!AD24&lt;0,'03_全链计算'!K77+1,0),IF('01_数值调参'!AD25&lt;0,'03_全链计算'!L77+1,0),IF('01_数值调参'!AD26&lt;0,'03_全链计算'!M77+1,0),IF('01_数值调参'!AD27&lt;0,'03_全链计算'!N77+1,0),IF('01_数值调参'!AD28&lt;0,'03_全链计算'!O77+1,0),IF('01_数值调参'!AD29&lt;0,'03_全链计算'!P77+1,0),IF('01_数值调参'!AD30&lt;0,'03_全链计算'!Q77+1,0),IF('01_数值调参'!AD31&lt;0,'03_全链计算'!R77+1,0),IF('01_数值调参'!AD32&lt;0,'03_全链计算'!S77+1,0),IF('01_数值调参'!AD33&lt;0,'03_全链计算'!T77+1,0),IF('01_数值调参'!AD34&lt;0,'03_全链计算'!U77+1,0),IF('01_数值调参'!AD35&lt;0,'03_全链计算'!V77+1,0),IF('01_数值调参'!AD36&lt;0,'03_全链计算'!W77+1,0),IF('01_数值调参'!AD37&lt;0,'03_全链计算'!X77+1,0),IF('01_数值调参'!AD38&lt;0,'03_全链计算'!Y77+1,0),IF('01_数值调参'!AD39&lt;0,'03_全链计算'!Z77+1,0),IF('01_数值调参'!AD40&lt;0,'03_全链计算'!AA77+1,0),IF('01_数值调参'!AD41&lt;0,'03_全链计算'!AB77+1,0),IF('01_数值调参'!AD42&lt;0,'03_全链计算'!AC77+1,0),IF('01_数值调参'!AD43&lt;0,'03_全链计算'!AD77+1,0),IF('01_数值调参'!AD44&lt;0,'03_全链计算'!AE77+1,0),IF('01_数值调参'!AD45&lt;0,'03_全链计算'!AF77+1,0),IF('01_数值调参'!AD46&lt;0,'03_全链计算'!AG77+1,0),IF('01_数值调参'!AD47&lt;0,'03_全链计算'!AH77+1,0),IF('01_数值调参'!AD48&lt;0,'03_全链计算'!AI77+1,0),IF('01_数值调参'!AD49&lt;0,'03_全链计算'!AJ77+1,0),IF('01_数值调参'!AD50&lt;0,'03_全链计算'!AK77+1,0),IF('01_数值调参'!AD51&lt;0,'03_全链计算'!AL77+1,0),IF('01_数值调参'!AD52&lt;0,'03_全链计算'!AM77+1,0))</x:f>
        <x:v>1</x:v>
      </x:c>
      <x:c r="AE78" s="9" t="n">
        <x:f>MAX(IF('01_数值调参'!AE18&lt;0,'03_全链计算'!E77+1,0),IF('01_数值调参'!AE19&lt;0,'03_全链计算'!F77+1,0),IF('01_数值调参'!AE20&lt;0,'03_全链计算'!G77+1,0),IF('01_数值调参'!AE21&lt;0,'03_全链计算'!H77+1,0),IF('01_数值调参'!AE22&lt;0,'03_全链计算'!I77+1,0),IF('01_数值调参'!AE23&lt;0,'03_全链计算'!J77+1,0),IF('01_数值调参'!AE24&lt;0,'03_全链计算'!K77+1,0),IF('01_数值调参'!AE25&lt;0,'03_全链计算'!L77+1,0),IF('01_数值调参'!AE26&lt;0,'03_全链计算'!M77+1,0),IF('01_数值调参'!AE27&lt;0,'03_全链计算'!N77+1,0),IF('01_数值调参'!AE28&lt;0,'03_全链计算'!O77+1,0),IF('01_数值调参'!AE29&lt;0,'03_全链计算'!P77+1,0),IF('01_数值调参'!AE30&lt;0,'03_全链计算'!Q77+1,0),IF('01_数值调参'!AE31&lt;0,'03_全链计算'!R77+1,0),IF('01_数值调参'!AE32&lt;0,'03_全链计算'!S77+1,0),IF('01_数值调参'!AE33&lt;0,'03_全链计算'!T77+1,0),IF('01_数值调参'!AE34&lt;0,'03_全链计算'!U77+1,0),IF('01_数值调参'!AE35&lt;0,'03_全链计算'!V77+1,0),IF('01_数值调参'!AE36&lt;0,'03_全链计算'!W77+1,0),IF('01_数值调参'!AE37&lt;0,'03_全链计算'!X77+1,0),IF('01_数值调参'!AE38&lt;0,'03_全链计算'!Y77+1,0),IF('01_数值调参'!AE39&lt;0,'03_全链计算'!Z77+1,0),IF('01_数值调参'!AE40&lt;0,'03_全链计算'!AA77+1,0),IF('01_数值调参'!AE41&lt;0,'03_全链计算'!AB77+1,0),IF('01_数值调参'!AE42&lt;0,'03_全链计算'!AC77+1,0),IF('01_数值调参'!AE43&lt;0,'03_全链计算'!AD77+1,0),IF('01_数值调参'!AE44&lt;0,'03_全链计算'!AE77+1,0),IF('01_数值调参'!AE45&lt;0,'03_全链计算'!AF77+1,0),IF('01_数值调参'!AE46&lt;0,'03_全链计算'!AG77+1,0),IF('01_数值调参'!AE47&lt;0,'03_全链计算'!AH77+1,0),IF('01_数值调参'!AE48&lt;0,'03_全链计算'!AI77+1,0),IF('01_数值调参'!AE49&lt;0,'03_全链计算'!AJ77+1,0),IF('01_数值调参'!AE50&lt;0,'03_全链计算'!AK77+1,0),IF('01_数值调参'!AE51&lt;0,'03_全链计算'!AL77+1,0),IF('01_数值调参'!AE52&lt;0,'03_全链计算'!AM77+1,0))</x:f>
        <x:v>1</x:v>
      </x:c>
      <x:c r="AF78" s="9" t="n">
        <x:f>MAX(IF('01_数值调参'!AF18&lt;0,'03_全链计算'!E77+1,0),IF('01_数值调参'!AF19&lt;0,'03_全链计算'!F77+1,0),IF('01_数值调参'!AF20&lt;0,'03_全链计算'!G77+1,0),IF('01_数值调参'!AF21&lt;0,'03_全链计算'!H77+1,0),IF('01_数值调参'!AF22&lt;0,'03_全链计算'!I77+1,0),IF('01_数值调参'!AF23&lt;0,'03_全链计算'!J77+1,0),IF('01_数值调参'!AF24&lt;0,'03_全链计算'!K77+1,0),IF('01_数值调参'!AF25&lt;0,'03_全链计算'!L77+1,0),IF('01_数值调参'!AF26&lt;0,'03_全链计算'!M77+1,0),IF('01_数值调参'!AF27&lt;0,'03_全链计算'!N77+1,0),IF('01_数值调参'!AF28&lt;0,'03_全链计算'!O77+1,0),IF('01_数值调参'!AF29&lt;0,'03_全链计算'!P77+1,0),IF('01_数值调参'!AF30&lt;0,'03_全链计算'!Q77+1,0),IF('01_数值调参'!AF31&lt;0,'03_全链计算'!R77+1,0),IF('01_数值调参'!AF32&lt;0,'03_全链计算'!S77+1,0),IF('01_数值调参'!AF33&lt;0,'03_全链计算'!T77+1,0),IF('01_数值调参'!AF34&lt;0,'03_全链计算'!U77+1,0),IF('01_数值调参'!AF35&lt;0,'03_全链计算'!V77+1,0),IF('01_数值调参'!AF36&lt;0,'03_全链计算'!W77+1,0),IF('01_数值调参'!AF37&lt;0,'03_全链计算'!X77+1,0),IF('01_数值调参'!AF38&lt;0,'03_全链计算'!Y77+1,0),IF('01_数值调参'!AF39&lt;0,'03_全链计算'!Z77+1,0),IF('01_数值调参'!AF40&lt;0,'03_全链计算'!AA77+1,0),IF('01_数值调参'!AF41&lt;0,'03_全链计算'!AB77+1,0),IF('01_数值调参'!AF42&lt;0,'03_全链计算'!AC77+1,0),IF('01_数值调参'!AF43&lt;0,'03_全链计算'!AD77+1,0),IF('01_数值调参'!AF44&lt;0,'03_全链计算'!AE77+1,0),IF('01_数值调参'!AF45&lt;0,'03_全链计算'!AF77+1,0),IF('01_数值调参'!AF46&lt;0,'03_全链计算'!AG77+1,0),IF('01_数值调参'!AF47&lt;0,'03_全链计算'!AH77+1,0),IF('01_数值调参'!AF48&lt;0,'03_全链计算'!AI77+1,0),IF('01_数值调参'!AF49&lt;0,'03_全链计算'!AJ77+1,0),IF('01_数值调参'!AF50&lt;0,'03_全链计算'!AK77+1,0),IF('01_数值调参'!AF51&lt;0,'03_全链计算'!AL77+1,0),IF('01_数值调参'!AF52&lt;0,'03_全链计算'!AM77+1,0))</x:f>
        <x:v>1</x:v>
      </x:c>
      <x:c r="AG78" s="9" t="n">
        <x:f>MAX(IF('01_数值调参'!AG18&lt;0,'03_全链计算'!E77+1,0),IF('01_数值调参'!AG19&lt;0,'03_全链计算'!F77+1,0),IF('01_数值调参'!AG20&lt;0,'03_全链计算'!G77+1,0),IF('01_数值调参'!AG21&lt;0,'03_全链计算'!H77+1,0),IF('01_数值调参'!AG22&lt;0,'03_全链计算'!I77+1,0),IF('01_数值调参'!AG23&lt;0,'03_全链计算'!J77+1,0),IF('01_数值调参'!AG24&lt;0,'03_全链计算'!K77+1,0),IF('01_数值调参'!AG25&lt;0,'03_全链计算'!L77+1,0),IF('01_数值调参'!AG26&lt;0,'03_全链计算'!M77+1,0),IF('01_数值调参'!AG27&lt;0,'03_全链计算'!N77+1,0),IF('01_数值调参'!AG28&lt;0,'03_全链计算'!O77+1,0),IF('01_数值调参'!AG29&lt;0,'03_全链计算'!P77+1,0),IF('01_数值调参'!AG30&lt;0,'03_全链计算'!Q77+1,0),IF('01_数值调参'!AG31&lt;0,'03_全链计算'!R77+1,0),IF('01_数值调参'!AG32&lt;0,'03_全链计算'!S77+1,0),IF('01_数值调参'!AG33&lt;0,'03_全链计算'!T77+1,0),IF('01_数值调参'!AG34&lt;0,'03_全链计算'!U77+1,0),IF('01_数值调参'!AG35&lt;0,'03_全链计算'!V77+1,0),IF('01_数值调参'!AG36&lt;0,'03_全链计算'!W77+1,0),IF('01_数值调参'!AG37&lt;0,'03_全链计算'!X77+1,0),IF('01_数值调参'!AG38&lt;0,'03_全链计算'!Y77+1,0),IF('01_数值调参'!AG39&lt;0,'03_全链计算'!Z77+1,0),IF('01_数值调参'!AG40&lt;0,'03_全链计算'!AA77+1,0),IF('01_数值调参'!AG41&lt;0,'03_全链计算'!AB77+1,0),IF('01_数值调参'!AG42&lt;0,'03_全链计算'!AC77+1,0),IF('01_数值调参'!AG43&lt;0,'03_全链计算'!AD77+1,0),IF('01_数值调参'!AG44&lt;0,'03_全链计算'!AE77+1,0),IF('01_数值调参'!AG45&lt;0,'03_全链计算'!AF77+1,0),IF('01_数值调参'!AG46&lt;0,'03_全链计算'!AG77+1,0),IF('01_数值调参'!AG47&lt;0,'03_全链计算'!AH77+1,0),IF('01_数值调参'!AG48&lt;0,'03_全链计算'!AI77+1,0),IF('01_数值调参'!AG49&lt;0,'03_全链计算'!AJ77+1,0),IF('01_数值调参'!AG50&lt;0,'03_全链计算'!AK77+1,0),IF('01_数值调参'!AG51&lt;0,'03_全链计算'!AL77+1,0),IF('01_数值调参'!AG52&lt;0,'03_全链计算'!AM77+1,0))</x:f>
        <x:v>1</x:v>
      </x:c>
      <x:c r="AH78" s="9" t="n">
        <x:f>MAX(IF('01_数值调参'!AH18&lt;0,'03_全链计算'!E77+1,0),IF('01_数值调参'!AH19&lt;0,'03_全链计算'!F77+1,0),IF('01_数值调参'!AH20&lt;0,'03_全链计算'!G77+1,0),IF('01_数值调参'!AH21&lt;0,'03_全链计算'!H77+1,0),IF('01_数值调参'!AH22&lt;0,'03_全链计算'!I77+1,0),IF('01_数值调参'!AH23&lt;0,'03_全链计算'!J77+1,0),IF('01_数值调参'!AH24&lt;0,'03_全链计算'!K77+1,0),IF('01_数值调参'!AH25&lt;0,'03_全链计算'!L77+1,0),IF('01_数值调参'!AH26&lt;0,'03_全链计算'!M77+1,0),IF('01_数值调参'!AH27&lt;0,'03_全链计算'!N77+1,0),IF('01_数值调参'!AH28&lt;0,'03_全链计算'!O77+1,0),IF('01_数值调参'!AH29&lt;0,'03_全链计算'!P77+1,0),IF('01_数值调参'!AH30&lt;0,'03_全链计算'!Q77+1,0),IF('01_数值调参'!AH31&lt;0,'03_全链计算'!R77+1,0),IF('01_数值调参'!AH32&lt;0,'03_全链计算'!S77+1,0),IF('01_数值调参'!AH33&lt;0,'03_全链计算'!T77+1,0),IF('01_数值调参'!AH34&lt;0,'03_全链计算'!U77+1,0),IF('01_数值调参'!AH35&lt;0,'03_全链计算'!V77+1,0),IF('01_数值调参'!AH36&lt;0,'03_全链计算'!W77+1,0),IF('01_数值调参'!AH37&lt;0,'03_全链计算'!X77+1,0),IF('01_数值调参'!AH38&lt;0,'03_全链计算'!Y77+1,0),IF('01_数值调参'!AH39&lt;0,'03_全链计算'!Z77+1,0),IF('01_数值调参'!AH40&lt;0,'03_全链计算'!AA77+1,0),IF('01_数值调参'!AH41&lt;0,'03_全链计算'!AB77+1,0),IF('01_数值调参'!AH42&lt;0,'03_全链计算'!AC77+1,0),IF('01_数值调参'!AH43&lt;0,'03_全链计算'!AD77+1,0),IF('01_数值调参'!AH44&lt;0,'03_全链计算'!AE77+1,0),IF('01_数值调参'!AH45&lt;0,'03_全链计算'!AF77+1,0),IF('01_数值调参'!AH46&lt;0,'03_全链计算'!AG77+1,0),IF('01_数值调参'!AH47&lt;0,'03_全链计算'!AH77+1,0),IF('01_数值调参'!AH48&lt;0,'03_全链计算'!AI77+1,0),IF('01_数值调参'!AH49&lt;0,'03_全链计算'!AJ77+1,0),IF('01_数值调参'!AH50&lt;0,'03_全链计算'!AK77+1,0),IF('01_数值调参'!AH51&lt;0,'03_全链计算'!AL77+1,0),IF('01_数值调参'!AH52&lt;0,'03_全链计算'!AM77+1,0))</x:f>
        <x:v>2</x:v>
      </x:c>
      <x:c r="AI78" s="9" t="n">
        <x:f>MAX(IF('01_数值调参'!AI18&lt;0,'03_全链计算'!E77+1,0),IF('01_数值调参'!AI19&lt;0,'03_全链计算'!F77+1,0),IF('01_数值调参'!AI20&lt;0,'03_全链计算'!G77+1,0),IF('01_数值调参'!AI21&lt;0,'03_全链计算'!H77+1,0),IF('01_数值调参'!AI22&lt;0,'03_全链计算'!I77+1,0),IF('01_数值调参'!AI23&lt;0,'03_全链计算'!J77+1,0),IF('01_数值调参'!AI24&lt;0,'03_全链计算'!K77+1,0),IF('01_数值调参'!AI25&lt;0,'03_全链计算'!L77+1,0),IF('01_数值调参'!AI26&lt;0,'03_全链计算'!M77+1,0),IF('01_数值调参'!AI27&lt;0,'03_全链计算'!N77+1,0),IF('01_数值调参'!AI28&lt;0,'03_全链计算'!O77+1,0),IF('01_数值调参'!AI29&lt;0,'03_全链计算'!P77+1,0),IF('01_数值调参'!AI30&lt;0,'03_全链计算'!Q77+1,0),IF('01_数值调参'!AI31&lt;0,'03_全链计算'!R77+1,0),IF('01_数值调参'!AI32&lt;0,'03_全链计算'!S77+1,0),IF('01_数值调参'!AI33&lt;0,'03_全链计算'!T77+1,0),IF('01_数值调参'!AI34&lt;0,'03_全链计算'!U77+1,0),IF('01_数值调参'!AI35&lt;0,'03_全链计算'!V77+1,0),IF('01_数值调参'!AI36&lt;0,'03_全链计算'!W77+1,0),IF('01_数值调参'!AI37&lt;0,'03_全链计算'!X77+1,0),IF('01_数值调参'!AI38&lt;0,'03_全链计算'!Y77+1,0),IF('01_数值调参'!AI39&lt;0,'03_全链计算'!Z77+1,0),IF('01_数值调参'!AI40&lt;0,'03_全链计算'!AA77+1,0),IF('01_数值调参'!AI41&lt;0,'03_全链计算'!AB77+1,0),IF('01_数值调参'!AI42&lt;0,'03_全链计算'!AC77+1,0),IF('01_数值调参'!AI43&lt;0,'03_全链计算'!AD77+1,0),IF('01_数值调参'!AI44&lt;0,'03_全链计算'!AE77+1,0),IF('01_数值调参'!AI45&lt;0,'03_全链计算'!AF77+1,0),IF('01_数值调参'!AI46&lt;0,'03_全链计算'!AG77+1,0),IF('01_数值调参'!AI47&lt;0,'03_全链计算'!AH77+1,0),IF('01_数值调参'!AI48&lt;0,'03_全链计算'!AI77+1,0),IF('01_数值调参'!AI49&lt;0,'03_全链计算'!AJ77+1,0),IF('01_数值调参'!AI50&lt;0,'03_全链计算'!AK77+1,0),IF('01_数值调参'!AI51&lt;0,'03_全链计算'!AL77+1,0),IF('01_数值调参'!AI52&lt;0,'03_全链计算'!AM77+1,0))</x:f>
        <x:v>2</x:v>
      </x:c>
      <x:c r="AJ78" s="9" t="n">
        <x:f>MAX(IF('01_数值调参'!AJ18&lt;0,'03_全链计算'!E77+1,0),IF('01_数值调参'!AJ19&lt;0,'03_全链计算'!F77+1,0),IF('01_数值调参'!AJ20&lt;0,'03_全链计算'!G77+1,0),IF('01_数值调参'!AJ21&lt;0,'03_全链计算'!H77+1,0),IF('01_数值调参'!AJ22&lt;0,'03_全链计算'!I77+1,0),IF('01_数值调参'!AJ23&lt;0,'03_全链计算'!J77+1,0),IF('01_数值调参'!AJ24&lt;0,'03_全链计算'!K77+1,0),IF('01_数值调参'!AJ25&lt;0,'03_全链计算'!L77+1,0),IF('01_数值调参'!AJ26&lt;0,'03_全链计算'!M77+1,0),IF('01_数值调参'!AJ27&lt;0,'03_全链计算'!N77+1,0),IF('01_数值调参'!AJ28&lt;0,'03_全链计算'!O77+1,0),IF('01_数值调参'!AJ29&lt;0,'03_全链计算'!P77+1,0),IF('01_数值调参'!AJ30&lt;0,'03_全链计算'!Q77+1,0),IF('01_数值调参'!AJ31&lt;0,'03_全链计算'!R77+1,0),IF('01_数值调参'!AJ32&lt;0,'03_全链计算'!S77+1,0),IF('01_数值调参'!AJ33&lt;0,'03_全链计算'!T77+1,0),IF('01_数值调参'!AJ34&lt;0,'03_全链计算'!U77+1,0),IF('01_数值调参'!AJ35&lt;0,'03_全链计算'!V77+1,0),IF('01_数值调参'!AJ36&lt;0,'03_全链计算'!W77+1,0),IF('01_数值调参'!AJ37&lt;0,'03_全链计算'!X77+1,0),IF('01_数值调参'!AJ38&lt;0,'03_全链计算'!Y77+1,0),IF('01_数值调参'!AJ39&lt;0,'03_全链计算'!Z77+1,0),IF('01_数值调参'!AJ40&lt;0,'03_全链计算'!AA77+1,0),IF('01_数值调参'!AJ41&lt;0,'03_全链计算'!AB77+1,0),IF('01_数值调参'!AJ42&lt;0,'03_全链计算'!AC77+1,0),IF('01_数值调参'!AJ43&lt;0,'03_全链计算'!AD77+1,0),IF('01_数值调参'!AJ44&lt;0,'03_全链计算'!AE77+1,0),IF('01_数值调参'!AJ45&lt;0,'03_全链计算'!AF77+1,0),IF('01_数值调参'!AJ46&lt;0,'03_全链计算'!AG77+1,0),IF('01_数值调参'!AJ47&lt;0,'03_全链计算'!AH77+1,0),IF('01_数值调参'!AJ48&lt;0,'03_全链计算'!AI77+1,0),IF('01_数值调参'!AJ49&lt;0,'03_全链计算'!AJ77+1,0),IF('01_数值调参'!AJ50&lt;0,'03_全链计算'!AK77+1,0),IF('01_数值调参'!AJ51&lt;0,'03_全链计算'!AL77+1,0),IF('01_数值调参'!AJ52&lt;0,'03_全链计算'!AM77+1,0))</x:f>
        <x:v>2</x:v>
      </x:c>
      <x:c r="AK78" s="9" t="n">
        <x:f>MAX(IF('01_数值调参'!AK18&lt;0,'03_全链计算'!E77+1,0),IF('01_数值调参'!AK19&lt;0,'03_全链计算'!F77+1,0),IF('01_数值调参'!AK20&lt;0,'03_全链计算'!G77+1,0),IF('01_数值调参'!AK21&lt;0,'03_全链计算'!H77+1,0),IF('01_数值调参'!AK22&lt;0,'03_全链计算'!I77+1,0),IF('01_数值调参'!AK23&lt;0,'03_全链计算'!J77+1,0),IF('01_数值调参'!AK24&lt;0,'03_全链计算'!K77+1,0),IF('01_数值调参'!AK25&lt;0,'03_全链计算'!L77+1,0),IF('01_数值调参'!AK26&lt;0,'03_全链计算'!M77+1,0),IF('01_数值调参'!AK27&lt;0,'03_全链计算'!N77+1,0),IF('01_数值调参'!AK28&lt;0,'03_全链计算'!O77+1,0),IF('01_数值调参'!AK29&lt;0,'03_全链计算'!P77+1,0),IF('01_数值调参'!AK30&lt;0,'03_全链计算'!Q77+1,0),IF('01_数值调参'!AK31&lt;0,'03_全链计算'!R77+1,0),IF('01_数值调参'!AK32&lt;0,'03_全链计算'!S77+1,0),IF('01_数值调参'!AK33&lt;0,'03_全链计算'!T77+1,0),IF('01_数值调参'!AK34&lt;0,'03_全链计算'!U77+1,0),IF('01_数值调参'!AK35&lt;0,'03_全链计算'!V77+1,0),IF('01_数值调参'!AK36&lt;0,'03_全链计算'!W77+1,0),IF('01_数值调参'!AK37&lt;0,'03_全链计算'!X77+1,0),IF('01_数值调参'!AK38&lt;0,'03_全链计算'!Y77+1,0),IF('01_数值调参'!AK39&lt;0,'03_全链计算'!Z77+1,0),IF('01_数值调参'!AK40&lt;0,'03_全链计算'!AA77+1,0),IF('01_数值调参'!AK41&lt;0,'03_全链计算'!AB77+1,0),IF('01_数值调参'!AK42&lt;0,'03_全链计算'!AC77+1,0),IF('01_数值调参'!AK43&lt;0,'03_全链计算'!AD77+1,0),IF('01_数值调参'!AK44&lt;0,'03_全链计算'!AE77+1,0),IF('01_数值调参'!AK45&lt;0,'03_全链计算'!AF77+1,0),IF('01_数值调参'!AK46&lt;0,'03_全链计算'!AG77+1,0),IF('01_数值调参'!AK47&lt;0,'03_全链计算'!AH77+1,0),IF('01_数值调参'!AK48&lt;0,'03_全链计算'!AI77+1,0),IF('01_数值调参'!AK49&lt;0,'03_全链计算'!AJ77+1,0),IF('01_数值调参'!AK50&lt;0,'03_全链计算'!AK77+1,0),IF('01_数值调参'!AK51&lt;0,'03_全链计算'!AL77+1,0),IF('01_数值调参'!AK52&lt;0,'03_全链计算'!AM77+1,0))</x:f>
        <x:v>2</x:v>
      </x:c>
      <x:c r="AL78" s="9" t="n">
        <x:f>MAX(IF('01_数值调参'!AL18&lt;0,'03_全链计算'!E77+1,0),IF('01_数值调参'!AL19&lt;0,'03_全链计算'!F77+1,0),IF('01_数值调参'!AL20&lt;0,'03_全链计算'!G77+1,0),IF('01_数值调参'!AL21&lt;0,'03_全链计算'!H77+1,0),IF('01_数值调参'!AL22&lt;0,'03_全链计算'!I77+1,0),IF('01_数值调参'!AL23&lt;0,'03_全链计算'!J77+1,0),IF('01_数值调参'!AL24&lt;0,'03_全链计算'!K77+1,0),IF('01_数值调参'!AL25&lt;0,'03_全链计算'!L77+1,0),IF('01_数值调参'!AL26&lt;0,'03_全链计算'!M77+1,0),IF('01_数值调参'!AL27&lt;0,'03_全链计算'!N77+1,0),IF('01_数值调参'!AL28&lt;0,'03_全链计算'!O77+1,0),IF('01_数值调参'!AL29&lt;0,'03_全链计算'!P77+1,0),IF('01_数值调参'!AL30&lt;0,'03_全链计算'!Q77+1,0),IF('01_数值调参'!AL31&lt;0,'03_全链计算'!R77+1,0),IF('01_数值调参'!AL32&lt;0,'03_全链计算'!S77+1,0),IF('01_数值调参'!AL33&lt;0,'03_全链计算'!T77+1,0),IF('01_数值调参'!AL34&lt;0,'03_全链计算'!U77+1,0),IF('01_数值调参'!AL35&lt;0,'03_全链计算'!V77+1,0),IF('01_数值调参'!AL36&lt;0,'03_全链计算'!W77+1,0),IF('01_数值调参'!AL37&lt;0,'03_全链计算'!X77+1,0),IF('01_数值调参'!AL38&lt;0,'03_全链计算'!Y77+1,0),IF('01_数值调参'!AL39&lt;0,'03_全链计算'!Z77+1,0),IF('01_数值调参'!AL40&lt;0,'03_全链计算'!AA77+1,0),IF('01_数值调参'!AL41&lt;0,'03_全链计算'!AB77+1,0),IF('01_数值调参'!AL42&lt;0,'03_全链计算'!AC77+1,0),IF('01_数值调参'!AL43&lt;0,'03_全链计算'!AD77+1,0),IF('01_数值调参'!AL44&lt;0,'03_全链计算'!AE77+1,0),IF('01_数值调参'!AL45&lt;0,'03_全链计算'!AF77+1,0),IF('01_数值调参'!AL46&lt;0,'03_全链计算'!AG77+1,0),IF('01_数值调参'!AL47&lt;0,'03_全链计算'!AH77+1,0),IF('01_数值调参'!AL48&lt;0,'03_全链计算'!AI77+1,0),IF('01_数值调参'!AL49&lt;0,'03_全链计算'!AJ77+1,0),IF('01_数值调参'!AL50&lt;0,'03_全链计算'!AK77+1,0),IF('01_数值调参'!AL51&lt;0,'03_全链计算'!AL77+1,0),IF('01_数值调参'!AL52&lt;0,'03_全链计算'!AM77+1,0))</x:f>
        <x:v>3</x:v>
      </x:c>
      <x:c r="AM78" s="9" t="n">
        <x:f>MAX(IF('01_数值调参'!AM18&lt;0,'03_全链计算'!E77+1,0),IF('01_数值调参'!AM19&lt;0,'03_全链计算'!F77+1,0),IF('01_数值调参'!AM20&lt;0,'03_全链计算'!G77+1,0),IF('01_数值调参'!AM21&lt;0,'03_全链计算'!H77+1,0),IF('01_数值调参'!AM22&lt;0,'03_全链计算'!I77+1,0),IF('01_数值调参'!AM23&lt;0,'03_全链计算'!J77+1,0),IF('01_数值调参'!AM24&lt;0,'03_全链计算'!K77+1,0),IF('01_数值调参'!AM25&lt;0,'03_全链计算'!L77+1,0),IF('01_数值调参'!AM26&lt;0,'03_全链计算'!M77+1,0),IF('01_数值调参'!AM27&lt;0,'03_全链计算'!N77+1,0),IF('01_数值调参'!AM28&lt;0,'03_全链计算'!O77+1,0),IF('01_数值调参'!AM29&lt;0,'03_全链计算'!P77+1,0),IF('01_数值调参'!AM30&lt;0,'03_全链计算'!Q77+1,0),IF('01_数值调参'!AM31&lt;0,'03_全链计算'!R77+1,0),IF('01_数值调参'!AM32&lt;0,'03_全链计算'!S77+1,0),IF('01_数值调参'!AM33&lt;0,'03_全链计算'!T77+1,0),IF('01_数值调参'!AM34&lt;0,'03_全链计算'!U77+1,0),IF('01_数值调参'!AM35&lt;0,'03_全链计算'!V77+1,0),IF('01_数值调参'!AM36&lt;0,'03_全链计算'!W77+1,0),IF('01_数值调参'!AM37&lt;0,'03_全链计算'!X77+1,0),IF('01_数值调参'!AM38&lt;0,'03_全链计算'!Y77+1,0),IF('01_数值调参'!AM39&lt;0,'03_全链计算'!Z77+1,0),IF('01_数值调参'!AM40&lt;0,'03_全链计算'!AA77+1,0),IF('01_数值调参'!AM41&lt;0,'03_全链计算'!AB77+1,0),IF('01_数值调参'!AM42&lt;0,'03_全链计算'!AC77+1,0),IF('01_数值调参'!AM43&lt;0,'03_全链计算'!AD77+1,0),IF('01_数值调参'!AM44&lt;0,'03_全链计算'!AE77+1,0),IF('01_数值调参'!AM45&lt;0,'03_全链计算'!AF77+1,0),IF('01_数值调参'!AM46&lt;0,'03_全链计算'!AG77+1,0),IF('01_数值调参'!AM47&lt;0,'03_全链计算'!AH77+1,0),IF('01_数值调参'!AM48&lt;0,'03_全链计算'!AI77+1,0),IF('01_数值调参'!AM49&lt;0,'03_全链计算'!AJ77+1,0),IF('01_数值调参'!AM50&lt;0,'03_全链计算'!AK77+1,0),IF('01_数值调参'!AM51&lt;0,'03_全链计算'!AL77+1,0),IF('01_数值调参'!AM52&lt;0,'03_全链计算'!AM77+1,0))</x:f>
        <x:v>3</x:v>
      </x:c>
    </x:row>
    <x:row r="79" ht="22" customHeight="1">
      <x:c r="A79" s="9" t="n">
        <x:v>34</x:v>
      </x:c>
      <x:c r="B79" s="9"/>
      <x:c r="C79" s="9"/>
      <x:c r="D79" s="9"/>
      <x:c r="E79" s="9" t="n">
        <x:f>MAX(IF('01_数值调参'!E18&lt;0,'03_全链计算'!E78+1,0),IF('01_数值调参'!E19&lt;0,'03_全链计算'!F78+1,0),IF('01_数值调参'!E20&lt;0,'03_全链计算'!G78+1,0),IF('01_数值调参'!E21&lt;0,'03_全链计算'!H78+1,0),IF('01_数值调参'!E22&lt;0,'03_全链计算'!I78+1,0),IF('01_数值调参'!E23&lt;0,'03_全链计算'!J78+1,0),IF('01_数值调参'!E24&lt;0,'03_全链计算'!K78+1,0),IF('01_数值调参'!E25&lt;0,'03_全链计算'!L78+1,0),IF('01_数值调参'!E26&lt;0,'03_全链计算'!M78+1,0),IF('01_数值调参'!E27&lt;0,'03_全链计算'!N78+1,0),IF('01_数值调参'!E28&lt;0,'03_全链计算'!O78+1,0),IF('01_数值调参'!E29&lt;0,'03_全链计算'!P78+1,0),IF('01_数值调参'!E30&lt;0,'03_全链计算'!Q78+1,0),IF('01_数值调参'!E31&lt;0,'03_全链计算'!R78+1,0),IF('01_数值调参'!E32&lt;0,'03_全链计算'!S78+1,0),IF('01_数值调参'!E33&lt;0,'03_全链计算'!T78+1,0),IF('01_数值调参'!E34&lt;0,'03_全链计算'!U78+1,0),IF('01_数值调参'!E35&lt;0,'03_全链计算'!V78+1,0),IF('01_数值调参'!E36&lt;0,'03_全链计算'!W78+1,0),IF('01_数值调参'!E37&lt;0,'03_全链计算'!X78+1,0),IF('01_数值调参'!E38&lt;0,'03_全链计算'!Y78+1,0),IF('01_数值调参'!E39&lt;0,'03_全链计算'!Z78+1,0),IF('01_数值调参'!E40&lt;0,'03_全链计算'!AA78+1,0),IF('01_数值调参'!E41&lt;0,'03_全链计算'!AB78+1,0),IF('01_数值调参'!E42&lt;0,'03_全链计算'!AC78+1,0),IF('01_数值调参'!E43&lt;0,'03_全链计算'!AD78+1,0),IF('01_数值调参'!E44&lt;0,'03_全链计算'!AE78+1,0),IF('01_数值调参'!E45&lt;0,'03_全链计算'!AF78+1,0),IF('01_数值调参'!E46&lt;0,'03_全链计算'!AG78+1,0),IF('01_数值调参'!E47&lt;0,'03_全链计算'!AH78+1,0),IF('01_数值调参'!E48&lt;0,'03_全链计算'!AI78+1,0),IF('01_数值调参'!E49&lt;0,'03_全链计算'!AJ78+1,0),IF('01_数值调参'!E50&lt;0,'03_全链计算'!AK78+1,0),IF('01_数值调参'!E51&lt;0,'03_全链计算'!AL78+1,0),IF('01_数值调参'!E52&lt;0,'03_全链计算'!AM78+1,0))</x:f>
        <x:v>0</x:v>
      </x:c>
      <x:c r="F79" s="9" t="n">
        <x:f>MAX(IF('01_数值调参'!F18&lt;0,'03_全链计算'!E78+1,0),IF('01_数值调参'!F19&lt;0,'03_全链计算'!F78+1,0),IF('01_数值调参'!F20&lt;0,'03_全链计算'!G78+1,0),IF('01_数值调参'!F21&lt;0,'03_全链计算'!H78+1,0),IF('01_数值调参'!F22&lt;0,'03_全链计算'!I78+1,0),IF('01_数值调参'!F23&lt;0,'03_全链计算'!J78+1,0),IF('01_数值调参'!F24&lt;0,'03_全链计算'!K78+1,0),IF('01_数值调参'!F25&lt;0,'03_全链计算'!L78+1,0),IF('01_数值调参'!F26&lt;0,'03_全链计算'!M78+1,0),IF('01_数值调参'!F27&lt;0,'03_全链计算'!N78+1,0),IF('01_数值调参'!F28&lt;0,'03_全链计算'!O78+1,0),IF('01_数值调参'!F29&lt;0,'03_全链计算'!P78+1,0),IF('01_数值调参'!F30&lt;0,'03_全链计算'!Q78+1,0),IF('01_数值调参'!F31&lt;0,'03_全链计算'!R78+1,0),IF('01_数值调参'!F32&lt;0,'03_全链计算'!S78+1,0),IF('01_数值调参'!F33&lt;0,'03_全链计算'!T78+1,0),IF('01_数值调参'!F34&lt;0,'03_全链计算'!U78+1,0),IF('01_数值调参'!F35&lt;0,'03_全链计算'!V78+1,0),IF('01_数值调参'!F36&lt;0,'03_全链计算'!W78+1,0),IF('01_数值调参'!F37&lt;0,'03_全链计算'!X78+1,0),IF('01_数值调参'!F38&lt;0,'03_全链计算'!Y78+1,0),IF('01_数值调参'!F39&lt;0,'03_全链计算'!Z78+1,0),IF('01_数值调参'!F40&lt;0,'03_全链计算'!AA78+1,0),IF('01_数值调参'!F41&lt;0,'03_全链计算'!AB78+1,0),IF('01_数值调参'!F42&lt;0,'03_全链计算'!AC78+1,0),IF('01_数值调参'!F43&lt;0,'03_全链计算'!AD78+1,0),IF('01_数值调参'!F44&lt;0,'03_全链计算'!AE78+1,0),IF('01_数值调参'!F45&lt;0,'03_全链计算'!AF78+1,0),IF('01_数值调参'!F46&lt;0,'03_全链计算'!AG78+1,0),IF('01_数值调参'!F47&lt;0,'03_全链计算'!AH78+1,0),IF('01_数值调参'!F48&lt;0,'03_全链计算'!AI78+1,0),IF('01_数值调参'!F49&lt;0,'03_全链计算'!AJ78+1,0),IF('01_数值调参'!F50&lt;0,'03_全链计算'!AK78+1,0),IF('01_数值调参'!F51&lt;0,'03_全链计算'!AL78+1,0),IF('01_数值调参'!F52&lt;0,'03_全链计算'!AM78+1,0))</x:f>
        <x:v>0</x:v>
      </x:c>
      <x:c r="G79" s="9" t="n">
        <x:f>MAX(IF('01_数值调参'!G18&lt;0,'03_全链计算'!E78+1,0),IF('01_数值调参'!G19&lt;0,'03_全链计算'!F78+1,0),IF('01_数值调参'!G20&lt;0,'03_全链计算'!G78+1,0),IF('01_数值调参'!G21&lt;0,'03_全链计算'!H78+1,0),IF('01_数值调参'!G22&lt;0,'03_全链计算'!I78+1,0),IF('01_数值调参'!G23&lt;0,'03_全链计算'!J78+1,0),IF('01_数值调参'!G24&lt;0,'03_全链计算'!K78+1,0),IF('01_数值调参'!G25&lt;0,'03_全链计算'!L78+1,0),IF('01_数值调参'!G26&lt;0,'03_全链计算'!M78+1,0),IF('01_数值调参'!G27&lt;0,'03_全链计算'!N78+1,0),IF('01_数值调参'!G28&lt;0,'03_全链计算'!O78+1,0),IF('01_数值调参'!G29&lt;0,'03_全链计算'!P78+1,0),IF('01_数值调参'!G30&lt;0,'03_全链计算'!Q78+1,0),IF('01_数值调参'!G31&lt;0,'03_全链计算'!R78+1,0),IF('01_数值调参'!G32&lt;0,'03_全链计算'!S78+1,0),IF('01_数值调参'!G33&lt;0,'03_全链计算'!T78+1,0),IF('01_数值调参'!G34&lt;0,'03_全链计算'!U78+1,0),IF('01_数值调参'!G35&lt;0,'03_全链计算'!V78+1,0),IF('01_数值调参'!G36&lt;0,'03_全链计算'!W78+1,0),IF('01_数值调参'!G37&lt;0,'03_全链计算'!X78+1,0),IF('01_数值调参'!G38&lt;0,'03_全链计算'!Y78+1,0),IF('01_数值调参'!G39&lt;0,'03_全链计算'!Z78+1,0),IF('01_数值调参'!G40&lt;0,'03_全链计算'!AA78+1,0),IF('01_数值调参'!G41&lt;0,'03_全链计算'!AB78+1,0),IF('01_数值调参'!G42&lt;0,'03_全链计算'!AC78+1,0),IF('01_数值调参'!G43&lt;0,'03_全链计算'!AD78+1,0),IF('01_数值调参'!G44&lt;0,'03_全链计算'!AE78+1,0),IF('01_数值调参'!G45&lt;0,'03_全链计算'!AF78+1,0),IF('01_数值调参'!G46&lt;0,'03_全链计算'!AG78+1,0),IF('01_数值调参'!G47&lt;0,'03_全链计算'!AH78+1,0),IF('01_数值调参'!G48&lt;0,'03_全链计算'!AI78+1,0),IF('01_数值调参'!G49&lt;0,'03_全链计算'!AJ78+1,0),IF('01_数值调参'!G50&lt;0,'03_全链计算'!AK78+1,0),IF('01_数值调参'!G51&lt;0,'03_全链计算'!AL78+1,0),IF('01_数值调参'!G52&lt;0,'03_全链计算'!AM78+1,0))</x:f>
        <x:v>0</x:v>
      </x:c>
      <x:c r="H79" s="9" t="n">
        <x:f>MAX(IF('01_数值调参'!H18&lt;0,'03_全链计算'!E78+1,0),IF('01_数值调参'!H19&lt;0,'03_全链计算'!F78+1,0),IF('01_数值调参'!H20&lt;0,'03_全链计算'!G78+1,0),IF('01_数值调参'!H21&lt;0,'03_全链计算'!H78+1,0),IF('01_数值调参'!H22&lt;0,'03_全链计算'!I78+1,0),IF('01_数值调参'!H23&lt;0,'03_全链计算'!J78+1,0),IF('01_数值调参'!H24&lt;0,'03_全链计算'!K78+1,0),IF('01_数值调参'!H25&lt;0,'03_全链计算'!L78+1,0),IF('01_数值调参'!H26&lt;0,'03_全链计算'!M78+1,0),IF('01_数值调参'!H27&lt;0,'03_全链计算'!N78+1,0),IF('01_数值调参'!H28&lt;0,'03_全链计算'!O78+1,0),IF('01_数值调参'!H29&lt;0,'03_全链计算'!P78+1,0),IF('01_数值调参'!H30&lt;0,'03_全链计算'!Q78+1,0),IF('01_数值调参'!H31&lt;0,'03_全链计算'!R78+1,0),IF('01_数值调参'!H32&lt;0,'03_全链计算'!S78+1,0),IF('01_数值调参'!H33&lt;0,'03_全链计算'!T78+1,0),IF('01_数值调参'!H34&lt;0,'03_全链计算'!U78+1,0),IF('01_数值调参'!H35&lt;0,'03_全链计算'!V78+1,0),IF('01_数值调参'!H36&lt;0,'03_全链计算'!W78+1,0),IF('01_数值调参'!H37&lt;0,'03_全链计算'!X78+1,0),IF('01_数值调参'!H38&lt;0,'03_全链计算'!Y78+1,0),IF('01_数值调参'!H39&lt;0,'03_全链计算'!Z78+1,0),IF('01_数值调参'!H40&lt;0,'03_全链计算'!AA78+1,0),IF('01_数值调参'!H41&lt;0,'03_全链计算'!AB78+1,0),IF('01_数值调参'!H42&lt;0,'03_全链计算'!AC78+1,0),IF('01_数值调参'!H43&lt;0,'03_全链计算'!AD78+1,0),IF('01_数值调参'!H44&lt;0,'03_全链计算'!AE78+1,0),IF('01_数值调参'!H45&lt;0,'03_全链计算'!AF78+1,0),IF('01_数值调参'!H46&lt;0,'03_全链计算'!AG78+1,0),IF('01_数值调参'!H47&lt;0,'03_全链计算'!AH78+1,0),IF('01_数值调参'!H48&lt;0,'03_全链计算'!AI78+1,0),IF('01_数值调参'!H49&lt;0,'03_全链计算'!AJ78+1,0),IF('01_数值调参'!H50&lt;0,'03_全链计算'!AK78+1,0),IF('01_数值调参'!H51&lt;0,'03_全链计算'!AL78+1,0),IF('01_数值调参'!H52&lt;0,'03_全链计算'!AM78+1,0))</x:f>
        <x:v>0</x:v>
      </x:c>
      <x:c r="I79" s="9" t="n">
        <x:f>MAX(IF('01_数值调参'!I18&lt;0,'03_全链计算'!E78+1,0),IF('01_数值调参'!I19&lt;0,'03_全链计算'!F78+1,0),IF('01_数值调参'!I20&lt;0,'03_全链计算'!G78+1,0),IF('01_数值调参'!I21&lt;0,'03_全链计算'!H78+1,0),IF('01_数值调参'!I22&lt;0,'03_全链计算'!I78+1,0),IF('01_数值调参'!I23&lt;0,'03_全链计算'!J78+1,0),IF('01_数值调参'!I24&lt;0,'03_全链计算'!K78+1,0),IF('01_数值调参'!I25&lt;0,'03_全链计算'!L78+1,0),IF('01_数值调参'!I26&lt;0,'03_全链计算'!M78+1,0),IF('01_数值调参'!I27&lt;0,'03_全链计算'!N78+1,0),IF('01_数值调参'!I28&lt;0,'03_全链计算'!O78+1,0),IF('01_数值调参'!I29&lt;0,'03_全链计算'!P78+1,0),IF('01_数值调参'!I30&lt;0,'03_全链计算'!Q78+1,0),IF('01_数值调参'!I31&lt;0,'03_全链计算'!R78+1,0),IF('01_数值调参'!I32&lt;0,'03_全链计算'!S78+1,0),IF('01_数值调参'!I33&lt;0,'03_全链计算'!T78+1,0),IF('01_数值调参'!I34&lt;0,'03_全链计算'!U78+1,0),IF('01_数值调参'!I35&lt;0,'03_全链计算'!V78+1,0),IF('01_数值调参'!I36&lt;0,'03_全链计算'!W78+1,0),IF('01_数值调参'!I37&lt;0,'03_全链计算'!X78+1,0),IF('01_数值调参'!I38&lt;0,'03_全链计算'!Y78+1,0),IF('01_数值调参'!I39&lt;0,'03_全链计算'!Z78+1,0),IF('01_数值调参'!I40&lt;0,'03_全链计算'!AA78+1,0),IF('01_数值调参'!I41&lt;0,'03_全链计算'!AB78+1,0),IF('01_数值调参'!I42&lt;0,'03_全链计算'!AC78+1,0),IF('01_数值调参'!I43&lt;0,'03_全链计算'!AD78+1,0),IF('01_数值调参'!I44&lt;0,'03_全链计算'!AE78+1,0),IF('01_数值调参'!I45&lt;0,'03_全链计算'!AF78+1,0),IF('01_数值调参'!I46&lt;0,'03_全链计算'!AG78+1,0),IF('01_数值调参'!I47&lt;0,'03_全链计算'!AH78+1,0),IF('01_数值调参'!I48&lt;0,'03_全链计算'!AI78+1,0),IF('01_数值调参'!I49&lt;0,'03_全链计算'!AJ78+1,0),IF('01_数值调参'!I50&lt;0,'03_全链计算'!AK78+1,0),IF('01_数值调参'!I51&lt;0,'03_全链计算'!AL78+1,0),IF('01_数值调参'!I52&lt;0,'03_全链计算'!AM78+1,0))</x:f>
        <x:v>0</x:v>
      </x:c>
      <x:c r="J79" s="9" t="n">
        <x:f>MAX(IF('01_数值调参'!J18&lt;0,'03_全链计算'!E78+1,0),IF('01_数值调参'!J19&lt;0,'03_全链计算'!F78+1,0),IF('01_数值调参'!J20&lt;0,'03_全链计算'!G78+1,0),IF('01_数值调参'!J21&lt;0,'03_全链计算'!H78+1,0),IF('01_数值调参'!J22&lt;0,'03_全链计算'!I78+1,0),IF('01_数值调参'!J23&lt;0,'03_全链计算'!J78+1,0),IF('01_数值调参'!J24&lt;0,'03_全链计算'!K78+1,0),IF('01_数值调参'!J25&lt;0,'03_全链计算'!L78+1,0),IF('01_数值调参'!J26&lt;0,'03_全链计算'!M78+1,0),IF('01_数值调参'!J27&lt;0,'03_全链计算'!N78+1,0),IF('01_数值调参'!J28&lt;0,'03_全链计算'!O78+1,0),IF('01_数值调参'!J29&lt;0,'03_全链计算'!P78+1,0),IF('01_数值调参'!J30&lt;0,'03_全链计算'!Q78+1,0),IF('01_数值调参'!J31&lt;0,'03_全链计算'!R78+1,0),IF('01_数值调参'!J32&lt;0,'03_全链计算'!S78+1,0),IF('01_数值调参'!J33&lt;0,'03_全链计算'!T78+1,0),IF('01_数值调参'!J34&lt;0,'03_全链计算'!U78+1,0),IF('01_数值调参'!J35&lt;0,'03_全链计算'!V78+1,0),IF('01_数值调参'!J36&lt;0,'03_全链计算'!W78+1,0),IF('01_数值调参'!J37&lt;0,'03_全链计算'!X78+1,0),IF('01_数值调参'!J38&lt;0,'03_全链计算'!Y78+1,0),IF('01_数值调参'!J39&lt;0,'03_全链计算'!Z78+1,0),IF('01_数值调参'!J40&lt;0,'03_全链计算'!AA78+1,0),IF('01_数值调参'!J41&lt;0,'03_全链计算'!AB78+1,0),IF('01_数值调参'!J42&lt;0,'03_全链计算'!AC78+1,0),IF('01_数值调参'!J43&lt;0,'03_全链计算'!AD78+1,0),IF('01_数值调参'!J44&lt;0,'03_全链计算'!AE78+1,0),IF('01_数值调参'!J45&lt;0,'03_全链计算'!AF78+1,0),IF('01_数值调参'!J46&lt;0,'03_全链计算'!AG78+1,0),IF('01_数值调参'!J47&lt;0,'03_全链计算'!AH78+1,0),IF('01_数值调参'!J48&lt;0,'03_全链计算'!AI78+1,0),IF('01_数值调参'!J49&lt;0,'03_全链计算'!AJ78+1,0),IF('01_数值调参'!J50&lt;0,'03_全链计算'!AK78+1,0),IF('01_数值调参'!J51&lt;0,'03_全链计算'!AL78+1,0),IF('01_数值调参'!J52&lt;0,'03_全链计算'!AM78+1,0))</x:f>
        <x:v>0</x:v>
      </x:c>
      <x:c r="K79" s="9" t="n">
        <x:f>MAX(IF('01_数值调参'!K18&lt;0,'03_全链计算'!E78+1,0),IF('01_数值调参'!K19&lt;0,'03_全链计算'!F78+1,0),IF('01_数值调参'!K20&lt;0,'03_全链计算'!G78+1,0),IF('01_数值调参'!K21&lt;0,'03_全链计算'!H78+1,0),IF('01_数值调参'!K22&lt;0,'03_全链计算'!I78+1,0),IF('01_数值调参'!K23&lt;0,'03_全链计算'!J78+1,0),IF('01_数值调参'!K24&lt;0,'03_全链计算'!K78+1,0),IF('01_数值调参'!K25&lt;0,'03_全链计算'!L78+1,0),IF('01_数值调参'!K26&lt;0,'03_全链计算'!M78+1,0),IF('01_数值调参'!K27&lt;0,'03_全链计算'!N78+1,0),IF('01_数值调参'!K28&lt;0,'03_全链计算'!O78+1,0),IF('01_数值调参'!K29&lt;0,'03_全链计算'!P78+1,0),IF('01_数值调参'!K30&lt;0,'03_全链计算'!Q78+1,0),IF('01_数值调参'!K31&lt;0,'03_全链计算'!R78+1,0),IF('01_数值调参'!K32&lt;0,'03_全链计算'!S78+1,0),IF('01_数值调参'!K33&lt;0,'03_全链计算'!T78+1,0),IF('01_数值调参'!K34&lt;0,'03_全链计算'!U78+1,0),IF('01_数值调参'!K35&lt;0,'03_全链计算'!V78+1,0),IF('01_数值调参'!K36&lt;0,'03_全链计算'!W78+1,0),IF('01_数值调参'!K37&lt;0,'03_全链计算'!X78+1,0),IF('01_数值调参'!K38&lt;0,'03_全链计算'!Y78+1,0),IF('01_数值调参'!K39&lt;0,'03_全链计算'!Z78+1,0),IF('01_数值调参'!K40&lt;0,'03_全链计算'!AA78+1,0),IF('01_数值调参'!K41&lt;0,'03_全链计算'!AB78+1,0),IF('01_数值调参'!K42&lt;0,'03_全链计算'!AC78+1,0),IF('01_数值调参'!K43&lt;0,'03_全链计算'!AD78+1,0),IF('01_数值调参'!K44&lt;0,'03_全链计算'!AE78+1,0),IF('01_数值调参'!K45&lt;0,'03_全链计算'!AF78+1,0),IF('01_数值调参'!K46&lt;0,'03_全链计算'!AG78+1,0),IF('01_数值调参'!K47&lt;0,'03_全链计算'!AH78+1,0),IF('01_数值调参'!K48&lt;0,'03_全链计算'!AI78+1,0),IF('01_数值调参'!K49&lt;0,'03_全链计算'!AJ78+1,0),IF('01_数值调参'!K50&lt;0,'03_全链计算'!AK78+1,0),IF('01_数值调参'!K51&lt;0,'03_全链计算'!AL78+1,0),IF('01_数值调参'!K52&lt;0,'03_全链计算'!AM78+1,0))</x:f>
        <x:v>0</x:v>
      </x:c>
      <x:c r="L79" s="9" t="n">
        <x:f>MAX(IF('01_数值调参'!L18&lt;0,'03_全链计算'!E78+1,0),IF('01_数值调参'!L19&lt;0,'03_全链计算'!F78+1,0),IF('01_数值调参'!L20&lt;0,'03_全链计算'!G78+1,0),IF('01_数值调参'!L21&lt;0,'03_全链计算'!H78+1,0),IF('01_数值调参'!L22&lt;0,'03_全链计算'!I78+1,0),IF('01_数值调参'!L23&lt;0,'03_全链计算'!J78+1,0),IF('01_数值调参'!L24&lt;0,'03_全链计算'!K78+1,0),IF('01_数值调参'!L25&lt;0,'03_全链计算'!L78+1,0),IF('01_数值调参'!L26&lt;0,'03_全链计算'!M78+1,0),IF('01_数值调参'!L27&lt;0,'03_全链计算'!N78+1,0),IF('01_数值调参'!L28&lt;0,'03_全链计算'!O78+1,0),IF('01_数值调参'!L29&lt;0,'03_全链计算'!P78+1,0),IF('01_数值调参'!L30&lt;0,'03_全链计算'!Q78+1,0),IF('01_数值调参'!L31&lt;0,'03_全链计算'!R78+1,0),IF('01_数值调参'!L32&lt;0,'03_全链计算'!S78+1,0),IF('01_数值调参'!L33&lt;0,'03_全链计算'!T78+1,0),IF('01_数值调参'!L34&lt;0,'03_全链计算'!U78+1,0),IF('01_数值调参'!L35&lt;0,'03_全链计算'!V78+1,0),IF('01_数值调参'!L36&lt;0,'03_全链计算'!W78+1,0),IF('01_数值调参'!L37&lt;0,'03_全链计算'!X78+1,0),IF('01_数值调参'!L38&lt;0,'03_全链计算'!Y78+1,0),IF('01_数值调参'!L39&lt;0,'03_全链计算'!Z78+1,0),IF('01_数值调参'!L40&lt;0,'03_全链计算'!AA78+1,0),IF('01_数值调参'!L41&lt;0,'03_全链计算'!AB78+1,0),IF('01_数值调参'!L42&lt;0,'03_全链计算'!AC78+1,0),IF('01_数值调参'!L43&lt;0,'03_全链计算'!AD78+1,0),IF('01_数值调参'!L44&lt;0,'03_全链计算'!AE78+1,0),IF('01_数值调参'!L45&lt;0,'03_全链计算'!AF78+1,0),IF('01_数值调参'!L46&lt;0,'03_全链计算'!AG78+1,0),IF('01_数值调参'!L47&lt;0,'03_全链计算'!AH78+1,0),IF('01_数值调参'!L48&lt;0,'03_全链计算'!AI78+1,0),IF('01_数值调参'!L49&lt;0,'03_全链计算'!AJ78+1,0),IF('01_数值调参'!L50&lt;0,'03_全链计算'!AK78+1,0),IF('01_数值调参'!L51&lt;0,'03_全链计算'!AL78+1,0),IF('01_数值调参'!L52&lt;0,'03_全链计算'!AM78+1,0))</x:f>
        <x:v>0</x:v>
      </x:c>
      <x:c r="M79" s="9" t="n">
        <x:f>MAX(IF('01_数值调参'!M18&lt;0,'03_全链计算'!E78+1,0),IF('01_数值调参'!M19&lt;0,'03_全链计算'!F78+1,0),IF('01_数值调参'!M20&lt;0,'03_全链计算'!G78+1,0),IF('01_数值调参'!M21&lt;0,'03_全链计算'!H78+1,0),IF('01_数值调参'!M22&lt;0,'03_全链计算'!I78+1,0),IF('01_数值调参'!M23&lt;0,'03_全链计算'!J78+1,0),IF('01_数值调参'!M24&lt;0,'03_全链计算'!K78+1,0),IF('01_数值调参'!M25&lt;0,'03_全链计算'!L78+1,0),IF('01_数值调参'!M26&lt;0,'03_全链计算'!M78+1,0),IF('01_数值调参'!M27&lt;0,'03_全链计算'!N78+1,0),IF('01_数值调参'!M28&lt;0,'03_全链计算'!O78+1,0),IF('01_数值调参'!M29&lt;0,'03_全链计算'!P78+1,0),IF('01_数值调参'!M30&lt;0,'03_全链计算'!Q78+1,0),IF('01_数值调参'!M31&lt;0,'03_全链计算'!R78+1,0),IF('01_数值调参'!M32&lt;0,'03_全链计算'!S78+1,0),IF('01_数值调参'!M33&lt;0,'03_全链计算'!T78+1,0),IF('01_数值调参'!M34&lt;0,'03_全链计算'!U78+1,0),IF('01_数值调参'!M35&lt;0,'03_全链计算'!V78+1,0),IF('01_数值调参'!M36&lt;0,'03_全链计算'!W78+1,0),IF('01_数值调参'!M37&lt;0,'03_全链计算'!X78+1,0),IF('01_数值调参'!M38&lt;0,'03_全链计算'!Y78+1,0),IF('01_数值调参'!M39&lt;0,'03_全链计算'!Z78+1,0),IF('01_数值调参'!M40&lt;0,'03_全链计算'!AA78+1,0),IF('01_数值调参'!M41&lt;0,'03_全链计算'!AB78+1,0),IF('01_数值调参'!M42&lt;0,'03_全链计算'!AC78+1,0),IF('01_数值调参'!M43&lt;0,'03_全链计算'!AD78+1,0),IF('01_数值调参'!M44&lt;0,'03_全链计算'!AE78+1,0),IF('01_数值调参'!M45&lt;0,'03_全链计算'!AF78+1,0),IF('01_数值调参'!M46&lt;0,'03_全链计算'!AG78+1,0),IF('01_数值调参'!M47&lt;0,'03_全链计算'!AH78+1,0),IF('01_数值调参'!M48&lt;0,'03_全链计算'!AI78+1,0),IF('01_数值调参'!M49&lt;0,'03_全链计算'!AJ78+1,0),IF('01_数值调参'!M50&lt;0,'03_全链计算'!AK78+1,0),IF('01_数值调参'!M51&lt;0,'03_全链计算'!AL78+1,0),IF('01_数值调参'!M52&lt;0,'03_全链计算'!AM78+1,0))</x:f>
        <x:v>0</x:v>
      </x:c>
      <x:c r="N79" s="9" t="n">
        <x:f>MAX(IF('01_数值调参'!N18&lt;0,'03_全链计算'!E78+1,0),IF('01_数值调参'!N19&lt;0,'03_全链计算'!F78+1,0),IF('01_数值调参'!N20&lt;0,'03_全链计算'!G78+1,0),IF('01_数值调参'!N21&lt;0,'03_全链计算'!H78+1,0),IF('01_数值调参'!N22&lt;0,'03_全链计算'!I78+1,0),IF('01_数值调参'!N23&lt;0,'03_全链计算'!J78+1,0),IF('01_数值调参'!N24&lt;0,'03_全链计算'!K78+1,0),IF('01_数值调参'!N25&lt;0,'03_全链计算'!L78+1,0),IF('01_数值调参'!N26&lt;0,'03_全链计算'!M78+1,0),IF('01_数值调参'!N27&lt;0,'03_全链计算'!N78+1,0),IF('01_数值调参'!N28&lt;0,'03_全链计算'!O78+1,0),IF('01_数值调参'!N29&lt;0,'03_全链计算'!P78+1,0),IF('01_数值调参'!N30&lt;0,'03_全链计算'!Q78+1,0),IF('01_数值调参'!N31&lt;0,'03_全链计算'!R78+1,0),IF('01_数值调参'!N32&lt;0,'03_全链计算'!S78+1,0),IF('01_数值调参'!N33&lt;0,'03_全链计算'!T78+1,0),IF('01_数值调参'!N34&lt;0,'03_全链计算'!U78+1,0),IF('01_数值调参'!N35&lt;0,'03_全链计算'!V78+1,0),IF('01_数值调参'!N36&lt;0,'03_全链计算'!W78+1,0),IF('01_数值调参'!N37&lt;0,'03_全链计算'!X78+1,0),IF('01_数值调参'!N38&lt;0,'03_全链计算'!Y78+1,0),IF('01_数值调参'!N39&lt;0,'03_全链计算'!Z78+1,0),IF('01_数值调参'!N40&lt;0,'03_全链计算'!AA78+1,0),IF('01_数值调参'!N41&lt;0,'03_全链计算'!AB78+1,0),IF('01_数值调参'!N42&lt;0,'03_全链计算'!AC78+1,0),IF('01_数值调参'!N43&lt;0,'03_全链计算'!AD78+1,0),IF('01_数值调参'!N44&lt;0,'03_全链计算'!AE78+1,0),IF('01_数值调参'!N45&lt;0,'03_全链计算'!AF78+1,0),IF('01_数值调参'!N46&lt;0,'03_全链计算'!AG78+1,0),IF('01_数值调参'!N47&lt;0,'03_全链计算'!AH78+1,0),IF('01_数值调参'!N48&lt;0,'03_全链计算'!AI78+1,0),IF('01_数值调参'!N49&lt;0,'03_全链计算'!AJ78+1,0),IF('01_数值调参'!N50&lt;0,'03_全链计算'!AK78+1,0),IF('01_数值调参'!N51&lt;0,'03_全链计算'!AL78+1,0),IF('01_数值调参'!N52&lt;0,'03_全链计算'!AM78+1,0))</x:f>
        <x:v>1</x:v>
      </x:c>
      <x:c r="O79" s="9" t="n">
        <x:f>MAX(IF('01_数值调参'!O18&lt;0,'03_全链计算'!E78+1,0),IF('01_数值调参'!O19&lt;0,'03_全链计算'!F78+1,0),IF('01_数值调参'!O20&lt;0,'03_全链计算'!G78+1,0),IF('01_数值调参'!O21&lt;0,'03_全链计算'!H78+1,0),IF('01_数值调参'!O22&lt;0,'03_全链计算'!I78+1,0),IF('01_数值调参'!O23&lt;0,'03_全链计算'!J78+1,0),IF('01_数值调参'!O24&lt;0,'03_全链计算'!K78+1,0),IF('01_数值调参'!O25&lt;0,'03_全链计算'!L78+1,0),IF('01_数值调参'!O26&lt;0,'03_全链计算'!M78+1,0),IF('01_数值调参'!O27&lt;0,'03_全链计算'!N78+1,0),IF('01_数值调参'!O28&lt;0,'03_全链计算'!O78+1,0),IF('01_数值调参'!O29&lt;0,'03_全链计算'!P78+1,0),IF('01_数值调参'!O30&lt;0,'03_全链计算'!Q78+1,0),IF('01_数值调参'!O31&lt;0,'03_全链计算'!R78+1,0),IF('01_数值调参'!O32&lt;0,'03_全链计算'!S78+1,0),IF('01_数值调参'!O33&lt;0,'03_全链计算'!T78+1,0),IF('01_数值调参'!O34&lt;0,'03_全链计算'!U78+1,0),IF('01_数值调参'!O35&lt;0,'03_全链计算'!V78+1,0),IF('01_数值调参'!O36&lt;0,'03_全链计算'!W78+1,0),IF('01_数值调参'!O37&lt;0,'03_全链计算'!X78+1,0),IF('01_数值调参'!O38&lt;0,'03_全链计算'!Y78+1,0),IF('01_数值调参'!O39&lt;0,'03_全链计算'!Z78+1,0),IF('01_数值调参'!O40&lt;0,'03_全链计算'!AA78+1,0),IF('01_数值调参'!O41&lt;0,'03_全链计算'!AB78+1,0),IF('01_数值调参'!O42&lt;0,'03_全链计算'!AC78+1,0),IF('01_数值调参'!O43&lt;0,'03_全链计算'!AD78+1,0),IF('01_数值调参'!O44&lt;0,'03_全链计算'!AE78+1,0),IF('01_数值调参'!O45&lt;0,'03_全链计算'!AF78+1,0),IF('01_数值调参'!O46&lt;0,'03_全链计算'!AG78+1,0),IF('01_数值调参'!O47&lt;0,'03_全链计算'!AH78+1,0),IF('01_数值调参'!O48&lt;0,'03_全链计算'!AI78+1,0),IF('01_数值调参'!O49&lt;0,'03_全链计算'!AJ78+1,0),IF('01_数值调参'!O50&lt;0,'03_全链计算'!AK78+1,0),IF('01_数值调参'!O51&lt;0,'03_全链计算'!AL78+1,0),IF('01_数值调参'!O52&lt;0,'03_全链计算'!AM78+1,0))</x:f>
        <x:v>1</x:v>
      </x:c>
      <x:c r="P79" s="9" t="n">
        <x:f>MAX(IF('01_数值调参'!P18&lt;0,'03_全链计算'!E78+1,0),IF('01_数值调参'!P19&lt;0,'03_全链计算'!F78+1,0),IF('01_数值调参'!P20&lt;0,'03_全链计算'!G78+1,0),IF('01_数值调参'!P21&lt;0,'03_全链计算'!H78+1,0),IF('01_数值调参'!P22&lt;0,'03_全链计算'!I78+1,0),IF('01_数值调参'!P23&lt;0,'03_全链计算'!J78+1,0),IF('01_数值调参'!P24&lt;0,'03_全链计算'!K78+1,0),IF('01_数值调参'!P25&lt;0,'03_全链计算'!L78+1,0),IF('01_数值调参'!P26&lt;0,'03_全链计算'!M78+1,0),IF('01_数值调参'!P27&lt;0,'03_全链计算'!N78+1,0),IF('01_数值调参'!P28&lt;0,'03_全链计算'!O78+1,0),IF('01_数值调参'!P29&lt;0,'03_全链计算'!P78+1,0),IF('01_数值调参'!P30&lt;0,'03_全链计算'!Q78+1,0),IF('01_数值调参'!P31&lt;0,'03_全链计算'!R78+1,0),IF('01_数值调参'!P32&lt;0,'03_全链计算'!S78+1,0),IF('01_数值调参'!P33&lt;0,'03_全链计算'!T78+1,0),IF('01_数值调参'!P34&lt;0,'03_全链计算'!U78+1,0),IF('01_数值调参'!P35&lt;0,'03_全链计算'!V78+1,0),IF('01_数值调参'!P36&lt;0,'03_全链计算'!W78+1,0),IF('01_数值调参'!P37&lt;0,'03_全链计算'!X78+1,0),IF('01_数值调参'!P38&lt;0,'03_全链计算'!Y78+1,0),IF('01_数值调参'!P39&lt;0,'03_全链计算'!Z78+1,0),IF('01_数值调参'!P40&lt;0,'03_全链计算'!AA78+1,0),IF('01_数值调参'!P41&lt;0,'03_全链计算'!AB78+1,0),IF('01_数值调参'!P42&lt;0,'03_全链计算'!AC78+1,0),IF('01_数值调参'!P43&lt;0,'03_全链计算'!AD78+1,0),IF('01_数值调参'!P44&lt;0,'03_全链计算'!AE78+1,0),IF('01_数值调参'!P45&lt;0,'03_全链计算'!AF78+1,0),IF('01_数值调参'!P46&lt;0,'03_全链计算'!AG78+1,0),IF('01_数值调参'!P47&lt;0,'03_全链计算'!AH78+1,0),IF('01_数值调参'!P48&lt;0,'03_全链计算'!AI78+1,0),IF('01_数值调参'!P49&lt;0,'03_全链计算'!AJ78+1,0),IF('01_数值调参'!P50&lt;0,'03_全链计算'!AK78+1,0),IF('01_数值调参'!P51&lt;0,'03_全链计算'!AL78+1,0),IF('01_数值调参'!P52&lt;0,'03_全链计算'!AM78+1,0))</x:f>
        <x:v>1</x:v>
      </x:c>
      <x:c r="Q79" s="9" t="n">
        <x:f>MAX(IF('01_数值调参'!Q18&lt;0,'03_全链计算'!E78+1,0),IF('01_数值调参'!Q19&lt;0,'03_全链计算'!F78+1,0),IF('01_数值调参'!Q20&lt;0,'03_全链计算'!G78+1,0),IF('01_数值调参'!Q21&lt;0,'03_全链计算'!H78+1,0),IF('01_数值调参'!Q22&lt;0,'03_全链计算'!I78+1,0),IF('01_数值调参'!Q23&lt;0,'03_全链计算'!J78+1,0),IF('01_数值调参'!Q24&lt;0,'03_全链计算'!K78+1,0),IF('01_数值调参'!Q25&lt;0,'03_全链计算'!L78+1,0),IF('01_数值调参'!Q26&lt;0,'03_全链计算'!M78+1,0),IF('01_数值调参'!Q27&lt;0,'03_全链计算'!N78+1,0),IF('01_数值调参'!Q28&lt;0,'03_全链计算'!O78+1,0),IF('01_数值调参'!Q29&lt;0,'03_全链计算'!P78+1,0),IF('01_数值调参'!Q30&lt;0,'03_全链计算'!Q78+1,0),IF('01_数值调参'!Q31&lt;0,'03_全链计算'!R78+1,0),IF('01_数值调参'!Q32&lt;0,'03_全链计算'!S78+1,0),IF('01_数值调参'!Q33&lt;0,'03_全链计算'!T78+1,0),IF('01_数值调参'!Q34&lt;0,'03_全链计算'!U78+1,0),IF('01_数值调参'!Q35&lt;0,'03_全链计算'!V78+1,0),IF('01_数值调参'!Q36&lt;0,'03_全链计算'!W78+1,0),IF('01_数值调参'!Q37&lt;0,'03_全链计算'!X78+1,0),IF('01_数值调参'!Q38&lt;0,'03_全链计算'!Y78+1,0),IF('01_数值调参'!Q39&lt;0,'03_全链计算'!Z78+1,0),IF('01_数值调参'!Q40&lt;0,'03_全链计算'!AA78+1,0),IF('01_数值调参'!Q41&lt;0,'03_全链计算'!AB78+1,0),IF('01_数值调参'!Q42&lt;0,'03_全链计算'!AC78+1,0),IF('01_数值调参'!Q43&lt;0,'03_全链计算'!AD78+1,0),IF('01_数值调参'!Q44&lt;0,'03_全链计算'!AE78+1,0),IF('01_数值调参'!Q45&lt;0,'03_全链计算'!AF78+1,0),IF('01_数值调参'!Q46&lt;0,'03_全链计算'!AG78+1,0),IF('01_数值调参'!Q47&lt;0,'03_全链计算'!AH78+1,0),IF('01_数值调参'!Q48&lt;0,'03_全链计算'!AI78+1,0),IF('01_数值调参'!Q49&lt;0,'03_全链计算'!AJ78+1,0),IF('01_数值调参'!Q50&lt;0,'03_全链计算'!AK78+1,0),IF('01_数值调参'!Q51&lt;0,'03_全链计算'!AL78+1,0),IF('01_数值调参'!Q52&lt;0,'03_全链计算'!AM78+1,0))</x:f>
        <x:v>1</x:v>
      </x:c>
      <x:c r="R79" s="9" t="n">
        <x:f>MAX(IF('01_数值调参'!R18&lt;0,'03_全链计算'!E78+1,0),IF('01_数值调参'!R19&lt;0,'03_全链计算'!F78+1,0),IF('01_数值调参'!R20&lt;0,'03_全链计算'!G78+1,0),IF('01_数值调参'!R21&lt;0,'03_全链计算'!H78+1,0),IF('01_数值调参'!R22&lt;0,'03_全链计算'!I78+1,0),IF('01_数值调参'!R23&lt;0,'03_全链计算'!J78+1,0),IF('01_数值调参'!R24&lt;0,'03_全链计算'!K78+1,0),IF('01_数值调参'!R25&lt;0,'03_全链计算'!L78+1,0),IF('01_数值调参'!R26&lt;0,'03_全链计算'!M78+1,0),IF('01_数值调参'!R27&lt;0,'03_全链计算'!N78+1,0),IF('01_数值调参'!R28&lt;0,'03_全链计算'!O78+1,0),IF('01_数值调参'!R29&lt;0,'03_全链计算'!P78+1,0),IF('01_数值调参'!R30&lt;0,'03_全链计算'!Q78+1,0),IF('01_数值调参'!R31&lt;0,'03_全链计算'!R78+1,0),IF('01_数值调参'!R32&lt;0,'03_全链计算'!S78+1,0),IF('01_数值调参'!R33&lt;0,'03_全链计算'!T78+1,0),IF('01_数值调参'!R34&lt;0,'03_全链计算'!U78+1,0),IF('01_数值调参'!R35&lt;0,'03_全链计算'!V78+1,0),IF('01_数值调参'!R36&lt;0,'03_全链计算'!W78+1,0),IF('01_数值调参'!R37&lt;0,'03_全链计算'!X78+1,0),IF('01_数值调参'!R38&lt;0,'03_全链计算'!Y78+1,0),IF('01_数值调参'!R39&lt;0,'03_全链计算'!Z78+1,0),IF('01_数值调参'!R40&lt;0,'03_全链计算'!AA78+1,0),IF('01_数值调参'!R41&lt;0,'03_全链计算'!AB78+1,0),IF('01_数值调参'!R42&lt;0,'03_全链计算'!AC78+1,0),IF('01_数值调参'!R43&lt;0,'03_全链计算'!AD78+1,0),IF('01_数值调参'!R44&lt;0,'03_全链计算'!AE78+1,0),IF('01_数值调参'!R45&lt;0,'03_全链计算'!AF78+1,0),IF('01_数值调参'!R46&lt;0,'03_全链计算'!AG78+1,0),IF('01_数值调参'!R47&lt;0,'03_全链计算'!AH78+1,0),IF('01_数值调参'!R48&lt;0,'03_全链计算'!AI78+1,0),IF('01_数值调参'!R49&lt;0,'03_全链计算'!AJ78+1,0),IF('01_数值调参'!R50&lt;0,'03_全链计算'!AK78+1,0),IF('01_数值调参'!R51&lt;0,'03_全链计算'!AL78+1,0),IF('01_数值调参'!R52&lt;0,'03_全链计算'!AM78+1,0))</x:f>
        <x:v>1</x:v>
      </x:c>
      <x:c r="S79" s="9" t="n">
        <x:f>MAX(IF('01_数值调参'!S18&lt;0,'03_全链计算'!E78+1,0),IF('01_数值调参'!S19&lt;0,'03_全链计算'!F78+1,0),IF('01_数值调参'!S20&lt;0,'03_全链计算'!G78+1,0),IF('01_数值调参'!S21&lt;0,'03_全链计算'!H78+1,0),IF('01_数值调参'!S22&lt;0,'03_全链计算'!I78+1,0),IF('01_数值调参'!S23&lt;0,'03_全链计算'!J78+1,0),IF('01_数值调参'!S24&lt;0,'03_全链计算'!K78+1,0),IF('01_数值调参'!S25&lt;0,'03_全链计算'!L78+1,0),IF('01_数值调参'!S26&lt;0,'03_全链计算'!M78+1,0),IF('01_数值调参'!S27&lt;0,'03_全链计算'!N78+1,0),IF('01_数值调参'!S28&lt;0,'03_全链计算'!O78+1,0),IF('01_数值调参'!S29&lt;0,'03_全链计算'!P78+1,0),IF('01_数值调参'!S30&lt;0,'03_全链计算'!Q78+1,0),IF('01_数值调参'!S31&lt;0,'03_全链计算'!R78+1,0),IF('01_数值调参'!S32&lt;0,'03_全链计算'!S78+1,0),IF('01_数值调参'!S33&lt;0,'03_全链计算'!T78+1,0),IF('01_数值调参'!S34&lt;0,'03_全链计算'!U78+1,0),IF('01_数值调参'!S35&lt;0,'03_全链计算'!V78+1,0),IF('01_数值调参'!S36&lt;0,'03_全链计算'!W78+1,0),IF('01_数值调参'!S37&lt;0,'03_全链计算'!X78+1,0),IF('01_数值调参'!S38&lt;0,'03_全链计算'!Y78+1,0),IF('01_数值调参'!S39&lt;0,'03_全链计算'!Z78+1,0),IF('01_数值调参'!S40&lt;0,'03_全链计算'!AA78+1,0),IF('01_数值调参'!S41&lt;0,'03_全链计算'!AB78+1,0),IF('01_数值调参'!S42&lt;0,'03_全链计算'!AC78+1,0),IF('01_数值调参'!S43&lt;0,'03_全链计算'!AD78+1,0),IF('01_数值调参'!S44&lt;0,'03_全链计算'!AE78+1,0),IF('01_数值调参'!S45&lt;0,'03_全链计算'!AF78+1,0),IF('01_数值调参'!S46&lt;0,'03_全链计算'!AG78+1,0),IF('01_数值调参'!S47&lt;0,'03_全链计算'!AH78+1,0),IF('01_数值调参'!S48&lt;0,'03_全链计算'!AI78+1,0),IF('01_数值调参'!S49&lt;0,'03_全链计算'!AJ78+1,0),IF('01_数值调参'!S50&lt;0,'03_全链计算'!AK78+1,0),IF('01_数值调参'!S51&lt;0,'03_全链计算'!AL78+1,0),IF('01_数值调参'!S52&lt;0,'03_全链计算'!AM78+1,0))</x:f>
        <x:v>1</x:v>
      </x:c>
      <x:c r="T79" s="9" t="n">
        <x:f>MAX(IF('01_数值调参'!T18&lt;0,'03_全链计算'!E78+1,0),IF('01_数值调参'!T19&lt;0,'03_全链计算'!F78+1,0),IF('01_数值调参'!T20&lt;0,'03_全链计算'!G78+1,0),IF('01_数值调参'!T21&lt;0,'03_全链计算'!H78+1,0),IF('01_数值调参'!T22&lt;0,'03_全链计算'!I78+1,0),IF('01_数值调参'!T23&lt;0,'03_全链计算'!J78+1,0),IF('01_数值调参'!T24&lt;0,'03_全链计算'!K78+1,0),IF('01_数值调参'!T25&lt;0,'03_全链计算'!L78+1,0),IF('01_数值调参'!T26&lt;0,'03_全链计算'!M78+1,0),IF('01_数值调参'!T27&lt;0,'03_全链计算'!N78+1,0),IF('01_数值调参'!T28&lt;0,'03_全链计算'!O78+1,0),IF('01_数值调参'!T29&lt;0,'03_全链计算'!P78+1,0),IF('01_数值调参'!T30&lt;0,'03_全链计算'!Q78+1,0),IF('01_数值调参'!T31&lt;0,'03_全链计算'!R78+1,0),IF('01_数值调参'!T32&lt;0,'03_全链计算'!S78+1,0),IF('01_数值调参'!T33&lt;0,'03_全链计算'!T78+1,0),IF('01_数值调参'!T34&lt;0,'03_全链计算'!U78+1,0),IF('01_数值调参'!T35&lt;0,'03_全链计算'!V78+1,0),IF('01_数值调参'!T36&lt;0,'03_全链计算'!W78+1,0),IF('01_数值调参'!T37&lt;0,'03_全链计算'!X78+1,0),IF('01_数值调参'!T38&lt;0,'03_全链计算'!Y78+1,0),IF('01_数值调参'!T39&lt;0,'03_全链计算'!Z78+1,0),IF('01_数值调参'!T40&lt;0,'03_全链计算'!AA78+1,0),IF('01_数值调参'!T41&lt;0,'03_全链计算'!AB78+1,0),IF('01_数值调参'!T42&lt;0,'03_全链计算'!AC78+1,0),IF('01_数值调参'!T43&lt;0,'03_全链计算'!AD78+1,0),IF('01_数值调参'!T44&lt;0,'03_全链计算'!AE78+1,0),IF('01_数值调参'!T45&lt;0,'03_全链计算'!AF78+1,0),IF('01_数值调参'!T46&lt;0,'03_全链计算'!AG78+1,0),IF('01_数值调参'!T47&lt;0,'03_全链计算'!AH78+1,0),IF('01_数值调参'!T48&lt;0,'03_全链计算'!AI78+1,0),IF('01_数值调参'!T49&lt;0,'03_全链计算'!AJ78+1,0),IF('01_数值调参'!T50&lt;0,'03_全链计算'!AK78+1,0),IF('01_数值调参'!T51&lt;0,'03_全链计算'!AL78+1,0),IF('01_数值调参'!T52&lt;0,'03_全链计算'!AM78+1,0))</x:f>
        <x:v>1</x:v>
      </x:c>
      <x:c r="U79" s="9" t="n">
        <x:f>MAX(IF('01_数值调参'!U18&lt;0,'03_全链计算'!E78+1,0),IF('01_数值调参'!U19&lt;0,'03_全链计算'!F78+1,0),IF('01_数值调参'!U20&lt;0,'03_全链计算'!G78+1,0),IF('01_数值调参'!U21&lt;0,'03_全链计算'!H78+1,0),IF('01_数值调参'!U22&lt;0,'03_全链计算'!I78+1,0),IF('01_数值调参'!U23&lt;0,'03_全链计算'!J78+1,0),IF('01_数值调参'!U24&lt;0,'03_全链计算'!K78+1,0),IF('01_数值调参'!U25&lt;0,'03_全链计算'!L78+1,0),IF('01_数值调参'!U26&lt;0,'03_全链计算'!M78+1,0),IF('01_数值调参'!U27&lt;0,'03_全链计算'!N78+1,0),IF('01_数值调参'!U28&lt;0,'03_全链计算'!O78+1,0),IF('01_数值调参'!U29&lt;0,'03_全链计算'!P78+1,0),IF('01_数值调参'!U30&lt;0,'03_全链计算'!Q78+1,0),IF('01_数值调参'!U31&lt;0,'03_全链计算'!R78+1,0),IF('01_数值调参'!U32&lt;0,'03_全链计算'!S78+1,0),IF('01_数值调参'!U33&lt;0,'03_全链计算'!T78+1,0),IF('01_数值调参'!U34&lt;0,'03_全链计算'!U78+1,0),IF('01_数值调参'!U35&lt;0,'03_全链计算'!V78+1,0),IF('01_数值调参'!U36&lt;0,'03_全链计算'!W78+1,0),IF('01_数值调参'!U37&lt;0,'03_全链计算'!X78+1,0),IF('01_数值调参'!U38&lt;0,'03_全链计算'!Y78+1,0),IF('01_数值调参'!U39&lt;0,'03_全链计算'!Z78+1,0),IF('01_数值调参'!U40&lt;0,'03_全链计算'!AA78+1,0),IF('01_数值调参'!U41&lt;0,'03_全链计算'!AB78+1,0),IF('01_数值调参'!U42&lt;0,'03_全链计算'!AC78+1,0),IF('01_数值调参'!U43&lt;0,'03_全链计算'!AD78+1,0),IF('01_数值调参'!U44&lt;0,'03_全链计算'!AE78+1,0),IF('01_数值调参'!U45&lt;0,'03_全链计算'!AF78+1,0),IF('01_数值调参'!U46&lt;0,'03_全链计算'!AG78+1,0),IF('01_数值调参'!U47&lt;0,'03_全链计算'!AH78+1,0),IF('01_数值调参'!U48&lt;0,'03_全链计算'!AI78+1,0),IF('01_数值调参'!U49&lt;0,'03_全链计算'!AJ78+1,0),IF('01_数值调参'!U50&lt;0,'03_全链计算'!AK78+1,0),IF('01_数值调参'!U51&lt;0,'03_全链计算'!AL78+1,0),IF('01_数值调参'!U52&lt;0,'03_全链计算'!AM78+1,0))</x:f>
        <x:v>1</x:v>
      </x:c>
      <x:c r="V79" s="9" t="n">
        <x:f>MAX(IF('01_数值调参'!V18&lt;0,'03_全链计算'!E78+1,0),IF('01_数值调参'!V19&lt;0,'03_全链计算'!F78+1,0),IF('01_数值调参'!V20&lt;0,'03_全链计算'!G78+1,0),IF('01_数值调参'!V21&lt;0,'03_全链计算'!H78+1,0),IF('01_数值调参'!V22&lt;0,'03_全链计算'!I78+1,0),IF('01_数值调参'!V23&lt;0,'03_全链计算'!J78+1,0),IF('01_数值调参'!V24&lt;0,'03_全链计算'!K78+1,0),IF('01_数值调参'!V25&lt;0,'03_全链计算'!L78+1,0),IF('01_数值调参'!V26&lt;0,'03_全链计算'!M78+1,0),IF('01_数值调参'!V27&lt;0,'03_全链计算'!N78+1,0),IF('01_数值调参'!V28&lt;0,'03_全链计算'!O78+1,0),IF('01_数值调参'!V29&lt;0,'03_全链计算'!P78+1,0),IF('01_数值调参'!V30&lt;0,'03_全链计算'!Q78+1,0),IF('01_数值调参'!V31&lt;0,'03_全链计算'!R78+1,0),IF('01_数值调参'!V32&lt;0,'03_全链计算'!S78+1,0),IF('01_数值调参'!V33&lt;0,'03_全链计算'!T78+1,0),IF('01_数值调参'!V34&lt;0,'03_全链计算'!U78+1,0),IF('01_数值调参'!V35&lt;0,'03_全链计算'!V78+1,0),IF('01_数值调参'!V36&lt;0,'03_全链计算'!W78+1,0),IF('01_数值调参'!V37&lt;0,'03_全链计算'!X78+1,0),IF('01_数值调参'!V38&lt;0,'03_全链计算'!Y78+1,0),IF('01_数值调参'!V39&lt;0,'03_全链计算'!Z78+1,0),IF('01_数值调参'!V40&lt;0,'03_全链计算'!AA78+1,0),IF('01_数值调参'!V41&lt;0,'03_全链计算'!AB78+1,0),IF('01_数值调参'!V42&lt;0,'03_全链计算'!AC78+1,0),IF('01_数值调参'!V43&lt;0,'03_全链计算'!AD78+1,0),IF('01_数值调参'!V44&lt;0,'03_全链计算'!AE78+1,0),IF('01_数值调参'!V45&lt;0,'03_全链计算'!AF78+1,0),IF('01_数值调参'!V46&lt;0,'03_全链计算'!AG78+1,0),IF('01_数值调参'!V47&lt;0,'03_全链计算'!AH78+1,0),IF('01_数值调参'!V48&lt;0,'03_全链计算'!AI78+1,0),IF('01_数值调参'!V49&lt;0,'03_全链计算'!AJ78+1,0),IF('01_数值调参'!V50&lt;0,'03_全链计算'!AK78+1,0),IF('01_数值调参'!V51&lt;0,'03_全链计算'!AL78+1,0),IF('01_数值调参'!V52&lt;0,'03_全链计算'!AM78+1,0))</x:f>
        <x:v>1</x:v>
      </x:c>
      <x:c r="W79" s="9" t="n">
        <x:f>MAX(IF('01_数值调参'!W18&lt;0,'03_全链计算'!E78+1,0),IF('01_数值调参'!W19&lt;0,'03_全链计算'!F78+1,0),IF('01_数值调参'!W20&lt;0,'03_全链计算'!G78+1,0),IF('01_数值调参'!W21&lt;0,'03_全链计算'!H78+1,0),IF('01_数值调参'!W22&lt;0,'03_全链计算'!I78+1,0),IF('01_数值调参'!W23&lt;0,'03_全链计算'!J78+1,0),IF('01_数值调参'!W24&lt;0,'03_全链计算'!K78+1,0),IF('01_数值调参'!W25&lt;0,'03_全链计算'!L78+1,0),IF('01_数值调参'!W26&lt;0,'03_全链计算'!M78+1,0),IF('01_数值调参'!W27&lt;0,'03_全链计算'!N78+1,0),IF('01_数值调参'!W28&lt;0,'03_全链计算'!O78+1,0),IF('01_数值调参'!W29&lt;0,'03_全链计算'!P78+1,0),IF('01_数值调参'!W30&lt;0,'03_全链计算'!Q78+1,0),IF('01_数值调参'!W31&lt;0,'03_全链计算'!R78+1,0),IF('01_数值调参'!W32&lt;0,'03_全链计算'!S78+1,0),IF('01_数值调参'!W33&lt;0,'03_全链计算'!T78+1,0),IF('01_数值调参'!W34&lt;0,'03_全链计算'!U78+1,0),IF('01_数值调参'!W35&lt;0,'03_全链计算'!V78+1,0),IF('01_数值调参'!W36&lt;0,'03_全链计算'!W78+1,0),IF('01_数值调参'!W37&lt;0,'03_全链计算'!X78+1,0),IF('01_数值调参'!W38&lt;0,'03_全链计算'!Y78+1,0),IF('01_数值调参'!W39&lt;0,'03_全链计算'!Z78+1,0),IF('01_数值调参'!W40&lt;0,'03_全链计算'!AA78+1,0),IF('01_数值调参'!W41&lt;0,'03_全链计算'!AB78+1,0),IF('01_数值调参'!W42&lt;0,'03_全链计算'!AC78+1,0),IF('01_数值调参'!W43&lt;0,'03_全链计算'!AD78+1,0),IF('01_数值调参'!W44&lt;0,'03_全链计算'!AE78+1,0),IF('01_数值调参'!W45&lt;0,'03_全链计算'!AF78+1,0),IF('01_数值调参'!W46&lt;0,'03_全链计算'!AG78+1,0),IF('01_数值调参'!W47&lt;0,'03_全链计算'!AH78+1,0),IF('01_数值调参'!W48&lt;0,'03_全链计算'!AI78+1,0),IF('01_数值调参'!W49&lt;0,'03_全链计算'!AJ78+1,0),IF('01_数值调参'!W50&lt;0,'03_全链计算'!AK78+1,0),IF('01_数值调参'!W51&lt;0,'03_全链计算'!AL78+1,0),IF('01_数值调参'!W52&lt;0,'03_全链计算'!AM78+1,0))</x:f>
        <x:v>1</x:v>
      </x:c>
      <x:c r="X79" s="9" t="n">
        <x:f>MAX(IF('01_数值调参'!X18&lt;0,'03_全链计算'!E78+1,0),IF('01_数值调参'!X19&lt;0,'03_全链计算'!F78+1,0),IF('01_数值调参'!X20&lt;0,'03_全链计算'!G78+1,0),IF('01_数值调参'!X21&lt;0,'03_全链计算'!H78+1,0),IF('01_数值调参'!X22&lt;0,'03_全链计算'!I78+1,0),IF('01_数值调参'!X23&lt;0,'03_全链计算'!J78+1,0),IF('01_数值调参'!X24&lt;0,'03_全链计算'!K78+1,0),IF('01_数值调参'!X25&lt;0,'03_全链计算'!L78+1,0),IF('01_数值调参'!X26&lt;0,'03_全链计算'!M78+1,0),IF('01_数值调参'!X27&lt;0,'03_全链计算'!N78+1,0),IF('01_数值调参'!X28&lt;0,'03_全链计算'!O78+1,0),IF('01_数值调参'!X29&lt;0,'03_全链计算'!P78+1,0),IF('01_数值调参'!X30&lt;0,'03_全链计算'!Q78+1,0),IF('01_数值调参'!X31&lt;0,'03_全链计算'!R78+1,0),IF('01_数值调参'!X32&lt;0,'03_全链计算'!S78+1,0),IF('01_数值调参'!X33&lt;0,'03_全链计算'!T78+1,0),IF('01_数值调参'!X34&lt;0,'03_全链计算'!U78+1,0),IF('01_数值调参'!X35&lt;0,'03_全链计算'!V78+1,0),IF('01_数值调参'!X36&lt;0,'03_全链计算'!W78+1,0),IF('01_数值调参'!X37&lt;0,'03_全链计算'!X78+1,0),IF('01_数值调参'!X38&lt;0,'03_全链计算'!Y78+1,0),IF('01_数值调参'!X39&lt;0,'03_全链计算'!Z78+1,0),IF('01_数值调参'!X40&lt;0,'03_全链计算'!AA78+1,0),IF('01_数值调参'!X41&lt;0,'03_全链计算'!AB78+1,0),IF('01_数值调参'!X42&lt;0,'03_全链计算'!AC78+1,0),IF('01_数值调参'!X43&lt;0,'03_全链计算'!AD78+1,0),IF('01_数值调参'!X44&lt;0,'03_全链计算'!AE78+1,0),IF('01_数值调参'!X45&lt;0,'03_全链计算'!AF78+1,0),IF('01_数值调参'!X46&lt;0,'03_全链计算'!AG78+1,0),IF('01_数值调参'!X47&lt;0,'03_全链计算'!AH78+1,0),IF('01_数值调参'!X48&lt;0,'03_全链计算'!AI78+1,0),IF('01_数值调参'!X49&lt;0,'03_全链计算'!AJ78+1,0),IF('01_数值调参'!X50&lt;0,'03_全链计算'!AK78+1,0),IF('01_数值调参'!X51&lt;0,'03_全链计算'!AL78+1,0),IF('01_数值调参'!X52&lt;0,'03_全链计算'!AM78+1,0))</x:f>
        <x:v>2</x:v>
      </x:c>
      <x:c r="Y79" s="9" t="n">
        <x:f>MAX(IF('01_数值调参'!Y18&lt;0,'03_全链计算'!E78+1,0),IF('01_数值调参'!Y19&lt;0,'03_全链计算'!F78+1,0),IF('01_数值调参'!Y20&lt;0,'03_全链计算'!G78+1,0),IF('01_数值调参'!Y21&lt;0,'03_全链计算'!H78+1,0),IF('01_数值调参'!Y22&lt;0,'03_全链计算'!I78+1,0),IF('01_数值调参'!Y23&lt;0,'03_全链计算'!J78+1,0),IF('01_数值调参'!Y24&lt;0,'03_全链计算'!K78+1,0),IF('01_数值调参'!Y25&lt;0,'03_全链计算'!L78+1,0),IF('01_数值调参'!Y26&lt;0,'03_全链计算'!M78+1,0),IF('01_数值调参'!Y27&lt;0,'03_全链计算'!N78+1,0),IF('01_数值调参'!Y28&lt;0,'03_全链计算'!O78+1,0),IF('01_数值调参'!Y29&lt;0,'03_全链计算'!P78+1,0),IF('01_数值调参'!Y30&lt;0,'03_全链计算'!Q78+1,0),IF('01_数值调参'!Y31&lt;0,'03_全链计算'!R78+1,0),IF('01_数值调参'!Y32&lt;0,'03_全链计算'!S78+1,0),IF('01_数值调参'!Y33&lt;0,'03_全链计算'!T78+1,0),IF('01_数值调参'!Y34&lt;0,'03_全链计算'!U78+1,0),IF('01_数值调参'!Y35&lt;0,'03_全链计算'!V78+1,0),IF('01_数值调参'!Y36&lt;0,'03_全链计算'!W78+1,0),IF('01_数值调参'!Y37&lt;0,'03_全链计算'!X78+1,0),IF('01_数值调参'!Y38&lt;0,'03_全链计算'!Y78+1,0),IF('01_数值调参'!Y39&lt;0,'03_全链计算'!Z78+1,0),IF('01_数值调参'!Y40&lt;0,'03_全链计算'!AA78+1,0),IF('01_数值调参'!Y41&lt;0,'03_全链计算'!AB78+1,0),IF('01_数值调参'!Y42&lt;0,'03_全链计算'!AC78+1,0),IF('01_数值调参'!Y43&lt;0,'03_全链计算'!AD78+1,0),IF('01_数值调参'!Y44&lt;0,'03_全链计算'!AE78+1,0),IF('01_数值调参'!Y45&lt;0,'03_全链计算'!AF78+1,0),IF('01_数值调参'!Y46&lt;0,'03_全链计算'!AG78+1,0),IF('01_数值调参'!Y47&lt;0,'03_全链计算'!AH78+1,0),IF('01_数值调参'!Y48&lt;0,'03_全链计算'!AI78+1,0),IF('01_数值调参'!Y49&lt;0,'03_全链计算'!AJ78+1,0),IF('01_数值调参'!Y50&lt;0,'03_全链计算'!AK78+1,0),IF('01_数值调参'!Y51&lt;0,'03_全链计算'!AL78+1,0),IF('01_数值调参'!Y52&lt;0,'03_全链计算'!AM78+1,0))</x:f>
        <x:v>2</x:v>
      </x:c>
      <x:c r="Z79" s="9" t="n">
        <x:f>MAX(IF('01_数值调参'!Z18&lt;0,'03_全链计算'!E78+1,0),IF('01_数值调参'!Z19&lt;0,'03_全链计算'!F78+1,0),IF('01_数值调参'!Z20&lt;0,'03_全链计算'!G78+1,0),IF('01_数值调参'!Z21&lt;0,'03_全链计算'!H78+1,0),IF('01_数值调参'!Z22&lt;0,'03_全链计算'!I78+1,0),IF('01_数值调参'!Z23&lt;0,'03_全链计算'!J78+1,0),IF('01_数值调参'!Z24&lt;0,'03_全链计算'!K78+1,0),IF('01_数值调参'!Z25&lt;0,'03_全链计算'!L78+1,0),IF('01_数值调参'!Z26&lt;0,'03_全链计算'!M78+1,0),IF('01_数值调参'!Z27&lt;0,'03_全链计算'!N78+1,0),IF('01_数值调参'!Z28&lt;0,'03_全链计算'!O78+1,0),IF('01_数值调参'!Z29&lt;0,'03_全链计算'!P78+1,0),IF('01_数值调参'!Z30&lt;0,'03_全链计算'!Q78+1,0),IF('01_数值调参'!Z31&lt;0,'03_全链计算'!R78+1,0),IF('01_数值调参'!Z32&lt;0,'03_全链计算'!S78+1,0),IF('01_数值调参'!Z33&lt;0,'03_全链计算'!T78+1,0),IF('01_数值调参'!Z34&lt;0,'03_全链计算'!U78+1,0),IF('01_数值调参'!Z35&lt;0,'03_全链计算'!V78+1,0),IF('01_数值调参'!Z36&lt;0,'03_全链计算'!W78+1,0),IF('01_数值调参'!Z37&lt;0,'03_全链计算'!X78+1,0),IF('01_数值调参'!Z38&lt;0,'03_全链计算'!Y78+1,0),IF('01_数值调参'!Z39&lt;0,'03_全链计算'!Z78+1,0),IF('01_数值调参'!Z40&lt;0,'03_全链计算'!AA78+1,0),IF('01_数值调参'!Z41&lt;0,'03_全链计算'!AB78+1,0),IF('01_数值调参'!Z42&lt;0,'03_全链计算'!AC78+1,0),IF('01_数值调参'!Z43&lt;0,'03_全链计算'!AD78+1,0),IF('01_数值调参'!Z44&lt;0,'03_全链计算'!AE78+1,0),IF('01_数值调参'!Z45&lt;0,'03_全链计算'!AF78+1,0),IF('01_数值调参'!Z46&lt;0,'03_全链计算'!AG78+1,0),IF('01_数值调参'!Z47&lt;0,'03_全链计算'!AH78+1,0),IF('01_数值调参'!Z48&lt;0,'03_全链计算'!AI78+1,0),IF('01_数值调参'!Z49&lt;0,'03_全链计算'!AJ78+1,0),IF('01_数值调参'!Z50&lt;0,'03_全链计算'!AK78+1,0),IF('01_数值调参'!Z51&lt;0,'03_全链计算'!AL78+1,0),IF('01_数值调参'!Z52&lt;0,'03_全链计算'!AM78+1,0))</x:f>
        <x:v>2</x:v>
      </x:c>
      <x:c r="AA79" s="9" t="n">
        <x:f>MAX(IF('01_数值调参'!AA18&lt;0,'03_全链计算'!E78+1,0),IF('01_数值调参'!AA19&lt;0,'03_全链计算'!F78+1,0),IF('01_数值调参'!AA20&lt;0,'03_全链计算'!G78+1,0),IF('01_数值调参'!AA21&lt;0,'03_全链计算'!H78+1,0),IF('01_数值调参'!AA22&lt;0,'03_全链计算'!I78+1,0),IF('01_数值调参'!AA23&lt;0,'03_全链计算'!J78+1,0),IF('01_数值调参'!AA24&lt;0,'03_全链计算'!K78+1,0),IF('01_数值调参'!AA25&lt;0,'03_全链计算'!L78+1,0),IF('01_数值调参'!AA26&lt;0,'03_全链计算'!M78+1,0),IF('01_数值调参'!AA27&lt;0,'03_全链计算'!N78+1,0),IF('01_数值调参'!AA28&lt;0,'03_全链计算'!O78+1,0),IF('01_数值调参'!AA29&lt;0,'03_全链计算'!P78+1,0),IF('01_数值调参'!AA30&lt;0,'03_全链计算'!Q78+1,0),IF('01_数值调参'!AA31&lt;0,'03_全链计算'!R78+1,0),IF('01_数值调参'!AA32&lt;0,'03_全链计算'!S78+1,0),IF('01_数值调参'!AA33&lt;0,'03_全链计算'!T78+1,0),IF('01_数值调参'!AA34&lt;0,'03_全链计算'!U78+1,0),IF('01_数值调参'!AA35&lt;0,'03_全链计算'!V78+1,0),IF('01_数值调参'!AA36&lt;0,'03_全链计算'!W78+1,0),IF('01_数值调参'!AA37&lt;0,'03_全链计算'!X78+1,0),IF('01_数值调参'!AA38&lt;0,'03_全链计算'!Y78+1,0),IF('01_数值调参'!AA39&lt;0,'03_全链计算'!Z78+1,0),IF('01_数值调参'!AA40&lt;0,'03_全链计算'!AA78+1,0),IF('01_数值调参'!AA41&lt;0,'03_全链计算'!AB78+1,0),IF('01_数值调参'!AA42&lt;0,'03_全链计算'!AC78+1,0),IF('01_数值调参'!AA43&lt;0,'03_全链计算'!AD78+1,0),IF('01_数值调参'!AA44&lt;0,'03_全链计算'!AE78+1,0),IF('01_数值调参'!AA45&lt;0,'03_全链计算'!AF78+1,0),IF('01_数值调参'!AA46&lt;0,'03_全链计算'!AG78+1,0),IF('01_数值调参'!AA47&lt;0,'03_全链计算'!AH78+1,0),IF('01_数值调参'!AA48&lt;0,'03_全链计算'!AI78+1,0),IF('01_数值调参'!AA49&lt;0,'03_全链计算'!AJ78+1,0),IF('01_数值调参'!AA50&lt;0,'03_全链计算'!AK78+1,0),IF('01_数值调参'!AA51&lt;0,'03_全链计算'!AL78+1,0),IF('01_数值调参'!AA52&lt;0,'03_全链计算'!AM78+1,0))</x:f>
        <x:v>2</x:v>
      </x:c>
      <x:c r="AB79" s="9" t="n">
        <x:f>MAX(IF('01_数值调参'!AB18&lt;0,'03_全链计算'!E78+1,0),IF('01_数值调参'!AB19&lt;0,'03_全链计算'!F78+1,0),IF('01_数值调参'!AB20&lt;0,'03_全链计算'!G78+1,0),IF('01_数值调参'!AB21&lt;0,'03_全链计算'!H78+1,0),IF('01_数值调参'!AB22&lt;0,'03_全链计算'!I78+1,0),IF('01_数值调参'!AB23&lt;0,'03_全链计算'!J78+1,0),IF('01_数值调参'!AB24&lt;0,'03_全链计算'!K78+1,0),IF('01_数值调参'!AB25&lt;0,'03_全链计算'!L78+1,0),IF('01_数值调参'!AB26&lt;0,'03_全链计算'!M78+1,0),IF('01_数值调参'!AB27&lt;0,'03_全链计算'!N78+1,0),IF('01_数值调参'!AB28&lt;0,'03_全链计算'!O78+1,0),IF('01_数值调参'!AB29&lt;0,'03_全链计算'!P78+1,0),IF('01_数值调参'!AB30&lt;0,'03_全链计算'!Q78+1,0),IF('01_数值调参'!AB31&lt;0,'03_全链计算'!R78+1,0),IF('01_数值调参'!AB32&lt;0,'03_全链计算'!S78+1,0),IF('01_数值调参'!AB33&lt;0,'03_全链计算'!T78+1,0),IF('01_数值调参'!AB34&lt;0,'03_全链计算'!U78+1,0),IF('01_数值调参'!AB35&lt;0,'03_全链计算'!V78+1,0),IF('01_数值调参'!AB36&lt;0,'03_全链计算'!W78+1,0),IF('01_数值调参'!AB37&lt;0,'03_全链计算'!X78+1,0),IF('01_数值调参'!AB38&lt;0,'03_全链计算'!Y78+1,0),IF('01_数值调参'!AB39&lt;0,'03_全链计算'!Z78+1,0),IF('01_数值调参'!AB40&lt;0,'03_全链计算'!AA78+1,0),IF('01_数值调参'!AB41&lt;0,'03_全链计算'!AB78+1,0),IF('01_数值调参'!AB42&lt;0,'03_全链计算'!AC78+1,0),IF('01_数值调参'!AB43&lt;0,'03_全链计算'!AD78+1,0),IF('01_数值调参'!AB44&lt;0,'03_全链计算'!AE78+1,0),IF('01_数值调参'!AB45&lt;0,'03_全链计算'!AF78+1,0),IF('01_数值调参'!AB46&lt;0,'03_全链计算'!AG78+1,0),IF('01_数值调参'!AB47&lt;0,'03_全链计算'!AH78+1,0),IF('01_数值调参'!AB48&lt;0,'03_全链计算'!AI78+1,0),IF('01_数值调参'!AB49&lt;0,'03_全链计算'!AJ78+1,0),IF('01_数值调参'!AB50&lt;0,'03_全链计算'!AK78+1,0),IF('01_数值调参'!AB51&lt;0,'03_全链计算'!AL78+1,0),IF('01_数值调参'!AB52&lt;0,'03_全链计算'!AM78+1,0))</x:f>
        <x:v>2</x:v>
      </x:c>
      <x:c r="AC79" s="9" t="n">
        <x:f>MAX(IF('01_数值调参'!AC18&lt;0,'03_全链计算'!E78+1,0),IF('01_数值调参'!AC19&lt;0,'03_全链计算'!F78+1,0),IF('01_数值调参'!AC20&lt;0,'03_全链计算'!G78+1,0),IF('01_数值调参'!AC21&lt;0,'03_全链计算'!H78+1,0),IF('01_数值调参'!AC22&lt;0,'03_全链计算'!I78+1,0),IF('01_数值调参'!AC23&lt;0,'03_全链计算'!J78+1,0),IF('01_数值调参'!AC24&lt;0,'03_全链计算'!K78+1,0),IF('01_数值调参'!AC25&lt;0,'03_全链计算'!L78+1,0),IF('01_数值调参'!AC26&lt;0,'03_全链计算'!M78+1,0),IF('01_数值调参'!AC27&lt;0,'03_全链计算'!N78+1,0),IF('01_数值调参'!AC28&lt;0,'03_全链计算'!O78+1,0),IF('01_数值调参'!AC29&lt;0,'03_全链计算'!P78+1,0),IF('01_数值调参'!AC30&lt;0,'03_全链计算'!Q78+1,0),IF('01_数值调参'!AC31&lt;0,'03_全链计算'!R78+1,0),IF('01_数值调参'!AC32&lt;0,'03_全链计算'!S78+1,0),IF('01_数值调参'!AC33&lt;0,'03_全链计算'!T78+1,0),IF('01_数值调参'!AC34&lt;0,'03_全链计算'!U78+1,0),IF('01_数值调参'!AC35&lt;0,'03_全链计算'!V78+1,0),IF('01_数值调参'!AC36&lt;0,'03_全链计算'!W78+1,0),IF('01_数值调参'!AC37&lt;0,'03_全链计算'!X78+1,0),IF('01_数值调参'!AC38&lt;0,'03_全链计算'!Y78+1,0),IF('01_数值调参'!AC39&lt;0,'03_全链计算'!Z78+1,0),IF('01_数值调参'!AC40&lt;0,'03_全链计算'!AA78+1,0),IF('01_数值调参'!AC41&lt;0,'03_全链计算'!AB78+1,0),IF('01_数值调参'!AC42&lt;0,'03_全链计算'!AC78+1,0),IF('01_数值调参'!AC43&lt;0,'03_全链计算'!AD78+1,0),IF('01_数值调参'!AC44&lt;0,'03_全链计算'!AE78+1,0),IF('01_数值调参'!AC45&lt;0,'03_全链计算'!AF78+1,0),IF('01_数值调参'!AC46&lt;0,'03_全链计算'!AG78+1,0),IF('01_数值调参'!AC47&lt;0,'03_全链计算'!AH78+1,0),IF('01_数值调参'!AC48&lt;0,'03_全链计算'!AI78+1,0),IF('01_数值调参'!AC49&lt;0,'03_全链计算'!AJ78+1,0),IF('01_数值调参'!AC50&lt;0,'03_全链计算'!AK78+1,0),IF('01_数值调参'!AC51&lt;0,'03_全链计算'!AL78+1,0),IF('01_数值调参'!AC52&lt;0,'03_全链计算'!AM78+1,0))</x:f>
        <x:v>2</x:v>
      </x:c>
      <x:c r="AD79" s="9" t="n">
        <x:f>MAX(IF('01_数值调参'!AD18&lt;0,'03_全链计算'!E78+1,0),IF('01_数值调参'!AD19&lt;0,'03_全链计算'!F78+1,0),IF('01_数值调参'!AD20&lt;0,'03_全链计算'!G78+1,0),IF('01_数值调参'!AD21&lt;0,'03_全链计算'!H78+1,0),IF('01_数值调参'!AD22&lt;0,'03_全链计算'!I78+1,0),IF('01_数值调参'!AD23&lt;0,'03_全链计算'!J78+1,0),IF('01_数值调参'!AD24&lt;0,'03_全链计算'!K78+1,0),IF('01_数值调参'!AD25&lt;0,'03_全链计算'!L78+1,0),IF('01_数值调参'!AD26&lt;0,'03_全链计算'!M78+1,0),IF('01_数值调参'!AD27&lt;0,'03_全链计算'!N78+1,0),IF('01_数值调参'!AD28&lt;0,'03_全链计算'!O78+1,0),IF('01_数值调参'!AD29&lt;0,'03_全链计算'!P78+1,0),IF('01_数值调参'!AD30&lt;0,'03_全链计算'!Q78+1,0),IF('01_数值调参'!AD31&lt;0,'03_全链计算'!R78+1,0),IF('01_数值调参'!AD32&lt;0,'03_全链计算'!S78+1,0),IF('01_数值调参'!AD33&lt;0,'03_全链计算'!T78+1,0),IF('01_数值调参'!AD34&lt;0,'03_全链计算'!U78+1,0),IF('01_数值调参'!AD35&lt;0,'03_全链计算'!V78+1,0),IF('01_数值调参'!AD36&lt;0,'03_全链计算'!W78+1,0),IF('01_数值调参'!AD37&lt;0,'03_全链计算'!X78+1,0),IF('01_数值调参'!AD38&lt;0,'03_全链计算'!Y78+1,0),IF('01_数值调参'!AD39&lt;0,'03_全链计算'!Z78+1,0),IF('01_数值调参'!AD40&lt;0,'03_全链计算'!AA78+1,0),IF('01_数值调参'!AD41&lt;0,'03_全链计算'!AB78+1,0),IF('01_数值调参'!AD42&lt;0,'03_全链计算'!AC78+1,0),IF('01_数值调参'!AD43&lt;0,'03_全链计算'!AD78+1,0),IF('01_数值调参'!AD44&lt;0,'03_全链计算'!AE78+1,0),IF('01_数值调参'!AD45&lt;0,'03_全链计算'!AF78+1,0),IF('01_数值调参'!AD46&lt;0,'03_全链计算'!AG78+1,0),IF('01_数值调参'!AD47&lt;0,'03_全链计算'!AH78+1,0),IF('01_数值调参'!AD48&lt;0,'03_全链计算'!AI78+1,0),IF('01_数值调参'!AD49&lt;0,'03_全链计算'!AJ78+1,0),IF('01_数值调参'!AD50&lt;0,'03_全链计算'!AK78+1,0),IF('01_数值调参'!AD51&lt;0,'03_全链计算'!AL78+1,0),IF('01_数值调参'!AD52&lt;0,'03_全链计算'!AM78+1,0))</x:f>
        <x:v>1</x:v>
      </x:c>
      <x:c r="AE79" s="9" t="n">
        <x:f>MAX(IF('01_数值调参'!AE18&lt;0,'03_全链计算'!E78+1,0),IF('01_数值调参'!AE19&lt;0,'03_全链计算'!F78+1,0),IF('01_数值调参'!AE20&lt;0,'03_全链计算'!G78+1,0),IF('01_数值调参'!AE21&lt;0,'03_全链计算'!H78+1,0),IF('01_数值调参'!AE22&lt;0,'03_全链计算'!I78+1,0),IF('01_数值调参'!AE23&lt;0,'03_全链计算'!J78+1,0),IF('01_数值调参'!AE24&lt;0,'03_全链计算'!K78+1,0),IF('01_数值调参'!AE25&lt;0,'03_全链计算'!L78+1,0),IF('01_数值调参'!AE26&lt;0,'03_全链计算'!M78+1,0),IF('01_数值调参'!AE27&lt;0,'03_全链计算'!N78+1,0),IF('01_数值调参'!AE28&lt;0,'03_全链计算'!O78+1,0),IF('01_数值调参'!AE29&lt;0,'03_全链计算'!P78+1,0),IF('01_数值调参'!AE30&lt;0,'03_全链计算'!Q78+1,0),IF('01_数值调参'!AE31&lt;0,'03_全链计算'!R78+1,0),IF('01_数值调参'!AE32&lt;0,'03_全链计算'!S78+1,0),IF('01_数值调参'!AE33&lt;0,'03_全链计算'!T78+1,0),IF('01_数值调参'!AE34&lt;0,'03_全链计算'!U78+1,0),IF('01_数值调参'!AE35&lt;0,'03_全链计算'!V78+1,0),IF('01_数值调参'!AE36&lt;0,'03_全链计算'!W78+1,0),IF('01_数值调参'!AE37&lt;0,'03_全链计算'!X78+1,0),IF('01_数值调参'!AE38&lt;0,'03_全链计算'!Y78+1,0),IF('01_数值调参'!AE39&lt;0,'03_全链计算'!Z78+1,0),IF('01_数值调参'!AE40&lt;0,'03_全链计算'!AA78+1,0),IF('01_数值调参'!AE41&lt;0,'03_全链计算'!AB78+1,0),IF('01_数值调参'!AE42&lt;0,'03_全链计算'!AC78+1,0),IF('01_数值调参'!AE43&lt;0,'03_全链计算'!AD78+1,0),IF('01_数值调参'!AE44&lt;0,'03_全链计算'!AE78+1,0),IF('01_数值调参'!AE45&lt;0,'03_全链计算'!AF78+1,0),IF('01_数值调参'!AE46&lt;0,'03_全链计算'!AG78+1,0),IF('01_数值调参'!AE47&lt;0,'03_全链计算'!AH78+1,0),IF('01_数值调参'!AE48&lt;0,'03_全链计算'!AI78+1,0),IF('01_数值调参'!AE49&lt;0,'03_全链计算'!AJ78+1,0),IF('01_数值调参'!AE50&lt;0,'03_全链计算'!AK78+1,0),IF('01_数值调参'!AE51&lt;0,'03_全链计算'!AL78+1,0),IF('01_数值调参'!AE52&lt;0,'03_全链计算'!AM78+1,0))</x:f>
        <x:v>1</x:v>
      </x:c>
      <x:c r="AF79" s="9" t="n">
        <x:f>MAX(IF('01_数值调参'!AF18&lt;0,'03_全链计算'!E78+1,0),IF('01_数值调参'!AF19&lt;0,'03_全链计算'!F78+1,0),IF('01_数值调参'!AF20&lt;0,'03_全链计算'!G78+1,0),IF('01_数值调参'!AF21&lt;0,'03_全链计算'!H78+1,0),IF('01_数值调参'!AF22&lt;0,'03_全链计算'!I78+1,0),IF('01_数值调参'!AF23&lt;0,'03_全链计算'!J78+1,0),IF('01_数值调参'!AF24&lt;0,'03_全链计算'!K78+1,0),IF('01_数值调参'!AF25&lt;0,'03_全链计算'!L78+1,0),IF('01_数值调参'!AF26&lt;0,'03_全链计算'!M78+1,0),IF('01_数值调参'!AF27&lt;0,'03_全链计算'!N78+1,0),IF('01_数值调参'!AF28&lt;0,'03_全链计算'!O78+1,0),IF('01_数值调参'!AF29&lt;0,'03_全链计算'!P78+1,0),IF('01_数值调参'!AF30&lt;0,'03_全链计算'!Q78+1,0),IF('01_数值调参'!AF31&lt;0,'03_全链计算'!R78+1,0),IF('01_数值调参'!AF32&lt;0,'03_全链计算'!S78+1,0),IF('01_数值调参'!AF33&lt;0,'03_全链计算'!T78+1,0),IF('01_数值调参'!AF34&lt;0,'03_全链计算'!U78+1,0),IF('01_数值调参'!AF35&lt;0,'03_全链计算'!V78+1,0),IF('01_数值调参'!AF36&lt;0,'03_全链计算'!W78+1,0),IF('01_数值调参'!AF37&lt;0,'03_全链计算'!X78+1,0),IF('01_数值调参'!AF38&lt;0,'03_全链计算'!Y78+1,0),IF('01_数值调参'!AF39&lt;0,'03_全链计算'!Z78+1,0),IF('01_数值调参'!AF40&lt;0,'03_全链计算'!AA78+1,0),IF('01_数值调参'!AF41&lt;0,'03_全链计算'!AB78+1,0),IF('01_数值调参'!AF42&lt;0,'03_全链计算'!AC78+1,0),IF('01_数值调参'!AF43&lt;0,'03_全链计算'!AD78+1,0),IF('01_数值调参'!AF44&lt;0,'03_全链计算'!AE78+1,0),IF('01_数值调参'!AF45&lt;0,'03_全链计算'!AF78+1,0),IF('01_数值调参'!AF46&lt;0,'03_全链计算'!AG78+1,0),IF('01_数值调参'!AF47&lt;0,'03_全链计算'!AH78+1,0),IF('01_数值调参'!AF48&lt;0,'03_全链计算'!AI78+1,0),IF('01_数值调参'!AF49&lt;0,'03_全链计算'!AJ78+1,0),IF('01_数值调参'!AF50&lt;0,'03_全链计算'!AK78+1,0),IF('01_数值调参'!AF51&lt;0,'03_全链计算'!AL78+1,0),IF('01_数值调参'!AF52&lt;0,'03_全链计算'!AM78+1,0))</x:f>
        <x:v>1</x:v>
      </x:c>
      <x:c r="AG79" s="9" t="n">
        <x:f>MAX(IF('01_数值调参'!AG18&lt;0,'03_全链计算'!E78+1,0),IF('01_数值调参'!AG19&lt;0,'03_全链计算'!F78+1,0),IF('01_数值调参'!AG20&lt;0,'03_全链计算'!G78+1,0),IF('01_数值调参'!AG21&lt;0,'03_全链计算'!H78+1,0),IF('01_数值调参'!AG22&lt;0,'03_全链计算'!I78+1,0),IF('01_数值调参'!AG23&lt;0,'03_全链计算'!J78+1,0),IF('01_数值调参'!AG24&lt;0,'03_全链计算'!K78+1,0),IF('01_数值调参'!AG25&lt;0,'03_全链计算'!L78+1,0),IF('01_数值调参'!AG26&lt;0,'03_全链计算'!M78+1,0),IF('01_数值调参'!AG27&lt;0,'03_全链计算'!N78+1,0),IF('01_数值调参'!AG28&lt;0,'03_全链计算'!O78+1,0),IF('01_数值调参'!AG29&lt;0,'03_全链计算'!P78+1,0),IF('01_数值调参'!AG30&lt;0,'03_全链计算'!Q78+1,0),IF('01_数值调参'!AG31&lt;0,'03_全链计算'!R78+1,0),IF('01_数值调参'!AG32&lt;0,'03_全链计算'!S78+1,0),IF('01_数值调参'!AG33&lt;0,'03_全链计算'!T78+1,0),IF('01_数值调参'!AG34&lt;0,'03_全链计算'!U78+1,0),IF('01_数值调参'!AG35&lt;0,'03_全链计算'!V78+1,0),IF('01_数值调参'!AG36&lt;0,'03_全链计算'!W78+1,0),IF('01_数值调参'!AG37&lt;0,'03_全链计算'!X78+1,0),IF('01_数值调参'!AG38&lt;0,'03_全链计算'!Y78+1,0),IF('01_数值调参'!AG39&lt;0,'03_全链计算'!Z78+1,0),IF('01_数值调参'!AG40&lt;0,'03_全链计算'!AA78+1,0),IF('01_数值调参'!AG41&lt;0,'03_全链计算'!AB78+1,0),IF('01_数值调参'!AG42&lt;0,'03_全链计算'!AC78+1,0),IF('01_数值调参'!AG43&lt;0,'03_全链计算'!AD78+1,0),IF('01_数值调参'!AG44&lt;0,'03_全链计算'!AE78+1,0),IF('01_数值调参'!AG45&lt;0,'03_全链计算'!AF78+1,0),IF('01_数值调参'!AG46&lt;0,'03_全链计算'!AG78+1,0),IF('01_数值调参'!AG47&lt;0,'03_全链计算'!AH78+1,0),IF('01_数值调参'!AG48&lt;0,'03_全链计算'!AI78+1,0),IF('01_数值调参'!AG49&lt;0,'03_全链计算'!AJ78+1,0),IF('01_数值调参'!AG50&lt;0,'03_全链计算'!AK78+1,0),IF('01_数值调参'!AG51&lt;0,'03_全链计算'!AL78+1,0),IF('01_数值调参'!AG52&lt;0,'03_全链计算'!AM78+1,0))</x:f>
        <x:v>1</x:v>
      </x:c>
      <x:c r="AH79" s="9" t="n">
        <x:f>MAX(IF('01_数值调参'!AH18&lt;0,'03_全链计算'!E78+1,0),IF('01_数值调参'!AH19&lt;0,'03_全链计算'!F78+1,0),IF('01_数值调参'!AH20&lt;0,'03_全链计算'!G78+1,0),IF('01_数值调参'!AH21&lt;0,'03_全链计算'!H78+1,0),IF('01_数值调参'!AH22&lt;0,'03_全链计算'!I78+1,0),IF('01_数值调参'!AH23&lt;0,'03_全链计算'!J78+1,0),IF('01_数值调参'!AH24&lt;0,'03_全链计算'!K78+1,0),IF('01_数值调参'!AH25&lt;0,'03_全链计算'!L78+1,0),IF('01_数值调参'!AH26&lt;0,'03_全链计算'!M78+1,0),IF('01_数值调参'!AH27&lt;0,'03_全链计算'!N78+1,0),IF('01_数值调参'!AH28&lt;0,'03_全链计算'!O78+1,0),IF('01_数值调参'!AH29&lt;0,'03_全链计算'!P78+1,0),IF('01_数值调参'!AH30&lt;0,'03_全链计算'!Q78+1,0),IF('01_数值调参'!AH31&lt;0,'03_全链计算'!R78+1,0),IF('01_数值调参'!AH32&lt;0,'03_全链计算'!S78+1,0),IF('01_数值调参'!AH33&lt;0,'03_全链计算'!T78+1,0),IF('01_数值调参'!AH34&lt;0,'03_全链计算'!U78+1,0),IF('01_数值调参'!AH35&lt;0,'03_全链计算'!V78+1,0),IF('01_数值调参'!AH36&lt;0,'03_全链计算'!W78+1,0),IF('01_数值调参'!AH37&lt;0,'03_全链计算'!X78+1,0),IF('01_数值调参'!AH38&lt;0,'03_全链计算'!Y78+1,0),IF('01_数值调参'!AH39&lt;0,'03_全链计算'!Z78+1,0),IF('01_数值调参'!AH40&lt;0,'03_全链计算'!AA78+1,0),IF('01_数值调参'!AH41&lt;0,'03_全链计算'!AB78+1,0),IF('01_数值调参'!AH42&lt;0,'03_全链计算'!AC78+1,0),IF('01_数值调参'!AH43&lt;0,'03_全链计算'!AD78+1,0),IF('01_数值调参'!AH44&lt;0,'03_全链计算'!AE78+1,0),IF('01_数值调参'!AH45&lt;0,'03_全链计算'!AF78+1,0),IF('01_数值调参'!AH46&lt;0,'03_全链计算'!AG78+1,0),IF('01_数值调参'!AH47&lt;0,'03_全链计算'!AH78+1,0),IF('01_数值调参'!AH48&lt;0,'03_全链计算'!AI78+1,0),IF('01_数值调参'!AH49&lt;0,'03_全链计算'!AJ78+1,0),IF('01_数值调参'!AH50&lt;0,'03_全链计算'!AK78+1,0),IF('01_数值调参'!AH51&lt;0,'03_全链计算'!AL78+1,0),IF('01_数值调参'!AH52&lt;0,'03_全链计算'!AM78+1,0))</x:f>
        <x:v>2</x:v>
      </x:c>
      <x:c r="AI79" s="9" t="n">
        <x:f>MAX(IF('01_数值调参'!AI18&lt;0,'03_全链计算'!E78+1,0),IF('01_数值调参'!AI19&lt;0,'03_全链计算'!F78+1,0),IF('01_数值调参'!AI20&lt;0,'03_全链计算'!G78+1,0),IF('01_数值调参'!AI21&lt;0,'03_全链计算'!H78+1,0),IF('01_数值调参'!AI22&lt;0,'03_全链计算'!I78+1,0),IF('01_数值调参'!AI23&lt;0,'03_全链计算'!J78+1,0),IF('01_数值调参'!AI24&lt;0,'03_全链计算'!K78+1,0),IF('01_数值调参'!AI25&lt;0,'03_全链计算'!L78+1,0),IF('01_数值调参'!AI26&lt;0,'03_全链计算'!M78+1,0),IF('01_数值调参'!AI27&lt;0,'03_全链计算'!N78+1,0),IF('01_数值调参'!AI28&lt;0,'03_全链计算'!O78+1,0),IF('01_数值调参'!AI29&lt;0,'03_全链计算'!P78+1,0),IF('01_数值调参'!AI30&lt;0,'03_全链计算'!Q78+1,0),IF('01_数值调参'!AI31&lt;0,'03_全链计算'!R78+1,0),IF('01_数值调参'!AI32&lt;0,'03_全链计算'!S78+1,0),IF('01_数值调参'!AI33&lt;0,'03_全链计算'!T78+1,0),IF('01_数值调参'!AI34&lt;0,'03_全链计算'!U78+1,0),IF('01_数值调参'!AI35&lt;0,'03_全链计算'!V78+1,0),IF('01_数值调参'!AI36&lt;0,'03_全链计算'!W78+1,0),IF('01_数值调参'!AI37&lt;0,'03_全链计算'!X78+1,0),IF('01_数值调参'!AI38&lt;0,'03_全链计算'!Y78+1,0),IF('01_数值调参'!AI39&lt;0,'03_全链计算'!Z78+1,0),IF('01_数值调参'!AI40&lt;0,'03_全链计算'!AA78+1,0),IF('01_数值调参'!AI41&lt;0,'03_全链计算'!AB78+1,0),IF('01_数值调参'!AI42&lt;0,'03_全链计算'!AC78+1,0),IF('01_数值调参'!AI43&lt;0,'03_全链计算'!AD78+1,0),IF('01_数值调参'!AI44&lt;0,'03_全链计算'!AE78+1,0),IF('01_数值调参'!AI45&lt;0,'03_全链计算'!AF78+1,0),IF('01_数值调参'!AI46&lt;0,'03_全链计算'!AG78+1,0),IF('01_数值调参'!AI47&lt;0,'03_全链计算'!AH78+1,0),IF('01_数值调参'!AI48&lt;0,'03_全链计算'!AI78+1,0),IF('01_数值调参'!AI49&lt;0,'03_全链计算'!AJ78+1,0),IF('01_数值调参'!AI50&lt;0,'03_全链计算'!AK78+1,0),IF('01_数值调参'!AI51&lt;0,'03_全链计算'!AL78+1,0),IF('01_数值调参'!AI52&lt;0,'03_全链计算'!AM78+1,0))</x:f>
        <x:v>2</x:v>
      </x:c>
      <x:c r="AJ79" s="9" t="n">
        <x:f>MAX(IF('01_数值调参'!AJ18&lt;0,'03_全链计算'!E78+1,0),IF('01_数值调参'!AJ19&lt;0,'03_全链计算'!F78+1,0),IF('01_数值调参'!AJ20&lt;0,'03_全链计算'!G78+1,0),IF('01_数值调参'!AJ21&lt;0,'03_全链计算'!H78+1,0),IF('01_数值调参'!AJ22&lt;0,'03_全链计算'!I78+1,0),IF('01_数值调参'!AJ23&lt;0,'03_全链计算'!J78+1,0),IF('01_数值调参'!AJ24&lt;0,'03_全链计算'!K78+1,0),IF('01_数值调参'!AJ25&lt;0,'03_全链计算'!L78+1,0),IF('01_数值调参'!AJ26&lt;0,'03_全链计算'!M78+1,0),IF('01_数值调参'!AJ27&lt;0,'03_全链计算'!N78+1,0),IF('01_数值调参'!AJ28&lt;0,'03_全链计算'!O78+1,0),IF('01_数值调参'!AJ29&lt;0,'03_全链计算'!P78+1,0),IF('01_数值调参'!AJ30&lt;0,'03_全链计算'!Q78+1,0),IF('01_数值调参'!AJ31&lt;0,'03_全链计算'!R78+1,0),IF('01_数值调参'!AJ32&lt;0,'03_全链计算'!S78+1,0),IF('01_数值调参'!AJ33&lt;0,'03_全链计算'!T78+1,0),IF('01_数值调参'!AJ34&lt;0,'03_全链计算'!U78+1,0),IF('01_数值调参'!AJ35&lt;0,'03_全链计算'!V78+1,0),IF('01_数值调参'!AJ36&lt;0,'03_全链计算'!W78+1,0),IF('01_数值调参'!AJ37&lt;0,'03_全链计算'!X78+1,0),IF('01_数值调参'!AJ38&lt;0,'03_全链计算'!Y78+1,0),IF('01_数值调参'!AJ39&lt;0,'03_全链计算'!Z78+1,0),IF('01_数值调参'!AJ40&lt;0,'03_全链计算'!AA78+1,0),IF('01_数值调参'!AJ41&lt;0,'03_全链计算'!AB78+1,0),IF('01_数值调参'!AJ42&lt;0,'03_全链计算'!AC78+1,0),IF('01_数值调参'!AJ43&lt;0,'03_全链计算'!AD78+1,0),IF('01_数值调参'!AJ44&lt;0,'03_全链计算'!AE78+1,0),IF('01_数值调参'!AJ45&lt;0,'03_全链计算'!AF78+1,0),IF('01_数值调参'!AJ46&lt;0,'03_全链计算'!AG78+1,0),IF('01_数值调参'!AJ47&lt;0,'03_全链计算'!AH78+1,0),IF('01_数值调参'!AJ48&lt;0,'03_全链计算'!AI78+1,0),IF('01_数值调参'!AJ49&lt;0,'03_全链计算'!AJ78+1,0),IF('01_数值调参'!AJ50&lt;0,'03_全链计算'!AK78+1,0),IF('01_数值调参'!AJ51&lt;0,'03_全链计算'!AL78+1,0),IF('01_数值调参'!AJ52&lt;0,'03_全链计算'!AM78+1,0))</x:f>
        <x:v>2</x:v>
      </x:c>
      <x:c r="AK79" s="9" t="n">
        <x:f>MAX(IF('01_数值调参'!AK18&lt;0,'03_全链计算'!E78+1,0),IF('01_数值调参'!AK19&lt;0,'03_全链计算'!F78+1,0),IF('01_数值调参'!AK20&lt;0,'03_全链计算'!G78+1,0),IF('01_数值调参'!AK21&lt;0,'03_全链计算'!H78+1,0),IF('01_数值调参'!AK22&lt;0,'03_全链计算'!I78+1,0),IF('01_数值调参'!AK23&lt;0,'03_全链计算'!J78+1,0),IF('01_数值调参'!AK24&lt;0,'03_全链计算'!K78+1,0),IF('01_数值调参'!AK25&lt;0,'03_全链计算'!L78+1,0),IF('01_数值调参'!AK26&lt;0,'03_全链计算'!M78+1,0),IF('01_数值调参'!AK27&lt;0,'03_全链计算'!N78+1,0),IF('01_数值调参'!AK28&lt;0,'03_全链计算'!O78+1,0),IF('01_数值调参'!AK29&lt;0,'03_全链计算'!P78+1,0),IF('01_数值调参'!AK30&lt;0,'03_全链计算'!Q78+1,0),IF('01_数值调参'!AK31&lt;0,'03_全链计算'!R78+1,0),IF('01_数值调参'!AK32&lt;0,'03_全链计算'!S78+1,0),IF('01_数值调参'!AK33&lt;0,'03_全链计算'!T78+1,0),IF('01_数值调参'!AK34&lt;0,'03_全链计算'!U78+1,0),IF('01_数值调参'!AK35&lt;0,'03_全链计算'!V78+1,0),IF('01_数值调参'!AK36&lt;0,'03_全链计算'!W78+1,0),IF('01_数值调参'!AK37&lt;0,'03_全链计算'!X78+1,0),IF('01_数值调参'!AK38&lt;0,'03_全链计算'!Y78+1,0),IF('01_数值调参'!AK39&lt;0,'03_全链计算'!Z78+1,0),IF('01_数值调参'!AK40&lt;0,'03_全链计算'!AA78+1,0),IF('01_数值调参'!AK41&lt;0,'03_全链计算'!AB78+1,0),IF('01_数值调参'!AK42&lt;0,'03_全链计算'!AC78+1,0),IF('01_数值调参'!AK43&lt;0,'03_全链计算'!AD78+1,0),IF('01_数值调参'!AK44&lt;0,'03_全链计算'!AE78+1,0),IF('01_数值调参'!AK45&lt;0,'03_全链计算'!AF78+1,0),IF('01_数值调参'!AK46&lt;0,'03_全链计算'!AG78+1,0),IF('01_数值调参'!AK47&lt;0,'03_全链计算'!AH78+1,0),IF('01_数值调参'!AK48&lt;0,'03_全链计算'!AI78+1,0),IF('01_数值调参'!AK49&lt;0,'03_全链计算'!AJ78+1,0),IF('01_数值调参'!AK50&lt;0,'03_全链计算'!AK78+1,0),IF('01_数值调参'!AK51&lt;0,'03_全链计算'!AL78+1,0),IF('01_数值调参'!AK52&lt;0,'03_全链计算'!AM78+1,0))</x:f>
        <x:v>2</x:v>
      </x:c>
      <x:c r="AL79" s="9" t="n">
        <x:f>MAX(IF('01_数值调参'!AL18&lt;0,'03_全链计算'!E78+1,0),IF('01_数值调参'!AL19&lt;0,'03_全链计算'!F78+1,0),IF('01_数值调参'!AL20&lt;0,'03_全链计算'!G78+1,0),IF('01_数值调参'!AL21&lt;0,'03_全链计算'!H78+1,0),IF('01_数值调参'!AL22&lt;0,'03_全链计算'!I78+1,0),IF('01_数值调参'!AL23&lt;0,'03_全链计算'!J78+1,0),IF('01_数值调参'!AL24&lt;0,'03_全链计算'!K78+1,0),IF('01_数值调参'!AL25&lt;0,'03_全链计算'!L78+1,0),IF('01_数值调参'!AL26&lt;0,'03_全链计算'!M78+1,0),IF('01_数值调参'!AL27&lt;0,'03_全链计算'!N78+1,0),IF('01_数值调参'!AL28&lt;0,'03_全链计算'!O78+1,0),IF('01_数值调参'!AL29&lt;0,'03_全链计算'!P78+1,0),IF('01_数值调参'!AL30&lt;0,'03_全链计算'!Q78+1,0),IF('01_数值调参'!AL31&lt;0,'03_全链计算'!R78+1,0),IF('01_数值调参'!AL32&lt;0,'03_全链计算'!S78+1,0),IF('01_数值调参'!AL33&lt;0,'03_全链计算'!T78+1,0),IF('01_数值调参'!AL34&lt;0,'03_全链计算'!U78+1,0),IF('01_数值调参'!AL35&lt;0,'03_全链计算'!V78+1,0),IF('01_数值调参'!AL36&lt;0,'03_全链计算'!W78+1,0),IF('01_数值调参'!AL37&lt;0,'03_全链计算'!X78+1,0),IF('01_数值调参'!AL38&lt;0,'03_全链计算'!Y78+1,0),IF('01_数值调参'!AL39&lt;0,'03_全链计算'!Z78+1,0),IF('01_数值调参'!AL40&lt;0,'03_全链计算'!AA78+1,0),IF('01_数值调参'!AL41&lt;0,'03_全链计算'!AB78+1,0),IF('01_数值调参'!AL42&lt;0,'03_全链计算'!AC78+1,0),IF('01_数值调参'!AL43&lt;0,'03_全链计算'!AD78+1,0),IF('01_数值调参'!AL44&lt;0,'03_全链计算'!AE78+1,0),IF('01_数值调参'!AL45&lt;0,'03_全链计算'!AF78+1,0),IF('01_数值调参'!AL46&lt;0,'03_全链计算'!AG78+1,0),IF('01_数值调参'!AL47&lt;0,'03_全链计算'!AH78+1,0),IF('01_数值调参'!AL48&lt;0,'03_全链计算'!AI78+1,0),IF('01_数值调参'!AL49&lt;0,'03_全链计算'!AJ78+1,0),IF('01_数值调参'!AL50&lt;0,'03_全链计算'!AK78+1,0),IF('01_数值调参'!AL51&lt;0,'03_全链计算'!AL78+1,0),IF('01_数值调参'!AL52&lt;0,'03_全链计算'!AM78+1,0))</x:f>
        <x:v>3</x:v>
      </x:c>
      <x:c r="AM79" s="9" t="n">
        <x:f>MAX(IF('01_数值调参'!AM18&lt;0,'03_全链计算'!E78+1,0),IF('01_数值调参'!AM19&lt;0,'03_全链计算'!F78+1,0),IF('01_数值调参'!AM20&lt;0,'03_全链计算'!G78+1,0),IF('01_数值调参'!AM21&lt;0,'03_全链计算'!H78+1,0),IF('01_数值调参'!AM22&lt;0,'03_全链计算'!I78+1,0),IF('01_数值调参'!AM23&lt;0,'03_全链计算'!J78+1,0),IF('01_数值调参'!AM24&lt;0,'03_全链计算'!K78+1,0),IF('01_数值调参'!AM25&lt;0,'03_全链计算'!L78+1,0),IF('01_数值调参'!AM26&lt;0,'03_全链计算'!M78+1,0),IF('01_数值调参'!AM27&lt;0,'03_全链计算'!N78+1,0),IF('01_数值调参'!AM28&lt;0,'03_全链计算'!O78+1,0),IF('01_数值调参'!AM29&lt;0,'03_全链计算'!P78+1,0),IF('01_数值调参'!AM30&lt;0,'03_全链计算'!Q78+1,0),IF('01_数值调参'!AM31&lt;0,'03_全链计算'!R78+1,0),IF('01_数值调参'!AM32&lt;0,'03_全链计算'!S78+1,0),IF('01_数值调参'!AM33&lt;0,'03_全链计算'!T78+1,0),IF('01_数值调参'!AM34&lt;0,'03_全链计算'!U78+1,0),IF('01_数值调参'!AM35&lt;0,'03_全链计算'!V78+1,0),IF('01_数值调参'!AM36&lt;0,'03_全链计算'!W78+1,0),IF('01_数值调参'!AM37&lt;0,'03_全链计算'!X78+1,0),IF('01_数值调参'!AM38&lt;0,'03_全链计算'!Y78+1,0),IF('01_数值调参'!AM39&lt;0,'03_全链计算'!Z78+1,0),IF('01_数值调参'!AM40&lt;0,'03_全链计算'!AA78+1,0),IF('01_数值调参'!AM41&lt;0,'03_全链计算'!AB78+1,0),IF('01_数值调参'!AM42&lt;0,'03_全链计算'!AC78+1,0),IF('01_数值调参'!AM43&lt;0,'03_全链计算'!AD78+1,0),IF('01_数值调参'!AM44&lt;0,'03_全链计算'!AE78+1,0),IF('01_数值调参'!AM45&lt;0,'03_全链计算'!AF78+1,0),IF('01_数值调参'!AM46&lt;0,'03_全链计算'!AG78+1,0),IF('01_数值调参'!AM47&lt;0,'03_全链计算'!AH78+1,0),IF('01_数值调参'!AM48&lt;0,'03_全链计算'!AI78+1,0),IF('01_数值调参'!AM49&lt;0,'03_全链计算'!AJ78+1,0),IF('01_数值调参'!AM50&lt;0,'03_全链计算'!AK78+1,0),IF('01_数值调参'!AM51&lt;0,'03_全链计算'!AL78+1,0),IF('01_数值调参'!AM52&lt;0,'03_全链计算'!AM78+1,0))</x:f>
        <x:v>3</x:v>
      </x:c>
    </x:row>
    <x:row r="80" ht="22" customHeight="1">
      <x:c r="A80" s="9" t="n">
        <x:v>35</x:v>
      </x:c>
      <x:c r="B80" s="9"/>
      <x:c r="C80" s="9"/>
      <x:c r="D80" s="9"/>
      <x:c r="E80" s="9" t="n">
        <x:f>MAX(IF('01_数值调参'!E18&lt;0,'03_全链计算'!E79+1,0),IF('01_数值调参'!E19&lt;0,'03_全链计算'!F79+1,0),IF('01_数值调参'!E20&lt;0,'03_全链计算'!G79+1,0),IF('01_数值调参'!E21&lt;0,'03_全链计算'!H79+1,0),IF('01_数值调参'!E22&lt;0,'03_全链计算'!I79+1,0),IF('01_数值调参'!E23&lt;0,'03_全链计算'!J79+1,0),IF('01_数值调参'!E24&lt;0,'03_全链计算'!K79+1,0),IF('01_数值调参'!E25&lt;0,'03_全链计算'!L79+1,0),IF('01_数值调参'!E26&lt;0,'03_全链计算'!M79+1,0),IF('01_数值调参'!E27&lt;0,'03_全链计算'!N79+1,0),IF('01_数值调参'!E28&lt;0,'03_全链计算'!O79+1,0),IF('01_数值调参'!E29&lt;0,'03_全链计算'!P79+1,0),IF('01_数值调参'!E30&lt;0,'03_全链计算'!Q79+1,0),IF('01_数值调参'!E31&lt;0,'03_全链计算'!R79+1,0),IF('01_数值调参'!E32&lt;0,'03_全链计算'!S79+1,0),IF('01_数值调参'!E33&lt;0,'03_全链计算'!T79+1,0),IF('01_数值调参'!E34&lt;0,'03_全链计算'!U79+1,0),IF('01_数值调参'!E35&lt;0,'03_全链计算'!V79+1,0),IF('01_数值调参'!E36&lt;0,'03_全链计算'!W79+1,0),IF('01_数值调参'!E37&lt;0,'03_全链计算'!X79+1,0),IF('01_数值调参'!E38&lt;0,'03_全链计算'!Y79+1,0),IF('01_数值调参'!E39&lt;0,'03_全链计算'!Z79+1,0),IF('01_数值调参'!E40&lt;0,'03_全链计算'!AA79+1,0),IF('01_数值调参'!E41&lt;0,'03_全链计算'!AB79+1,0),IF('01_数值调参'!E42&lt;0,'03_全链计算'!AC79+1,0),IF('01_数值调参'!E43&lt;0,'03_全链计算'!AD79+1,0),IF('01_数值调参'!E44&lt;0,'03_全链计算'!AE79+1,0),IF('01_数值调参'!E45&lt;0,'03_全链计算'!AF79+1,0),IF('01_数值调参'!E46&lt;0,'03_全链计算'!AG79+1,0),IF('01_数值调参'!E47&lt;0,'03_全链计算'!AH79+1,0),IF('01_数值调参'!E48&lt;0,'03_全链计算'!AI79+1,0),IF('01_数值调参'!E49&lt;0,'03_全链计算'!AJ79+1,0),IF('01_数值调参'!E50&lt;0,'03_全链计算'!AK79+1,0),IF('01_数值调参'!E51&lt;0,'03_全链计算'!AL79+1,0),IF('01_数值调参'!E52&lt;0,'03_全链计算'!AM79+1,0))</x:f>
        <x:v>0</x:v>
      </x:c>
      <x:c r="F80" s="9" t="n">
        <x:f>MAX(IF('01_数值调参'!F18&lt;0,'03_全链计算'!E79+1,0),IF('01_数值调参'!F19&lt;0,'03_全链计算'!F79+1,0),IF('01_数值调参'!F20&lt;0,'03_全链计算'!G79+1,0),IF('01_数值调参'!F21&lt;0,'03_全链计算'!H79+1,0),IF('01_数值调参'!F22&lt;0,'03_全链计算'!I79+1,0),IF('01_数值调参'!F23&lt;0,'03_全链计算'!J79+1,0),IF('01_数值调参'!F24&lt;0,'03_全链计算'!K79+1,0),IF('01_数值调参'!F25&lt;0,'03_全链计算'!L79+1,0),IF('01_数值调参'!F26&lt;0,'03_全链计算'!M79+1,0),IF('01_数值调参'!F27&lt;0,'03_全链计算'!N79+1,0),IF('01_数值调参'!F28&lt;0,'03_全链计算'!O79+1,0),IF('01_数值调参'!F29&lt;0,'03_全链计算'!P79+1,0),IF('01_数值调参'!F30&lt;0,'03_全链计算'!Q79+1,0),IF('01_数值调参'!F31&lt;0,'03_全链计算'!R79+1,0),IF('01_数值调参'!F32&lt;0,'03_全链计算'!S79+1,0),IF('01_数值调参'!F33&lt;0,'03_全链计算'!T79+1,0),IF('01_数值调参'!F34&lt;0,'03_全链计算'!U79+1,0),IF('01_数值调参'!F35&lt;0,'03_全链计算'!V79+1,0),IF('01_数值调参'!F36&lt;0,'03_全链计算'!W79+1,0),IF('01_数值调参'!F37&lt;0,'03_全链计算'!X79+1,0),IF('01_数值调参'!F38&lt;0,'03_全链计算'!Y79+1,0),IF('01_数值调参'!F39&lt;0,'03_全链计算'!Z79+1,0),IF('01_数值调参'!F40&lt;0,'03_全链计算'!AA79+1,0),IF('01_数值调参'!F41&lt;0,'03_全链计算'!AB79+1,0),IF('01_数值调参'!F42&lt;0,'03_全链计算'!AC79+1,0),IF('01_数值调参'!F43&lt;0,'03_全链计算'!AD79+1,0),IF('01_数值调参'!F44&lt;0,'03_全链计算'!AE79+1,0),IF('01_数值调参'!F45&lt;0,'03_全链计算'!AF79+1,0),IF('01_数值调参'!F46&lt;0,'03_全链计算'!AG79+1,0),IF('01_数值调参'!F47&lt;0,'03_全链计算'!AH79+1,0),IF('01_数值调参'!F48&lt;0,'03_全链计算'!AI79+1,0),IF('01_数值调参'!F49&lt;0,'03_全链计算'!AJ79+1,0),IF('01_数值调参'!F50&lt;0,'03_全链计算'!AK79+1,0),IF('01_数值调参'!F51&lt;0,'03_全链计算'!AL79+1,0),IF('01_数值调参'!F52&lt;0,'03_全链计算'!AM79+1,0))</x:f>
        <x:v>0</x:v>
      </x:c>
      <x:c r="G80" s="9" t="n">
        <x:f>MAX(IF('01_数值调参'!G18&lt;0,'03_全链计算'!E79+1,0),IF('01_数值调参'!G19&lt;0,'03_全链计算'!F79+1,0),IF('01_数值调参'!G20&lt;0,'03_全链计算'!G79+1,0),IF('01_数值调参'!G21&lt;0,'03_全链计算'!H79+1,0),IF('01_数值调参'!G22&lt;0,'03_全链计算'!I79+1,0),IF('01_数值调参'!G23&lt;0,'03_全链计算'!J79+1,0),IF('01_数值调参'!G24&lt;0,'03_全链计算'!K79+1,0),IF('01_数值调参'!G25&lt;0,'03_全链计算'!L79+1,0),IF('01_数值调参'!G26&lt;0,'03_全链计算'!M79+1,0),IF('01_数值调参'!G27&lt;0,'03_全链计算'!N79+1,0),IF('01_数值调参'!G28&lt;0,'03_全链计算'!O79+1,0),IF('01_数值调参'!G29&lt;0,'03_全链计算'!P79+1,0),IF('01_数值调参'!G30&lt;0,'03_全链计算'!Q79+1,0),IF('01_数值调参'!G31&lt;0,'03_全链计算'!R79+1,0),IF('01_数值调参'!G32&lt;0,'03_全链计算'!S79+1,0),IF('01_数值调参'!G33&lt;0,'03_全链计算'!T79+1,0),IF('01_数值调参'!G34&lt;0,'03_全链计算'!U79+1,0),IF('01_数值调参'!G35&lt;0,'03_全链计算'!V79+1,0),IF('01_数值调参'!G36&lt;0,'03_全链计算'!W79+1,0),IF('01_数值调参'!G37&lt;0,'03_全链计算'!X79+1,0),IF('01_数值调参'!G38&lt;0,'03_全链计算'!Y79+1,0),IF('01_数值调参'!G39&lt;0,'03_全链计算'!Z79+1,0),IF('01_数值调参'!G40&lt;0,'03_全链计算'!AA79+1,0),IF('01_数值调参'!G41&lt;0,'03_全链计算'!AB79+1,0),IF('01_数值调参'!G42&lt;0,'03_全链计算'!AC79+1,0),IF('01_数值调参'!G43&lt;0,'03_全链计算'!AD79+1,0),IF('01_数值调参'!G44&lt;0,'03_全链计算'!AE79+1,0),IF('01_数值调参'!G45&lt;0,'03_全链计算'!AF79+1,0),IF('01_数值调参'!G46&lt;0,'03_全链计算'!AG79+1,0),IF('01_数值调参'!G47&lt;0,'03_全链计算'!AH79+1,0),IF('01_数值调参'!G48&lt;0,'03_全链计算'!AI79+1,0),IF('01_数值调参'!G49&lt;0,'03_全链计算'!AJ79+1,0),IF('01_数值调参'!G50&lt;0,'03_全链计算'!AK79+1,0),IF('01_数值调参'!G51&lt;0,'03_全链计算'!AL79+1,0),IF('01_数值调参'!G52&lt;0,'03_全链计算'!AM79+1,0))</x:f>
        <x:v>0</x:v>
      </x:c>
      <x:c r="H80" s="9" t="n">
        <x:f>MAX(IF('01_数值调参'!H18&lt;0,'03_全链计算'!E79+1,0),IF('01_数值调参'!H19&lt;0,'03_全链计算'!F79+1,0),IF('01_数值调参'!H20&lt;0,'03_全链计算'!G79+1,0),IF('01_数值调参'!H21&lt;0,'03_全链计算'!H79+1,0),IF('01_数值调参'!H22&lt;0,'03_全链计算'!I79+1,0),IF('01_数值调参'!H23&lt;0,'03_全链计算'!J79+1,0),IF('01_数值调参'!H24&lt;0,'03_全链计算'!K79+1,0),IF('01_数值调参'!H25&lt;0,'03_全链计算'!L79+1,0),IF('01_数值调参'!H26&lt;0,'03_全链计算'!M79+1,0),IF('01_数值调参'!H27&lt;0,'03_全链计算'!N79+1,0),IF('01_数值调参'!H28&lt;0,'03_全链计算'!O79+1,0),IF('01_数值调参'!H29&lt;0,'03_全链计算'!P79+1,0),IF('01_数值调参'!H30&lt;0,'03_全链计算'!Q79+1,0),IF('01_数值调参'!H31&lt;0,'03_全链计算'!R79+1,0),IF('01_数值调参'!H32&lt;0,'03_全链计算'!S79+1,0),IF('01_数值调参'!H33&lt;0,'03_全链计算'!T79+1,0),IF('01_数值调参'!H34&lt;0,'03_全链计算'!U79+1,0),IF('01_数值调参'!H35&lt;0,'03_全链计算'!V79+1,0),IF('01_数值调参'!H36&lt;0,'03_全链计算'!W79+1,0),IF('01_数值调参'!H37&lt;0,'03_全链计算'!X79+1,0),IF('01_数值调参'!H38&lt;0,'03_全链计算'!Y79+1,0),IF('01_数值调参'!H39&lt;0,'03_全链计算'!Z79+1,0),IF('01_数值调参'!H40&lt;0,'03_全链计算'!AA79+1,0),IF('01_数值调参'!H41&lt;0,'03_全链计算'!AB79+1,0),IF('01_数值调参'!H42&lt;0,'03_全链计算'!AC79+1,0),IF('01_数值调参'!H43&lt;0,'03_全链计算'!AD79+1,0),IF('01_数值调参'!H44&lt;0,'03_全链计算'!AE79+1,0),IF('01_数值调参'!H45&lt;0,'03_全链计算'!AF79+1,0),IF('01_数值调参'!H46&lt;0,'03_全链计算'!AG79+1,0),IF('01_数值调参'!H47&lt;0,'03_全链计算'!AH79+1,0),IF('01_数值调参'!H48&lt;0,'03_全链计算'!AI79+1,0),IF('01_数值调参'!H49&lt;0,'03_全链计算'!AJ79+1,0),IF('01_数值调参'!H50&lt;0,'03_全链计算'!AK79+1,0),IF('01_数值调参'!H51&lt;0,'03_全链计算'!AL79+1,0),IF('01_数值调参'!H52&lt;0,'03_全链计算'!AM79+1,0))</x:f>
        <x:v>0</x:v>
      </x:c>
      <x:c r="I80" s="9" t="n">
        <x:f>MAX(IF('01_数值调参'!I18&lt;0,'03_全链计算'!E79+1,0),IF('01_数值调参'!I19&lt;0,'03_全链计算'!F79+1,0),IF('01_数值调参'!I20&lt;0,'03_全链计算'!G79+1,0),IF('01_数值调参'!I21&lt;0,'03_全链计算'!H79+1,0),IF('01_数值调参'!I22&lt;0,'03_全链计算'!I79+1,0),IF('01_数值调参'!I23&lt;0,'03_全链计算'!J79+1,0),IF('01_数值调参'!I24&lt;0,'03_全链计算'!K79+1,0),IF('01_数值调参'!I25&lt;0,'03_全链计算'!L79+1,0),IF('01_数值调参'!I26&lt;0,'03_全链计算'!M79+1,0),IF('01_数值调参'!I27&lt;0,'03_全链计算'!N79+1,0),IF('01_数值调参'!I28&lt;0,'03_全链计算'!O79+1,0),IF('01_数值调参'!I29&lt;0,'03_全链计算'!P79+1,0),IF('01_数值调参'!I30&lt;0,'03_全链计算'!Q79+1,0),IF('01_数值调参'!I31&lt;0,'03_全链计算'!R79+1,0),IF('01_数值调参'!I32&lt;0,'03_全链计算'!S79+1,0),IF('01_数值调参'!I33&lt;0,'03_全链计算'!T79+1,0),IF('01_数值调参'!I34&lt;0,'03_全链计算'!U79+1,0),IF('01_数值调参'!I35&lt;0,'03_全链计算'!V79+1,0),IF('01_数值调参'!I36&lt;0,'03_全链计算'!W79+1,0),IF('01_数值调参'!I37&lt;0,'03_全链计算'!X79+1,0),IF('01_数值调参'!I38&lt;0,'03_全链计算'!Y79+1,0),IF('01_数值调参'!I39&lt;0,'03_全链计算'!Z79+1,0),IF('01_数值调参'!I40&lt;0,'03_全链计算'!AA79+1,0),IF('01_数值调参'!I41&lt;0,'03_全链计算'!AB79+1,0),IF('01_数值调参'!I42&lt;0,'03_全链计算'!AC79+1,0),IF('01_数值调参'!I43&lt;0,'03_全链计算'!AD79+1,0),IF('01_数值调参'!I44&lt;0,'03_全链计算'!AE79+1,0),IF('01_数值调参'!I45&lt;0,'03_全链计算'!AF79+1,0),IF('01_数值调参'!I46&lt;0,'03_全链计算'!AG79+1,0),IF('01_数值调参'!I47&lt;0,'03_全链计算'!AH79+1,0),IF('01_数值调参'!I48&lt;0,'03_全链计算'!AI79+1,0),IF('01_数值调参'!I49&lt;0,'03_全链计算'!AJ79+1,0),IF('01_数值调参'!I50&lt;0,'03_全链计算'!AK79+1,0),IF('01_数值调参'!I51&lt;0,'03_全链计算'!AL79+1,0),IF('01_数值调参'!I52&lt;0,'03_全链计算'!AM79+1,0))</x:f>
        <x:v>0</x:v>
      </x:c>
      <x:c r="J80" s="9" t="n">
        <x:f>MAX(IF('01_数值调参'!J18&lt;0,'03_全链计算'!E79+1,0),IF('01_数值调参'!J19&lt;0,'03_全链计算'!F79+1,0),IF('01_数值调参'!J20&lt;0,'03_全链计算'!G79+1,0),IF('01_数值调参'!J21&lt;0,'03_全链计算'!H79+1,0),IF('01_数值调参'!J22&lt;0,'03_全链计算'!I79+1,0),IF('01_数值调参'!J23&lt;0,'03_全链计算'!J79+1,0),IF('01_数值调参'!J24&lt;0,'03_全链计算'!K79+1,0),IF('01_数值调参'!J25&lt;0,'03_全链计算'!L79+1,0),IF('01_数值调参'!J26&lt;0,'03_全链计算'!M79+1,0),IF('01_数值调参'!J27&lt;0,'03_全链计算'!N79+1,0),IF('01_数值调参'!J28&lt;0,'03_全链计算'!O79+1,0),IF('01_数值调参'!J29&lt;0,'03_全链计算'!P79+1,0),IF('01_数值调参'!J30&lt;0,'03_全链计算'!Q79+1,0),IF('01_数值调参'!J31&lt;0,'03_全链计算'!R79+1,0),IF('01_数值调参'!J32&lt;0,'03_全链计算'!S79+1,0),IF('01_数值调参'!J33&lt;0,'03_全链计算'!T79+1,0),IF('01_数值调参'!J34&lt;0,'03_全链计算'!U79+1,0),IF('01_数值调参'!J35&lt;0,'03_全链计算'!V79+1,0),IF('01_数值调参'!J36&lt;0,'03_全链计算'!W79+1,0),IF('01_数值调参'!J37&lt;0,'03_全链计算'!X79+1,0),IF('01_数值调参'!J38&lt;0,'03_全链计算'!Y79+1,0),IF('01_数值调参'!J39&lt;0,'03_全链计算'!Z79+1,0),IF('01_数值调参'!J40&lt;0,'03_全链计算'!AA79+1,0),IF('01_数值调参'!J41&lt;0,'03_全链计算'!AB79+1,0),IF('01_数值调参'!J42&lt;0,'03_全链计算'!AC79+1,0),IF('01_数值调参'!J43&lt;0,'03_全链计算'!AD79+1,0),IF('01_数值调参'!J44&lt;0,'03_全链计算'!AE79+1,0),IF('01_数值调参'!J45&lt;0,'03_全链计算'!AF79+1,0),IF('01_数值调参'!J46&lt;0,'03_全链计算'!AG79+1,0),IF('01_数值调参'!J47&lt;0,'03_全链计算'!AH79+1,0),IF('01_数值调参'!J48&lt;0,'03_全链计算'!AI79+1,0),IF('01_数值调参'!J49&lt;0,'03_全链计算'!AJ79+1,0),IF('01_数值调参'!J50&lt;0,'03_全链计算'!AK79+1,0),IF('01_数值调参'!J51&lt;0,'03_全链计算'!AL79+1,0),IF('01_数值调参'!J52&lt;0,'03_全链计算'!AM79+1,0))</x:f>
        <x:v>0</x:v>
      </x:c>
      <x:c r="K80" s="9" t="n">
        <x:f>MAX(IF('01_数值调参'!K18&lt;0,'03_全链计算'!E79+1,0),IF('01_数值调参'!K19&lt;0,'03_全链计算'!F79+1,0),IF('01_数值调参'!K20&lt;0,'03_全链计算'!G79+1,0),IF('01_数值调参'!K21&lt;0,'03_全链计算'!H79+1,0),IF('01_数值调参'!K22&lt;0,'03_全链计算'!I79+1,0),IF('01_数值调参'!K23&lt;0,'03_全链计算'!J79+1,0),IF('01_数值调参'!K24&lt;0,'03_全链计算'!K79+1,0),IF('01_数值调参'!K25&lt;0,'03_全链计算'!L79+1,0),IF('01_数值调参'!K26&lt;0,'03_全链计算'!M79+1,0),IF('01_数值调参'!K27&lt;0,'03_全链计算'!N79+1,0),IF('01_数值调参'!K28&lt;0,'03_全链计算'!O79+1,0),IF('01_数值调参'!K29&lt;0,'03_全链计算'!P79+1,0),IF('01_数值调参'!K30&lt;0,'03_全链计算'!Q79+1,0),IF('01_数值调参'!K31&lt;0,'03_全链计算'!R79+1,0),IF('01_数值调参'!K32&lt;0,'03_全链计算'!S79+1,0),IF('01_数值调参'!K33&lt;0,'03_全链计算'!T79+1,0),IF('01_数值调参'!K34&lt;0,'03_全链计算'!U79+1,0),IF('01_数值调参'!K35&lt;0,'03_全链计算'!V79+1,0),IF('01_数值调参'!K36&lt;0,'03_全链计算'!W79+1,0),IF('01_数值调参'!K37&lt;0,'03_全链计算'!X79+1,0),IF('01_数值调参'!K38&lt;0,'03_全链计算'!Y79+1,0),IF('01_数值调参'!K39&lt;0,'03_全链计算'!Z79+1,0),IF('01_数值调参'!K40&lt;0,'03_全链计算'!AA79+1,0),IF('01_数值调参'!K41&lt;0,'03_全链计算'!AB79+1,0),IF('01_数值调参'!K42&lt;0,'03_全链计算'!AC79+1,0),IF('01_数值调参'!K43&lt;0,'03_全链计算'!AD79+1,0),IF('01_数值调参'!K44&lt;0,'03_全链计算'!AE79+1,0),IF('01_数值调参'!K45&lt;0,'03_全链计算'!AF79+1,0),IF('01_数值调参'!K46&lt;0,'03_全链计算'!AG79+1,0),IF('01_数值调参'!K47&lt;0,'03_全链计算'!AH79+1,0),IF('01_数值调参'!K48&lt;0,'03_全链计算'!AI79+1,0),IF('01_数值调参'!K49&lt;0,'03_全链计算'!AJ79+1,0),IF('01_数值调参'!K50&lt;0,'03_全链计算'!AK79+1,0),IF('01_数值调参'!K51&lt;0,'03_全链计算'!AL79+1,0),IF('01_数值调参'!K52&lt;0,'03_全链计算'!AM79+1,0))</x:f>
        <x:v>0</x:v>
      </x:c>
      <x:c r="L80" s="9" t="n">
        <x:f>MAX(IF('01_数值调参'!L18&lt;0,'03_全链计算'!E79+1,0),IF('01_数值调参'!L19&lt;0,'03_全链计算'!F79+1,0),IF('01_数值调参'!L20&lt;0,'03_全链计算'!G79+1,0),IF('01_数值调参'!L21&lt;0,'03_全链计算'!H79+1,0),IF('01_数值调参'!L22&lt;0,'03_全链计算'!I79+1,0),IF('01_数值调参'!L23&lt;0,'03_全链计算'!J79+1,0),IF('01_数值调参'!L24&lt;0,'03_全链计算'!K79+1,0),IF('01_数值调参'!L25&lt;0,'03_全链计算'!L79+1,0),IF('01_数值调参'!L26&lt;0,'03_全链计算'!M79+1,0),IF('01_数值调参'!L27&lt;0,'03_全链计算'!N79+1,0),IF('01_数值调参'!L28&lt;0,'03_全链计算'!O79+1,0),IF('01_数值调参'!L29&lt;0,'03_全链计算'!P79+1,0),IF('01_数值调参'!L30&lt;0,'03_全链计算'!Q79+1,0),IF('01_数值调参'!L31&lt;0,'03_全链计算'!R79+1,0),IF('01_数值调参'!L32&lt;0,'03_全链计算'!S79+1,0),IF('01_数值调参'!L33&lt;0,'03_全链计算'!T79+1,0),IF('01_数值调参'!L34&lt;0,'03_全链计算'!U79+1,0),IF('01_数值调参'!L35&lt;0,'03_全链计算'!V79+1,0),IF('01_数值调参'!L36&lt;0,'03_全链计算'!W79+1,0),IF('01_数值调参'!L37&lt;0,'03_全链计算'!X79+1,0),IF('01_数值调参'!L38&lt;0,'03_全链计算'!Y79+1,0),IF('01_数值调参'!L39&lt;0,'03_全链计算'!Z79+1,0),IF('01_数值调参'!L40&lt;0,'03_全链计算'!AA79+1,0),IF('01_数值调参'!L41&lt;0,'03_全链计算'!AB79+1,0),IF('01_数值调参'!L42&lt;0,'03_全链计算'!AC79+1,0),IF('01_数值调参'!L43&lt;0,'03_全链计算'!AD79+1,0),IF('01_数值调参'!L44&lt;0,'03_全链计算'!AE79+1,0),IF('01_数值调参'!L45&lt;0,'03_全链计算'!AF79+1,0),IF('01_数值调参'!L46&lt;0,'03_全链计算'!AG79+1,0),IF('01_数值调参'!L47&lt;0,'03_全链计算'!AH79+1,0),IF('01_数值调参'!L48&lt;0,'03_全链计算'!AI79+1,0),IF('01_数值调参'!L49&lt;0,'03_全链计算'!AJ79+1,0),IF('01_数值调参'!L50&lt;0,'03_全链计算'!AK79+1,0),IF('01_数值调参'!L51&lt;0,'03_全链计算'!AL79+1,0),IF('01_数值调参'!L52&lt;0,'03_全链计算'!AM79+1,0))</x:f>
        <x:v>0</x:v>
      </x:c>
      <x:c r="M80" s="9" t="n">
        <x:f>MAX(IF('01_数值调参'!M18&lt;0,'03_全链计算'!E79+1,0),IF('01_数值调参'!M19&lt;0,'03_全链计算'!F79+1,0),IF('01_数值调参'!M20&lt;0,'03_全链计算'!G79+1,0),IF('01_数值调参'!M21&lt;0,'03_全链计算'!H79+1,0),IF('01_数值调参'!M22&lt;0,'03_全链计算'!I79+1,0),IF('01_数值调参'!M23&lt;0,'03_全链计算'!J79+1,0),IF('01_数值调参'!M24&lt;0,'03_全链计算'!K79+1,0),IF('01_数值调参'!M25&lt;0,'03_全链计算'!L79+1,0),IF('01_数值调参'!M26&lt;0,'03_全链计算'!M79+1,0),IF('01_数值调参'!M27&lt;0,'03_全链计算'!N79+1,0),IF('01_数值调参'!M28&lt;0,'03_全链计算'!O79+1,0),IF('01_数值调参'!M29&lt;0,'03_全链计算'!P79+1,0),IF('01_数值调参'!M30&lt;0,'03_全链计算'!Q79+1,0),IF('01_数值调参'!M31&lt;0,'03_全链计算'!R79+1,0),IF('01_数值调参'!M32&lt;0,'03_全链计算'!S79+1,0),IF('01_数值调参'!M33&lt;0,'03_全链计算'!T79+1,0),IF('01_数值调参'!M34&lt;0,'03_全链计算'!U79+1,0),IF('01_数值调参'!M35&lt;0,'03_全链计算'!V79+1,0),IF('01_数值调参'!M36&lt;0,'03_全链计算'!W79+1,0),IF('01_数值调参'!M37&lt;0,'03_全链计算'!X79+1,0),IF('01_数值调参'!M38&lt;0,'03_全链计算'!Y79+1,0),IF('01_数值调参'!M39&lt;0,'03_全链计算'!Z79+1,0),IF('01_数值调参'!M40&lt;0,'03_全链计算'!AA79+1,0),IF('01_数值调参'!M41&lt;0,'03_全链计算'!AB79+1,0),IF('01_数值调参'!M42&lt;0,'03_全链计算'!AC79+1,0),IF('01_数值调参'!M43&lt;0,'03_全链计算'!AD79+1,0),IF('01_数值调参'!M44&lt;0,'03_全链计算'!AE79+1,0),IF('01_数值调参'!M45&lt;0,'03_全链计算'!AF79+1,0),IF('01_数值调参'!M46&lt;0,'03_全链计算'!AG79+1,0),IF('01_数值调参'!M47&lt;0,'03_全链计算'!AH79+1,0),IF('01_数值调参'!M48&lt;0,'03_全链计算'!AI79+1,0),IF('01_数值调参'!M49&lt;0,'03_全链计算'!AJ79+1,0),IF('01_数值调参'!M50&lt;0,'03_全链计算'!AK79+1,0),IF('01_数值调参'!M51&lt;0,'03_全链计算'!AL79+1,0),IF('01_数值调参'!M52&lt;0,'03_全链计算'!AM79+1,0))</x:f>
        <x:v>0</x:v>
      </x:c>
      <x:c r="N80" s="9" t="n">
        <x:f>MAX(IF('01_数值调参'!N18&lt;0,'03_全链计算'!E79+1,0),IF('01_数值调参'!N19&lt;0,'03_全链计算'!F79+1,0),IF('01_数值调参'!N20&lt;0,'03_全链计算'!G79+1,0),IF('01_数值调参'!N21&lt;0,'03_全链计算'!H79+1,0),IF('01_数值调参'!N22&lt;0,'03_全链计算'!I79+1,0),IF('01_数值调参'!N23&lt;0,'03_全链计算'!J79+1,0),IF('01_数值调参'!N24&lt;0,'03_全链计算'!K79+1,0),IF('01_数值调参'!N25&lt;0,'03_全链计算'!L79+1,0),IF('01_数值调参'!N26&lt;0,'03_全链计算'!M79+1,0),IF('01_数值调参'!N27&lt;0,'03_全链计算'!N79+1,0),IF('01_数值调参'!N28&lt;0,'03_全链计算'!O79+1,0),IF('01_数值调参'!N29&lt;0,'03_全链计算'!P79+1,0),IF('01_数值调参'!N30&lt;0,'03_全链计算'!Q79+1,0),IF('01_数值调参'!N31&lt;0,'03_全链计算'!R79+1,0),IF('01_数值调参'!N32&lt;0,'03_全链计算'!S79+1,0),IF('01_数值调参'!N33&lt;0,'03_全链计算'!T79+1,0),IF('01_数值调参'!N34&lt;0,'03_全链计算'!U79+1,0),IF('01_数值调参'!N35&lt;0,'03_全链计算'!V79+1,0),IF('01_数值调参'!N36&lt;0,'03_全链计算'!W79+1,0),IF('01_数值调参'!N37&lt;0,'03_全链计算'!X79+1,0),IF('01_数值调参'!N38&lt;0,'03_全链计算'!Y79+1,0),IF('01_数值调参'!N39&lt;0,'03_全链计算'!Z79+1,0),IF('01_数值调参'!N40&lt;0,'03_全链计算'!AA79+1,0),IF('01_数值调参'!N41&lt;0,'03_全链计算'!AB79+1,0),IF('01_数值调参'!N42&lt;0,'03_全链计算'!AC79+1,0),IF('01_数值调参'!N43&lt;0,'03_全链计算'!AD79+1,0),IF('01_数值调参'!N44&lt;0,'03_全链计算'!AE79+1,0),IF('01_数值调参'!N45&lt;0,'03_全链计算'!AF79+1,0),IF('01_数值调参'!N46&lt;0,'03_全链计算'!AG79+1,0),IF('01_数值调参'!N47&lt;0,'03_全链计算'!AH79+1,0),IF('01_数值调参'!N48&lt;0,'03_全链计算'!AI79+1,0),IF('01_数值调参'!N49&lt;0,'03_全链计算'!AJ79+1,0),IF('01_数值调参'!N50&lt;0,'03_全链计算'!AK79+1,0),IF('01_数值调参'!N51&lt;0,'03_全链计算'!AL79+1,0),IF('01_数值调参'!N52&lt;0,'03_全链计算'!AM79+1,0))</x:f>
        <x:v>1</x:v>
      </x:c>
      <x:c r="O80" s="9" t="n">
        <x:f>MAX(IF('01_数值调参'!O18&lt;0,'03_全链计算'!E79+1,0),IF('01_数值调参'!O19&lt;0,'03_全链计算'!F79+1,0),IF('01_数值调参'!O20&lt;0,'03_全链计算'!G79+1,0),IF('01_数值调参'!O21&lt;0,'03_全链计算'!H79+1,0),IF('01_数值调参'!O22&lt;0,'03_全链计算'!I79+1,0),IF('01_数值调参'!O23&lt;0,'03_全链计算'!J79+1,0),IF('01_数值调参'!O24&lt;0,'03_全链计算'!K79+1,0),IF('01_数值调参'!O25&lt;0,'03_全链计算'!L79+1,0),IF('01_数值调参'!O26&lt;0,'03_全链计算'!M79+1,0),IF('01_数值调参'!O27&lt;0,'03_全链计算'!N79+1,0),IF('01_数值调参'!O28&lt;0,'03_全链计算'!O79+1,0),IF('01_数值调参'!O29&lt;0,'03_全链计算'!P79+1,0),IF('01_数值调参'!O30&lt;0,'03_全链计算'!Q79+1,0),IF('01_数值调参'!O31&lt;0,'03_全链计算'!R79+1,0),IF('01_数值调参'!O32&lt;0,'03_全链计算'!S79+1,0),IF('01_数值调参'!O33&lt;0,'03_全链计算'!T79+1,0),IF('01_数值调参'!O34&lt;0,'03_全链计算'!U79+1,0),IF('01_数值调参'!O35&lt;0,'03_全链计算'!V79+1,0),IF('01_数值调参'!O36&lt;0,'03_全链计算'!W79+1,0),IF('01_数值调参'!O37&lt;0,'03_全链计算'!X79+1,0),IF('01_数值调参'!O38&lt;0,'03_全链计算'!Y79+1,0),IF('01_数值调参'!O39&lt;0,'03_全链计算'!Z79+1,0),IF('01_数值调参'!O40&lt;0,'03_全链计算'!AA79+1,0),IF('01_数值调参'!O41&lt;0,'03_全链计算'!AB79+1,0),IF('01_数值调参'!O42&lt;0,'03_全链计算'!AC79+1,0),IF('01_数值调参'!O43&lt;0,'03_全链计算'!AD79+1,0),IF('01_数值调参'!O44&lt;0,'03_全链计算'!AE79+1,0),IF('01_数值调参'!O45&lt;0,'03_全链计算'!AF79+1,0),IF('01_数值调参'!O46&lt;0,'03_全链计算'!AG79+1,0),IF('01_数值调参'!O47&lt;0,'03_全链计算'!AH79+1,0),IF('01_数值调参'!O48&lt;0,'03_全链计算'!AI79+1,0),IF('01_数值调参'!O49&lt;0,'03_全链计算'!AJ79+1,0),IF('01_数值调参'!O50&lt;0,'03_全链计算'!AK79+1,0),IF('01_数值调参'!O51&lt;0,'03_全链计算'!AL79+1,0),IF('01_数值调参'!O52&lt;0,'03_全链计算'!AM79+1,0))</x:f>
        <x:v>1</x:v>
      </x:c>
      <x:c r="P80" s="9" t="n">
        <x:f>MAX(IF('01_数值调参'!P18&lt;0,'03_全链计算'!E79+1,0),IF('01_数值调参'!P19&lt;0,'03_全链计算'!F79+1,0),IF('01_数值调参'!P20&lt;0,'03_全链计算'!G79+1,0),IF('01_数值调参'!P21&lt;0,'03_全链计算'!H79+1,0),IF('01_数值调参'!P22&lt;0,'03_全链计算'!I79+1,0),IF('01_数值调参'!P23&lt;0,'03_全链计算'!J79+1,0),IF('01_数值调参'!P24&lt;0,'03_全链计算'!K79+1,0),IF('01_数值调参'!P25&lt;0,'03_全链计算'!L79+1,0),IF('01_数值调参'!P26&lt;0,'03_全链计算'!M79+1,0),IF('01_数值调参'!P27&lt;0,'03_全链计算'!N79+1,0),IF('01_数值调参'!P28&lt;0,'03_全链计算'!O79+1,0),IF('01_数值调参'!P29&lt;0,'03_全链计算'!P79+1,0),IF('01_数值调参'!P30&lt;0,'03_全链计算'!Q79+1,0),IF('01_数值调参'!P31&lt;0,'03_全链计算'!R79+1,0),IF('01_数值调参'!P32&lt;0,'03_全链计算'!S79+1,0),IF('01_数值调参'!P33&lt;0,'03_全链计算'!T79+1,0),IF('01_数值调参'!P34&lt;0,'03_全链计算'!U79+1,0),IF('01_数值调参'!P35&lt;0,'03_全链计算'!V79+1,0),IF('01_数值调参'!P36&lt;0,'03_全链计算'!W79+1,0),IF('01_数值调参'!P37&lt;0,'03_全链计算'!X79+1,0),IF('01_数值调参'!P38&lt;0,'03_全链计算'!Y79+1,0),IF('01_数值调参'!P39&lt;0,'03_全链计算'!Z79+1,0),IF('01_数值调参'!P40&lt;0,'03_全链计算'!AA79+1,0),IF('01_数值调参'!P41&lt;0,'03_全链计算'!AB79+1,0),IF('01_数值调参'!P42&lt;0,'03_全链计算'!AC79+1,0),IF('01_数值调参'!P43&lt;0,'03_全链计算'!AD79+1,0),IF('01_数值调参'!P44&lt;0,'03_全链计算'!AE79+1,0),IF('01_数值调参'!P45&lt;0,'03_全链计算'!AF79+1,0),IF('01_数值调参'!P46&lt;0,'03_全链计算'!AG79+1,0),IF('01_数值调参'!P47&lt;0,'03_全链计算'!AH79+1,0),IF('01_数值调参'!P48&lt;0,'03_全链计算'!AI79+1,0),IF('01_数值调参'!P49&lt;0,'03_全链计算'!AJ79+1,0),IF('01_数值调参'!P50&lt;0,'03_全链计算'!AK79+1,0),IF('01_数值调参'!P51&lt;0,'03_全链计算'!AL79+1,0),IF('01_数值调参'!P52&lt;0,'03_全链计算'!AM79+1,0))</x:f>
        <x:v>1</x:v>
      </x:c>
      <x:c r="Q80" s="9" t="n">
        <x:f>MAX(IF('01_数值调参'!Q18&lt;0,'03_全链计算'!E79+1,0),IF('01_数值调参'!Q19&lt;0,'03_全链计算'!F79+1,0),IF('01_数值调参'!Q20&lt;0,'03_全链计算'!G79+1,0),IF('01_数值调参'!Q21&lt;0,'03_全链计算'!H79+1,0),IF('01_数值调参'!Q22&lt;0,'03_全链计算'!I79+1,0),IF('01_数值调参'!Q23&lt;0,'03_全链计算'!J79+1,0),IF('01_数值调参'!Q24&lt;0,'03_全链计算'!K79+1,0),IF('01_数值调参'!Q25&lt;0,'03_全链计算'!L79+1,0),IF('01_数值调参'!Q26&lt;0,'03_全链计算'!M79+1,0),IF('01_数值调参'!Q27&lt;0,'03_全链计算'!N79+1,0),IF('01_数值调参'!Q28&lt;0,'03_全链计算'!O79+1,0),IF('01_数值调参'!Q29&lt;0,'03_全链计算'!P79+1,0),IF('01_数值调参'!Q30&lt;0,'03_全链计算'!Q79+1,0),IF('01_数值调参'!Q31&lt;0,'03_全链计算'!R79+1,0),IF('01_数值调参'!Q32&lt;0,'03_全链计算'!S79+1,0),IF('01_数值调参'!Q33&lt;0,'03_全链计算'!T79+1,0),IF('01_数值调参'!Q34&lt;0,'03_全链计算'!U79+1,0),IF('01_数值调参'!Q35&lt;0,'03_全链计算'!V79+1,0),IF('01_数值调参'!Q36&lt;0,'03_全链计算'!W79+1,0),IF('01_数值调参'!Q37&lt;0,'03_全链计算'!X79+1,0),IF('01_数值调参'!Q38&lt;0,'03_全链计算'!Y79+1,0),IF('01_数值调参'!Q39&lt;0,'03_全链计算'!Z79+1,0),IF('01_数值调参'!Q40&lt;0,'03_全链计算'!AA79+1,0),IF('01_数值调参'!Q41&lt;0,'03_全链计算'!AB79+1,0),IF('01_数值调参'!Q42&lt;0,'03_全链计算'!AC79+1,0),IF('01_数值调参'!Q43&lt;0,'03_全链计算'!AD79+1,0),IF('01_数值调参'!Q44&lt;0,'03_全链计算'!AE79+1,0),IF('01_数值调参'!Q45&lt;0,'03_全链计算'!AF79+1,0),IF('01_数值调参'!Q46&lt;0,'03_全链计算'!AG79+1,0),IF('01_数值调参'!Q47&lt;0,'03_全链计算'!AH79+1,0),IF('01_数值调参'!Q48&lt;0,'03_全链计算'!AI79+1,0),IF('01_数值调参'!Q49&lt;0,'03_全链计算'!AJ79+1,0),IF('01_数值调参'!Q50&lt;0,'03_全链计算'!AK79+1,0),IF('01_数值调参'!Q51&lt;0,'03_全链计算'!AL79+1,0),IF('01_数值调参'!Q52&lt;0,'03_全链计算'!AM79+1,0))</x:f>
        <x:v>1</x:v>
      </x:c>
      <x:c r="R80" s="9" t="n">
        <x:f>MAX(IF('01_数值调参'!R18&lt;0,'03_全链计算'!E79+1,0),IF('01_数值调参'!R19&lt;0,'03_全链计算'!F79+1,0),IF('01_数值调参'!R20&lt;0,'03_全链计算'!G79+1,0),IF('01_数值调参'!R21&lt;0,'03_全链计算'!H79+1,0),IF('01_数值调参'!R22&lt;0,'03_全链计算'!I79+1,0),IF('01_数值调参'!R23&lt;0,'03_全链计算'!J79+1,0),IF('01_数值调参'!R24&lt;0,'03_全链计算'!K79+1,0),IF('01_数值调参'!R25&lt;0,'03_全链计算'!L79+1,0),IF('01_数值调参'!R26&lt;0,'03_全链计算'!M79+1,0),IF('01_数值调参'!R27&lt;0,'03_全链计算'!N79+1,0),IF('01_数值调参'!R28&lt;0,'03_全链计算'!O79+1,0),IF('01_数值调参'!R29&lt;0,'03_全链计算'!P79+1,0),IF('01_数值调参'!R30&lt;0,'03_全链计算'!Q79+1,0),IF('01_数值调参'!R31&lt;0,'03_全链计算'!R79+1,0),IF('01_数值调参'!R32&lt;0,'03_全链计算'!S79+1,0),IF('01_数值调参'!R33&lt;0,'03_全链计算'!T79+1,0),IF('01_数值调参'!R34&lt;0,'03_全链计算'!U79+1,0),IF('01_数值调参'!R35&lt;0,'03_全链计算'!V79+1,0),IF('01_数值调参'!R36&lt;0,'03_全链计算'!W79+1,0),IF('01_数值调参'!R37&lt;0,'03_全链计算'!X79+1,0),IF('01_数值调参'!R38&lt;0,'03_全链计算'!Y79+1,0),IF('01_数值调参'!R39&lt;0,'03_全链计算'!Z79+1,0),IF('01_数值调参'!R40&lt;0,'03_全链计算'!AA79+1,0),IF('01_数值调参'!R41&lt;0,'03_全链计算'!AB79+1,0),IF('01_数值调参'!R42&lt;0,'03_全链计算'!AC79+1,0),IF('01_数值调参'!R43&lt;0,'03_全链计算'!AD79+1,0),IF('01_数值调参'!R44&lt;0,'03_全链计算'!AE79+1,0),IF('01_数值调参'!R45&lt;0,'03_全链计算'!AF79+1,0),IF('01_数值调参'!R46&lt;0,'03_全链计算'!AG79+1,0),IF('01_数值调参'!R47&lt;0,'03_全链计算'!AH79+1,0),IF('01_数值调参'!R48&lt;0,'03_全链计算'!AI79+1,0),IF('01_数值调参'!R49&lt;0,'03_全链计算'!AJ79+1,0),IF('01_数值调参'!R50&lt;0,'03_全链计算'!AK79+1,0),IF('01_数值调参'!R51&lt;0,'03_全链计算'!AL79+1,0),IF('01_数值调参'!R52&lt;0,'03_全链计算'!AM79+1,0))</x:f>
        <x:v>1</x:v>
      </x:c>
      <x:c r="S80" s="9" t="n">
        <x:f>MAX(IF('01_数值调参'!S18&lt;0,'03_全链计算'!E79+1,0),IF('01_数值调参'!S19&lt;0,'03_全链计算'!F79+1,0),IF('01_数值调参'!S20&lt;0,'03_全链计算'!G79+1,0),IF('01_数值调参'!S21&lt;0,'03_全链计算'!H79+1,0),IF('01_数值调参'!S22&lt;0,'03_全链计算'!I79+1,0),IF('01_数值调参'!S23&lt;0,'03_全链计算'!J79+1,0),IF('01_数值调参'!S24&lt;0,'03_全链计算'!K79+1,0),IF('01_数值调参'!S25&lt;0,'03_全链计算'!L79+1,0),IF('01_数值调参'!S26&lt;0,'03_全链计算'!M79+1,0),IF('01_数值调参'!S27&lt;0,'03_全链计算'!N79+1,0),IF('01_数值调参'!S28&lt;0,'03_全链计算'!O79+1,0),IF('01_数值调参'!S29&lt;0,'03_全链计算'!P79+1,0),IF('01_数值调参'!S30&lt;0,'03_全链计算'!Q79+1,0),IF('01_数值调参'!S31&lt;0,'03_全链计算'!R79+1,0),IF('01_数值调参'!S32&lt;0,'03_全链计算'!S79+1,0),IF('01_数值调参'!S33&lt;0,'03_全链计算'!T79+1,0),IF('01_数值调参'!S34&lt;0,'03_全链计算'!U79+1,0),IF('01_数值调参'!S35&lt;0,'03_全链计算'!V79+1,0),IF('01_数值调参'!S36&lt;0,'03_全链计算'!W79+1,0),IF('01_数值调参'!S37&lt;0,'03_全链计算'!X79+1,0),IF('01_数值调参'!S38&lt;0,'03_全链计算'!Y79+1,0),IF('01_数值调参'!S39&lt;0,'03_全链计算'!Z79+1,0),IF('01_数值调参'!S40&lt;0,'03_全链计算'!AA79+1,0),IF('01_数值调参'!S41&lt;0,'03_全链计算'!AB79+1,0),IF('01_数值调参'!S42&lt;0,'03_全链计算'!AC79+1,0),IF('01_数值调参'!S43&lt;0,'03_全链计算'!AD79+1,0),IF('01_数值调参'!S44&lt;0,'03_全链计算'!AE79+1,0),IF('01_数值调参'!S45&lt;0,'03_全链计算'!AF79+1,0),IF('01_数值调参'!S46&lt;0,'03_全链计算'!AG79+1,0),IF('01_数值调参'!S47&lt;0,'03_全链计算'!AH79+1,0),IF('01_数值调参'!S48&lt;0,'03_全链计算'!AI79+1,0),IF('01_数值调参'!S49&lt;0,'03_全链计算'!AJ79+1,0),IF('01_数值调参'!S50&lt;0,'03_全链计算'!AK79+1,0),IF('01_数值调参'!S51&lt;0,'03_全链计算'!AL79+1,0),IF('01_数值调参'!S52&lt;0,'03_全链计算'!AM79+1,0))</x:f>
        <x:v>1</x:v>
      </x:c>
      <x:c r="T80" s="9" t="n">
        <x:f>MAX(IF('01_数值调参'!T18&lt;0,'03_全链计算'!E79+1,0),IF('01_数值调参'!T19&lt;0,'03_全链计算'!F79+1,0),IF('01_数值调参'!T20&lt;0,'03_全链计算'!G79+1,0),IF('01_数值调参'!T21&lt;0,'03_全链计算'!H79+1,0),IF('01_数值调参'!T22&lt;0,'03_全链计算'!I79+1,0),IF('01_数值调参'!T23&lt;0,'03_全链计算'!J79+1,0),IF('01_数值调参'!T24&lt;0,'03_全链计算'!K79+1,0),IF('01_数值调参'!T25&lt;0,'03_全链计算'!L79+1,0),IF('01_数值调参'!T26&lt;0,'03_全链计算'!M79+1,0),IF('01_数值调参'!T27&lt;0,'03_全链计算'!N79+1,0),IF('01_数值调参'!T28&lt;0,'03_全链计算'!O79+1,0),IF('01_数值调参'!T29&lt;0,'03_全链计算'!P79+1,0),IF('01_数值调参'!T30&lt;0,'03_全链计算'!Q79+1,0),IF('01_数值调参'!T31&lt;0,'03_全链计算'!R79+1,0),IF('01_数值调参'!T32&lt;0,'03_全链计算'!S79+1,0),IF('01_数值调参'!T33&lt;0,'03_全链计算'!T79+1,0),IF('01_数值调参'!T34&lt;0,'03_全链计算'!U79+1,0),IF('01_数值调参'!T35&lt;0,'03_全链计算'!V79+1,0),IF('01_数值调参'!T36&lt;0,'03_全链计算'!W79+1,0),IF('01_数值调参'!T37&lt;0,'03_全链计算'!X79+1,0),IF('01_数值调参'!T38&lt;0,'03_全链计算'!Y79+1,0),IF('01_数值调参'!T39&lt;0,'03_全链计算'!Z79+1,0),IF('01_数值调参'!T40&lt;0,'03_全链计算'!AA79+1,0),IF('01_数值调参'!T41&lt;0,'03_全链计算'!AB79+1,0),IF('01_数值调参'!T42&lt;0,'03_全链计算'!AC79+1,0),IF('01_数值调参'!T43&lt;0,'03_全链计算'!AD79+1,0),IF('01_数值调参'!T44&lt;0,'03_全链计算'!AE79+1,0),IF('01_数值调参'!T45&lt;0,'03_全链计算'!AF79+1,0),IF('01_数值调参'!T46&lt;0,'03_全链计算'!AG79+1,0),IF('01_数值调参'!T47&lt;0,'03_全链计算'!AH79+1,0),IF('01_数值调参'!T48&lt;0,'03_全链计算'!AI79+1,0),IF('01_数值调参'!T49&lt;0,'03_全链计算'!AJ79+1,0),IF('01_数值调参'!T50&lt;0,'03_全链计算'!AK79+1,0),IF('01_数值调参'!T51&lt;0,'03_全链计算'!AL79+1,0),IF('01_数值调参'!T52&lt;0,'03_全链计算'!AM79+1,0))</x:f>
        <x:v>1</x:v>
      </x:c>
      <x:c r="U80" s="9" t="n">
        <x:f>MAX(IF('01_数值调参'!U18&lt;0,'03_全链计算'!E79+1,0),IF('01_数值调参'!U19&lt;0,'03_全链计算'!F79+1,0),IF('01_数值调参'!U20&lt;0,'03_全链计算'!G79+1,0),IF('01_数值调参'!U21&lt;0,'03_全链计算'!H79+1,0),IF('01_数值调参'!U22&lt;0,'03_全链计算'!I79+1,0),IF('01_数值调参'!U23&lt;0,'03_全链计算'!J79+1,0),IF('01_数值调参'!U24&lt;0,'03_全链计算'!K79+1,0),IF('01_数值调参'!U25&lt;0,'03_全链计算'!L79+1,0),IF('01_数值调参'!U26&lt;0,'03_全链计算'!M79+1,0),IF('01_数值调参'!U27&lt;0,'03_全链计算'!N79+1,0),IF('01_数值调参'!U28&lt;0,'03_全链计算'!O79+1,0),IF('01_数值调参'!U29&lt;0,'03_全链计算'!P79+1,0),IF('01_数值调参'!U30&lt;0,'03_全链计算'!Q79+1,0),IF('01_数值调参'!U31&lt;0,'03_全链计算'!R79+1,0),IF('01_数值调参'!U32&lt;0,'03_全链计算'!S79+1,0),IF('01_数值调参'!U33&lt;0,'03_全链计算'!T79+1,0),IF('01_数值调参'!U34&lt;0,'03_全链计算'!U79+1,0),IF('01_数值调参'!U35&lt;0,'03_全链计算'!V79+1,0),IF('01_数值调参'!U36&lt;0,'03_全链计算'!W79+1,0),IF('01_数值调参'!U37&lt;0,'03_全链计算'!X79+1,0),IF('01_数值调参'!U38&lt;0,'03_全链计算'!Y79+1,0),IF('01_数值调参'!U39&lt;0,'03_全链计算'!Z79+1,0),IF('01_数值调参'!U40&lt;0,'03_全链计算'!AA79+1,0),IF('01_数值调参'!U41&lt;0,'03_全链计算'!AB79+1,0),IF('01_数值调参'!U42&lt;0,'03_全链计算'!AC79+1,0),IF('01_数值调参'!U43&lt;0,'03_全链计算'!AD79+1,0),IF('01_数值调参'!U44&lt;0,'03_全链计算'!AE79+1,0),IF('01_数值调参'!U45&lt;0,'03_全链计算'!AF79+1,0),IF('01_数值调参'!U46&lt;0,'03_全链计算'!AG79+1,0),IF('01_数值调参'!U47&lt;0,'03_全链计算'!AH79+1,0),IF('01_数值调参'!U48&lt;0,'03_全链计算'!AI79+1,0),IF('01_数值调参'!U49&lt;0,'03_全链计算'!AJ79+1,0),IF('01_数值调参'!U50&lt;0,'03_全链计算'!AK79+1,0),IF('01_数值调参'!U51&lt;0,'03_全链计算'!AL79+1,0),IF('01_数值调参'!U52&lt;0,'03_全链计算'!AM79+1,0))</x:f>
        <x:v>1</x:v>
      </x:c>
      <x:c r="V80" s="9" t="n">
        <x:f>MAX(IF('01_数值调参'!V18&lt;0,'03_全链计算'!E79+1,0),IF('01_数值调参'!V19&lt;0,'03_全链计算'!F79+1,0),IF('01_数值调参'!V20&lt;0,'03_全链计算'!G79+1,0),IF('01_数值调参'!V21&lt;0,'03_全链计算'!H79+1,0),IF('01_数值调参'!V22&lt;0,'03_全链计算'!I79+1,0),IF('01_数值调参'!V23&lt;0,'03_全链计算'!J79+1,0),IF('01_数值调参'!V24&lt;0,'03_全链计算'!K79+1,0),IF('01_数值调参'!V25&lt;0,'03_全链计算'!L79+1,0),IF('01_数值调参'!V26&lt;0,'03_全链计算'!M79+1,0),IF('01_数值调参'!V27&lt;0,'03_全链计算'!N79+1,0),IF('01_数值调参'!V28&lt;0,'03_全链计算'!O79+1,0),IF('01_数值调参'!V29&lt;0,'03_全链计算'!P79+1,0),IF('01_数值调参'!V30&lt;0,'03_全链计算'!Q79+1,0),IF('01_数值调参'!V31&lt;0,'03_全链计算'!R79+1,0),IF('01_数值调参'!V32&lt;0,'03_全链计算'!S79+1,0),IF('01_数值调参'!V33&lt;0,'03_全链计算'!T79+1,0),IF('01_数值调参'!V34&lt;0,'03_全链计算'!U79+1,0),IF('01_数值调参'!V35&lt;0,'03_全链计算'!V79+1,0),IF('01_数值调参'!V36&lt;0,'03_全链计算'!W79+1,0),IF('01_数值调参'!V37&lt;0,'03_全链计算'!X79+1,0),IF('01_数值调参'!V38&lt;0,'03_全链计算'!Y79+1,0),IF('01_数值调参'!V39&lt;0,'03_全链计算'!Z79+1,0),IF('01_数值调参'!V40&lt;0,'03_全链计算'!AA79+1,0),IF('01_数值调参'!V41&lt;0,'03_全链计算'!AB79+1,0),IF('01_数值调参'!V42&lt;0,'03_全链计算'!AC79+1,0),IF('01_数值调参'!V43&lt;0,'03_全链计算'!AD79+1,0),IF('01_数值调参'!V44&lt;0,'03_全链计算'!AE79+1,0),IF('01_数值调参'!V45&lt;0,'03_全链计算'!AF79+1,0),IF('01_数值调参'!V46&lt;0,'03_全链计算'!AG79+1,0),IF('01_数值调参'!V47&lt;0,'03_全链计算'!AH79+1,0),IF('01_数值调参'!V48&lt;0,'03_全链计算'!AI79+1,0),IF('01_数值调参'!V49&lt;0,'03_全链计算'!AJ79+1,0),IF('01_数值调参'!V50&lt;0,'03_全链计算'!AK79+1,0),IF('01_数值调参'!V51&lt;0,'03_全链计算'!AL79+1,0),IF('01_数值调参'!V52&lt;0,'03_全链计算'!AM79+1,0))</x:f>
        <x:v>1</x:v>
      </x:c>
      <x:c r="W80" s="9" t="n">
        <x:f>MAX(IF('01_数值调参'!W18&lt;0,'03_全链计算'!E79+1,0),IF('01_数值调参'!W19&lt;0,'03_全链计算'!F79+1,0),IF('01_数值调参'!W20&lt;0,'03_全链计算'!G79+1,0),IF('01_数值调参'!W21&lt;0,'03_全链计算'!H79+1,0),IF('01_数值调参'!W22&lt;0,'03_全链计算'!I79+1,0),IF('01_数值调参'!W23&lt;0,'03_全链计算'!J79+1,0),IF('01_数值调参'!W24&lt;0,'03_全链计算'!K79+1,0),IF('01_数值调参'!W25&lt;0,'03_全链计算'!L79+1,0),IF('01_数值调参'!W26&lt;0,'03_全链计算'!M79+1,0),IF('01_数值调参'!W27&lt;0,'03_全链计算'!N79+1,0),IF('01_数值调参'!W28&lt;0,'03_全链计算'!O79+1,0),IF('01_数值调参'!W29&lt;0,'03_全链计算'!P79+1,0),IF('01_数值调参'!W30&lt;0,'03_全链计算'!Q79+1,0),IF('01_数值调参'!W31&lt;0,'03_全链计算'!R79+1,0),IF('01_数值调参'!W32&lt;0,'03_全链计算'!S79+1,0),IF('01_数值调参'!W33&lt;0,'03_全链计算'!T79+1,0),IF('01_数值调参'!W34&lt;0,'03_全链计算'!U79+1,0),IF('01_数值调参'!W35&lt;0,'03_全链计算'!V79+1,0),IF('01_数值调参'!W36&lt;0,'03_全链计算'!W79+1,0),IF('01_数值调参'!W37&lt;0,'03_全链计算'!X79+1,0),IF('01_数值调参'!W38&lt;0,'03_全链计算'!Y79+1,0),IF('01_数值调参'!W39&lt;0,'03_全链计算'!Z79+1,0),IF('01_数值调参'!W40&lt;0,'03_全链计算'!AA79+1,0),IF('01_数值调参'!W41&lt;0,'03_全链计算'!AB79+1,0),IF('01_数值调参'!W42&lt;0,'03_全链计算'!AC79+1,0),IF('01_数值调参'!W43&lt;0,'03_全链计算'!AD79+1,0),IF('01_数值调参'!W44&lt;0,'03_全链计算'!AE79+1,0),IF('01_数值调参'!W45&lt;0,'03_全链计算'!AF79+1,0),IF('01_数值调参'!W46&lt;0,'03_全链计算'!AG79+1,0),IF('01_数值调参'!W47&lt;0,'03_全链计算'!AH79+1,0),IF('01_数值调参'!W48&lt;0,'03_全链计算'!AI79+1,0),IF('01_数值调参'!W49&lt;0,'03_全链计算'!AJ79+1,0),IF('01_数值调参'!W50&lt;0,'03_全链计算'!AK79+1,0),IF('01_数值调参'!W51&lt;0,'03_全链计算'!AL79+1,0),IF('01_数值调参'!W52&lt;0,'03_全链计算'!AM79+1,0))</x:f>
        <x:v>1</x:v>
      </x:c>
      <x:c r="X80" s="9" t="n">
        <x:f>MAX(IF('01_数值调参'!X18&lt;0,'03_全链计算'!E79+1,0),IF('01_数值调参'!X19&lt;0,'03_全链计算'!F79+1,0),IF('01_数值调参'!X20&lt;0,'03_全链计算'!G79+1,0),IF('01_数值调参'!X21&lt;0,'03_全链计算'!H79+1,0),IF('01_数值调参'!X22&lt;0,'03_全链计算'!I79+1,0),IF('01_数值调参'!X23&lt;0,'03_全链计算'!J79+1,0),IF('01_数值调参'!X24&lt;0,'03_全链计算'!K79+1,0),IF('01_数值调参'!X25&lt;0,'03_全链计算'!L79+1,0),IF('01_数值调参'!X26&lt;0,'03_全链计算'!M79+1,0),IF('01_数值调参'!X27&lt;0,'03_全链计算'!N79+1,0),IF('01_数值调参'!X28&lt;0,'03_全链计算'!O79+1,0),IF('01_数值调参'!X29&lt;0,'03_全链计算'!P79+1,0),IF('01_数值调参'!X30&lt;0,'03_全链计算'!Q79+1,0),IF('01_数值调参'!X31&lt;0,'03_全链计算'!R79+1,0),IF('01_数值调参'!X32&lt;0,'03_全链计算'!S79+1,0),IF('01_数值调参'!X33&lt;0,'03_全链计算'!T79+1,0),IF('01_数值调参'!X34&lt;0,'03_全链计算'!U79+1,0),IF('01_数值调参'!X35&lt;0,'03_全链计算'!V79+1,0),IF('01_数值调参'!X36&lt;0,'03_全链计算'!W79+1,0),IF('01_数值调参'!X37&lt;0,'03_全链计算'!X79+1,0),IF('01_数值调参'!X38&lt;0,'03_全链计算'!Y79+1,0),IF('01_数值调参'!X39&lt;0,'03_全链计算'!Z79+1,0),IF('01_数值调参'!X40&lt;0,'03_全链计算'!AA79+1,0),IF('01_数值调参'!X41&lt;0,'03_全链计算'!AB79+1,0),IF('01_数值调参'!X42&lt;0,'03_全链计算'!AC79+1,0),IF('01_数值调参'!X43&lt;0,'03_全链计算'!AD79+1,0),IF('01_数值调参'!X44&lt;0,'03_全链计算'!AE79+1,0),IF('01_数值调参'!X45&lt;0,'03_全链计算'!AF79+1,0),IF('01_数值调参'!X46&lt;0,'03_全链计算'!AG79+1,0),IF('01_数值调参'!X47&lt;0,'03_全链计算'!AH79+1,0),IF('01_数值调参'!X48&lt;0,'03_全链计算'!AI79+1,0),IF('01_数值调参'!X49&lt;0,'03_全链计算'!AJ79+1,0),IF('01_数值调参'!X50&lt;0,'03_全链计算'!AK79+1,0),IF('01_数值调参'!X51&lt;0,'03_全链计算'!AL79+1,0),IF('01_数值调参'!X52&lt;0,'03_全链计算'!AM79+1,0))</x:f>
        <x:v>2</x:v>
      </x:c>
      <x:c r="Y80" s="9" t="n">
        <x:f>MAX(IF('01_数值调参'!Y18&lt;0,'03_全链计算'!E79+1,0),IF('01_数值调参'!Y19&lt;0,'03_全链计算'!F79+1,0),IF('01_数值调参'!Y20&lt;0,'03_全链计算'!G79+1,0),IF('01_数值调参'!Y21&lt;0,'03_全链计算'!H79+1,0),IF('01_数值调参'!Y22&lt;0,'03_全链计算'!I79+1,0),IF('01_数值调参'!Y23&lt;0,'03_全链计算'!J79+1,0),IF('01_数值调参'!Y24&lt;0,'03_全链计算'!K79+1,0),IF('01_数值调参'!Y25&lt;0,'03_全链计算'!L79+1,0),IF('01_数值调参'!Y26&lt;0,'03_全链计算'!M79+1,0),IF('01_数值调参'!Y27&lt;0,'03_全链计算'!N79+1,0),IF('01_数值调参'!Y28&lt;0,'03_全链计算'!O79+1,0),IF('01_数值调参'!Y29&lt;0,'03_全链计算'!P79+1,0),IF('01_数值调参'!Y30&lt;0,'03_全链计算'!Q79+1,0),IF('01_数值调参'!Y31&lt;0,'03_全链计算'!R79+1,0),IF('01_数值调参'!Y32&lt;0,'03_全链计算'!S79+1,0),IF('01_数值调参'!Y33&lt;0,'03_全链计算'!T79+1,0),IF('01_数值调参'!Y34&lt;0,'03_全链计算'!U79+1,0),IF('01_数值调参'!Y35&lt;0,'03_全链计算'!V79+1,0),IF('01_数值调参'!Y36&lt;0,'03_全链计算'!W79+1,0),IF('01_数值调参'!Y37&lt;0,'03_全链计算'!X79+1,0),IF('01_数值调参'!Y38&lt;0,'03_全链计算'!Y79+1,0),IF('01_数值调参'!Y39&lt;0,'03_全链计算'!Z79+1,0),IF('01_数值调参'!Y40&lt;0,'03_全链计算'!AA79+1,0),IF('01_数值调参'!Y41&lt;0,'03_全链计算'!AB79+1,0),IF('01_数值调参'!Y42&lt;0,'03_全链计算'!AC79+1,0),IF('01_数值调参'!Y43&lt;0,'03_全链计算'!AD79+1,0),IF('01_数值调参'!Y44&lt;0,'03_全链计算'!AE79+1,0),IF('01_数值调参'!Y45&lt;0,'03_全链计算'!AF79+1,0),IF('01_数值调参'!Y46&lt;0,'03_全链计算'!AG79+1,0),IF('01_数值调参'!Y47&lt;0,'03_全链计算'!AH79+1,0),IF('01_数值调参'!Y48&lt;0,'03_全链计算'!AI79+1,0),IF('01_数值调参'!Y49&lt;0,'03_全链计算'!AJ79+1,0),IF('01_数值调参'!Y50&lt;0,'03_全链计算'!AK79+1,0),IF('01_数值调参'!Y51&lt;0,'03_全链计算'!AL79+1,0),IF('01_数值调参'!Y52&lt;0,'03_全链计算'!AM79+1,0))</x:f>
        <x:v>2</x:v>
      </x:c>
      <x:c r="Z80" s="9" t="n">
        <x:f>MAX(IF('01_数值调参'!Z18&lt;0,'03_全链计算'!E79+1,0),IF('01_数值调参'!Z19&lt;0,'03_全链计算'!F79+1,0),IF('01_数值调参'!Z20&lt;0,'03_全链计算'!G79+1,0),IF('01_数值调参'!Z21&lt;0,'03_全链计算'!H79+1,0),IF('01_数值调参'!Z22&lt;0,'03_全链计算'!I79+1,0),IF('01_数值调参'!Z23&lt;0,'03_全链计算'!J79+1,0),IF('01_数值调参'!Z24&lt;0,'03_全链计算'!K79+1,0),IF('01_数值调参'!Z25&lt;0,'03_全链计算'!L79+1,0),IF('01_数值调参'!Z26&lt;0,'03_全链计算'!M79+1,0),IF('01_数值调参'!Z27&lt;0,'03_全链计算'!N79+1,0),IF('01_数值调参'!Z28&lt;0,'03_全链计算'!O79+1,0),IF('01_数值调参'!Z29&lt;0,'03_全链计算'!P79+1,0),IF('01_数值调参'!Z30&lt;0,'03_全链计算'!Q79+1,0),IF('01_数值调参'!Z31&lt;0,'03_全链计算'!R79+1,0),IF('01_数值调参'!Z32&lt;0,'03_全链计算'!S79+1,0),IF('01_数值调参'!Z33&lt;0,'03_全链计算'!T79+1,0),IF('01_数值调参'!Z34&lt;0,'03_全链计算'!U79+1,0),IF('01_数值调参'!Z35&lt;0,'03_全链计算'!V79+1,0),IF('01_数值调参'!Z36&lt;0,'03_全链计算'!W79+1,0),IF('01_数值调参'!Z37&lt;0,'03_全链计算'!X79+1,0),IF('01_数值调参'!Z38&lt;0,'03_全链计算'!Y79+1,0),IF('01_数值调参'!Z39&lt;0,'03_全链计算'!Z79+1,0),IF('01_数值调参'!Z40&lt;0,'03_全链计算'!AA79+1,0),IF('01_数值调参'!Z41&lt;0,'03_全链计算'!AB79+1,0),IF('01_数值调参'!Z42&lt;0,'03_全链计算'!AC79+1,0),IF('01_数值调参'!Z43&lt;0,'03_全链计算'!AD79+1,0),IF('01_数值调参'!Z44&lt;0,'03_全链计算'!AE79+1,0),IF('01_数值调参'!Z45&lt;0,'03_全链计算'!AF79+1,0),IF('01_数值调参'!Z46&lt;0,'03_全链计算'!AG79+1,0),IF('01_数值调参'!Z47&lt;0,'03_全链计算'!AH79+1,0),IF('01_数值调参'!Z48&lt;0,'03_全链计算'!AI79+1,0),IF('01_数值调参'!Z49&lt;0,'03_全链计算'!AJ79+1,0),IF('01_数值调参'!Z50&lt;0,'03_全链计算'!AK79+1,0),IF('01_数值调参'!Z51&lt;0,'03_全链计算'!AL79+1,0),IF('01_数值调参'!Z52&lt;0,'03_全链计算'!AM79+1,0))</x:f>
        <x:v>2</x:v>
      </x:c>
      <x:c r="AA80" s="9" t="n">
        <x:f>MAX(IF('01_数值调参'!AA18&lt;0,'03_全链计算'!E79+1,0),IF('01_数值调参'!AA19&lt;0,'03_全链计算'!F79+1,0),IF('01_数值调参'!AA20&lt;0,'03_全链计算'!G79+1,0),IF('01_数值调参'!AA21&lt;0,'03_全链计算'!H79+1,0),IF('01_数值调参'!AA22&lt;0,'03_全链计算'!I79+1,0),IF('01_数值调参'!AA23&lt;0,'03_全链计算'!J79+1,0),IF('01_数值调参'!AA24&lt;0,'03_全链计算'!K79+1,0),IF('01_数值调参'!AA25&lt;0,'03_全链计算'!L79+1,0),IF('01_数值调参'!AA26&lt;0,'03_全链计算'!M79+1,0),IF('01_数值调参'!AA27&lt;0,'03_全链计算'!N79+1,0),IF('01_数值调参'!AA28&lt;0,'03_全链计算'!O79+1,0),IF('01_数值调参'!AA29&lt;0,'03_全链计算'!P79+1,0),IF('01_数值调参'!AA30&lt;0,'03_全链计算'!Q79+1,0),IF('01_数值调参'!AA31&lt;0,'03_全链计算'!R79+1,0),IF('01_数值调参'!AA32&lt;0,'03_全链计算'!S79+1,0),IF('01_数值调参'!AA33&lt;0,'03_全链计算'!T79+1,0),IF('01_数值调参'!AA34&lt;0,'03_全链计算'!U79+1,0),IF('01_数值调参'!AA35&lt;0,'03_全链计算'!V79+1,0),IF('01_数值调参'!AA36&lt;0,'03_全链计算'!W79+1,0),IF('01_数值调参'!AA37&lt;0,'03_全链计算'!X79+1,0),IF('01_数值调参'!AA38&lt;0,'03_全链计算'!Y79+1,0),IF('01_数值调参'!AA39&lt;0,'03_全链计算'!Z79+1,0),IF('01_数值调参'!AA40&lt;0,'03_全链计算'!AA79+1,0),IF('01_数值调参'!AA41&lt;0,'03_全链计算'!AB79+1,0),IF('01_数值调参'!AA42&lt;0,'03_全链计算'!AC79+1,0),IF('01_数值调参'!AA43&lt;0,'03_全链计算'!AD79+1,0),IF('01_数值调参'!AA44&lt;0,'03_全链计算'!AE79+1,0),IF('01_数值调参'!AA45&lt;0,'03_全链计算'!AF79+1,0),IF('01_数值调参'!AA46&lt;0,'03_全链计算'!AG79+1,0),IF('01_数值调参'!AA47&lt;0,'03_全链计算'!AH79+1,0),IF('01_数值调参'!AA48&lt;0,'03_全链计算'!AI79+1,0),IF('01_数值调参'!AA49&lt;0,'03_全链计算'!AJ79+1,0),IF('01_数值调参'!AA50&lt;0,'03_全链计算'!AK79+1,0),IF('01_数值调参'!AA51&lt;0,'03_全链计算'!AL79+1,0),IF('01_数值调参'!AA52&lt;0,'03_全链计算'!AM79+1,0))</x:f>
        <x:v>2</x:v>
      </x:c>
      <x:c r="AB80" s="9" t="n">
        <x:f>MAX(IF('01_数值调参'!AB18&lt;0,'03_全链计算'!E79+1,0),IF('01_数值调参'!AB19&lt;0,'03_全链计算'!F79+1,0),IF('01_数值调参'!AB20&lt;0,'03_全链计算'!G79+1,0),IF('01_数值调参'!AB21&lt;0,'03_全链计算'!H79+1,0),IF('01_数值调参'!AB22&lt;0,'03_全链计算'!I79+1,0),IF('01_数值调参'!AB23&lt;0,'03_全链计算'!J79+1,0),IF('01_数值调参'!AB24&lt;0,'03_全链计算'!K79+1,0),IF('01_数值调参'!AB25&lt;0,'03_全链计算'!L79+1,0),IF('01_数值调参'!AB26&lt;0,'03_全链计算'!M79+1,0),IF('01_数值调参'!AB27&lt;0,'03_全链计算'!N79+1,0),IF('01_数值调参'!AB28&lt;0,'03_全链计算'!O79+1,0),IF('01_数值调参'!AB29&lt;0,'03_全链计算'!P79+1,0),IF('01_数值调参'!AB30&lt;0,'03_全链计算'!Q79+1,0),IF('01_数值调参'!AB31&lt;0,'03_全链计算'!R79+1,0),IF('01_数值调参'!AB32&lt;0,'03_全链计算'!S79+1,0),IF('01_数值调参'!AB33&lt;0,'03_全链计算'!T79+1,0),IF('01_数值调参'!AB34&lt;0,'03_全链计算'!U79+1,0),IF('01_数值调参'!AB35&lt;0,'03_全链计算'!V79+1,0),IF('01_数值调参'!AB36&lt;0,'03_全链计算'!W79+1,0),IF('01_数值调参'!AB37&lt;0,'03_全链计算'!X79+1,0),IF('01_数值调参'!AB38&lt;0,'03_全链计算'!Y79+1,0),IF('01_数值调参'!AB39&lt;0,'03_全链计算'!Z79+1,0),IF('01_数值调参'!AB40&lt;0,'03_全链计算'!AA79+1,0),IF('01_数值调参'!AB41&lt;0,'03_全链计算'!AB79+1,0),IF('01_数值调参'!AB42&lt;0,'03_全链计算'!AC79+1,0),IF('01_数值调参'!AB43&lt;0,'03_全链计算'!AD79+1,0),IF('01_数值调参'!AB44&lt;0,'03_全链计算'!AE79+1,0),IF('01_数值调参'!AB45&lt;0,'03_全链计算'!AF79+1,0),IF('01_数值调参'!AB46&lt;0,'03_全链计算'!AG79+1,0),IF('01_数值调参'!AB47&lt;0,'03_全链计算'!AH79+1,0),IF('01_数值调参'!AB48&lt;0,'03_全链计算'!AI79+1,0),IF('01_数值调参'!AB49&lt;0,'03_全链计算'!AJ79+1,0),IF('01_数值调参'!AB50&lt;0,'03_全链计算'!AK79+1,0),IF('01_数值调参'!AB51&lt;0,'03_全链计算'!AL79+1,0),IF('01_数值调参'!AB52&lt;0,'03_全链计算'!AM79+1,0))</x:f>
        <x:v>2</x:v>
      </x:c>
      <x:c r="AC80" s="9" t="n">
        <x:f>MAX(IF('01_数值调参'!AC18&lt;0,'03_全链计算'!E79+1,0),IF('01_数值调参'!AC19&lt;0,'03_全链计算'!F79+1,0),IF('01_数值调参'!AC20&lt;0,'03_全链计算'!G79+1,0),IF('01_数值调参'!AC21&lt;0,'03_全链计算'!H79+1,0),IF('01_数值调参'!AC22&lt;0,'03_全链计算'!I79+1,0),IF('01_数值调参'!AC23&lt;0,'03_全链计算'!J79+1,0),IF('01_数值调参'!AC24&lt;0,'03_全链计算'!K79+1,0),IF('01_数值调参'!AC25&lt;0,'03_全链计算'!L79+1,0),IF('01_数值调参'!AC26&lt;0,'03_全链计算'!M79+1,0),IF('01_数值调参'!AC27&lt;0,'03_全链计算'!N79+1,0),IF('01_数值调参'!AC28&lt;0,'03_全链计算'!O79+1,0),IF('01_数值调参'!AC29&lt;0,'03_全链计算'!P79+1,0),IF('01_数值调参'!AC30&lt;0,'03_全链计算'!Q79+1,0),IF('01_数值调参'!AC31&lt;0,'03_全链计算'!R79+1,0),IF('01_数值调参'!AC32&lt;0,'03_全链计算'!S79+1,0),IF('01_数值调参'!AC33&lt;0,'03_全链计算'!T79+1,0),IF('01_数值调参'!AC34&lt;0,'03_全链计算'!U79+1,0),IF('01_数值调参'!AC35&lt;0,'03_全链计算'!V79+1,0),IF('01_数值调参'!AC36&lt;0,'03_全链计算'!W79+1,0),IF('01_数值调参'!AC37&lt;0,'03_全链计算'!X79+1,0),IF('01_数值调参'!AC38&lt;0,'03_全链计算'!Y79+1,0),IF('01_数值调参'!AC39&lt;0,'03_全链计算'!Z79+1,0),IF('01_数值调参'!AC40&lt;0,'03_全链计算'!AA79+1,0),IF('01_数值调参'!AC41&lt;0,'03_全链计算'!AB79+1,0),IF('01_数值调参'!AC42&lt;0,'03_全链计算'!AC79+1,0),IF('01_数值调参'!AC43&lt;0,'03_全链计算'!AD79+1,0),IF('01_数值调参'!AC44&lt;0,'03_全链计算'!AE79+1,0),IF('01_数值调参'!AC45&lt;0,'03_全链计算'!AF79+1,0),IF('01_数值调参'!AC46&lt;0,'03_全链计算'!AG79+1,0),IF('01_数值调参'!AC47&lt;0,'03_全链计算'!AH79+1,0),IF('01_数值调参'!AC48&lt;0,'03_全链计算'!AI79+1,0),IF('01_数值调参'!AC49&lt;0,'03_全链计算'!AJ79+1,0),IF('01_数值调参'!AC50&lt;0,'03_全链计算'!AK79+1,0),IF('01_数值调参'!AC51&lt;0,'03_全链计算'!AL79+1,0),IF('01_数值调参'!AC52&lt;0,'03_全链计算'!AM79+1,0))</x:f>
        <x:v>2</x:v>
      </x:c>
      <x:c r="AD80" s="9" t="n">
        <x:f>MAX(IF('01_数值调参'!AD18&lt;0,'03_全链计算'!E79+1,0),IF('01_数值调参'!AD19&lt;0,'03_全链计算'!F79+1,0),IF('01_数值调参'!AD20&lt;0,'03_全链计算'!G79+1,0),IF('01_数值调参'!AD21&lt;0,'03_全链计算'!H79+1,0),IF('01_数值调参'!AD22&lt;0,'03_全链计算'!I79+1,0),IF('01_数值调参'!AD23&lt;0,'03_全链计算'!J79+1,0),IF('01_数值调参'!AD24&lt;0,'03_全链计算'!K79+1,0),IF('01_数值调参'!AD25&lt;0,'03_全链计算'!L79+1,0),IF('01_数值调参'!AD26&lt;0,'03_全链计算'!M79+1,0),IF('01_数值调参'!AD27&lt;0,'03_全链计算'!N79+1,0),IF('01_数值调参'!AD28&lt;0,'03_全链计算'!O79+1,0),IF('01_数值调参'!AD29&lt;0,'03_全链计算'!P79+1,0),IF('01_数值调参'!AD30&lt;0,'03_全链计算'!Q79+1,0),IF('01_数值调参'!AD31&lt;0,'03_全链计算'!R79+1,0),IF('01_数值调参'!AD32&lt;0,'03_全链计算'!S79+1,0),IF('01_数值调参'!AD33&lt;0,'03_全链计算'!T79+1,0),IF('01_数值调参'!AD34&lt;0,'03_全链计算'!U79+1,0),IF('01_数值调参'!AD35&lt;0,'03_全链计算'!V79+1,0),IF('01_数值调参'!AD36&lt;0,'03_全链计算'!W79+1,0),IF('01_数值调参'!AD37&lt;0,'03_全链计算'!X79+1,0),IF('01_数值调参'!AD38&lt;0,'03_全链计算'!Y79+1,0),IF('01_数值调参'!AD39&lt;0,'03_全链计算'!Z79+1,0),IF('01_数值调参'!AD40&lt;0,'03_全链计算'!AA79+1,0),IF('01_数值调参'!AD41&lt;0,'03_全链计算'!AB79+1,0),IF('01_数值调参'!AD42&lt;0,'03_全链计算'!AC79+1,0),IF('01_数值调参'!AD43&lt;0,'03_全链计算'!AD79+1,0),IF('01_数值调参'!AD44&lt;0,'03_全链计算'!AE79+1,0),IF('01_数值调参'!AD45&lt;0,'03_全链计算'!AF79+1,0),IF('01_数值调参'!AD46&lt;0,'03_全链计算'!AG79+1,0),IF('01_数值调参'!AD47&lt;0,'03_全链计算'!AH79+1,0),IF('01_数值调参'!AD48&lt;0,'03_全链计算'!AI79+1,0),IF('01_数值调参'!AD49&lt;0,'03_全链计算'!AJ79+1,0),IF('01_数值调参'!AD50&lt;0,'03_全链计算'!AK79+1,0),IF('01_数值调参'!AD51&lt;0,'03_全链计算'!AL79+1,0),IF('01_数值调参'!AD52&lt;0,'03_全链计算'!AM79+1,0))</x:f>
        <x:v>1</x:v>
      </x:c>
      <x:c r="AE80" s="9" t="n">
        <x:f>MAX(IF('01_数值调参'!AE18&lt;0,'03_全链计算'!E79+1,0),IF('01_数值调参'!AE19&lt;0,'03_全链计算'!F79+1,0),IF('01_数值调参'!AE20&lt;0,'03_全链计算'!G79+1,0),IF('01_数值调参'!AE21&lt;0,'03_全链计算'!H79+1,0),IF('01_数值调参'!AE22&lt;0,'03_全链计算'!I79+1,0),IF('01_数值调参'!AE23&lt;0,'03_全链计算'!J79+1,0),IF('01_数值调参'!AE24&lt;0,'03_全链计算'!K79+1,0),IF('01_数值调参'!AE25&lt;0,'03_全链计算'!L79+1,0),IF('01_数值调参'!AE26&lt;0,'03_全链计算'!M79+1,0),IF('01_数值调参'!AE27&lt;0,'03_全链计算'!N79+1,0),IF('01_数值调参'!AE28&lt;0,'03_全链计算'!O79+1,0),IF('01_数值调参'!AE29&lt;0,'03_全链计算'!P79+1,0),IF('01_数值调参'!AE30&lt;0,'03_全链计算'!Q79+1,0),IF('01_数值调参'!AE31&lt;0,'03_全链计算'!R79+1,0),IF('01_数值调参'!AE32&lt;0,'03_全链计算'!S79+1,0),IF('01_数值调参'!AE33&lt;0,'03_全链计算'!T79+1,0),IF('01_数值调参'!AE34&lt;0,'03_全链计算'!U79+1,0),IF('01_数值调参'!AE35&lt;0,'03_全链计算'!V79+1,0),IF('01_数值调参'!AE36&lt;0,'03_全链计算'!W79+1,0),IF('01_数值调参'!AE37&lt;0,'03_全链计算'!X79+1,0),IF('01_数值调参'!AE38&lt;0,'03_全链计算'!Y79+1,0),IF('01_数值调参'!AE39&lt;0,'03_全链计算'!Z79+1,0),IF('01_数值调参'!AE40&lt;0,'03_全链计算'!AA79+1,0),IF('01_数值调参'!AE41&lt;0,'03_全链计算'!AB79+1,0),IF('01_数值调参'!AE42&lt;0,'03_全链计算'!AC79+1,0),IF('01_数值调参'!AE43&lt;0,'03_全链计算'!AD79+1,0),IF('01_数值调参'!AE44&lt;0,'03_全链计算'!AE79+1,0),IF('01_数值调参'!AE45&lt;0,'03_全链计算'!AF79+1,0),IF('01_数值调参'!AE46&lt;0,'03_全链计算'!AG79+1,0),IF('01_数值调参'!AE47&lt;0,'03_全链计算'!AH79+1,0),IF('01_数值调参'!AE48&lt;0,'03_全链计算'!AI79+1,0),IF('01_数值调参'!AE49&lt;0,'03_全链计算'!AJ79+1,0),IF('01_数值调参'!AE50&lt;0,'03_全链计算'!AK79+1,0),IF('01_数值调参'!AE51&lt;0,'03_全链计算'!AL79+1,0),IF('01_数值调参'!AE52&lt;0,'03_全链计算'!AM79+1,0))</x:f>
        <x:v>1</x:v>
      </x:c>
      <x:c r="AF80" s="9" t="n">
        <x:f>MAX(IF('01_数值调参'!AF18&lt;0,'03_全链计算'!E79+1,0),IF('01_数值调参'!AF19&lt;0,'03_全链计算'!F79+1,0),IF('01_数值调参'!AF20&lt;0,'03_全链计算'!G79+1,0),IF('01_数值调参'!AF21&lt;0,'03_全链计算'!H79+1,0),IF('01_数值调参'!AF22&lt;0,'03_全链计算'!I79+1,0),IF('01_数值调参'!AF23&lt;0,'03_全链计算'!J79+1,0),IF('01_数值调参'!AF24&lt;0,'03_全链计算'!K79+1,0),IF('01_数值调参'!AF25&lt;0,'03_全链计算'!L79+1,0),IF('01_数值调参'!AF26&lt;0,'03_全链计算'!M79+1,0),IF('01_数值调参'!AF27&lt;0,'03_全链计算'!N79+1,0),IF('01_数值调参'!AF28&lt;0,'03_全链计算'!O79+1,0),IF('01_数值调参'!AF29&lt;0,'03_全链计算'!P79+1,0),IF('01_数值调参'!AF30&lt;0,'03_全链计算'!Q79+1,0),IF('01_数值调参'!AF31&lt;0,'03_全链计算'!R79+1,0),IF('01_数值调参'!AF32&lt;0,'03_全链计算'!S79+1,0),IF('01_数值调参'!AF33&lt;0,'03_全链计算'!T79+1,0),IF('01_数值调参'!AF34&lt;0,'03_全链计算'!U79+1,0),IF('01_数值调参'!AF35&lt;0,'03_全链计算'!V79+1,0),IF('01_数值调参'!AF36&lt;0,'03_全链计算'!W79+1,0),IF('01_数值调参'!AF37&lt;0,'03_全链计算'!X79+1,0),IF('01_数值调参'!AF38&lt;0,'03_全链计算'!Y79+1,0),IF('01_数值调参'!AF39&lt;0,'03_全链计算'!Z79+1,0),IF('01_数值调参'!AF40&lt;0,'03_全链计算'!AA79+1,0),IF('01_数值调参'!AF41&lt;0,'03_全链计算'!AB79+1,0),IF('01_数值调参'!AF42&lt;0,'03_全链计算'!AC79+1,0),IF('01_数值调参'!AF43&lt;0,'03_全链计算'!AD79+1,0),IF('01_数值调参'!AF44&lt;0,'03_全链计算'!AE79+1,0),IF('01_数值调参'!AF45&lt;0,'03_全链计算'!AF79+1,0),IF('01_数值调参'!AF46&lt;0,'03_全链计算'!AG79+1,0),IF('01_数值调参'!AF47&lt;0,'03_全链计算'!AH79+1,0),IF('01_数值调参'!AF48&lt;0,'03_全链计算'!AI79+1,0),IF('01_数值调参'!AF49&lt;0,'03_全链计算'!AJ79+1,0),IF('01_数值调参'!AF50&lt;0,'03_全链计算'!AK79+1,0),IF('01_数值调参'!AF51&lt;0,'03_全链计算'!AL79+1,0),IF('01_数值调参'!AF52&lt;0,'03_全链计算'!AM79+1,0))</x:f>
        <x:v>1</x:v>
      </x:c>
      <x:c r="AG80" s="9" t="n">
        <x:f>MAX(IF('01_数值调参'!AG18&lt;0,'03_全链计算'!E79+1,0),IF('01_数值调参'!AG19&lt;0,'03_全链计算'!F79+1,0),IF('01_数值调参'!AG20&lt;0,'03_全链计算'!G79+1,0),IF('01_数值调参'!AG21&lt;0,'03_全链计算'!H79+1,0),IF('01_数值调参'!AG22&lt;0,'03_全链计算'!I79+1,0),IF('01_数值调参'!AG23&lt;0,'03_全链计算'!J79+1,0),IF('01_数值调参'!AG24&lt;0,'03_全链计算'!K79+1,0),IF('01_数值调参'!AG25&lt;0,'03_全链计算'!L79+1,0),IF('01_数值调参'!AG26&lt;0,'03_全链计算'!M79+1,0),IF('01_数值调参'!AG27&lt;0,'03_全链计算'!N79+1,0),IF('01_数值调参'!AG28&lt;0,'03_全链计算'!O79+1,0),IF('01_数值调参'!AG29&lt;0,'03_全链计算'!P79+1,0),IF('01_数值调参'!AG30&lt;0,'03_全链计算'!Q79+1,0),IF('01_数值调参'!AG31&lt;0,'03_全链计算'!R79+1,0),IF('01_数值调参'!AG32&lt;0,'03_全链计算'!S79+1,0),IF('01_数值调参'!AG33&lt;0,'03_全链计算'!T79+1,0),IF('01_数值调参'!AG34&lt;0,'03_全链计算'!U79+1,0),IF('01_数值调参'!AG35&lt;0,'03_全链计算'!V79+1,0),IF('01_数值调参'!AG36&lt;0,'03_全链计算'!W79+1,0),IF('01_数值调参'!AG37&lt;0,'03_全链计算'!X79+1,0),IF('01_数值调参'!AG38&lt;0,'03_全链计算'!Y79+1,0),IF('01_数值调参'!AG39&lt;0,'03_全链计算'!Z79+1,0),IF('01_数值调参'!AG40&lt;0,'03_全链计算'!AA79+1,0),IF('01_数值调参'!AG41&lt;0,'03_全链计算'!AB79+1,0),IF('01_数值调参'!AG42&lt;0,'03_全链计算'!AC79+1,0),IF('01_数值调参'!AG43&lt;0,'03_全链计算'!AD79+1,0),IF('01_数值调参'!AG44&lt;0,'03_全链计算'!AE79+1,0),IF('01_数值调参'!AG45&lt;0,'03_全链计算'!AF79+1,0),IF('01_数值调参'!AG46&lt;0,'03_全链计算'!AG79+1,0),IF('01_数值调参'!AG47&lt;0,'03_全链计算'!AH79+1,0),IF('01_数值调参'!AG48&lt;0,'03_全链计算'!AI79+1,0),IF('01_数值调参'!AG49&lt;0,'03_全链计算'!AJ79+1,0),IF('01_数值调参'!AG50&lt;0,'03_全链计算'!AK79+1,0),IF('01_数值调参'!AG51&lt;0,'03_全链计算'!AL79+1,0),IF('01_数值调参'!AG52&lt;0,'03_全链计算'!AM79+1,0))</x:f>
        <x:v>1</x:v>
      </x:c>
      <x:c r="AH80" s="9" t="n">
        <x:f>MAX(IF('01_数值调参'!AH18&lt;0,'03_全链计算'!E79+1,0),IF('01_数值调参'!AH19&lt;0,'03_全链计算'!F79+1,0),IF('01_数值调参'!AH20&lt;0,'03_全链计算'!G79+1,0),IF('01_数值调参'!AH21&lt;0,'03_全链计算'!H79+1,0),IF('01_数值调参'!AH22&lt;0,'03_全链计算'!I79+1,0),IF('01_数值调参'!AH23&lt;0,'03_全链计算'!J79+1,0),IF('01_数值调参'!AH24&lt;0,'03_全链计算'!K79+1,0),IF('01_数值调参'!AH25&lt;0,'03_全链计算'!L79+1,0),IF('01_数值调参'!AH26&lt;0,'03_全链计算'!M79+1,0),IF('01_数值调参'!AH27&lt;0,'03_全链计算'!N79+1,0),IF('01_数值调参'!AH28&lt;0,'03_全链计算'!O79+1,0),IF('01_数值调参'!AH29&lt;0,'03_全链计算'!P79+1,0),IF('01_数值调参'!AH30&lt;0,'03_全链计算'!Q79+1,0),IF('01_数值调参'!AH31&lt;0,'03_全链计算'!R79+1,0),IF('01_数值调参'!AH32&lt;0,'03_全链计算'!S79+1,0),IF('01_数值调参'!AH33&lt;0,'03_全链计算'!T79+1,0),IF('01_数值调参'!AH34&lt;0,'03_全链计算'!U79+1,0),IF('01_数值调参'!AH35&lt;0,'03_全链计算'!V79+1,0),IF('01_数值调参'!AH36&lt;0,'03_全链计算'!W79+1,0),IF('01_数值调参'!AH37&lt;0,'03_全链计算'!X79+1,0),IF('01_数值调参'!AH38&lt;0,'03_全链计算'!Y79+1,0),IF('01_数值调参'!AH39&lt;0,'03_全链计算'!Z79+1,0),IF('01_数值调参'!AH40&lt;0,'03_全链计算'!AA79+1,0),IF('01_数值调参'!AH41&lt;0,'03_全链计算'!AB79+1,0),IF('01_数值调参'!AH42&lt;0,'03_全链计算'!AC79+1,0),IF('01_数值调参'!AH43&lt;0,'03_全链计算'!AD79+1,0),IF('01_数值调参'!AH44&lt;0,'03_全链计算'!AE79+1,0),IF('01_数值调参'!AH45&lt;0,'03_全链计算'!AF79+1,0),IF('01_数值调参'!AH46&lt;0,'03_全链计算'!AG79+1,0),IF('01_数值调参'!AH47&lt;0,'03_全链计算'!AH79+1,0),IF('01_数值调参'!AH48&lt;0,'03_全链计算'!AI79+1,0),IF('01_数值调参'!AH49&lt;0,'03_全链计算'!AJ79+1,0),IF('01_数值调参'!AH50&lt;0,'03_全链计算'!AK79+1,0),IF('01_数值调参'!AH51&lt;0,'03_全链计算'!AL79+1,0),IF('01_数值调参'!AH52&lt;0,'03_全链计算'!AM79+1,0))</x:f>
        <x:v>2</x:v>
      </x:c>
      <x:c r="AI80" s="9" t="n">
        <x:f>MAX(IF('01_数值调参'!AI18&lt;0,'03_全链计算'!E79+1,0),IF('01_数值调参'!AI19&lt;0,'03_全链计算'!F79+1,0),IF('01_数值调参'!AI20&lt;0,'03_全链计算'!G79+1,0),IF('01_数值调参'!AI21&lt;0,'03_全链计算'!H79+1,0),IF('01_数值调参'!AI22&lt;0,'03_全链计算'!I79+1,0),IF('01_数值调参'!AI23&lt;0,'03_全链计算'!J79+1,0),IF('01_数值调参'!AI24&lt;0,'03_全链计算'!K79+1,0),IF('01_数值调参'!AI25&lt;0,'03_全链计算'!L79+1,0),IF('01_数值调参'!AI26&lt;0,'03_全链计算'!M79+1,0),IF('01_数值调参'!AI27&lt;0,'03_全链计算'!N79+1,0),IF('01_数值调参'!AI28&lt;0,'03_全链计算'!O79+1,0),IF('01_数值调参'!AI29&lt;0,'03_全链计算'!P79+1,0),IF('01_数值调参'!AI30&lt;0,'03_全链计算'!Q79+1,0),IF('01_数值调参'!AI31&lt;0,'03_全链计算'!R79+1,0),IF('01_数值调参'!AI32&lt;0,'03_全链计算'!S79+1,0),IF('01_数值调参'!AI33&lt;0,'03_全链计算'!T79+1,0),IF('01_数值调参'!AI34&lt;0,'03_全链计算'!U79+1,0),IF('01_数值调参'!AI35&lt;0,'03_全链计算'!V79+1,0),IF('01_数值调参'!AI36&lt;0,'03_全链计算'!W79+1,0),IF('01_数值调参'!AI37&lt;0,'03_全链计算'!X79+1,0),IF('01_数值调参'!AI38&lt;0,'03_全链计算'!Y79+1,0),IF('01_数值调参'!AI39&lt;0,'03_全链计算'!Z79+1,0),IF('01_数值调参'!AI40&lt;0,'03_全链计算'!AA79+1,0),IF('01_数值调参'!AI41&lt;0,'03_全链计算'!AB79+1,0),IF('01_数值调参'!AI42&lt;0,'03_全链计算'!AC79+1,0),IF('01_数值调参'!AI43&lt;0,'03_全链计算'!AD79+1,0),IF('01_数值调参'!AI44&lt;0,'03_全链计算'!AE79+1,0),IF('01_数值调参'!AI45&lt;0,'03_全链计算'!AF79+1,0),IF('01_数值调参'!AI46&lt;0,'03_全链计算'!AG79+1,0),IF('01_数值调参'!AI47&lt;0,'03_全链计算'!AH79+1,0),IF('01_数值调参'!AI48&lt;0,'03_全链计算'!AI79+1,0),IF('01_数值调参'!AI49&lt;0,'03_全链计算'!AJ79+1,0),IF('01_数值调参'!AI50&lt;0,'03_全链计算'!AK79+1,0),IF('01_数值调参'!AI51&lt;0,'03_全链计算'!AL79+1,0),IF('01_数值调参'!AI52&lt;0,'03_全链计算'!AM79+1,0))</x:f>
        <x:v>2</x:v>
      </x:c>
      <x:c r="AJ80" s="9" t="n">
        <x:f>MAX(IF('01_数值调参'!AJ18&lt;0,'03_全链计算'!E79+1,0),IF('01_数值调参'!AJ19&lt;0,'03_全链计算'!F79+1,0),IF('01_数值调参'!AJ20&lt;0,'03_全链计算'!G79+1,0),IF('01_数值调参'!AJ21&lt;0,'03_全链计算'!H79+1,0),IF('01_数值调参'!AJ22&lt;0,'03_全链计算'!I79+1,0),IF('01_数值调参'!AJ23&lt;0,'03_全链计算'!J79+1,0),IF('01_数值调参'!AJ24&lt;0,'03_全链计算'!K79+1,0),IF('01_数值调参'!AJ25&lt;0,'03_全链计算'!L79+1,0),IF('01_数值调参'!AJ26&lt;0,'03_全链计算'!M79+1,0),IF('01_数值调参'!AJ27&lt;0,'03_全链计算'!N79+1,0),IF('01_数值调参'!AJ28&lt;0,'03_全链计算'!O79+1,0),IF('01_数值调参'!AJ29&lt;0,'03_全链计算'!P79+1,0),IF('01_数值调参'!AJ30&lt;0,'03_全链计算'!Q79+1,0),IF('01_数值调参'!AJ31&lt;0,'03_全链计算'!R79+1,0),IF('01_数值调参'!AJ32&lt;0,'03_全链计算'!S79+1,0),IF('01_数值调参'!AJ33&lt;0,'03_全链计算'!T79+1,0),IF('01_数值调参'!AJ34&lt;0,'03_全链计算'!U79+1,0),IF('01_数值调参'!AJ35&lt;0,'03_全链计算'!V79+1,0),IF('01_数值调参'!AJ36&lt;0,'03_全链计算'!W79+1,0),IF('01_数值调参'!AJ37&lt;0,'03_全链计算'!X79+1,0),IF('01_数值调参'!AJ38&lt;0,'03_全链计算'!Y79+1,0),IF('01_数值调参'!AJ39&lt;0,'03_全链计算'!Z79+1,0),IF('01_数值调参'!AJ40&lt;0,'03_全链计算'!AA79+1,0),IF('01_数值调参'!AJ41&lt;0,'03_全链计算'!AB79+1,0),IF('01_数值调参'!AJ42&lt;0,'03_全链计算'!AC79+1,0),IF('01_数值调参'!AJ43&lt;0,'03_全链计算'!AD79+1,0),IF('01_数值调参'!AJ44&lt;0,'03_全链计算'!AE79+1,0),IF('01_数值调参'!AJ45&lt;0,'03_全链计算'!AF79+1,0),IF('01_数值调参'!AJ46&lt;0,'03_全链计算'!AG79+1,0),IF('01_数值调参'!AJ47&lt;0,'03_全链计算'!AH79+1,0),IF('01_数值调参'!AJ48&lt;0,'03_全链计算'!AI79+1,0),IF('01_数值调参'!AJ49&lt;0,'03_全链计算'!AJ79+1,0),IF('01_数值调参'!AJ50&lt;0,'03_全链计算'!AK79+1,0),IF('01_数值调参'!AJ51&lt;0,'03_全链计算'!AL79+1,0),IF('01_数值调参'!AJ52&lt;0,'03_全链计算'!AM79+1,0))</x:f>
        <x:v>2</x:v>
      </x:c>
      <x:c r="AK80" s="9" t="n">
        <x:f>MAX(IF('01_数值调参'!AK18&lt;0,'03_全链计算'!E79+1,0),IF('01_数值调参'!AK19&lt;0,'03_全链计算'!F79+1,0),IF('01_数值调参'!AK20&lt;0,'03_全链计算'!G79+1,0),IF('01_数值调参'!AK21&lt;0,'03_全链计算'!H79+1,0),IF('01_数值调参'!AK22&lt;0,'03_全链计算'!I79+1,0),IF('01_数值调参'!AK23&lt;0,'03_全链计算'!J79+1,0),IF('01_数值调参'!AK24&lt;0,'03_全链计算'!K79+1,0),IF('01_数值调参'!AK25&lt;0,'03_全链计算'!L79+1,0),IF('01_数值调参'!AK26&lt;0,'03_全链计算'!M79+1,0),IF('01_数值调参'!AK27&lt;0,'03_全链计算'!N79+1,0),IF('01_数值调参'!AK28&lt;0,'03_全链计算'!O79+1,0),IF('01_数值调参'!AK29&lt;0,'03_全链计算'!P79+1,0),IF('01_数值调参'!AK30&lt;0,'03_全链计算'!Q79+1,0),IF('01_数值调参'!AK31&lt;0,'03_全链计算'!R79+1,0),IF('01_数值调参'!AK32&lt;0,'03_全链计算'!S79+1,0),IF('01_数值调参'!AK33&lt;0,'03_全链计算'!T79+1,0),IF('01_数值调参'!AK34&lt;0,'03_全链计算'!U79+1,0),IF('01_数值调参'!AK35&lt;0,'03_全链计算'!V79+1,0),IF('01_数值调参'!AK36&lt;0,'03_全链计算'!W79+1,0),IF('01_数值调参'!AK37&lt;0,'03_全链计算'!X79+1,0),IF('01_数值调参'!AK38&lt;0,'03_全链计算'!Y79+1,0),IF('01_数值调参'!AK39&lt;0,'03_全链计算'!Z79+1,0),IF('01_数值调参'!AK40&lt;0,'03_全链计算'!AA79+1,0),IF('01_数值调参'!AK41&lt;0,'03_全链计算'!AB79+1,0),IF('01_数值调参'!AK42&lt;0,'03_全链计算'!AC79+1,0),IF('01_数值调参'!AK43&lt;0,'03_全链计算'!AD79+1,0),IF('01_数值调参'!AK44&lt;0,'03_全链计算'!AE79+1,0),IF('01_数值调参'!AK45&lt;0,'03_全链计算'!AF79+1,0),IF('01_数值调参'!AK46&lt;0,'03_全链计算'!AG79+1,0),IF('01_数值调参'!AK47&lt;0,'03_全链计算'!AH79+1,0),IF('01_数值调参'!AK48&lt;0,'03_全链计算'!AI79+1,0),IF('01_数值调参'!AK49&lt;0,'03_全链计算'!AJ79+1,0),IF('01_数值调参'!AK50&lt;0,'03_全链计算'!AK79+1,0),IF('01_数值调参'!AK51&lt;0,'03_全链计算'!AL79+1,0),IF('01_数值调参'!AK52&lt;0,'03_全链计算'!AM79+1,0))</x:f>
        <x:v>2</x:v>
      </x:c>
      <x:c r="AL80" s="9" t="n">
        <x:f>MAX(IF('01_数值调参'!AL18&lt;0,'03_全链计算'!E79+1,0),IF('01_数值调参'!AL19&lt;0,'03_全链计算'!F79+1,0),IF('01_数值调参'!AL20&lt;0,'03_全链计算'!G79+1,0),IF('01_数值调参'!AL21&lt;0,'03_全链计算'!H79+1,0),IF('01_数值调参'!AL22&lt;0,'03_全链计算'!I79+1,0),IF('01_数值调参'!AL23&lt;0,'03_全链计算'!J79+1,0),IF('01_数值调参'!AL24&lt;0,'03_全链计算'!K79+1,0),IF('01_数值调参'!AL25&lt;0,'03_全链计算'!L79+1,0),IF('01_数值调参'!AL26&lt;0,'03_全链计算'!M79+1,0),IF('01_数值调参'!AL27&lt;0,'03_全链计算'!N79+1,0),IF('01_数值调参'!AL28&lt;0,'03_全链计算'!O79+1,0),IF('01_数值调参'!AL29&lt;0,'03_全链计算'!P79+1,0),IF('01_数值调参'!AL30&lt;0,'03_全链计算'!Q79+1,0),IF('01_数值调参'!AL31&lt;0,'03_全链计算'!R79+1,0),IF('01_数值调参'!AL32&lt;0,'03_全链计算'!S79+1,0),IF('01_数值调参'!AL33&lt;0,'03_全链计算'!T79+1,0),IF('01_数值调参'!AL34&lt;0,'03_全链计算'!U79+1,0),IF('01_数值调参'!AL35&lt;0,'03_全链计算'!V79+1,0),IF('01_数值调参'!AL36&lt;0,'03_全链计算'!W79+1,0),IF('01_数值调参'!AL37&lt;0,'03_全链计算'!X79+1,0),IF('01_数值调参'!AL38&lt;0,'03_全链计算'!Y79+1,0),IF('01_数值调参'!AL39&lt;0,'03_全链计算'!Z79+1,0),IF('01_数值调参'!AL40&lt;0,'03_全链计算'!AA79+1,0),IF('01_数值调参'!AL41&lt;0,'03_全链计算'!AB79+1,0),IF('01_数值调参'!AL42&lt;0,'03_全链计算'!AC79+1,0),IF('01_数值调参'!AL43&lt;0,'03_全链计算'!AD79+1,0),IF('01_数值调参'!AL44&lt;0,'03_全链计算'!AE79+1,0),IF('01_数值调参'!AL45&lt;0,'03_全链计算'!AF79+1,0),IF('01_数值调参'!AL46&lt;0,'03_全链计算'!AG79+1,0),IF('01_数值调参'!AL47&lt;0,'03_全链计算'!AH79+1,0),IF('01_数值调参'!AL48&lt;0,'03_全链计算'!AI79+1,0),IF('01_数值调参'!AL49&lt;0,'03_全链计算'!AJ79+1,0),IF('01_数值调参'!AL50&lt;0,'03_全链计算'!AK79+1,0),IF('01_数值调参'!AL51&lt;0,'03_全链计算'!AL79+1,0),IF('01_数值调参'!AL52&lt;0,'03_全链计算'!AM79+1,0))</x:f>
        <x:v>3</x:v>
      </x:c>
      <x:c r="AM80" s="9" t="n">
        <x:f>MAX(IF('01_数值调参'!AM18&lt;0,'03_全链计算'!E79+1,0),IF('01_数值调参'!AM19&lt;0,'03_全链计算'!F79+1,0),IF('01_数值调参'!AM20&lt;0,'03_全链计算'!G79+1,0),IF('01_数值调参'!AM21&lt;0,'03_全链计算'!H79+1,0),IF('01_数值调参'!AM22&lt;0,'03_全链计算'!I79+1,0),IF('01_数值调参'!AM23&lt;0,'03_全链计算'!J79+1,0),IF('01_数值调参'!AM24&lt;0,'03_全链计算'!K79+1,0),IF('01_数值调参'!AM25&lt;0,'03_全链计算'!L79+1,0),IF('01_数值调参'!AM26&lt;0,'03_全链计算'!M79+1,0),IF('01_数值调参'!AM27&lt;0,'03_全链计算'!N79+1,0),IF('01_数值调参'!AM28&lt;0,'03_全链计算'!O79+1,0),IF('01_数值调参'!AM29&lt;0,'03_全链计算'!P79+1,0),IF('01_数值调参'!AM30&lt;0,'03_全链计算'!Q79+1,0),IF('01_数值调参'!AM31&lt;0,'03_全链计算'!R79+1,0),IF('01_数值调参'!AM32&lt;0,'03_全链计算'!S79+1,0),IF('01_数值调参'!AM33&lt;0,'03_全链计算'!T79+1,0),IF('01_数值调参'!AM34&lt;0,'03_全链计算'!U79+1,0),IF('01_数值调参'!AM35&lt;0,'03_全链计算'!V79+1,0),IF('01_数值调参'!AM36&lt;0,'03_全链计算'!W79+1,0),IF('01_数值调参'!AM37&lt;0,'03_全链计算'!X79+1,0),IF('01_数值调参'!AM38&lt;0,'03_全链计算'!Y79+1,0),IF('01_数值调参'!AM39&lt;0,'03_全链计算'!Z79+1,0),IF('01_数值调参'!AM40&lt;0,'03_全链计算'!AA79+1,0),IF('01_数值调参'!AM41&lt;0,'03_全链计算'!AB79+1,0),IF('01_数值调参'!AM42&lt;0,'03_全链计算'!AC79+1,0),IF('01_数值调参'!AM43&lt;0,'03_全链计算'!AD79+1,0),IF('01_数值调参'!AM44&lt;0,'03_全链计算'!AE79+1,0),IF('01_数值调参'!AM45&lt;0,'03_全链计算'!AF79+1,0),IF('01_数值调参'!AM46&lt;0,'03_全链计算'!AG79+1,0),IF('01_数值调参'!AM47&lt;0,'03_全链计算'!AH79+1,0),IF('01_数值调参'!AM48&lt;0,'03_全链计算'!AI79+1,0),IF('01_数值调参'!AM49&lt;0,'03_全链计算'!AJ79+1,0),IF('01_数值调参'!AM50&lt;0,'03_全链计算'!AK79+1,0),IF('01_数值调参'!AM51&lt;0,'03_全链计算'!AL79+1,0),IF('01_数值调参'!AM52&lt;0,'03_全链计算'!AM79+1,0))</x:f>
        <x:v>3</x:v>
      </x:c>
    </x:row>
    <x:row r="81" ht="22" customHeight="1">
      <x:c r="A81" s="9"/>
      <x:c r="B81" s="9"/>
      <x:c r="C81" s="9"/>
      <x:c r="D81" s="9"/>
      <x:c r="E81" s="9"/>
      <x:c r="F81" s="9"/>
      <x:c r="G81" s="9"/>
      <x:c r="H81" s="9"/>
      <x:c r="I81" s="9"/>
      <x:c r="J81" s="9"/>
      <x:c r="K81" s="9"/>
      <x:c r="L81" s="9"/>
      <x:c r="M81" s="9"/>
      <x:c r="N81" s="9"/>
      <x:c r="O81" s="9"/>
      <x:c r="P81" s="9"/>
      <x:c r="Q81" s="9"/>
      <x:c r="R81" s="9"/>
      <x:c r="S81" s="9"/>
      <x:c r="T81" s="9"/>
      <x:c r="U81" s="9"/>
      <x:c r="V81" s="9"/>
      <x:c r="W81" s="9"/>
      <x:c r="X81" s="9"/>
      <x:c r="Y81" s="9"/>
      <x:c r="Z81" s="9"/>
      <x:c r="AA81" s="9"/>
      <x:c r="AB81" s="9"/>
      <x:c r="AC81" s="9"/>
      <x:c r="AD81" s="9"/>
      <x:c r="AE81" s="9"/>
      <x:c r="AF81" s="9"/>
      <x:c r="AG81" s="9"/>
      <x:c r="AH81" s="9"/>
      <x:c r="AI81" s="9"/>
      <x:c r="AJ81" s="9"/>
      <x:c r="AK81" s="9"/>
      <x:c r="AL81" s="9"/>
      <x:c r="AM81" s="9"/>
    </x:row>
    <x:row r="82" ht="22" customHeight="1">
      <x:c r="A82" s="9"/>
      <x:c r="B82" s="9"/>
      <x:c r="C82" s="9"/>
      <x:c r="D82" s="9"/>
      <x:c r="E82" s="9"/>
      <x:c r="F82" s="9"/>
      <x:c r="G82" s="9"/>
      <x:c r="H82" s="9"/>
      <x:c r="I82" s="9"/>
      <x:c r="J82" s="9"/>
      <x:c r="K82" s="9"/>
      <x:c r="L82" s="9"/>
      <x:c r="M82" s="9"/>
      <x:c r="N82" s="9"/>
      <x:c r="O82" s="9"/>
      <x:c r="P82" s="9"/>
      <x:c r="Q82" s="9"/>
      <x:c r="R82" s="9"/>
      <x:c r="S82" s="9"/>
      <x:c r="T82" s="9"/>
      <x:c r="U82" s="9"/>
      <x:c r="V82" s="9"/>
      <x:c r="W82" s="9"/>
      <x:c r="X82" s="9"/>
      <x:c r="Y82" s="9"/>
      <x:c r="Z82" s="9"/>
      <x:c r="AA82" s="9"/>
      <x:c r="AB82" s="9"/>
      <x:c r="AC82" s="9"/>
      <x:c r="AD82" s="9"/>
      <x:c r="AE82" s="9"/>
      <x:c r="AF82" s="9"/>
      <x:c r="AG82" s="9"/>
      <x:c r="AH82" s="9"/>
      <x:c r="AI82" s="9"/>
      <x:c r="AJ82" s="9"/>
      <x:c r="AK82" s="9"/>
      <x:c r="AL82" s="9"/>
      <x:c r="AM82" s="9"/>
    </x:row>
    <x:row r="83" ht="22" customHeight="1">
      <x:c r="A83" s="9"/>
      <x:c r="B83" s="9"/>
      <x:c r="C83" s="9"/>
      <x:c r="D83" s="9"/>
      <x:c r="E83" s="9"/>
      <x:c r="F83" s="9"/>
      <x:c r="G83" s="9"/>
      <x:c r="H83" s="9"/>
      <x:c r="I83" s="9"/>
      <x:c r="J83" s="9"/>
      <x:c r="K83" s="9"/>
      <x:c r="L83" s="9"/>
      <x:c r="M83" s="9"/>
      <x:c r="N83" s="9"/>
      <x:c r="O83" s="9"/>
      <x:c r="P83" s="9"/>
      <x:c r="Q83" s="9"/>
      <x:c r="R83" s="9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  <x:c r="AI83" s="9"/>
      <x:c r="AJ83" s="9"/>
      <x:c r="AK83" s="9"/>
      <x:c r="AL83" s="9"/>
      <x:c r="AM83" s="9"/>
    </x:row>
    <x:row r="84" ht="22" customHeight="1">
      <x:c r="A84" s="9"/>
      <x:c r="B84" s="9"/>
      <x:c r="C84" s="9"/>
      <x:c r="D84" s="9"/>
      <x:c r="E84" s="9"/>
      <x:c r="F84" s="9"/>
      <x:c r="G84" s="9"/>
      <x:c r="H84" s="9"/>
      <x:c r="I84" s="9"/>
      <x:c r="J84" s="9"/>
      <x:c r="K84" s="9"/>
      <x:c r="L84" s="9"/>
      <x:c r="M84" s="9"/>
      <x:c r="N84" s="9"/>
      <x:c r="O84" s="9"/>
      <x:c r="P84" s="9"/>
      <x:c r="Q84" s="9"/>
      <x:c r="R84" s="9"/>
      <x:c r="S84" s="9"/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  <x:c r="AI84" s="9"/>
      <x:c r="AJ84" s="9"/>
      <x:c r="AK84" s="9"/>
      <x:c r="AL84" s="9"/>
      <x:c r="AM84" s="9"/>
    </x:row>
    <x:row r="85" ht="22" customHeight="1">
      <x:c r="A85" s="9"/>
      <x:c r="B85" s="9"/>
      <x:c r="C85" s="9"/>
      <x:c r="D85" s="9"/>
      <x:c r="E85" s="9"/>
      <x:c r="F85" s="9"/>
      <x:c r="G85" s="9"/>
      <x:c r="H85" s="9"/>
      <x:c r="I85" s="9"/>
      <x:c r="J85" s="9"/>
      <x:c r="K85" s="9"/>
      <x:c r="L85" s="9"/>
      <x:c r="M85" s="9"/>
      <x:c r="N85" s="9"/>
      <x:c r="O85" s="9"/>
      <x:c r="P85" s="9"/>
      <x:c r="Q85" s="9"/>
      <x:c r="R85" s="9"/>
      <x:c r="S85" s="9"/>
      <x:c r="T85" s="9"/>
      <x:c r="U85" s="9"/>
      <x:c r="V85" s="9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/>
      <x:c r="AH85" s="9"/>
      <x:c r="AI85" s="9"/>
      <x:c r="AJ85" s="9"/>
      <x:c r="AK85" s="9"/>
      <x:c r="AL85" s="9"/>
      <x:c r="AM85" s="9"/>
    </x:row>
    <x:row r="86" ht="22" customHeight="1">
      <x:c r="A86" s="9" t="str">
        <x:v>本品输入变化</x:v>
      </x:c>
      <x:c r="B86" s="9"/>
      <x:c r="C86" s="9"/>
      <x:c r="D86" s="9"/>
      <x:c r="E86" s="9" t="n">
        <x:f>IF(AND('01_数值调参'!E9='03_全链计算'!E92,'01_数值调参'!E18='03_全链计算'!E94,'01_数值调参'!E19='03_全链计算'!E95,'01_数值调参'!E20='03_全链计算'!E96,'01_数值调参'!E21='03_全链计算'!E97,'01_数值调参'!E22='03_全链计算'!E98,'01_数值调参'!E23='03_全链计算'!E99,'01_数值调参'!E24='03_全链计算'!E100,'01_数值调参'!E25='03_全链计算'!E101,'01_数值调参'!E26='03_全链计算'!E102,'01_数值调参'!E27='03_全链计算'!E103,'01_数值调参'!E28='03_全链计算'!E104,'01_数值调参'!E29='03_全链计算'!E105,'01_数值调参'!E30='03_全链计算'!E106,'01_数值调参'!E31='03_全链计算'!E107,'01_数值调参'!E32='03_全链计算'!E108,'01_数值调参'!E33='03_全链计算'!E109,'01_数值调参'!E34='03_全链计算'!E110,'01_数值调参'!E35='03_全链计算'!E111,'01_数值调参'!E36='03_全链计算'!E112,'01_数值调参'!E37='03_全链计算'!E113,'01_数值调参'!E38='03_全链计算'!E114,'01_数值调参'!E39='03_全链计算'!E115,'01_数值调参'!E40='03_全链计算'!E116,'01_数值调参'!E41='03_全链计算'!E117,'01_数值调参'!E42='03_全链计算'!E118,'01_数值调参'!E43='03_全链计算'!E119,'01_数值调参'!E44='03_全链计算'!E120,'01_数值调参'!E45='03_全链计算'!E121,'01_数值调参'!E46='03_全链计算'!E122,'01_数值调参'!E47='03_全链计算'!E123,'01_数值调参'!E48='03_全链计算'!E124,'01_数值调参'!E49='03_全链计算'!E125,'01_数值调参'!E50='03_全链计算'!E126,'01_数值调参'!E51='03_全链计算'!E127,'01_数值调参'!E52='03_全链计算'!E128),0,1)</x:f>
        <x:v>0</x:v>
      </x:c>
      <x:c r="F86" s="9" t="n">
        <x:f>IF(AND('01_数值调参'!F9='03_全链计算'!F92,'01_数值调参'!F18='03_全链计算'!F94,'01_数值调参'!F19='03_全链计算'!F95,'01_数值调参'!F20='03_全链计算'!F96,'01_数值调参'!F21='03_全链计算'!F97,'01_数值调参'!F22='03_全链计算'!F98,'01_数值调参'!F23='03_全链计算'!F99,'01_数值调参'!F24='03_全链计算'!F100,'01_数值调参'!F25='03_全链计算'!F101,'01_数值调参'!F26='03_全链计算'!F102,'01_数值调参'!F27='03_全链计算'!F103,'01_数值调参'!F28='03_全链计算'!F104,'01_数值调参'!F29='03_全链计算'!F105,'01_数值调参'!F30='03_全链计算'!F106,'01_数值调参'!F31='03_全链计算'!F107,'01_数值调参'!F32='03_全链计算'!F108,'01_数值调参'!F33='03_全链计算'!F109,'01_数值调参'!F34='03_全链计算'!F110,'01_数值调参'!F35='03_全链计算'!F111,'01_数值调参'!F36='03_全链计算'!F112,'01_数值调参'!F37='03_全链计算'!F113,'01_数值调参'!F38='03_全链计算'!F114,'01_数值调参'!F39='03_全链计算'!F115,'01_数值调参'!F40='03_全链计算'!F116,'01_数值调参'!F41='03_全链计算'!F117,'01_数值调参'!F42='03_全链计算'!F118,'01_数值调参'!F43='03_全链计算'!F119,'01_数值调参'!F44='03_全链计算'!F120,'01_数值调参'!F45='03_全链计算'!F121,'01_数值调参'!F46='03_全链计算'!F122,'01_数值调参'!F47='03_全链计算'!F123,'01_数值调参'!F48='03_全链计算'!F124,'01_数值调参'!F49='03_全链计算'!F125,'01_数值调参'!F50='03_全链计算'!F126,'01_数值调参'!F51='03_全链计算'!F127,'01_数值调参'!F52='03_全链计算'!F128),0,1)</x:f>
        <x:v>0</x:v>
      </x:c>
      <x:c r="G86" s="9" t="n">
        <x:f>IF(AND('01_数值调参'!G9='03_全链计算'!G92,'01_数值调参'!G18='03_全链计算'!G94,'01_数值调参'!G19='03_全链计算'!G95,'01_数值调参'!G20='03_全链计算'!G96,'01_数值调参'!G21='03_全链计算'!G97,'01_数值调参'!G22='03_全链计算'!G98,'01_数值调参'!G23='03_全链计算'!G99,'01_数值调参'!G24='03_全链计算'!G100,'01_数值调参'!G25='03_全链计算'!G101,'01_数值调参'!G26='03_全链计算'!G102,'01_数值调参'!G27='03_全链计算'!G103,'01_数值调参'!G28='03_全链计算'!G104,'01_数值调参'!G29='03_全链计算'!G105,'01_数值调参'!G30='03_全链计算'!G106,'01_数值调参'!G31='03_全链计算'!G107,'01_数值调参'!G32='03_全链计算'!G108,'01_数值调参'!G33='03_全链计算'!G109,'01_数值调参'!G34='03_全链计算'!G110,'01_数值调参'!G35='03_全链计算'!G111,'01_数值调参'!G36='03_全链计算'!G112,'01_数值调参'!G37='03_全链计算'!G113,'01_数值调参'!G38='03_全链计算'!G114,'01_数值调参'!G39='03_全链计算'!G115,'01_数值调参'!G40='03_全链计算'!G116,'01_数值调参'!G41='03_全链计算'!G117,'01_数值调参'!G42='03_全链计算'!G118,'01_数值调参'!G43='03_全链计算'!G119,'01_数值调参'!G44='03_全链计算'!G120,'01_数值调参'!G45='03_全链计算'!G121,'01_数值调参'!G46='03_全链计算'!G122,'01_数值调参'!G47='03_全链计算'!G123,'01_数值调参'!G48='03_全链计算'!G124,'01_数值调参'!G49='03_全链计算'!G125,'01_数值调参'!G50='03_全链计算'!G126,'01_数值调参'!G51='03_全链计算'!G127,'01_数值调参'!G52='03_全链计算'!G128),0,1)</x:f>
        <x:v>0</x:v>
      </x:c>
      <x:c r="H86" s="9" t="n">
        <x:f>IF(AND('01_数值调参'!H9='03_全链计算'!H92,'01_数值调参'!H18='03_全链计算'!H94,'01_数值调参'!H19='03_全链计算'!H95,'01_数值调参'!H20='03_全链计算'!H96,'01_数值调参'!H21='03_全链计算'!H97,'01_数值调参'!H22='03_全链计算'!H98,'01_数值调参'!H23='03_全链计算'!H99,'01_数值调参'!H24='03_全链计算'!H100,'01_数值调参'!H25='03_全链计算'!H101,'01_数值调参'!H26='03_全链计算'!H102,'01_数值调参'!H27='03_全链计算'!H103,'01_数值调参'!H28='03_全链计算'!H104,'01_数值调参'!H29='03_全链计算'!H105,'01_数值调参'!H30='03_全链计算'!H106,'01_数值调参'!H31='03_全链计算'!H107,'01_数值调参'!H32='03_全链计算'!H108,'01_数值调参'!H33='03_全链计算'!H109,'01_数值调参'!H34='03_全链计算'!H110,'01_数值调参'!H35='03_全链计算'!H111,'01_数值调参'!H36='03_全链计算'!H112,'01_数值调参'!H37='03_全链计算'!H113,'01_数值调参'!H38='03_全链计算'!H114,'01_数值调参'!H39='03_全链计算'!H115,'01_数值调参'!H40='03_全链计算'!H116,'01_数值调参'!H41='03_全链计算'!H117,'01_数值调参'!H42='03_全链计算'!H118,'01_数值调参'!H43='03_全链计算'!H119,'01_数值调参'!H44='03_全链计算'!H120,'01_数值调参'!H45='03_全链计算'!H121,'01_数值调参'!H46='03_全链计算'!H122,'01_数值调参'!H47='03_全链计算'!H123,'01_数值调参'!H48='03_全链计算'!H124,'01_数值调参'!H49='03_全链计算'!H125,'01_数值调参'!H50='03_全链计算'!H126,'01_数值调参'!H51='03_全链计算'!H127,'01_数值调参'!H52='03_全链计算'!H128),0,1)</x:f>
        <x:v>0</x:v>
      </x:c>
      <x:c r="I86" s="9" t="n">
        <x:f>IF(AND('01_数值调参'!I9='03_全链计算'!I92,'01_数值调参'!I18='03_全链计算'!I94,'01_数值调参'!I19='03_全链计算'!I95,'01_数值调参'!I20='03_全链计算'!I96,'01_数值调参'!I21='03_全链计算'!I97,'01_数值调参'!I22='03_全链计算'!I98,'01_数值调参'!I23='03_全链计算'!I99,'01_数值调参'!I24='03_全链计算'!I100,'01_数值调参'!I25='03_全链计算'!I101,'01_数值调参'!I26='03_全链计算'!I102,'01_数值调参'!I27='03_全链计算'!I103,'01_数值调参'!I28='03_全链计算'!I104,'01_数值调参'!I29='03_全链计算'!I105,'01_数值调参'!I30='03_全链计算'!I106,'01_数值调参'!I31='03_全链计算'!I107,'01_数值调参'!I32='03_全链计算'!I108,'01_数值调参'!I33='03_全链计算'!I109,'01_数值调参'!I34='03_全链计算'!I110,'01_数值调参'!I35='03_全链计算'!I111,'01_数值调参'!I36='03_全链计算'!I112,'01_数值调参'!I37='03_全链计算'!I113,'01_数值调参'!I38='03_全链计算'!I114,'01_数值调参'!I39='03_全链计算'!I115,'01_数值调参'!I40='03_全链计算'!I116,'01_数值调参'!I41='03_全链计算'!I117,'01_数值调参'!I42='03_全链计算'!I118,'01_数值调参'!I43='03_全链计算'!I119,'01_数值调参'!I44='03_全链计算'!I120,'01_数值调参'!I45='03_全链计算'!I121,'01_数值调参'!I46='03_全链计算'!I122,'01_数值调参'!I47='03_全链计算'!I123,'01_数值调参'!I48='03_全链计算'!I124,'01_数值调参'!I49='03_全链计算'!I125,'01_数值调参'!I50='03_全链计算'!I126,'01_数值调参'!I51='03_全链计算'!I127,'01_数值调参'!I52='03_全链计算'!I128),0,1)</x:f>
        <x:v>0</x:v>
      </x:c>
      <x:c r="J86" s="9" t="n">
        <x:f>IF(AND('01_数值调参'!J9='03_全链计算'!J92,'01_数值调参'!J18='03_全链计算'!J94,'01_数值调参'!J19='03_全链计算'!J95,'01_数值调参'!J20='03_全链计算'!J96,'01_数值调参'!J21='03_全链计算'!J97,'01_数值调参'!J22='03_全链计算'!J98,'01_数值调参'!J23='03_全链计算'!J99,'01_数值调参'!J24='03_全链计算'!J100,'01_数值调参'!J25='03_全链计算'!J101,'01_数值调参'!J26='03_全链计算'!J102,'01_数值调参'!J27='03_全链计算'!J103,'01_数值调参'!J28='03_全链计算'!J104,'01_数值调参'!J29='03_全链计算'!J105,'01_数值调参'!J30='03_全链计算'!J106,'01_数值调参'!J31='03_全链计算'!J107,'01_数值调参'!J32='03_全链计算'!J108,'01_数值调参'!J33='03_全链计算'!J109,'01_数值调参'!J34='03_全链计算'!J110,'01_数值调参'!J35='03_全链计算'!J111,'01_数值调参'!J36='03_全链计算'!J112,'01_数值调参'!J37='03_全链计算'!J113,'01_数值调参'!J38='03_全链计算'!J114,'01_数值调参'!J39='03_全链计算'!J115,'01_数值调参'!J40='03_全链计算'!J116,'01_数值调参'!J41='03_全链计算'!J117,'01_数值调参'!J42='03_全链计算'!J118,'01_数值调参'!J43='03_全链计算'!J119,'01_数值调参'!J44='03_全链计算'!J120,'01_数值调参'!J45='03_全链计算'!J121,'01_数值调参'!J46='03_全链计算'!J122,'01_数值调参'!J47='03_全链计算'!J123,'01_数值调参'!J48='03_全链计算'!J124,'01_数值调参'!J49='03_全链计算'!J125,'01_数值调参'!J50='03_全链计算'!J126,'01_数值调参'!J51='03_全链计算'!J127,'01_数值调参'!J52='03_全链计算'!J128),0,1)</x:f>
        <x:v>0</x:v>
      </x:c>
      <x:c r="K86" s="9" t="n">
        <x:f>IF(AND('01_数值调参'!K9='03_全链计算'!K92,'01_数值调参'!K18='03_全链计算'!K94,'01_数值调参'!K19='03_全链计算'!K95,'01_数值调参'!K20='03_全链计算'!K96,'01_数值调参'!K21='03_全链计算'!K97,'01_数值调参'!K22='03_全链计算'!K98,'01_数值调参'!K23='03_全链计算'!K99,'01_数值调参'!K24='03_全链计算'!K100,'01_数值调参'!K25='03_全链计算'!K101,'01_数值调参'!K26='03_全链计算'!K102,'01_数值调参'!K27='03_全链计算'!K103,'01_数值调参'!K28='03_全链计算'!K104,'01_数值调参'!K29='03_全链计算'!K105,'01_数值调参'!K30='03_全链计算'!K106,'01_数值调参'!K31='03_全链计算'!K107,'01_数值调参'!K32='03_全链计算'!K108,'01_数值调参'!K33='03_全链计算'!K109,'01_数值调参'!K34='03_全链计算'!K110,'01_数值调参'!K35='03_全链计算'!K111,'01_数值调参'!K36='03_全链计算'!K112,'01_数值调参'!K37='03_全链计算'!K113,'01_数值调参'!K38='03_全链计算'!K114,'01_数值调参'!K39='03_全链计算'!K115,'01_数值调参'!K40='03_全链计算'!K116,'01_数值调参'!K41='03_全链计算'!K117,'01_数值调参'!K42='03_全链计算'!K118,'01_数值调参'!K43='03_全链计算'!K119,'01_数值调参'!K44='03_全链计算'!K120,'01_数值调参'!K45='03_全链计算'!K121,'01_数值调参'!K46='03_全链计算'!K122,'01_数值调参'!K47='03_全链计算'!K123,'01_数值调参'!K48='03_全链计算'!K124,'01_数值调参'!K49='03_全链计算'!K125,'01_数值调参'!K50='03_全链计算'!K126,'01_数值调参'!K51='03_全链计算'!K127,'01_数值调参'!K52='03_全链计算'!K128),0,1)</x:f>
        <x:v>0</x:v>
      </x:c>
      <x:c r="L86" s="9" t="n">
        <x:f>IF(AND('01_数值调参'!L9='03_全链计算'!L92,'01_数值调参'!L18='03_全链计算'!L94,'01_数值调参'!L19='03_全链计算'!L95,'01_数值调参'!L20='03_全链计算'!L96,'01_数值调参'!L21='03_全链计算'!L97,'01_数值调参'!L22='03_全链计算'!L98,'01_数值调参'!L23='03_全链计算'!L99,'01_数值调参'!L24='03_全链计算'!L100,'01_数值调参'!L25='03_全链计算'!L101,'01_数值调参'!L26='03_全链计算'!L102,'01_数值调参'!L27='03_全链计算'!L103,'01_数值调参'!L28='03_全链计算'!L104,'01_数值调参'!L29='03_全链计算'!L105,'01_数值调参'!L30='03_全链计算'!L106,'01_数值调参'!L31='03_全链计算'!L107,'01_数值调参'!L32='03_全链计算'!L108,'01_数值调参'!L33='03_全链计算'!L109,'01_数值调参'!L34='03_全链计算'!L110,'01_数值调参'!L35='03_全链计算'!L111,'01_数值调参'!L36='03_全链计算'!L112,'01_数值调参'!L37='03_全链计算'!L113,'01_数值调参'!L38='03_全链计算'!L114,'01_数值调参'!L39='03_全链计算'!L115,'01_数值调参'!L40='03_全链计算'!L116,'01_数值调参'!L41='03_全链计算'!L117,'01_数值调参'!L42='03_全链计算'!L118,'01_数值调参'!L43='03_全链计算'!L119,'01_数值调参'!L44='03_全链计算'!L120,'01_数值调参'!L45='03_全链计算'!L121,'01_数值调参'!L46='03_全链计算'!L122,'01_数值调参'!L47='03_全链计算'!L123,'01_数值调参'!L48='03_全链计算'!L124,'01_数值调参'!L49='03_全链计算'!L125,'01_数值调参'!L50='03_全链计算'!L126,'01_数值调参'!L51='03_全链计算'!L127,'01_数值调参'!L52='03_全链计算'!L128),0,1)</x:f>
        <x:v>0</x:v>
      </x:c>
      <x:c r="M86" s="9" t="n">
        <x:f>IF(AND('01_数值调参'!M9='03_全链计算'!M92,'01_数值调参'!M18='03_全链计算'!M94,'01_数值调参'!M19='03_全链计算'!M95,'01_数值调参'!M20='03_全链计算'!M96,'01_数值调参'!M21='03_全链计算'!M97,'01_数值调参'!M22='03_全链计算'!M98,'01_数值调参'!M23='03_全链计算'!M99,'01_数值调参'!M24='03_全链计算'!M100,'01_数值调参'!M25='03_全链计算'!M101,'01_数值调参'!M26='03_全链计算'!M102,'01_数值调参'!M27='03_全链计算'!M103,'01_数值调参'!M28='03_全链计算'!M104,'01_数值调参'!M29='03_全链计算'!M105,'01_数值调参'!M30='03_全链计算'!M106,'01_数值调参'!M31='03_全链计算'!M107,'01_数值调参'!M32='03_全链计算'!M108,'01_数值调参'!M33='03_全链计算'!M109,'01_数值调参'!M34='03_全链计算'!M110,'01_数值调参'!M35='03_全链计算'!M111,'01_数值调参'!M36='03_全链计算'!M112,'01_数值调参'!M37='03_全链计算'!M113,'01_数值调参'!M38='03_全链计算'!M114,'01_数值调参'!M39='03_全链计算'!M115,'01_数值调参'!M40='03_全链计算'!M116,'01_数值调参'!M41='03_全链计算'!M117,'01_数值调参'!M42='03_全链计算'!M118,'01_数值调参'!M43='03_全链计算'!M119,'01_数值调参'!M44='03_全链计算'!M120,'01_数值调参'!M45='03_全链计算'!M121,'01_数值调参'!M46='03_全链计算'!M122,'01_数值调参'!M47='03_全链计算'!M123,'01_数值调参'!M48='03_全链计算'!M124,'01_数值调参'!M49='03_全链计算'!M125,'01_数值调参'!M50='03_全链计算'!M126,'01_数值调参'!M51='03_全链计算'!M127,'01_数值调参'!M52='03_全链计算'!M128),0,1)</x:f>
        <x:v>0</x:v>
      </x:c>
      <x:c r="N86" s="9" t="n">
        <x:f>IF(AND('01_数值调参'!N9='03_全链计算'!N92,'01_数值调参'!N18='03_全链计算'!N94,'01_数值调参'!N19='03_全链计算'!N95,'01_数值调参'!N20='03_全链计算'!N96,'01_数值调参'!N21='03_全链计算'!N97,'01_数值调参'!N22='03_全链计算'!N98,'01_数值调参'!N23='03_全链计算'!N99,'01_数值调参'!N24='03_全链计算'!N100,'01_数值调参'!N25='03_全链计算'!N101,'01_数值调参'!N26='03_全链计算'!N102,'01_数值调参'!N27='03_全链计算'!N103,'01_数值调参'!N28='03_全链计算'!N104,'01_数值调参'!N29='03_全链计算'!N105,'01_数值调参'!N30='03_全链计算'!N106,'01_数值调参'!N31='03_全链计算'!N107,'01_数值调参'!N32='03_全链计算'!N108,'01_数值调参'!N33='03_全链计算'!N109,'01_数值调参'!N34='03_全链计算'!N110,'01_数值调参'!N35='03_全链计算'!N111,'01_数值调参'!N36='03_全链计算'!N112,'01_数值调参'!N37='03_全链计算'!N113,'01_数值调参'!N38='03_全链计算'!N114,'01_数值调参'!N39='03_全链计算'!N115,'01_数值调参'!N40='03_全链计算'!N116,'01_数值调参'!N41='03_全链计算'!N117,'01_数值调参'!N42='03_全链计算'!N118,'01_数值调参'!N43='03_全链计算'!N119,'01_数值调参'!N44='03_全链计算'!N120,'01_数值调参'!N45='03_全链计算'!N121,'01_数值调参'!N46='03_全链计算'!N122,'01_数值调参'!N47='03_全链计算'!N123,'01_数值调参'!N48='03_全链计算'!N124,'01_数值调参'!N49='03_全链计算'!N125,'01_数值调参'!N50='03_全链计算'!N126,'01_数值调参'!N51='03_全链计算'!N127,'01_数值调参'!N52='03_全链计算'!N128),0,1)</x:f>
        <x:v>0</x:v>
      </x:c>
      <x:c r="O86" s="9" t="n">
        <x:f>IF(AND('01_数值调参'!O9='03_全链计算'!O92,'01_数值调参'!O18='03_全链计算'!O94,'01_数值调参'!O19='03_全链计算'!O95,'01_数值调参'!O20='03_全链计算'!O96,'01_数值调参'!O21='03_全链计算'!O97,'01_数值调参'!O22='03_全链计算'!O98,'01_数值调参'!O23='03_全链计算'!O99,'01_数值调参'!O24='03_全链计算'!O100,'01_数值调参'!O25='03_全链计算'!O101,'01_数值调参'!O26='03_全链计算'!O102,'01_数值调参'!O27='03_全链计算'!O103,'01_数值调参'!O28='03_全链计算'!O104,'01_数值调参'!O29='03_全链计算'!O105,'01_数值调参'!O30='03_全链计算'!O106,'01_数值调参'!O31='03_全链计算'!O107,'01_数值调参'!O32='03_全链计算'!O108,'01_数值调参'!O33='03_全链计算'!O109,'01_数值调参'!O34='03_全链计算'!O110,'01_数值调参'!O35='03_全链计算'!O111,'01_数值调参'!O36='03_全链计算'!O112,'01_数值调参'!O37='03_全链计算'!O113,'01_数值调参'!O38='03_全链计算'!O114,'01_数值调参'!O39='03_全链计算'!O115,'01_数值调参'!O40='03_全链计算'!O116,'01_数值调参'!O41='03_全链计算'!O117,'01_数值调参'!O42='03_全链计算'!O118,'01_数值调参'!O43='03_全链计算'!O119,'01_数值调参'!O44='03_全链计算'!O120,'01_数值调参'!O45='03_全链计算'!O121,'01_数值调参'!O46='03_全链计算'!O122,'01_数值调参'!O47='03_全链计算'!O123,'01_数值调参'!O48='03_全链计算'!O124,'01_数值调参'!O49='03_全链计算'!O125,'01_数值调参'!O50='03_全链计算'!O126,'01_数值调参'!O51='03_全链计算'!O127,'01_数值调参'!O52='03_全链计算'!O128),0,1)</x:f>
        <x:v>0</x:v>
      </x:c>
      <x:c r="P86" s="9" t="n">
        <x:f>IF(AND('01_数值调参'!P9='03_全链计算'!P92,'01_数值调参'!P18='03_全链计算'!P94,'01_数值调参'!P19='03_全链计算'!P95,'01_数值调参'!P20='03_全链计算'!P96,'01_数值调参'!P21='03_全链计算'!P97,'01_数值调参'!P22='03_全链计算'!P98,'01_数值调参'!P23='03_全链计算'!P99,'01_数值调参'!P24='03_全链计算'!P100,'01_数值调参'!P25='03_全链计算'!P101,'01_数值调参'!P26='03_全链计算'!P102,'01_数值调参'!P27='03_全链计算'!P103,'01_数值调参'!P28='03_全链计算'!P104,'01_数值调参'!P29='03_全链计算'!P105,'01_数值调参'!P30='03_全链计算'!P106,'01_数值调参'!P31='03_全链计算'!P107,'01_数值调参'!P32='03_全链计算'!P108,'01_数值调参'!P33='03_全链计算'!P109,'01_数值调参'!P34='03_全链计算'!P110,'01_数值调参'!P35='03_全链计算'!P111,'01_数值调参'!P36='03_全链计算'!P112,'01_数值调参'!P37='03_全链计算'!P113,'01_数值调参'!P38='03_全链计算'!P114,'01_数值调参'!P39='03_全链计算'!P115,'01_数值调参'!P40='03_全链计算'!P116,'01_数值调参'!P41='03_全链计算'!P117,'01_数值调参'!P42='03_全链计算'!P118,'01_数值调参'!P43='03_全链计算'!P119,'01_数值调参'!P44='03_全链计算'!P120,'01_数值调参'!P45='03_全链计算'!P121,'01_数值调参'!P46='03_全链计算'!P122,'01_数值调参'!P47='03_全链计算'!P123,'01_数值调参'!P48='03_全链计算'!P124,'01_数值调参'!P49='03_全链计算'!P125,'01_数值调参'!P50='03_全链计算'!P126,'01_数值调参'!P51='03_全链计算'!P127,'01_数值调参'!P52='03_全链计算'!P128),0,1)</x:f>
        <x:v>0</x:v>
      </x:c>
      <x:c r="Q86" s="9" t="n">
        <x:f>IF(AND('01_数值调参'!Q9='03_全链计算'!Q92,'01_数值调参'!Q18='03_全链计算'!Q94,'01_数值调参'!Q19='03_全链计算'!Q95,'01_数值调参'!Q20='03_全链计算'!Q96,'01_数值调参'!Q21='03_全链计算'!Q97,'01_数值调参'!Q22='03_全链计算'!Q98,'01_数值调参'!Q23='03_全链计算'!Q99,'01_数值调参'!Q24='03_全链计算'!Q100,'01_数值调参'!Q25='03_全链计算'!Q101,'01_数值调参'!Q26='03_全链计算'!Q102,'01_数值调参'!Q27='03_全链计算'!Q103,'01_数值调参'!Q28='03_全链计算'!Q104,'01_数值调参'!Q29='03_全链计算'!Q105,'01_数值调参'!Q30='03_全链计算'!Q106,'01_数值调参'!Q31='03_全链计算'!Q107,'01_数值调参'!Q32='03_全链计算'!Q108,'01_数值调参'!Q33='03_全链计算'!Q109,'01_数值调参'!Q34='03_全链计算'!Q110,'01_数值调参'!Q35='03_全链计算'!Q111,'01_数值调参'!Q36='03_全链计算'!Q112,'01_数值调参'!Q37='03_全链计算'!Q113,'01_数值调参'!Q38='03_全链计算'!Q114,'01_数值调参'!Q39='03_全链计算'!Q115,'01_数值调参'!Q40='03_全链计算'!Q116,'01_数值调参'!Q41='03_全链计算'!Q117,'01_数值调参'!Q42='03_全链计算'!Q118,'01_数值调参'!Q43='03_全链计算'!Q119,'01_数值调参'!Q44='03_全链计算'!Q120,'01_数值调参'!Q45='03_全链计算'!Q121,'01_数值调参'!Q46='03_全链计算'!Q122,'01_数值调参'!Q47='03_全链计算'!Q123,'01_数值调参'!Q48='03_全链计算'!Q124,'01_数值调参'!Q49='03_全链计算'!Q125,'01_数值调参'!Q50='03_全链计算'!Q126,'01_数值调参'!Q51='03_全链计算'!Q127,'01_数值调参'!Q52='03_全链计算'!Q128),0,1)</x:f>
        <x:v>0</x:v>
      </x:c>
      <x:c r="R86" s="9" t="n">
        <x:f>IF(AND('01_数值调参'!R9='03_全链计算'!R92,'01_数值调参'!R18='03_全链计算'!R94,'01_数值调参'!R19='03_全链计算'!R95,'01_数值调参'!R20='03_全链计算'!R96,'01_数值调参'!R21='03_全链计算'!R97,'01_数值调参'!R22='03_全链计算'!R98,'01_数值调参'!R23='03_全链计算'!R99,'01_数值调参'!R24='03_全链计算'!R100,'01_数值调参'!R25='03_全链计算'!R101,'01_数值调参'!R26='03_全链计算'!R102,'01_数值调参'!R27='03_全链计算'!R103,'01_数值调参'!R28='03_全链计算'!R104,'01_数值调参'!R29='03_全链计算'!R105,'01_数值调参'!R30='03_全链计算'!R106,'01_数值调参'!R31='03_全链计算'!R107,'01_数值调参'!R32='03_全链计算'!R108,'01_数值调参'!R33='03_全链计算'!R109,'01_数值调参'!R34='03_全链计算'!R110,'01_数值调参'!R35='03_全链计算'!R111,'01_数值调参'!R36='03_全链计算'!R112,'01_数值调参'!R37='03_全链计算'!R113,'01_数值调参'!R38='03_全链计算'!R114,'01_数值调参'!R39='03_全链计算'!R115,'01_数值调参'!R40='03_全链计算'!R116,'01_数值调参'!R41='03_全链计算'!R117,'01_数值调参'!R42='03_全链计算'!R118,'01_数值调参'!R43='03_全链计算'!R119,'01_数值调参'!R44='03_全链计算'!R120,'01_数值调参'!R45='03_全链计算'!R121,'01_数值调参'!R46='03_全链计算'!R122,'01_数值调参'!R47='03_全链计算'!R123,'01_数值调参'!R48='03_全链计算'!R124,'01_数值调参'!R49='03_全链计算'!R125,'01_数值调参'!R50='03_全链计算'!R126,'01_数值调参'!R51='03_全链计算'!R127,'01_数值调参'!R52='03_全链计算'!R128),0,1)</x:f>
        <x:v>0</x:v>
      </x:c>
      <x:c r="S86" s="9" t="n">
        <x:f>IF(AND('01_数值调参'!S9='03_全链计算'!S92,'01_数值调参'!S18='03_全链计算'!S94,'01_数值调参'!S19='03_全链计算'!S95,'01_数值调参'!S20='03_全链计算'!S96,'01_数值调参'!S21='03_全链计算'!S97,'01_数值调参'!S22='03_全链计算'!S98,'01_数值调参'!S23='03_全链计算'!S99,'01_数值调参'!S24='03_全链计算'!S100,'01_数值调参'!S25='03_全链计算'!S101,'01_数值调参'!S26='03_全链计算'!S102,'01_数值调参'!S27='03_全链计算'!S103,'01_数值调参'!S28='03_全链计算'!S104,'01_数值调参'!S29='03_全链计算'!S105,'01_数值调参'!S30='03_全链计算'!S106,'01_数值调参'!S31='03_全链计算'!S107,'01_数值调参'!S32='03_全链计算'!S108,'01_数值调参'!S33='03_全链计算'!S109,'01_数值调参'!S34='03_全链计算'!S110,'01_数值调参'!S35='03_全链计算'!S111,'01_数值调参'!S36='03_全链计算'!S112,'01_数值调参'!S37='03_全链计算'!S113,'01_数值调参'!S38='03_全链计算'!S114,'01_数值调参'!S39='03_全链计算'!S115,'01_数值调参'!S40='03_全链计算'!S116,'01_数值调参'!S41='03_全链计算'!S117,'01_数值调参'!S42='03_全链计算'!S118,'01_数值调参'!S43='03_全链计算'!S119,'01_数值调参'!S44='03_全链计算'!S120,'01_数值调参'!S45='03_全链计算'!S121,'01_数值调参'!S46='03_全链计算'!S122,'01_数值调参'!S47='03_全链计算'!S123,'01_数值调参'!S48='03_全链计算'!S124,'01_数值调参'!S49='03_全链计算'!S125,'01_数值调参'!S50='03_全链计算'!S126,'01_数值调参'!S51='03_全链计算'!S127,'01_数值调参'!S52='03_全链计算'!S128),0,1)</x:f>
        <x:v>0</x:v>
      </x:c>
      <x:c r="T86" s="9" t="n">
        <x:f>IF(AND('01_数值调参'!T9='03_全链计算'!T92,'01_数值调参'!T18='03_全链计算'!T94,'01_数值调参'!T19='03_全链计算'!T95,'01_数值调参'!T20='03_全链计算'!T96,'01_数值调参'!T21='03_全链计算'!T97,'01_数值调参'!T22='03_全链计算'!T98,'01_数值调参'!T23='03_全链计算'!T99,'01_数值调参'!T24='03_全链计算'!T100,'01_数值调参'!T25='03_全链计算'!T101,'01_数值调参'!T26='03_全链计算'!T102,'01_数值调参'!T27='03_全链计算'!T103,'01_数值调参'!T28='03_全链计算'!T104,'01_数值调参'!T29='03_全链计算'!T105,'01_数值调参'!T30='03_全链计算'!T106,'01_数值调参'!T31='03_全链计算'!T107,'01_数值调参'!T32='03_全链计算'!T108,'01_数值调参'!T33='03_全链计算'!T109,'01_数值调参'!T34='03_全链计算'!T110,'01_数值调参'!T35='03_全链计算'!T111,'01_数值调参'!T36='03_全链计算'!T112,'01_数值调参'!T37='03_全链计算'!T113,'01_数值调参'!T38='03_全链计算'!T114,'01_数值调参'!T39='03_全链计算'!T115,'01_数值调参'!T40='03_全链计算'!T116,'01_数值调参'!T41='03_全链计算'!T117,'01_数值调参'!T42='03_全链计算'!T118,'01_数值调参'!T43='03_全链计算'!T119,'01_数值调参'!T44='03_全链计算'!T120,'01_数值调参'!T45='03_全链计算'!T121,'01_数值调参'!T46='03_全链计算'!T122,'01_数值调参'!T47='03_全链计算'!T123,'01_数值调参'!T48='03_全链计算'!T124,'01_数值调参'!T49='03_全链计算'!T125,'01_数值调参'!T50='03_全链计算'!T126,'01_数值调参'!T51='03_全链计算'!T127,'01_数值调参'!T52='03_全链计算'!T128),0,1)</x:f>
        <x:v>0</x:v>
      </x:c>
      <x:c r="U86" s="9" t="n">
        <x:f>IF(AND('01_数值调参'!U9='03_全链计算'!U92,'01_数值调参'!U18='03_全链计算'!U94,'01_数值调参'!U19='03_全链计算'!U95,'01_数值调参'!U20='03_全链计算'!U96,'01_数值调参'!U21='03_全链计算'!U97,'01_数值调参'!U22='03_全链计算'!U98,'01_数值调参'!U23='03_全链计算'!U99,'01_数值调参'!U24='03_全链计算'!U100,'01_数值调参'!U25='03_全链计算'!U101,'01_数值调参'!U26='03_全链计算'!U102,'01_数值调参'!U27='03_全链计算'!U103,'01_数值调参'!U28='03_全链计算'!U104,'01_数值调参'!U29='03_全链计算'!U105,'01_数值调参'!U30='03_全链计算'!U106,'01_数值调参'!U31='03_全链计算'!U107,'01_数值调参'!U32='03_全链计算'!U108,'01_数值调参'!U33='03_全链计算'!U109,'01_数值调参'!U34='03_全链计算'!U110,'01_数值调参'!U35='03_全链计算'!U111,'01_数值调参'!U36='03_全链计算'!U112,'01_数值调参'!U37='03_全链计算'!U113,'01_数值调参'!U38='03_全链计算'!U114,'01_数值调参'!U39='03_全链计算'!U115,'01_数值调参'!U40='03_全链计算'!U116,'01_数值调参'!U41='03_全链计算'!U117,'01_数值调参'!U42='03_全链计算'!U118,'01_数值调参'!U43='03_全链计算'!U119,'01_数值调参'!U44='03_全链计算'!U120,'01_数值调参'!U45='03_全链计算'!U121,'01_数值调参'!U46='03_全链计算'!U122,'01_数值调参'!U47='03_全链计算'!U123,'01_数值调参'!U48='03_全链计算'!U124,'01_数值调参'!U49='03_全链计算'!U125,'01_数值调参'!U50='03_全链计算'!U126,'01_数值调参'!U51='03_全链计算'!U127,'01_数值调参'!U52='03_全链计算'!U128),0,1)</x:f>
        <x:v>0</x:v>
      </x:c>
      <x:c r="V86" s="9" t="n">
        <x:f>IF(AND('01_数值调参'!V9='03_全链计算'!V92,'01_数值调参'!V18='03_全链计算'!V94,'01_数值调参'!V19='03_全链计算'!V95,'01_数值调参'!V20='03_全链计算'!V96,'01_数值调参'!V21='03_全链计算'!V97,'01_数值调参'!V22='03_全链计算'!V98,'01_数值调参'!V23='03_全链计算'!V99,'01_数值调参'!V24='03_全链计算'!V100,'01_数值调参'!V25='03_全链计算'!V101,'01_数值调参'!V26='03_全链计算'!V102,'01_数值调参'!V27='03_全链计算'!V103,'01_数值调参'!V28='03_全链计算'!V104,'01_数值调参'!V29='03_全链计算'!V105,'01_数值调参'!V30='03_全链计算'!V106,'01_数值调参'!V31='03_全链计算'!V107,'01_数值调参'!V32='03_全链计算'!V108,'01_数值调参'!V33='03_全链计算'!V109,'01_数值调参'!V34='03_全链计算'!V110,'01_数值调参'!V35='03_全链计算'!V111,'01_数值调参'!V36='03_全链计算'!V112,'01_数值调参'!V37='03_全链计算'!V113,'01_数值调参'!V38='03_全链计算'!V114,'01_数值调参'!V39='03_全链计算'!V115,'01_数值调参'!V40='03_全链计算'!V116,'01_数值调参'!V41='03_全链计算'!V117,'01_数值调参'!V42='03_全链计算'!V118,'01_数值调参'!V43='03_全链计算'!V119,'01_数值调参'!V44='03_全链计算'!V120,'01_数值调参'!V45='03_全链计算'!V121,'01_数值调参'!V46='03_全链计算'!V122,'01_数值调参'!V47='03_全链计算'!V123,'01_数值调参'!V48='03_全链计算'!V124,'01_数值调参'!V49='03_全链计算'!V125,'01_数值调参'!V50='03_全链计算'!V126,'01_数值调参'!V51='03_全链计算'!V127,'01_数值调参'!V52='03_全链计算'!V128),0,1)</x:f>
        <x:v>0</x:v>
      </x:c>
      <x:c r="W86" s="9" t="n">
        <x:f>IF(AND('01_数值调参'!W9='03_全链计算'!W92,'01_数值调参'!W18='03_全链计算'!W94,'01_数值调参'!W19='03_全链计算'!W95,'01_数值调参'!W20='03_全链计算'!W96,'01_数值调参'!W21='03_全链计算'!W97,'01_数值调参'!W22='03_全链计算'!W98,'01_数值调参'!W23='03_全链计算'!W99,'01_数值调参'!W24='03_全链计算'!W100,'01_数值调参'!W25='03_全链计算'!W101,'01_数值调参'!W26='03_全链计算'!W102,'01_数值调参'!W27='03_全链计算'!W103,'01_数值调参'!W28='03_全链计算'!W104,'01_数值调参'!W29='03_全链计算'!W105,'01_数值调参'!W30='03_全链计算'!W106,'01_数值调参'!W31='03_全链计算'!W107,'01_数值调参'!W32='03_全链计算'!W108,'01_数值调参'!W33='03_全链计算'!W109,'01_数值调参'!W34='03_全链计算'!W110,'01_数值调参'!W35='03_全链计算'!W111,'01_数值调参'!W36='03_全链计算'!W112,'01_数值调参'!W37='03_全链计算'!W113,'01_数值调参'!W38='03_全链计算'!W114,'01_数值调参'!W39='03_全链计算'!W115,'01_数值调参'!W40='03_全链计算'!W116,'01_数值调参'!W41='03_全链计算'!W117,'01_数值调参'!W42='03_全链计算'!W118,'01_数值调参'!W43='03_全链计算'!W119,'01_数值调参'!W44='03_全链计算'!W120,'01_数值调参'!W45='03_全链计算'!W121,'01_数值调参'!W46='03_全链计算'!W122,'01_数值调参'!W47='03_全链计算'!W123,'01_数值调参'!W48='03_全链计算'!W124,'01_数值调参'!W49='03_全链计算'!W125,'01_数值调参'!W50='03_全链计算'!W126,'01_数值调参'!W51='03_全链计算'!W127,'01_数值调参'!W52='03_全链计算'!W128),0,1)</x:f>
        <x:v>0</x:v>
      </x:c>
      <x:c r="X86" s="9" t="n">
        <x:f>IF(AND('01_数值调参'!X9='03_全链计算'!X92,'01_数值调参'!X18='03_全链计算'!X94,'01_数值调参'!X19='03_全链计算'!X95,'01_数值调参'!X20='03_全链计算'!X96,'01_数值调参'!X21='03_全链计算'!X97,'01_数值调参'!X22='03_全链计算'!X98,'01_数值调参'!X23='03_全链计算'!X99,'01_数值调参'!X24='03_全链计算'!X100,'01_数值调参'!X25='03_全链计算'!X101,'01_数值调参'!X26='03_全链计算'!X102,'01_数值调参'!X27='03_全链计算'!X103,'01_数值调参'!X28='03_全链计算'!X104,'01_数值调参'!X29='03_全链计算'!X105,'01_数值调参'!X30='03_全链计算'!X106,'01_数值调参'!X31='03_全链计算'!X107,'01_数值调参'!X32='03_全链计算'!X108,'01_数值调参'!X33='03_全链计算'!X109,'01_数值调参'!X34='03_全链计算'!X110,'01_数值调参'!X35='03_全链计算'!X111,'01_数值调参'!X36='03_全链计算'!X112,'01_数值调参'!X37='03_全链计算'!X113,'01_数值调参'!X38='03_全链计算'!X114,'01_数值调参'!X39='03_全链计算'!X115,'01_数值调参'!X40='03_全链计算'!X116,'01_数值调参'!X41='03_全链计算'!X117,'01_数值调参'!X42='03_全链计算'!X118,'01_数值调参'!X43='03_全链计算'!X119,'01_数值调参'!X44='03_全链计算'!X120,'01_数值调参'!X45='03_全链计算'!X121,'01_数值调参'!X46='03_全链计算'!X122,'01_数值调参'!X47='03_全链计算'!X123,'01_数值调参'!X48='03_全链计算'!X124,'01_数值调参'!X49='03_全链计算'!X125,'01_数值调参'!X50='03_全链计算'!X126,'01_数值调参'!X51='03_全链计算'!X127,'01_数值调参'!X52='03_全链计算'!X128),0,1)</x:f>
        <x:v>0</x:v>
      </x:c>
      <x:c r="Y86" s="9" t="n">
        <x:f>IF(AND('01_数值调参'!Y9='03_全链计算'!Y92,'01_数值调参'!Y18='03_全链计算'!Y94,'01_数值调参'!Y19='03_全链计算'!Y95,'01_数值调参'!Y20='03_全链计算'!Y96,'01_数值调参'!Y21='03_全链计算'!Y97,'01_数值调参'!Y22='03_全链计算'!Y98,'01_数值调参'!Y23='03_全链计算'!Y99,'01_数值调参'!Y24='03_全链计算'!Y100,'01_数值调参'!Y25='03_全链计算'!Y101,'01_数值调参'!Y26='03_全链计算'!Y102,'01_数值调参'!Y27='03_全链计算'!Y103,'01_数值调参'!Y28='03_全链计算'!Y104,'01_数值调参'!Y29='03_全链计算'!Y105,'01_数值调参'!Y30='03_全链计算'!Y106,'01_数值调参'!Y31='03_全链计算'!Y107,'01_数值调参'!Y32='03_全链计算'!Y108,'01_数值调参'!Y33='03_全链计算'!Y109,'01_数值调参'!Y34='03_全链计算'!Y110,'01_数值调参'!Y35='03_全链计算'!Y111,'01_数值调参'!Y36='03_全链计算'!Y112,'01_数值调参'!Y37='03_全链计算'!Y113,'01_数值调参'!Y38='03_全链计算'!Y114,'01_数值调参'!Y39='03_全链计算'!Y115,'01_数值调参'!Y40='03_全链计算'!Y116,'01_数值调参'!Y41='03_全链计算'!Y117,'01_数值调参'!Y42='03_全链计算'!Y118,'01_数值调参'!Y43='03_全链计算'!Y119,'01_数值调参'!Y44='03_全链计算'!Y120,'01_数值调参'!Y45='03_全链计算'!Y121,'01_数值调参'!Y46='03_全链计算'!Y122,'01_数值调参'!Y47='03_全链计算'!Y123,'01_数值调参'!Y48='03_全链计算'!Y124,'01_数值调参'!Y49='03_全链计算'!Y125,'01_数值调参'!Y50='03_全链计算'!Y126,'01_数值调参'!Y51='03_全链计算'!Y127,'01_数值调参'!Y52='03_全链计算'!Y128),0,1)</x:f>
        <x:v>0</x:v>
      </x:c>
      <x:c r="Z86" s="9" t="n">
        <x:f>IF(AND('01_数值调参'!Z9='03_全链计算'!Z92,'01_数值调参'!Z18='03_全链计算'!Z94,'01_数值调参'!Z19='03_全链计算'!Z95,'01_数值调参'!Z20='03_全链计算'!Z96,'01_数值调参'!Z21='03_全链计算'!Z97,'01_数值调参'!Z22='03_全链计算'!Z98,'01_数值调参'!Z23='03_全链计算'!Z99,'01_数值调参'!Z24='03_全链计算'!Z100,'01_数值调参'!Z25='03_全链计算'!Z101,'01_数值调参'!Z26='03_全链计算'!Z102,'01_数值调参'!Z27='03_全链计算'!Z103,'01_数值调参'!Z28='03_全链计算'!Z104,'01_数值调参'!Z29='03_全链计算'!Z105,'01_数值调参'!Z30='03_全链计算'!Z106,'01_数值调参'!Z31='03_全链计算'!Z107,'01_数值调参'!Z32='03_全链计算'!Z108,'01_数值调参'!Z33='03_全链计算'!Z109,'01_数值调参'!Z34='03_全链计算'!Z110,'01_数值调参'!Z35='03_全链计算'!Z111,'01_数值调参'!Z36='03_全链计算'!Z112,'01_数值调参'!Z37='03_全链计算'!Z113,'01_数值调参'!Z38='03_全链计算'!Z114,'01_数值调参'!Z39='03_全链计算'!Z115,'01_数值调参'!Z40='03_全链计算'!Z116,'01_数值调参'!Z41='03_全链计算'!Z117,'01_数值调参'!Z42='03_全链计算'!Z118,'01_数值调参'!Z43='03_全链计算'!Z119,'01_数值调参'!Z44='03_全链计算'!Z120,'01_数值调参'!Z45='03_全链计算'!Z121,'01_数值调参'!Z46='03_全链计算'!Z122,'01_数值调参'!Z47='03_全链计算'!Z123,'01_数值调参'!Z48='03_全链计算'!Z124,'01_数值调参'!Z49='03_全链计算'!Z125,'01_数值调参'!Z50='03_全链计算'!Z126,'01_数值调参'!Z51='03_全链计算'!Z127,'01_数值调参'!Z52='03_全链计算'!Z128),0,1)</x:f>
        <x:v>0</x:v>
      </x:c>
      <x:c r="AA86" s="9" t="n">
        <x:f>IF(AND('01_数值调参'!AA9='03_全链计算'!AA92,'01_数值调参'!AA18='03_全链计算'!AA94,'01_数值调参'!AA19='03_全链计算'!AA95,'01_数值调参'!AA20='03_全链计算'!AA96,'01_数值调参'!AA21='03_全链计算'!AA97,'01_数值调参'!AA22='03_全链计算'!AA98,'01_数值调参'!AA23='03_全链计算'!AA99,'01_数值调参'!AA24='03_全链计算'!AA100,'01_数值调参'!AA25='03_全链计算'!AA101,'01_数值调参'!AA26='03_全链计算'!AA102,'01_数值调参'!AA27='03_全链计算'!AA103,'01_数值调参'!AA28='03_全链计算'!AA104,'01_数值调参'!AA29='03_全链计算'!AA105,'01_数值调参'!AA30='03_全链计算'!AA106,'01_数值调参'!AA31='03_全链计算'!AA107,'01_数值调参'!AA32='03_全链计算'!AA108,'01_数值调参'!AA33='03_全链计算'!AA109,'01_数值调参'!AA34='03_全链计算'!AA110,'01_数值调参'!AA35='03_全链计算'!AA111,'01_数值调参'!AA36='03_全链计算'!AA112,'01_数值调参'!AA37='03_全链计算'!AA113,'01_数值调参'!AA38='03_全链计算'!AA114,'01_数值调参'!AA39='03_全链计算'!AA115,'01_数值调参'!AA40='03_全链计算'!AA116,'01_数值调参'!AA41='03_全链计算'!AA117,'01_数值调参'!AA42='03_全链计算'!AA118,'01_数值调参'!AA43='03_全链计算'!AA119,'01_数值调参'!AA44='03_全链计算'!AA120,'01_数值调参'!AA45='03_全链计算'!AA121,'01_数值调参'!AA46='03_全链计算'!AA122,'01_数值调参'!AA47='03_全链计算'!AA123,'01_数值调参'!AA48='03_全链计算'!AA124,'01_数值调参'!AA49='03_全链计算'!AA125,'01_数值调参'!AA50='03_全链计算'!AA126,'01_数值调参'!AA51='03_全链计算'!AA127,'01_数值调参'!AA52='03_全链计算'!AA128),0,1)</x:f>
        <x:v>0</x:v>
      </x:c>
      <x:c r="AB86" s="9" t="n">
        <x:f>IF(AND('01_数值调参'!AB9='03_全链计算'!AB92,'01_数值调参'!AB18='03_全链计算'!AB94,'01_数值调参'!AB19='03_全链计算'!AB95,'01_数值调参'!AB20='03_全链计算'!AB96,'01_数值调参'!AB21='03_全链计算'!AB97,'01_数值调参'!AB22='03_全链计算'!AB98,'01_数值调参'!AB23='03_全链计算'!AB99,'01_数值调参'!AB24='03_全链计算'!AB100,'01_数值调参'!AB25='03_全链计算'!AB101,'01_数值调参'!AB26='03_全链计算'!AB102,'01_数值调参'!AB27='03_全链计算'!AB103,'01_数值调参'!AB28='03_全链计算'!AB104,'01_数值调参'!AB29='03_全链计算'!AB105,'01_数值调参'!AB30='03_全链计算'!AB106,'01_数值调参'!AB31='03_全链计算'!AB107,'01_数值调参'!AB32='03_全链计算'!AB108,'01_数值调参'!AB33='03_全链计算'!AB109,'01_数值调参'!AB34='03_全链计算'!AB110,'01_数值调参'!AB35='03_全链计算'!AB111,'01_数值调参'!AB36='03_全链计算'!AB112,'01_数值调参'!AB37='03_全链计算'!AB113,'01_数值调参'!AB38='03_全链计算'!AB114,'01_数值调参'!AB39='03_全链计算'!AB115,'01_数值调参'!AB40='03_全链计算'!AB116,'01_数值调参'!AB41='03_全链计算'!AB117,'01_数值调参'!AB42='03_全链计算'!AB118,'01_数值调参'!AB43='03_全链计算'!AB119,'01_数值调参'!AB44='03_全链计算'!AB120,'01_数值调参'!AB45='03_全链计算'!AB121,'01_数值调参'!AB46='03_全链计算'!AB122,'01_数值调参'!AB47='03_全链计算'!AB123,'01_数值调参'!AB48='03_全链计算'!AB124,'01_数值调参'!AB49='03_全链计算'!AB125,'01_数值调参'!AB50='03_全链计算'!AB126,'01_数值调参'!AB51='03_全链计算'!AB127,'01_数值调参'!AB52='03_全链计算'!AB128),0,1)</x:f>
        <x:v>0</x:v>
      </x:c>
      <x:c r="AC86" s="9" t="n">
        <x:f>IF(AND('01_数值调参'!AC9='03_全链计算'!AC92,'01_数值调参'!AC18='03_全链计算'!AC94,'01_数值调参'!AC19='03_全链计算'!AC95,'01_数值调参'!AC20='03_全链计算'!AC96,'01_数值调参'!AC21='03_全链计算'!AC97,'01_数值调参'!AC22='03_全链计算'!AC98,'01_数值调参'!AC23='03_全链计算'!AC99,'01_数值调参'!AC24='03_全链计算'!AC100,'01_数值调参'!AC25='03_全链计算'!AC101,'01_数值调参'!AC26='03_全链计算'!AC102,'01_数值调参'!AC27='03_全链计算'!AC103,'01_数值调参'!AC28='03_全链计算'!AC104,'01_数值调参'!AC29='03_全链计算'!AC105,'01_数值调参'!AC30='03_全链计算'!AC106,'01_数值调参'!AC31='03_全链计算'!AC107,'01_数值调参'!AC32='03_全链计算'!AC108,'01_数值调参'!AC33='03_全链计算'!AC109,'01_数值调参'!AC34='03_全链计算'!AC110,'01_数值调参'!AC35='03_全链计算'!AC111,'01_数值调参'!AC36='03_全链计算'!AC112,'01_数值调参'!AC37='03_全链计算'!AC113,'01_数值调参'!AC38='03_全链计算'!AC114,'01_数值调参'!AC39='03_全链计算'!AC115,'01_数值调参'!AC40='03_全链计算'!AC116,'01_数值调参'!AC41='03_全链计算'!AC117,'01_数值调参'!AC42='03_全链计算'!AC118,'01_数值调参'!AC43='03_全链计算'!AC119,'01_数值调参'!AC44='03_全链计算'!AC120,'01_数值调参'!AC45='03_全链计算'!AC121,'01_数值调参'!AC46='03_全链计算'!AC122,'01_数值调参'!AC47='03_全链计算'!AC123,'01_数值调参'!AC48='03_全链计算'!AC124,'01_数值调参'!AC49='03_全链计算'!AC125,'01_数值调参'!AC50='03_全链计算'!AC126,'01_数值调参'!AC51='03_全链计算'!AC127,'01_数值调参'!AC52='03_全链计算'!AC128),0,1)</x:f>
        <x:v>0</x:v>
      </x:c>
      <x:c r="AD86" s="9" t="n">
        <x:f>IF(AND('01_数值调参'!AD9='03_全链计算'!AD92,'01_数值调参'!AD18='03_全链计算'!AD94,'01_数值调参'!AD19='03_全链计算'!AD95,'01_数值调参'!AD20='03_全链计算'!AD96,'01_数值调参'!AD21='03_全链计算'!AD97,'01_数值调参'!AD22='03_全链计算'!AD98,'01_数值调参'!AD23='03_全链计算'!AD99,'01_数值调参'!AD24='03_全链计算'!AD100,'01_数值调参'!AD25='03_全链计算'!AD101,'01_数值调参'!AD26='03_全链计算'!AD102,'01_数值调参'!AD27='03_全链计算'!AD103,'01_数值调参'!AD28='03_全链计算'!AD104,'01_数值调参'!AD29='03_全链计算'!AD105,'01_数值调参'!AD30='03_全链计算'!AD106,'01_数值调参'!AD31='03_全链计算'!AD107,'01_数值调参'!AD32='03_全链计算'!AD108,'01_数值调参'!AD33='03_全链计算'!AD109,'01_数值调参'!AD34='03_全链计算'!AD110,'01_数值调参'!AD35='03_全链计算'!AD111,'01_数值调参'!AD36='03_全链计算'!AD112,'01_数值调参'!AD37='03_全链计算'!AD113,'01_数值调参'!AD38='03_全链计算'!AD114,'01_数值调参'!AD39='03_全链计算'!AD115,'01_数值调参'!AD40='03_全链计算'!AD116,'01_数值调参'!AD41='03_全链计算'!AD117,'01_数值调参'!AD42='03_全链计算'!AD118,'01_数值调参'!AD43='03_全链计算'!AD119,'01_数值调参'!AD44='03_全链计算'!AD120,'01_数值调参'!AD45='03_全链计算'!AD121,'01_数值调参'!AD46='03_全链计算'!AD122,'01_数值调参'!AD47='03_全链计算'!AD123,'01_数值调参'!AD48='03_全链计算'!AD124,'01_数值调参'!AD49='03_全链计算'!AD125,'01_数值调参'!AD50='03_全链计算'!AD126,'01_数值调参'!AD51='03_全链计算'!AD127,'01_数值调参'!AD52='03_全链计算'!AD128),0,1)</x:f>
        <x:v>0</x:v>
      </x:c>
      <x:c r="AE86" s="9" t="n">
        <x:f>IF(AND('01_数值调参'!AE9='03_全链计算'!AE92,'01_数值调参'!AE18='03_全链计算'!AE94,'01_数值调参'!AE19='03_全链计算'!AE95,'01_数值调参'!AE20='03_全链计算'!AE96,'01_数值调参'!AE21='03_全链计算'!AE97,'01_数值调参'!AE22='03_全链计算'!AE98,'01_数值调参'!AE23='03_全链计算'!AE99,'01_数值调参'!AE24='03_全链计算'!AE100,'01_数值调参'!AE25='03_全链计算'!AE101,'01_数值调参'!AE26='03_全链计算'!AE102,'01_数值调参'!AE27='03_全链计算'!AE103,'01_数值调参'!AE28='03_全链计算'!AE104,'01_数值调参'!AE29='03_全链计算'!AE105,'01_数值调参'!AE30='03_全链计算'!AE106,'01_数值调参'!AE31='03_全链计算'!AE107,'01_数值调参'!AE32='03_全链计算'!AE108,'01_数值调参'!AE33='03_全链计算'!AE109,'01_数值调参'!AE34='03_全链计算'!AE110,'01_数值调参'!AE35='03_全链计算'!AE111,'01_数值调参'!AE36='03_全链计算'!AE112,'01_数值调参'!AE37='03_全链计算'!AE113,'01_数值调参'!AE38='03_全链计算'!AE114,'01_数值调参'!AE39='03_全链计算'!AE115,'01_数值调参'!AE40='03_全链计算'!AE116,'01_数值调参'!AE41='03_全链计算'!AE117,'01_数值调参'!AE42='03_全链计算'!AE118,'01_数值调参'!AE43='03_全链计算'!AE119,'01_数值调参'!AE44='03_全链计算'!AE120,'01_数值调参'!AE45='03_全链计算'!AE121,'01_数值调参'!AE46='03_全链计算'!AE122,'01_数值调参'!AE47='03_全链计算'!AE123,'01_数值调参'!AE48='03_全链计算'!AE124,'01_数值调参'!AE49='03_全链计算'!AE125,'01_数值调参'!AE50='03_全链计算'!AE126,'01_数值调参'!AE51='03_全链计算'!AE127,'01_数值调参'!AE52='03_全链计算'!AE128),0,1)</x:f>
        <x:v>0</x:v>
      </x:c>
      <x:c r="AF86" s="9" t="n">
        <x:f>IF(AND('01_数值调参'!AF9='03_全链计算'!AF92,'01_数值调参'!AF18='03_全链计算'!AF94,'01_数值调参'!AF19='03_全链计算'!AF95,'01_数值调参'!AF20='03_全链计算'!AF96,'01_数值调参'!AF21='03_全链计算'!AF97,'01_数值调参'!AF22='03_全链计算'!AF98,'01_数值调参'!AF23='03_全链计算'!AF99,'01_数值调参'!AF24='03_全链计算'!AF100,'01_数值调参'!AF25='03_全链计算'!AF101,'01_数值调参'!AF26='03_全链计算'!AF102,'01_数值调参'!AF27='03_全链计算'!AF103,'01_数值调参'!AF28='03_全链计算'!AF104,'01_数值调参'!AF29='03_全链计算'!AF105,'01_数值调参'!AF30='03_全链计算'!AF106,'01_数值调参'!AF31='03_全链计算'!AF107,'01_数值调参'!AF32='03_全链计算'!AF108,'01_数值调参'!AF33='03_全链计算'!AF109,'01_数值调参'!AF34='03_全链计算'!AF110,'01_数值调参'!AF35='03_全链计算'!AF111,'01_数值调参'!AF36='03_全链计算'!AF112,'01_数值调参'!AF37='03_全链计算'!AF113,'01_数值调参'!AF38='03_全链计算'!AF114,'01_数值调参'!AF39='03_全链计算'!AF115,'01_数值调参'!AF40='03_全链计算'!AF116,'01_数值调参'!AF41='03_全链计算'!AF117,'01_数值调参'!AF42='03_全链计算'!AF118,'01_数值调参'!AF43='03_全链计算'!AF119,'01_数值调参'!AF44='03_全链计算'!AF120,'01_数值调参'!AF45='03_全链计算'!AF121,'01_数值调参'!AF46='03_全链计算'!AF122,'01_数值调参'!AF47='03_全链计算'!AF123,'01_数值调参'!AF48='03_全链计算'!AF124,'01_数值调参'!AF49='03_全链计算'!AF125,'01_数值调参'!AF50='03_全链计算'!AF126,'01_数值调参'!AF51='03_全链计算'!AF127,'01_数值调参'!AF52='03_全链计算'!AF128),0,1)</x:f>
        <x:v>0</x:v>
      </x:c>
      <x:c r="AG86" s="9" t="n">
        <x:f>IF(AND('01_数值调参'!AG9='03_全链计算'!AG92,'01_数值调参'!AG18='03_全链计算'!AG94,'01_数值调参'!AG19='03_全链计算'!AG95,'01_数值调参'!AG20='03_全链计算'!AG96,'01_数值调参'!AG21='03_全链计算'!AG97,'01_数值调参'!AG22='03_全链计算'!AG98,'01_数值调参'!AG23='03_全链计算'!AG99,'01_数值调参'!AG24='03_全链计算'!AG100,'01_数值调参'!AG25='03_全链计算'!AG101,'01_数值调参'!AG26='03_全链计算'!AG102,'01_数值调参'!AG27='03_全链计算'!AG103,'01_数值调参'!AG28='03_全链计算'!AG104,'01_数值调参'!AG29='03_全链计算'!AG105,'01_数值调参'!AG30='03_全链计算'!AG106,'01_数值调参'!AG31='03_全链计算'!AG107,'01_数值调参'!AG32='03_全链计算'!AG108,'01_数值调参'!AG33='03_全链计算'!AG109,'01_数值调参'!AG34='03_全链计算'!AG110,'01_数值调参'!AG35='03_全链计算'!AG111,'01_数值调参'!AG36='03_全链计算'!AG112,'01_数值调参'!AG37='03_全链计算'!AG113,'01_数值调参'!AG38='03_全链计算'!AG114,'01_数值调参'!AG39='03_全链计算'!AG115,'01_数值调参'!AG40='03_全链计算'!AG116,'01_数值调参'!AG41='03_全链计算'!AG117,'01_数值调参'!AG42='03_全链计算'!AG118,'01_数值调参'!AG43='03_全链计算'!AG119,'01_数值调参'!AG44='03_全链计算'!AG120,'01_数值调参'!AG45='03_全链计算'!AG121,'01_数值调参'!AG46='03_全链计算'!AG122,'01_数值调参'!AG47='03_全链计算'!AG123,'01_数值调参'!AG48='03_全链计算'!AG124,'01_数值调参'!AG49='03_全链计算'!AG125,'01_数值调参'!AG50='03_全链计算'!AG126,'01_数值调参'!AG51='03_全链计算'!AG127,'01_数值调参'!AG52='03_全链计算'!AG128),0,1)</x:f>
        <x:v>0</x:v>
      </x:c>
      <x:c r="AH86" s="9" t="n">
        <x:f>IF(AND('01_数值调参'!AH9='03_全链计算'!AH92,'01_数值调参'!AH18='03_全链计算'!AH94,'01_数值调参'!AH19='03_全链计算'!AH95,'01_数值调参'!AH20='03_全链计算'!AH96,'01_数值调参'!AH21='03_全链计算'!AH97,'01_数值调参'!AH22='03_全链计算'!AH98,'01_数值调参'!AH23='03_全链计算'!AH99,'01_数值调参'!AH24='03_全链计算'!AH100,'01_数值调参'!AH25='03_全链计算'!AH101,'01_数值调参'!AH26='03_全链计算'!AH102,'01_数值调参'!AH27='03_全链计算'!AH103,'01_数值调参'!AH28='03_全链计算'!AH104,'01_数值调参'!AH29='03_全链计算'!AH105,'01_数值调参'!AH30='03_全链计算'!AH106,'01_数值调参'!AH31='03_全链计算'!AH107,'01_数值调参'!AH32='03_全链计算'!AH108,'01_数值调参'!AH33='03_全链计算'!AH109,'01_数值调参'!AH34='03_全链计算'!AH110,'01_数值调参'!AH35='03_全链计算'!AH111,'01_数值调参'!AH36='03_全链计算'!AH112,'01_数值调参'!AH37='03_全链计算'!AH113,'01_数值调参'!AH38='03_全链计算'!AH114,'01_数值调参'!AH39='03_全链计算'!AH115,'01_数值调参'!AH40='03_全链计算'!AH116,'01_数值调参'!AH41='03_全链计算'!AH117,'01_数值调参'!AH42='03_全链计算'!AH118,'01_数值调参'!AH43='03_全链计算'!AH119,'01_数值调参'!AH44='03_全链计算'!AH120,'01_数值调参'!AH45='03_全链计算'!AH121,'01_数值调参'!AH46='03_全链计算'!AH122,'01_数值调参'!AH47='03_全链计算'!AH123,'01_数值调参'!AH48='03_全链计算'!AH124,'01_数值调参'!AH49='03_全链计算'!AH125,'01_数值调参'!AH50='03_全链计算'!AH126,'01_数值调参'!AH51='03_全链计算'!AH127,'01_数值调参'!AH52='03_全链计算'!AH128),0,1)</x:f>
        <x:v>0</x:v>
      </x:c>
      <x:c r="AI86" s="9" t="n">
        <x:f>IF(AND('01_数值调参'!AI9='03_全链计算'!AI92,'01_数值调参'!AI18='03_全链计算'!AI94,'01_数值调参'!AI19='03_全链计算'!AI95,'01_数值调参'!AI20='03_全链计算'!AI96,'01_数值调参'!AI21='03_全链计算'!AI97,'01_数值调参'!AI22='03_全链计算'!AI98,'01_数值调参'!AI23='03_全链计算'!AI99,'01_数值调参'!AI24='03_全链计算'!AI100,'01_数值调参'!AI25='03_全链计算'!AI101,'01_数值调参'!AI26='03_全链计算'!AI102,'01_数值调参'!AI27='03_全链计算'!AI103,'01_数值调参'!AI28='03_全链计算'!AI104,'01_数值调参'!AI29='03_全链计算'!AI105,'01_数值调参'!AI30='03_全链计算'!AI106,'01_数值调参'!AI31='03_全链计算'!AI107,'01_数值调参'!AI32='03_全链计算'!AI108,'01_数值调参'!AI33='03_全链计算'!AI109,'01_数值调参'!AI34='03_全链计算'!AI110,'01_数值调参'!AI35='03_全链计算'!AI111,'01_数值调参'!AI36='03_全链计算'!AI112,'01_数值调参'!AI37='03_全链计算'!AI113,'01_数值调参'!AI38='03_全链计算'!AI114,'01_数值调参'!AI39='03_全链计算'!AI115,'01_数值调参'!AI40='03_全链计算'!AI116,'01_数值调参'!AI41='03_全链计算'!AI117,'01_数值调参'!AI42='03_全链计算'!AI118,'01_数值调参'!AI43='03_全链计算'!AI119,'01_数值调参'!AI44='03_全链计算'!AI120,'01_数值调参'!AI45='03_全链计算'!AI121,'01_数值调参'!AI46='03_全链计算'!AI122,'01_数值调参'!AI47='03_全链计算'!AI123,'01_数值调参'!AI48='03_全链计算'!AI124,'01_数值调参'!AI49='03_全链计算'!AI125,'01_数值调参'!AI50='03_全链计算'!AI126,'01_数值调参'!AI51='03_全链计算'!AI127,'01_数值调参'!AI52='03_全链计算'!AI128),0,1)</x:f>
        <x:v>0</x:v>
      </x:c>
      <x:c r="AJ86" s="9" t="n">
        <x:f>IF(AND('01_数值调参'!AJ9='03_全链计算'!AJ92,'01_数值调参'!AJ18='03_全链计算'!AJ94,'01_数值调参'!AJ19='03_全链计算'!AJ95,'01_数值调参'!AJ20='03_全链计算'!AJ96,'01_数值调参'!AJ21='03_全链计算'!AJ97,'01_数值调参'!AJ22='03_全链计算'!AJ98,'01_数值调参'!AJ23='03_全链计算'!AJ99,'01_数值调参'!AJ24='03_全链计算'!AJ100,'01_数值调参'!AJ25='03_全链计算'!AJ101,'01_数值调参'!AJ26='03_全链计算'!AJ102,'01_数值调参'!AJ27='03_全链计算'!AJ103,'01_数值调参'!AJ28='03_全链计算'!AJ104,'01_数值调参'!AJ29='03_全链计算'!AJ105,'01_数值调参'!AJ30='03_全链计算'!AJ106,'01_数值调参'!AJ31='03_全链计算'!AJ107,'01_数值调参'!AJ32='03_全链计算'!AJ108,'01_数值调参'!AJ33='03_全链计算'!AJ109,'01_数值调参'!AJ34='03_全链计算'!AJ110,'01_数值调参'!AJ35='03_全链计算'!AJ111,'01_数值调参'!AJ36='03_全链计算'!AJ112,'01_数值调参'!AJ37='03_全链计算'!AJ113,'01_数值调参'!AJ38='03_全链计算'!AJ114,'01_数值调参'!AJ39='03_全链计算'!AJ115,'01_数值调参'!AJ40='03_全链计算'!AJ116,'01_数值调参'!AJ41='03_全链计算'!AJ117,'01_数值调参'!AJ42='03_全链计算'!AJ118,'01_数值调参'!AJ43='03_全链计算'!AJ119,'01_数值调参'!AJ44='03_全链计算'!AJ120,'01_数值调参'!AJ45='03_全链计算'!AJ121,'01_数值调参'!AJ46='03_全链计算'!AJ122,'01_数值调参'!AJ47='03_全链计算'!AJ123,'01_数值调参'!AJ48='03_全链计算'!AJ124,'01_数值调参'!AJ49='03_全链计算'!AJ125,'01_数值调参'!AJ50='03_全链计算'!AJ126,'01_数值调参'!AJ51='03_全链计算'!AJ127,'01_数值调参'!AJ52='03_全链计算'!AJ128),0,1)</x:f>
        <x:v>0</x:v>
      </x:c>
      <x:c r="AK86" s="9" t="n">
        <x:f>IF(AND('01_数值调参'!AK9='03_全链计算'!AK92,'01_数值调参'!AK18='03_全链计算'!AK94,'01_数值调参'!AK19='03_全链计算'!AK95,'01_数值调参'!AK20='03_全链计算'!AK96,'01_数值调参'!AK21='03_全链计算'!AK97,'01_数值调参'!AK22='03_全链计算'!AK98,'01_数值调参'!AK23='03_全链计算'!AK99,'01_数值调参'!AK24='03_全链计算'!AK100,'01_数值调参'!AK25='03_全链计算'!AK101,'01_数值调参'!AK26='03_全链计算'!AK102,'01_数值调参'!AK27='03_全链计算'!AK103,'01_数值调参'!AK28='03_全链计算'!AK104,'01_数值调参'!AK29='03_全链计算'!AK105,'01_数值调参'!AK30='03_全链计算'!AK106,'01_数值调参'!AK31='03_全链计算'!AK107,'01_数值调参'!AK32='03_全链计算'!AK108,'01_数值调参'!AK33='03_全链计算'!AK109,'01_数值调参'!AK34='03_全链计算'!AK110,'01_数值调参'!AK35='03_全链计算'!AK111,'01_数值调参'!AK36='03_全链计算'!AK112,'01_数值调参'!AK37='03_全链计算'!AK113,'01_数值调参'!AK38='03_全链计算'!AK114,'01_数值调参'!AK39='03_全链计算'!AK115,'01_数值调参'!AK40='03_全链计算'!AK116,'01_数值调参'!AK41='03_全链计算'!AK117,'01_数值调参'!AK42='03_全链计算'!AK118,'01_数值调参'!AK43='03_全链计算'!AK119,'01_数值调参'!AK44='03_全链计算'!AK120,'01_数值调参'!AK45='03_全链计算'!AK121,'01_数值调参'!AK46='03_全链计算'!AK122,'01_数值调参'!AK47='03_全链计算'!AK123,'01_数值调参'!AK48='03_全链计算'!AK124,'01_数值调参'!AK49='03_全链计算'!AK125,'01_数值调参'!AK50='03_全链计算'!AK126,'01_数值调参'!AK51='03_全链计算'!AK127,'01_数值调参'!AK52='03_全链计算'!AK128),0,1)</x:f>
        <x:v>0</x:v>
      </x:c>
      <x:c r="AL86" s="9" t="n">
        <x:f>IF(AND('01_数值调参'!AL9='03_全链计算'!AL92,'01_数值调参'!AL18='03_全链计算'!AL94,'01_数值调参'!AL19='03_全链计算'!AL95,'01_数值调参'!AL20='03_全链计算'!AL96,'01_数值调参'!AL21='03_全链计算'!AL97,'01_数值调参'!AL22='03_全链计算'!AL98,'01_数值调参'!AL23='03_全链计算'!AL99,'01_数值调参'!AL24='03_全链计算'!AL100,'01_数值调参'!AL25='03_全链计算'!AL101,'01_数值调参'!AL26='03_全链计算'!AL102,'01_数值调参'!AL27='03_全链计算'!AL103,'01_数值调参'!AL28='03_全链计算'!AL104,'01_数值调参'!AL29='03_全链计算'!AL105,'01_数值调参'!AL30='03_全链计算'!AL106,'01_数值调参'!AL31='03_全链计算'!AL107,'01_数值调参'!AL32='03_全链计算'!AL108,'01_数值调参'!AL33='03_全链计算'!AL109,'01_数值调参'!AL34='03_全链计算'!AL110,'01_数值调参'!AL35='03_全链计算'!AL111,'01_数值调参'!AL36='03_全链计算'!AL112,'01_数值调参'!AL37='03_全链计算'!AL113,'01_数值调参'!AL38='03_全链计算'!AL114,'01_数值调参'!AL39='03_全链计算'!AL115,'01_数值调参'!AL40='03_全链计算'!AL116,'01_数值调参'!AL41='03_全链计算'!AL117,'01_数值调参'!AL42='03_全链计算'!AL118,'01_数值调参'!AL43='03_全链计算'!AL119,'01_数值调参'!AL44='03_全链计算'!AL120,'01_数值调参'!AL45='03_全链计算'!AL121,'01_数值调参'!AL46='03_全链计算'!AL122,'01_数值调参'!AL47='03_全链计算'!AL123,'01_数值调参'!AL48='03_全链计算'!AL124,'01_数值调参'!AL49='03_全链计算'!AL125,'01_数值调参'!AL50='03_全链计算'!AL126,'01_数值调参'!AL51='03_全链计算'!AL127,'01_数值调参'!AL52='03_全链计算'!AL128),0,1)</x:f>
        <x:v>0</x:v>
      </x:c>
      <x:c r="AM86" s="9" t="n">
        <x:f>IF(AND('01_数值调参'!AM9='03_全链计算'!AM92,'01_数值调参'!AM18='03_全链计算'!AM94,'01_数值调参'!AM19='03_全链计算'!AM95,'01_数值调参'!AM20='03_全链计算'!AM96,'01_数值调参'!AM21='03_全链计算'!AM97,'01_数值调参'!AM22='03_全链计算'!AM98,'01_数值调参'!AM23='03_全链计算'!AM99,'01_数值调参'!AM24='03_全链计算'!AM100,'01_数值调参'!AM25='03_全链计算'!AM101,'01_数值调参'!AM26='03_全链计算'!AM102,'01_数值调参'!AM27='03_全链计算'!AM103,'01_数值调参'!AM28='03_全链计算'!AM104,'01_数值调参'!AM29='03_全链计算'!AM105,'01_数值调参'!AM30='03_全链计算'!AM106,'01_数值调参'!AM31='03_全链计算'!AM107,'01_数值调参'!AM32='03_全链计算'!AM108,'01_数值调参'!AM33='03_全链计算'!AM109,'01_数值调参'!AM34='03_全链计算'!AM110,'01_数值调参'!AM35='03_全链计算'!AM111,'01_数值调参'!AM36='03_全链计算'!AM112,'01_数值调参'!AM37='03_全链计算'!AM113,'01_数值调参'!AM38='03_全链计算'!AM114,'01_数值调参'!AM39='03_全链计算'!AM115,'01_数值调参'!AM40='03_全链计算'!AM116,'01_数值调参'!AM41='03_全链计算'!AM117,'01_数值调参'!AM42='03_全链计算'!AM118,'01_数值调参'!AM43='03_全链计算'!AM119,'01_数值调参'!AM44='03_全链计算'!AM120,'01_数值调参'!AM45='03_全链计算'!AM121,'01_数值调参'!AM46='03_全链计算'!AM122,'01_数值调参'!AM47='03_全链计算'!AM123,'01_数值调参'!AM48='03_全链计算'!AM124,'01_数值调参'!AM49='03_全链计算'!AM125,'01_数值调参'!AM50='03_全链计算'!AM126,'01_数值调参'!AM51='03_全链计算'!AM127,'01_数值调参'!AM52='03_全链计算'!AM128),0,1)</x:f>
        <x:v>0</x:v>
      </x:c>
    </x:row>
    <x:row r="87" ht="22" customHeight="1">
      <x:c r="A87" s="9" t="str">
        <x:v>输入合法</x:v>
      </x:c>
      <x:c r="B87" s="9"/>
      <x:c r="C87" s="9"/>
      <x:c r="D87" s="9"/>
      <x:c r="E87" s="9" t="b">
        <x:f>AND(ISNUMBER('01_数值调参'!E9),'01_数值调参'!E9&gt;0,'01_数值调参'!E18=1,'01_数值调参'!E19=0,'01_数值调参'!E20=0,'01_数值调参'!E21=0,'01_数值调参'!E22=0,'01_数值调参'!E23=0,'01_数值调参'!E24=0,'01_数值调参'!E25=0,'01_数值调参'!E26=0,'01_数值调参'!E27=0,'01_数值调参'!E28=0,'01_数值调参'!E29=0,'01_数值调参'!E30=0,'01_数值调参'!E31=0,'01_数值调参'!E32=0,'01_数值调参'!E33=0,'01_数值调参'!E34=0,'01_数值调参'!E35=0,'01_数值调参'!E36=0,'01_数值调参'!E37=0,'01_数值调参'!E38=0,'01_数值调参'!E39=0,'01_数值调参'!E40=0,'01_数值调参'!E41=0,'01_数值调参'!E42=0,'01_数值调参'!E43=0,'01_数值调参'!E44=0,'01_数值调参'!E45=0,'01_数值调参'!E46=0,'01_数值调参'!E47=0,'01_数值调参'!E48=0,'01_数值调参'!E49=0,'01_数值调参'!E50=0,'01_数值调参'!E51=0,'01_数值调参'!E52=0)</x:f>
        <x:v>1</x:v>
      </x:c>
      <x:c r="F87" s="9" t="b">
        <x:f>AND(ISNUMBER('01_数值调参'!F9),'01_数值调参'!F9&gt;0,'01_数值调参'!F18=0,'01_数值调参'!F19=1,'01_数值调参'!F20=0,'01_数值调参'!F21=0,'01_数值调参'!F22=0,'01_数值调参'!F23=0,'01_数值调参'!F24=0,'01_数值调参'!F25=0,'01_数值调参'!F26=0,'01_数值调参'!F27=0,'01_数值调参'!F28=0,'01_数值调参'!F29=0,'01_数值调参'!F30=0,'01_数值调参'!F31=0,'01_数值调参'!F32=0,'01_数值调参'!F33=0,'01_数值调参'!F34=0,'01_数值调参'!F35=0,'01_数值调参'!F36=0,'01_数值调参'!F37=0,'01_数值调参'!F38=0,'01_数值调参'!F39=0,'01_数值调参'!F40=0,'01_数值调参'!F41=0,'01_数值调参'!F42=0,'01_数值调参'!F43=0,'01_数值调参'!F44=0,'01_数值调参'!F45=0,'01_数值调参'!F46=0,'01_数值调参'!F47=0,'01_数值调参'!F48=0,'01_数值调参'!F49=0,'01_数值调参'!F50=0,'01_数值调参'!F51=0,'01_数值调参'!F52=0)</x:f>
        <x:v>1</x:v>
      </x:c>
      <x:c r="G87" s="9" t="b">
        <x:f>AND(ISNUMBER('01_数值调参'!G9),'01_数值调参'!G9&gt;0,'01_数值调参'!G18=0,'01_数值调参'!G19=0,'01_数值调参'!G20=1,'01_数值调参'!G21=0,'01_数值调参'!G22=0,'01_数值调参'!G23=0,'01_数值调参'!G24=0,'01_数值调参'!G25=0,'01_数值调参'!G26=0,'01_数值调参'!G27=0,'01_数值调参'!G28=0,'01_数值调参'!G29=0,'01_数值调参'!G30=0,'01_数值调参'!G31=0,'01_数值调参'!G32=0,'01_数值调参'!G33=0,'01_数值调参'!G34=0,'01_数值调参'!G35=0,'01_数值调参'!G36=0,'01_数值调参'!G37=0,'01_数值调参'!G38=0,'01_数值调参'!G39=0,'01_数值调参'!G40=0,'01_数值调参'!G41=0,'01_数值调参'!G42=0,'01_数值调参'!G43=0,'01_数值调参'!G44=0,'01_数值调参'!G45=0,'01_数值调参'!G46=0,'01_数值调参'!G47=0,'01_数值调参'!G48=0,'01_数值调参'!G49=0,'01_数值调参'!G50=0,'01_数值调参'!G51=0,'01_数值调参'!G52=0)</x:f>
        <x:v>1</x:v>
      </x:c>
      <x:c r="H87" s="9" t="b">
        <x:f>AND(ISNUMBER('01_数值调参'!H9),'01_数值调参'!H9&gt;0,'01_数值调参'!H18=0,'01_数值调参'!H19=0,'01_数值调参'!H20=0,'01_数值调参'!H21=1,'01_数值调参'!H22=0,'01_数值调参'!H23=0,'01_数值调参'!H24=0,'01_数值调参'!H25=0,'01_数值调参'!H26=0,'01_数值调参'!H27=0,'01_数值调参'!H28=0,'01_数值调参'!H29=0,'01_数值调参'!H30=0,'01_数值调参'!H31=0,'01_数值调参'!H32=0,'01_数值调参'!H33=0,'01_数值调参'!H34=0,'01_数值调参'!H35=0,'01_数值调参'!H36=0,'01_数值调参'!H37=0,'01_数值调参'!H38=0,'01_数值调参'!H39=0,'01_数值调参'!H40=0,'01_数值调参'!H41=0,'01_数值调参'!H42=0,'01_数值调参'!H43=0,'01_数值调参'!H44=0,'01_数值调参'!H45=0,'01_数值调参'!H46=0,'01_数值调参'!H47=0,'01_数值调参'!H48=0,'01_数值调参'!H49=0,'01_数值调参'!H50=0,'01_数值调参'!H51=0,'01_数值调参'!H52=0)</x:f>
        <x:v>1</x:v>
      </x:c>
      <x:c r="I87" s="9" t="b">
        <x:f>AND(ISNUMBER('01_数值调参'!I9),'01_数值调参'!I9&gt;0,'01_数值调参'!I18=0,'01_数值调参'!I19=0,'01_数值调参'!I20=0,'01_数值调参'!I21=0,'01_数值调参'!I22=1,'01_数值调参'!I23=0,'01_数值调参'!I24=0,'01_数值调参'!I25=0,'01_数值调参'!I26=0,'01_数值调参'!I27=0,'01_数值调参'!I28=0,'01_数值调参'!I29=0,'01_数值调参'!I30=0,'01_数值调参'!I31=0,'01_数值调参'!I32=0,'01_数值调参'!I33=0,'01_数值调参'!I34=0,'01_数值调参'!I35=0,'01_数值调参'!I36=0,'01_数值调参'!I37=0,'01_数值调参'!I38=0,'01_数值调参'!I39=0,'01_数值调参'!I40=0,'01_数值调参'!I41=0,'01_数值调参'!I42=0,'01_数值调参'!I43=0,'01_数值调参'!I44=0,'01_数值调参'!I45=0,'01_数值调参'!I46=0,'01_数值调参'!I47=0,'01_数值调参'!I48=0,'01_数值调参'!I49=0,'01_数值调参'!I50=0,'01_数值调参'!I51=0,'01_数值调参'!I52=0)</x:f>
        <x:v>1</x:v>
      </x:c>
      <x:c r="J87" s="9" t="b">
        <x:f>AND(ISNUMBER('01_数值调参'!J9),'01_数值调参'!J9&gt;0,'01_数值调参'!J18=0,'01_数值调参'!J19=0,'01_数值调参'!J20=0,'01_数值调参'!J21=0,'01_数值调参'!J22=0,'01_数值调参'!J23=1,'01_数值调参'!J24=0,'01_数值调参'!J25=0,'01_数值调参'!J26=0,'01_数值调参'!J27=0,'01_数值调参'!J28=0,'01_数值调参'!J29=0,'01_数值调参'!J30=0,'01_数值调参'!J31=0,'01_数值调参'!J32=0,'01_数值调参'!J33=0,'01_数值调参'!J34=0,'01_数值调参'!J35=0,'01_数值调参'!J36=0,'01_数值调参'!J37=0,'01_数值调参'!J38=0,'01_数值调参'!J39=0,'01_数值调参'!J40=0,'01_数值调参'!J41=0,'01_数值调参'!J42=0,'01_数值调参'!J43=0,'01_数值调参'!J44=0,'01_数值调参'!J45=0,'01_数值调参'!J46=0,'01_数值调参'!J47=0,'01_数值调参'!J48=0,'01_数值调参'!J49=0,'01_数值调参'!J50=0,'01_数值调参'!J51=0,'01_数值调参'!J52=0)</x:f>
        <x:v>1</x:v>
      </x:c>
      <x:c r="K87" s="9" t="b">
        <x:f>AND(ISNUMBER('01_数值调参'!K9),'01_数值调参'!K9&gt;0,'01_数值调参'!K18=0,'01_数值调参'!K19=0,'01_数值调参'!K20=0,'01_数值调参'!K21=0,'01_数值调参'!K22=0,'01_数值调参'!K23=0,'01_数值调参'!K24=1,'01_数值调参'!K25=0,'01_数值调参'!K26=0,'01_数值调参'!K27=0,'01_数值调参'!K28=0,'01_数值调参'!K29=0,'01_数值调参'!K30=0,'01_数值调参'!K31=0,'01_数值调参'!K32=0,'01_数值调参'!K33=0,'01_数值调参'!K34=0,'01_数值调参'!K35=0,'01_数值调参'!K36=0,'01_数值调参'!K37=0,'01_数值调参'!K38=0,'01_数值调参'!K39=0,'01_数值调参'!K40=0,'01_数值调参'!K41=0,'01_数值调参'!K42=0,'01_数值调参'!K43=0,'01_数值调参'!K44=0,'01_数值调参'!K45=0,'01_数值调参'!K46=0,'01_数值调参'!K47=0,'01_数值调参'!K48=0,'01_数值调参'!K49=0,'01_数值调参'!K50=0,'01_数值调参'!K51=0,'01_数值调参'!K52=0)</x:f>
        <x:v>1</x:v>
      </x:c>
      <x:c r="L87" s="9" t="b">
        <x:f>AND(ISNUMBER('01_数值调参'!L9),'01_数值调参'!L9&gt;0,'01_数值调参'!L18=0,'01_数值调参'!L19=0,'01_数值调参'!L20=0,'01_数值调参'!L21=0,'01_数值调参'!L22=0,'01_数值调参'!L23=0,'01_数值调参'!L24=0,'01_数值调参'!L25=1,'01_数值调参'!L26=0,'01_数值调参'!L27=0,'01_数值调参'!L28=0,'01_数值调参'!L29=0,'01_数值调参'!L30=0,'01_数值调参'!L31=0,'01_数值调参'!L32=0,'01_数值调参'!L33=0,'01_数值调参'!L34=0,'01_数值调参'!L35=0,'01_数值调参'!L36=0,'01_数值调参'!L37=0,'01_数值调参'!L38=0,'01_数值调参'!L39=0,'01_数值调参'!L40=0,'01_数值调参'!L41=0,'01_数值调参'!L42=0,'01_数值调参'!L43=0,'01_数值调参'!L44=0,'01_数值调参'!L45=0,'01_数值调参'!L46=0,'01_数值调参'!L47=0,'01_数值调参'!L48=0,'01_数值调参'!L49=0,'01_数值调参'!L50=0,'01_数值调参'!L51=0,'01_数值调参'!L52=0)</x:f>
        <x:v>1</x:v>
      </x:c>
      <x:c r="M87" s="9" t="b">
        <x:f>AND(ISNUMBER('01_数值调参'!M9),'01_数值调参'!M9&gt;0,'01_数值调参'!M18=0,'01_数值调参'!M19=0,'01_数值调参'!M20=0,'01_数值调参'!M21=0,'01_数值调参'!M22=0,'01_数值调参'!M23=0,'01_数值调参'!M24=0,'01_数值调参'!M25=0,'01_数值调参'!M26=1,'01_数值调参'!M27=0,'01_数值调参'!M28=0,'01_数值调参'!M29=0,'01_数值调参'!M30=0,'01_数值调参'!M31=0,'01_数值调参'!M32=0,'01_数值调参'!M33=0,'01_数值调参'!M34=0,'01_数值调参'!M35=0,'01_数值调参'!M36=0,'01_数值调参'!M37=0,'01_数值调参'!M38=0,'01_数值调参'!M39=0,'01_数值调参'!M40=0,'01_数值调参'!M41=0,'01_数值调参'!M42=0,'01_数值调参'!M43=0,'01_数值调参'!M44=0,'01_数值调参'!M45=0,'01_数值调参'!M46=0,'01_数值调参'!M47=0,'01_数值调参'!M48=0,'01_数值调参'!M49=0,'01_数值调参'!M50=0,'01_数值调参'!M51=0,'01_数值调参'!M52=0)</x:f>
        <x:v>1</x:v>
      </x:c>
      <x:c r="N87" s="9" t="b">
        <x:f>AND(ISNUMBER('01_数值调参'!N9),'01_数值调参'!N9&gt;0,IF(ISNUMBER('01_数值调参'!N18),AND('01_数值调参'!N18&lt;=0,'01_数值调参'!N18=INT('01_数值调参'!N18)),FALSE),IF(ISNUMBER('01_数值调参'!N19),AND('01_数值调参'!N19&lt;=0,'01_数值调参'!N19=INT('01_数值调参'!N19)),FALSE),'01_数值调参'!N20=0,'01_数值调参'!N21=0,'01_数值调参'!N22=0,'01_数值调参'!N23=0,'01_数值调参'!N24=0,'01_数值调参'!N25=0,'01_数值调参'!N26=0,'01_数值调参'!N27=1,'01_数值调参'!N28=0,'01_数值调参'!N29=0,'01_数值调参'!N30=0,'01_数值调参'!N31=0,'01_数值调参'!N32=0,'01_数值调参'!N33=0,'01_数值调参'!N34=0,'01_数值调参'!N35=0,'01_数值调参'!N36=0,'01_数值调参'!N37=0,'01_数值调参'!N38=0,'01_数值调参'!N39=0,'01_数值调参'!N40=0,'01_数值调参'!N41=0,'01_数值调参'!N42=0,'01_数值调参'!N43=0,'01_数值调参'!N44=0,'01_数值调参'!N45=0,'01_数值调参'!N46=0,'01_数值调参'!N47=0,'01_数值调参'!N48=0,'01_数值调参'!N49=0,'01_数值调参'!N50=0,'01_数值调参'!N51=0,'01_数值调参'!N52=0,COUNTIF('01_数值调参'!N18:N52,"&lt;0")&gt;0)</x:f>
        <x:v>1</x:v>
      </x:c>
      <x:c r="O87" s="9" t="b">
        <x:f>AND(ISNUMBER('01_数值调参'!O9),'01_数值调参'!O9&gt;0,IF(ISNUMBER('01_数值调参'!O18),AND('01_数值调参'!O18&lt;=0,'01_数值调参'!O18=INT('01_数值调参'!O18)),FALSE),IF(ISNUMBER('01_数值调参'!O19),AND('01_数值调参'!O19&lt;=0,'01_数值调参'!O19=INT('01_数值调参'!O19)),FALSE),'01_数值调参'!O20=0,'01_数值调参'!O21=0,'01_数值调参'!O22=0,'01_数值调参'!O23=0,'01_数值调参'!O24=0,'01_数值调参'!O25=0,'01_数值调参'!O26=0,IF(ISNUMBER('01_数值调参'!O27),AND('01_数值调参'!O27&lt;=0,'01_数值调参'!O27=INT('01_数值调参'!O27)),FALSE),'01_数值调参'!O28=1,'01_数值调参'!O29=0,'01_数值调参'!O30=0,'01_数值调参'!O31=0,'01_数值调参'!O32=0,'01_数值调参'!O33=0,'01_数值调参'!O34=0,'01_数值调参'!O35=0,'01_数值调参'!O36=0,'01_数值调参'!O37=0,'01_数值调参'!O38=0,'01_数值调参'!O39=0,'01_数值调参'!O40=0,'01_数值调参'!O41=0,'01_数值调参'!O42=0,'01_数值调参'!O43=0,'01_数值调参'!O44=0,'01_数值调参'!O45=0,'01_数值调参'!O46=0,'01_数值调参'!O47=0,'01_数值调参'!O48=0,'01_数值调参'!O49=0,'01_数值调参'!O50=0,'01_数值调参'!O51=0,'01_数值调参'!O52=0,COUNTIF('01_数值调参'!O18:O52,"&lt;0")&gt;0)</x:f>
        <x:v>1</x:v>
      </x:c>
      <x:c r="P87" s="9" t="b">
        <x:f>AND(ISNUMBER('01_数值调参'!P9),'01_数值调参'!P9&gt;0,IF(ISNUMBER('01_数值调参'!P18),AND('01_数值调参'!P18&lt;=0,'01_数值调参'!P18=INT('01_数值调参'!P18)),FALSE),IF(ISNUMBER('01_数值调参'!P19),AND('01_数值调参'!P19&lt;=0,'01_数值调参'!P19=INT('01_数值调参'!P19)),FALSE),IF(ISNUMBER('01_数值调参'!P20),AND('01_数值调参'!P20&lt;=0,'01_数值调参'!P20=INT('01_数值调参'!P20)),FALSE),IF(ISNUMBER('01_数值调参'!P21),AND('01_数值调参'!P21&lt;=0,'01_数值调参'!P21=INT('01_数值调参'!P21)),FALSE),'01_数值调参'!P22=0,'01_数值调参'!P23=0,'01_数值调参'!P24=0,'01_数值调参'!P25=0,'01_数值调参'!P26=0,IF(ISNUMBER('01_数值调参'!P27),AND('01_数值调参'!P27&lt;=0,'01_数值调参'!P27=INT('01_数值调参'!P27)),FALSE),IF(ISNUMBER('01_数值调参'!P28),AND('01_数值调参'!P28&lt;=0,'01_数值调参'!P28=INT('01_数值调参'!P28)),FALSE),'01_数值调参'!P29=1,'01_数值调参'!P30=0,'01_数值调参'!P31=0,IF(ISNUMBER('01_数值调参'!P32),AND('01_数值调参'!P32&lt;=0,'01_数值调参'!P32=INT('01_数值调参'!P32)),FALSE),IF(ISNUMBER('01_数值调参'!P33),AND('01_数值调参'!P33&lt;=0,'01_数值调参'!P33=INT('01_数值调参'!P33)),FALSE),'01_数值调参'!P34=0,'01_数值调参'!P35=0,'01_数值调参'!P36=0,IF(ISNUMBER('01_数值调参'!P37),AND('01_数值调参'!P37&lt;=0,'01_数值调参'!P37=INT('01_数值调参'!P37)),FALSE),'01_数值调参'!P38=0,'01_数值调参'!P39=0,'01_数值调参'!P40=0,'01_数值调参'!P41=0,'01_数值调参'!P42=0,'01_数值调参'!P43=0,'01_数值调参'!P44=0,'01_数值调参'!P45=0,'01_数值调参'!P46=0,'01_数值调参'!P47=0,'01_数值调参'!P48=0,'01_数值调参'!P49=0,'01_数值调参'!P50=0,'01_数值调参'!P51=0,'01_数值调参'!P52=0,COUNTIF('01_数值调参'!P18:P52,"&lt;0")&gt;0)</x:f>
        <x:v>1</x:v>
      </x:c>
      <x:c r="Q87" s="9" t="b">
        <x:f>AND(ISNUMBER('01_数值调参'!Q9),'01_数值调参'!Q9&gt;0,IF(ISNUMBER('01_数值调参'!Q18),AND('01_数值调参'!Q18&lt;=0,'01_数值调参'!Q18=INT('01_数值调参'!Q18)),FALSE),IF(ISNUMBER('01_数值调参'!Q19),AND('01_数值调参'!Q19&lt;=0,'01_数值调参'!Q19=INT('01_数值调参'!Q19)),FALSE),IF(ISNUMBER('01_数值调参'!Q20),AND('01_数值调参'!Q20&lt;=0,'01_数值调参'!Q20=INT('01_数值调参'!Q20)),FALSE),IF(ISNUMBER('01_数值调参'!Q21),AND('01_数值调参'!Q21&lt;=0,'01_数值调参'!Q21=INT('01_数值调参'!Q21)),FALSE),IF(ISNUMBER('01_数值调参'!Q22),AND('01_数值调参'!Q22&lt;=0,'01_数值调参'!Q22=INT('01_数值调参'!Q22)),FALSE),IF(ISNUMBER('01_数值调参'!Q23),AND('01_数值调参'!Q23&lt;=0,'01_数值调参'!Q23=INT('01_数值调参'!Q23)),FALSE),IF(ISNUMBER('01_数值调参'!Q24),AND('01_数值调参'!Q24&lt;=0,'01_数值调参'!Q24=INT('01_数值调参'!Q24)),FALSE),'01_数值调参'!Q25=0,'01_数值调参'!Q26=0,IF(ISNUMBER('01_数值调参'!Q27),AND('01_数值调参'!Q27&lt;=0,'01_数值调参'!Q27=INT('01_数值调参'!Q27)),FALSE),IF(ISNUMBER('01_数值调参'!Q28),AND('01_数值调参'!Q28&lt;=0,'01_数值调参'!Q28=INT('01_数值调参'!Q28)),FALSE),IF(ISNUMBER('01_数值调参'!Q29),AND('01_数值调参'!Q29&lt;=0,'01_数值调参'!Q29=INT('01_数值调参'!Q29)),FALSE),'01_数值调参'!Q30=1,'01_数值调参'!Q31=0,IF(ISNUMBER('01_数值调参'!Q32),AND('01_数值调参'!Q32&lt;=0,'01_数值调参'!Q32=INT('01_数值调参'!Q32)),FALSE),IF(ISNUMBER('01_数值调参'!Q33),AND('01_数值调参'!Q33&lt;=0,'01_数值调参'!Q33=INT('01_数值调参'!Q33)),FALSE),IF(ISNUMBER('01_数值调参'!Q34),AND('01_数值调参'!Q34&lt;=0,'01_数值调参'!Q34=INT('01_数值调参'!Q34)),FALSE),'01_数值调参'!Q35=0,'01_数值调参'!Q36=0,IF(ISNUMBER('01_数值调参'!Q37),AND('01_数值调参'!Q37&lt;=0,'01_数值调参'!Q37=INT('01_数值调参'!Q37)),FALSE),IF(ISNUMBER('01_数值调参'!Q38),AND('01_数值调参'!Q38&lt;=0,'01_数值调参'!Q38=INT('01_数值调参'!Q38)),FALSE),IF(ISNUMBER('01_数值调参'!Q39),AND('01_数值调参'!Q39&lt;=0,'01_数值调参'!Q39=INT('01_数值调参'!Q39)),FALSE),'01_数值调参'!Q40=0,'01_数值调参'!Q41=0,'01_数值调参'!Q42=0,IF(ISNUMBER('01_数值调参'!Q43),AND('01_数值调参'!Q43&lt;=0,'01_数值调参'!Q43=INT('01_数值调参'!Q43)),FALSE),IF(ISNUMBER('01_数值调参'!Q44),AND('01_数值调参'!Q44&lt;=0,'01_数值调参'!Q44=INT('01_数值调参'!Q44)),FALSE),IF(ISNUMBER('01_数值调参'!Q45),AND('01_数值调参'!Q45&lt;=0,'01_数值调参'!Q45=INT('01_数值调参'!Q45)),FALSE),'01_数值调参'!Q46=0,IF(ISNUMBER('01_数值调参'!Q47),AND('01_数值调参'!Q47&lt;=0,'01_数值调参'!Q47=INT('01_数值调参'!Q47)),FALSE),IF(ISNUMBER('01_数值调参'!Q48),AND('01_数值调参'!Q48&lt;=0,'01_数值调参'!Q48=INT('01_数值调参'!Q48)),FALSE),'01_数值调参'!Q49=0,'01_数值调参'!Q50=0,'01_数值调参'!Q51=0,'01_数值调参'!Q52=0,COUNTIF('01_数值调参'!Q18:Q52,"&lt;0")&gt;0)</x:f>
        <x:v>1</x:v>
      </x:c>
      <x:c r="R87" s="9" t="b">
        <x:f>AND(ISNUMBER('01_数值调参'!R9),'01_数值调参'!R9&gt;0,IF(ISNUMBER('01_数值调参'!R18),AND('01_数值调参'!R18&lt;=0,'01_数值调参'!R18=INT('01_数值调参'!R18)),FALSE),IF(ISNUMBER('01_数值调参'!R19),AND('01_数值调参'!R19&lt;=0,'01_数值调参'!R19=INT('01_数值调参'!R19)),FALSE),IF(ISNUMBER('01_数值调参'!R20),AND('01_数值调参'!R20&lt;=0,'01_数值调参'!R20=INT('01_数值调参'!R20)),FALSE),IF(ISNUMBER('01_数值调参'!R21),AND('01_数值调参'!R21&lt;=0,'01_数值调参'!R21=INT('01_数值调参'!R21)),FALSE),IF(ISNUMBER('01_数值调参'!R22),AND('01_数值调参'!R22&lt;=0,'01_数值调参'!R22=INT('01_数值调参'!R22)),FALSE),IF(ISNUMBER('01_数值调参'!R23),AND('01_数值调参'!R23&lt;=0,'01_数值调参'!R23=INT('01_数值调参'!R23)),FALSE),IF(ISNUMBER('01_数值调参'!R24),AND('01_数值调参'!R24&lt;=0,'01_数值调参'!R24=INT('01_数值调参'!R24)),FALSE),IF(ISNUMBER('01_数值调参'!R25),AND('01_数值调参'!R25&lt;=0,'01_数值调参'!R25=INT('01_数值调参'!R25)),FALSE),'01_数值调参'!R26=0,IF(ISNUMBER('01_数值调参'!R27),AND('01_数值调参'!R27&lt;=0,'01_数值调参'!R27=INT('01_数值调参'!R27)),FALSE),IF(ISNUMBER('01_数值调参'!R28),AND('01_数值调参'!R28&lt;=0,'01_数值调参'!R28=INT('01_数值调参'!R28)),FALSE),IF(ISNUMBER('01_数值调参'!R29),AND('01_数值调参'!R29&lt;=0,'01_数值调参'!R29=INT('01_数值调参'!R29)),FALSE),IF(ISNUMBER('01_数值调参'!R30),AND('01_数值调参'!R30&lt;=0,'01_数值调参'!R30=INT('01_数值调参'!R30)),FALSE),'01_数值调参'!R31=1,IF(ISNUMBER('01_数值调参'!R32),AND('01_数值调参'!R32&lt;=0,'01_数值调参'!R32=INT('01_数值调参'!R32)),FALSE),IF(ISNUMBER('01_数值调参'!R33),AND('01_数值调参'!R33&lt;=0,'01_数值调参'!R33=INT('01_数值调参'!R33)),FALSE),IF(ISNUMBER('01_数值调参'!R34),AND('01_数值调参'!R34&lt;=0,'01_数值调参'!R34=INT('01_数值调参'!R34)),FALSE),IF(ISNUMBER('01_数值调参'!R35),AND('01_数值调参'!R35&lt;=0,'01_数值调参'!R35=INT('01_数值调参'!R35)),FALSE),'01_数值调参'!R36=0,IF(ISNUMBER('01_数值调参'!R37),AND('01_数值调参'!R37&lt;=0,'01_数值调参'!R37=INT('01_数值调参'!R37)),FALSE),IF(ISNUMBER('01_数值调参'!R38),AND('01_数值调参'!R38&lt;=0,'01_数值调参'!R38=INT('01_数值调参'!R38)),FALSE),IF(ISNUMBER('01_数值调参'!R39),AND('01_数值调参'!R39&lt;=0,'01_数值调参'!R39=INT('01_数值调参'!R39)),FALSE),IF(ISNUMBER('01_数值调参'!R40),AND('01_数值调参'!R40&lt;=0,'01_数值调参'!R40=INT('01_数值调参'!R40)),FALSE),IF(ISNUMBER('01_数值调参'!R41),AND('01_数值调参'!R41&lt;=0,'01_数值调参'!R41=INT('01_数值调参'!R41)),FALSE),'01_数值调参'!R42=0,IF(ISNUMBER('01_数值调参'!R43),AND('01_数值调参'!R43&lt;=0,'01_数值调参'!R43=INT('01_数值调参'!R43)),FALSE),IF(ISNUMBER('01_数值调参'!R44),AND('01_数值调参'!R44&lt;=0,'01_数值调参'!R44=INT('01_数值调参'!R44)),FALSE),IF(ISNUMBER('01_数值调参'!R45),AND('01_数值调参'!R45&lt;=0,'01_数值调参'!R45=INT('01_数值调参'!R45)),FALSE),IF(ISNUMBER('01_数值调参'!R46),AND('01_数值调参'!R46&lt;=0,'01_数值调参'!R46=INT('01_数值调参'!R46)),FALSE),IF(ISNUMBER('01_数值调参'!R47),AND('01_数值调参'!R47&lt;=0,'01_数值调参'!R47=INT('01_数值调参'!R47)),FALSE),IF(ISNUMBER('01_数值调参'!R48),AND('01_数值调参'!R48&lt;=0,'01_数值调参'!R48=INT('01_数值调参'!R48)),FALSE),IF(ISNUMBER('01_数值调参'!R49),AND('01_数值调参'!R49&lt;=0,'01_数值调参'!R49=INT('01_数值调参'!R49)),FALSE),IF(ISNUMBER('01_数值调参'!R50),AND('01_数值调参'!R50&lt;=0,'01_数值调参'!R50=INT('01_数值调参'!R50)),FALSE),IF(ISNUMBER('01_数值调参'!R51),AND('01_数值调参'!R51&lt;=0,'01_数值调参'!R51=INT('01_数值调参'!R51)),FALSE),'01_数值调参'!R52=0,COUNTIF('01_数值调参'!R18:R52,"&lt;0")&gt;0)</x:f>
        <x:v>1</x:v>
      </x:c>
      <x:c r="S87" s="9" t="b">
        <x:f>AND(ISNUMBER('01_数值调参'!S9),'01_数值调参'!S9&gt;0,IF(ISNUMBER('01_数值调参'!S18),AND('01_数值调参'!S18&lt;=0,'01_数值调参'!S18=INT('01_数值调参'!S18)),FALSE),IF(ISNUMBER('01_数值调参'!S19),AND('01_数值调参'!S19&lt;=0,'01_数值调参'!S19=INT('01_数值调参'!S19)),FALSE),IF(ISNUMBER('01_数值调参'!S20),AND('01_数值调参'!S20&lt;=0,'01_数值调参'!S20=INT('01_数值调参'!S20)),FALSE),'01_数值调参'!S21=0,'01_数值调参'!S22=0,'01_数值调参'!S23=0,'01_数值调参'!S24=0,'01_数值调参'!S25=0,'01_数值调参'!S26=0,IF(ISNUMBER('01_数值调参'!S27),AND('01_数值调参'!S27&lt;=0,'01_数值调参'!S27=INT('01_数值调参'!S27)),FALSE),IF(ISNUMBER('01_数值调参'!S28),AND('01_数值调参'!S28&lt;=0,'01_数值调参'!S28=INT('01_数值调参'!S28)),FALSE),'01_数值调参'!S29=0,'01_数值调参'!S30=0,'01_数值调参'!S31=0,'01_数值调参'!S32=1,'01_数值调参'!S33=0,'01_数值调参'!S34=0,'01_数值调参'!S35=0,'01_数值调参'!S36=0,'01_数值调参'!S37=0,'01_数值调参'!S38=0,'01_数值调参'!S39=0,'01_数值调参'!S40=0,'01_数值调参'!S41=0,'01_数值调参'!S42=0,'01_数值调参'!S43=0,'01_数值调参'!S44=0,'01_数值调参'!S45=0,'01_数值调参'!S46=0,'01_数值调参'!S47=0,'01_数值调参'!S48=0,'01_数值调参'!S49=0,'01_数值调参'!S50=0,'01_数值调参'!S51=0,'01_数值调参'!S52=0,COUNTIF('01_数值调参'!S18:S52,"&lt;0")&gt;0)</x:f>
        <x:v>1</x:v>
      </x:c>
      <x:c r="T87" s="9" t="b">
        <x:f>AND(ISNUMBER('01_数值调参'!T9),'01_数值调参'!T9&gt;0,IF(ISNUMBER('01_数值调参'!T18),AND('01_数值调参'!T18&lt;=0,'01_数值调参'!T18=INT('01_数值调参'!T18)),FALSE),IF(ISNUMBER('01_数值调参'!T19),AND('01_数值调参'!T19&lt;=0,'01_数值调参'!T19=INT('01_数值调参'!T19)),FALSE),IF(ISNUMBER('01_数值调参'!T20),AND('01_数值调参'!T20&lt;=0,'01_数值调参'!T20=INT('01_数值调参'!T20)),FALSE),'01_数值调参'!T21=0,'01_数值调参'!T22=0,'01_数值调参'!T23=0,'01_数值调参'!T24=0,'01_数值调参'!T25=0,'01_数值调参'!T26=0,IF(ISNUMBER('01_数值调参'!T27),AND('01_数值调参'!T27&lt;=0,'01_数值调参'!T27=INT('01_数值调参'!T27)),FALSE),IF(ISNUMBER('01_数值调参'!T28),AND('01_数值调参'!T28&lt;=0,'01_数值调参'!T28=INT('01_数值调参'!T28)),FALSE),'01_数值调参'!T29=0,'01_数值调参'!T30=0,'01_数值调参'!T31=0,IF(ISNUMBER('01_数值调参'!T32),AND('01_数值调参'!T32&lt;=0,'01_数值调参'!T32=INT('01_数值调参'!T32)),FALSE),'01_数值调参'!T33=1,'01_数值调参'!T34=0,'01_数值调参'!T35=0,'01_数值调参'!T36=0,'01_数值调参'!T37=0,'01_数值调参'!T38=0,'01_数值调参'!T39=0,'01_数值调参'!T40=0,'01_数值调参'!T41=0,'01_数值调参'!T42=0,'01_数值调参'!T43=0,'01_数值调参'!T44=0,'01_数值调参'!T45=0,'01_数值调参'!T46=0,'01_数值调参'!T47=0,'01_数值调参'!T48=0,'01_数值调参'!T49=0,'01_数值调参'!T50=0,'01_数值调参'!T51=0,'01_数值调参'!T52=0,COUNTIF('01_数值调参'!T18:T52,"&lt;0")&gt;0)</x:f>
        <x:v>1</x:v>
      </x:c>
      <x:c r="U87" s="9" t="b">
        <x:f>AND(ISNUMBER('01_数值调参'!U9),'01_数值调参'!U9&gt;0,IF(ISNUMBER('01_数值调参'!U18),AND('01_数值调参'!U18&lt;=0,'01_数值调参'!U18=INT('01_数值调参'!U18)),FALSE),IF(ISNUMBER('01_数值调参'!U19),AND('01_数值调参'!U19&lt;=0,'01_数值调参'!U19=INT('01_数值调参'!U19)),FALSE),IF(ISNUMBER('01_数值调参'!U20),AND('01_数值调参'!U20&lt;=0,'01_数值调参'!U20=INT('01_数值调参'!U20)),FALSE),IF(ISNUMBER('01_数值调参'!U21),AND('01_数值调参'!U21&lt;=0,'01_数值调参'!U21=INT('01_数值调参'!U21)),FALSE),IF(ISNUMBER('01_数值调参'!U22),AND('01_数值调参'!U22&lt;=0,'01_数值调参'!U22=INT('01_数值调参'!U22)),FALSE),IF(ISNUMBER('01_数值调参'!U23),AND('01_数值调参'!U23&lt;=0,'01_数值调参'!U23=INT('01_数值调参'!U23)),FALSE),'01_数值调参'!U24=0,'01_数值调参'!U25=0,'01_数值调参'!U26=0,IF(ISNUMBER('01_数值调参'!U27),AND('01_数值调参'!U27&lt;=0,'01_数值调参'!U27=INT('01_数值调参'!U27)),FALSE),IF(ISNUMBER('01_数值调参'!U28),AND('01_数值调参'!U28&lt;=0,'01_数值调参'!U28=INT('01_数值调参'!U28)),FALSE),IF(ISNUMBER('01_数值调参'!U29),AND('01_数值调参'!U29&lt;=0,'01_数值调参'!U29=INT('01_数值调参'!U29)),FALSE),'01_数值调参'!U30=0,'01_数值调参'!U31=0,IF(ISNUMBER('01_数值调参'!U32),AND('01_数值调参'!U32&lt;=0,'01_数值调参'!U32=INT('01_数值调参'!U32)),FALSE),IF(ISNUMBER('01_数值调参'!U33),AND('01_数值调参'!U33&lt;=0,'01_数值调参'!U33=INT('01_数值调参'!U33)),FALSE),'01_数值调参'!U34=1,'01_数值调参'!U35=0,'01_数值调参'!U36=0,IF(ISNUMBER('01_数值调参'!U37),AND('01_数值调参'!U37&lt;=0,'01_数值调参'!U37=INT('01_数值调参'!U37)),FALSE),IF(ISNUMBER('01_数值调参'!U38),AND('01_数值调参'!U38&lt;=0,'01_数值调参'!U38=INT('01_数值调参'!U38)),FALSE),IF(ISNUMBER('01_数值调参'!U39),AND('01_数值调参'!U39&lt;=0,'01_数值调参'!U39=INT('01_数值调参'!U39)),FALSE),'01_数值调参'!U40=0,'01_数值调参'!U41=0,'01_数值调参'!U42=0,IF(ISNUMBER('01_数值调参'!U43),AND('01_数值调参'!U43&lt;=0,'01_数值调参'!U43=INT('01_数值调参'!U43)),FALSE),IF(ISNUMBER('01_数值调参'!U44),AND('01_数值调参'!U44&lt;=0,'01_数值调参'!U44=INT('01_数值调参'!U44)),FALSE),'01_数值调参'!U45=0,'01_数值调参'!U46=0,IF(ISNUMBER('01_数值调参'!U47),AND('01_数值调参'!U47&lt;=0,'01_数值调参'!U47=INT('01_数值调参'!U47)),FALSE),'01_数值调参'!U48=0,'01_数值调参'!U49=0,'01_数值调参'!U50=0,'01_数值调参'!U51=0,'01_数值调参'!U52=0,COUNTIF('01_数值调参'!U18:U52,"&lt;0")&gt;0)</x:f>
        <x:v>1</x:v>
      </x:c>
      <x:c r="V87" s="9" t="b">
        <x:f>AND(ISNUMBER('01_数值调参'!V9),'01_数值调参'!V9&gt;0,IF(ISNUMBER('01_数值调参'!V18),AND('01_数值调参'!V18&lt;=0,'01_数值调参'!V18=INT('01_数值调参'!V18)),FALSE),IF(ISNUMBER('01_数值调参'!V19),AND('01_数值调参'!V19&lt;=0,'01_数值调参'!V19=INT('01_数值调参'!V19)),FALSE),IF(ISNUMBER('01_数值调参'!V20),AND('01_数值调参'!V20&lt;=0,'01_数值调参'!V20=INT('01_数值调参'!V20)),FALSE),IF(ISNUMBER('01_数值调参'!V21),AND('01_数值调参'!V21&lt;=0,'01_数值调参'!V21=INT('01_数值调参'!V21)),FALSE),IF(ISNUMBER('01_数值调参'!V22),AND('01_数值调参'!V22&lt;=0,'01_数值调参'!V22=INT('01_数值调参'!V22)),FALSE),IF(ISNUMBER('01_数值调参'!V23),AND('01_数值调参'!V23&lt;=0,'01_数值调参'!V23=INT('01_数值调参'!V23)),FALSE),IF(ISNUMBER('01_数值调参'!V24),AND('01_数值调参'!V24&lt;=0,'01_数值调参'!V24=INT('01_数值调参'!V24)),FALSE),'01_数值调参'!V25=0,'01_数值调参'!V26=0,IF(ISNUMBER('01_数值调参'!V27),AND('01_数值调参'!V27&lt;=0,'01_数值调参'!V27=INT('01_数值调参'!V27)),FALSE),IF(ISNUMBER('01_数值调参'!V28),AND('01_数值调参'!V28&lt;=0,'01_数值调参'!V28=INT('01_数值调参'!V28)),FALSE),IF(ISNUMBER('01_数值调参'!V29),AND('01_数值调参'!V29&lt;=0,'01_数值调参'!V29=INT('01_数值调参'!V29)),FALSE),IF(ISNUMBER('01_数值调参'!V30),AND('01_数值调参'!V30&lt;=0,'01_数值调参'!V30=INT('01_数值调参'!V30)),FALSE),'01_数值调参'!V31=0,IF(ISNUMBER('01_数值调参'!V32),AND('01_数值调参'!V32&lt;=0,'01_数值调参'!V32=INT('01_数值调参'!V32)),FALSE),IF(ISNUMBER('01_数值调参'!V33),AND('01_数值调参'!V33&lt;=0,'01_数值调参'!V33=INT('01_数值调参'!V33)),FALSE),IF(ISNUMBER('01_数值调参'!V34),AND('01_数值调参'!V34&lt;=0,'01_数值调参'!V34=INT('01_数值调参'!V34)),FALSE),'01_数值调参'!V35=1,'01_数值调参'!V36=0,IF(ISNUMBER('01_数值调参'!V37),AND('01_数值调参'!V37&lt;=0,'01_数值调参'!V37=INT('01_数值调参'!V37)),FALSE),IF(ISNUMBER('01_数值调参'!V38),AND('01_数值调参'!V38&lt;=0,'01_数值调参'!V38=INT('01_数值调参'!V38)),FALSE),IF(ISNUMBER('01_数值调参'!V39),AND('01_数值调参'!V39&lt;=0,'01_数值调参'!V39=INT('01_数值调参'!V39)),FALSE),IF(ISNUMBER('01_数值调参'!V40),AND('01_数值调参'!V40&lt;=0,'01_数值调参'!V40=INT('01_数值调参'!V40)),FALSE),'01_数值调参'!V41=0,'01_数值调参'!V42=0,IF(ISNUMBER('01_数值调参'!V43),AND('01_数值调参'!V43&lt;=0,'01_数值调参'!V43=INT('01_数值调参'!V43)),FALSE),IF(ISNUMBER('01_数值调参'!V44),AND('01_数值调参'!V44&lt;=0,'01_数值调参'!V44=INT('01_数值调参'!V44)),FALSE),IF(ISNUMBER('01_数值调参'!V45),AND('01_数值调参'!V45&lt;=0,'01_数值调参'!V45=INT('01_数值调参'!V45)),FALSE),'01_数值调参'!V46=0,IF(ISNUMBER('01_数值调参'!V47),AND('01_数值调参'!V47&lt;=0,'01_数值调参'!V47=INT('01_数值调参'!V47)),FALSE),IF(ISNUMBER('01_数值调参'!V48),AND('01_数值调参'!V48&lt;=0,'01_数值调参'!V48=INT('01_数值调参'!V48)),FALSE),IF(ISNUMBER('01_数值调参'!V49),AND('01_数值调参'!V49&lt;=0,'01_数值调参'!V49=INT('01_数值调参'!V49)),FALSE),'01_数值调参'!V50=0,'01_数值调参'!V51=0,'01_数值调参'!V52=0,COUNTIF('01_数值调参'!V18:V52,"&lt;0")&gt;0)</x:f>
        <x:v>1</x:v>
      </x:c>
      <x:c r="W87" s="9" t="b">
        <x:f>AND(ISNUMBER('01_数值调参'!W9),'01_数值调参'!W9&gt;0,IF(ISNUMBER('01_数值调参'!W18),AND('01_数值调参'!W18&lt;=0,'01_数值调参'!W18=INT('01_数值调参'!W18)),FALSE),IF(ISNUMBER('01_数值调参'!W19),AND('01_数值调参'!W19&lt;=0,'01_数值调参'!W19=INT('01_数值调参'!W19)),FALSE),IF(ISNUMBER('01_数值调参'!W20),AND('01_数值调参'!W20&lt;=0,'01_数值调参'!W20=INT('01_数值调参'!W20)),FALSE),IF(ISNUMBER('01_数值调参'!W21),AND('01_数值调参'!W21&lt;=0,'01_数值调参'!W21=INT('01_数值调参'!W21)),FALSE),IF(ISNUMBER('01_数值调参'!W22),AND('01_数值调参'!W22&lt;=0,'01_数值调参'!W22=INT('01_数值调参'!W22)),FALSE),IF(ISNUMBER('01_数值调参'!W23),AND('01_数值调参'!W23&lt;=0,'01_数值调参'!W23=INT('01_数值调参'!W23)),FALSE),IF(ISNUMBER('01_数值调参'!W24),AND('01_数值调参'!W24&lt;=0,'01_数值调参'!W24=INT('01_数值调参'!W24)),FALSE),IF(ISNUMBER('01_数值调参'!W25),AND('01_数值调参'!W25&lt;=0,'01_数值调参'!W25=INT('01_数值调参'!W25)),FALSE),IF(ISNUMBER('01_数值调参'!W26),AND('01_数值调参'!W26&lt;=0,'01_数值调参'!W26=INT('01_数值调参'!W26)),FALSE),IF(ISNUMBER('01_数值调参'!W27),AND('01_数值调参'!W27&lt;=0,'01_数值调参'!W27=INT('01_数值调参'!W27)),FALSE),IF(ISNUMBER('01_数值调参'!W28),AND('01_数值调参'!W28&lt;=0,'01_数值调参'!W28=INT('01_数值调参'!W28)),FALSE),IF(ISNUMBER('01_数值调参'!W29),AND('01_数值调参'!W29&lt;=0,'01_数值调参'!W29=INT('01_数值调参'!W29)),FALSE),IF(ISNUMBER('01_数值调参'!W30),AND('01_数值调参'!W30&lt;=0,'01_数值调参'!W30=INT('01_数值调参'!W30)),FALSE),IF(ISNUMBER('01_数值调参'!W31),AND('01_数值调参'!W31&lt;=0,'01_数值调参'!W31=INT('01_数值调参'!W31)),FALSE),IF(ISNUMBER('01_数值调参'!W32),AND('01_数值调参'!W32&lt;=0,'01_数值调参'!W32=INT('01_数值调参'!W32)),FALSE),IF(ISNUMBER('01_数值调参'!W33),AND('01_数值调参'!W33&lt;=0,'01_数值调参'!W33=INT('01_数值调参'!W33)),FALSE),IF(ISNUMBER('01_数值调参'!W34),AND('01_数值调参'!W34&lt;=0,'01_数值调参'!W34=INT('01_数值调参'!W34)),FALSE),IF(ISNUMBER('01_数值调参'!W35),AND('01_数值调参'!W35&lt;=0,'01_数值调参'!W35=INT('01_数值调参'!W35)),FALSE),'01_数值调参'!W36=1,IF(ISNUMBER('01_数值调参'!W37),AND('01_数值调参'!W37&lt;=0,'01_数值调参'!W37=INT('01_数值调参'!W37)),FALSE),IF(ISNUMBER('01_数值调参'!W38),AND('01_数值调参'!W38&lt;=0,'01_数值调参'!W38=INT('01_数值调参'!W38)),FALSE),IF(ISNUMBER('01_数值调参'!W39),AND('01_数值调参'!W39&lt;=0,'01_数值调参'!W39=INT('01_数值调参'!W39)),FALSE),IF(ISNUMBER('01_数值调参'!W40),AND('01_数值调参'!W40&lt;=0,'01_数值调参'!W40=INT('01_数值调参'!W40)),FALSE),IF(ISNUMBER('01_数值调参'!W41),AND('01_数值调参'!W41&lt;=0,'01_数值调参'!W41=INT('01_数值调参'!W41)),FALSE),IF(ISNUMBER('01_数值调参'!W42),AND('01_数值调参'!W42&lt;=0,'01_数值调参'!W42=INT('01_数值调参'!W42)),FALSE),IF(ISNUMBER('01_数值调参'!W43),AND('01_数值调参'!W43&lt;=0,'01_数值调参'!W43=INT('01_数值调参'!W43)),FALSE),IF(ISNUMBER('01_数值调参'!W44),AND('01_数值调参'!W44&lt;=0,'01_数值调参'!W44=INT('01_数值调参'!W44)),FALSE),IF(ISNUMBER('01_数值调参'!W45),AND('01_数值调参'!W45&lt;=0,'01_数值调参'!W45=INT('01_数值调参'!W45)),FALSE),IF(ISNUMBER('01_数值调参'!W46),AND('01_数值调参'!W46&lt;=0,'01_数值调参'!W46=INT('01_数值调参'!W46)),FALSE),IF(ISNUMBER('01_数值调参'!W47),AND('01_数值调参'!W47&lt;=0,'01_数值调参'!W47=INT('01_数值调参'!W47)),FALSE),IF(ISNUMBER('01_数值调参'!W48),AND('01_数值调参'!W48&lt;=0,'01_数值调参'!W48=INT('01_数值调参'!W48)),FALSE),IF(ISNUMBER('01_数值调参'!W49),AND('01_数值调参'!W49&lt;=0,'01_数值调参'!W49=INT('01_数值调参'!W49)),FALSE),IF(ISNUMBER('01_数值调参'!W50),AND('01_数值调参'!W50&lt;=0,'01_数值调参'!W50=INT('01_数值调参'!W50)),FALSE),IF(ISNUMBER('01_数值调参'!W51),AND('01_数值调参'!W51&lt;=0,'01_数值调参'!W51=INT('01_数值调参'!W51)),FALSE),'01_数值调参'!W52=0,COUNTIF('01_数值调参'!W18:W52,"&lt;0")&gt;0)</x:f>
        <x:v>1</x:v>
      </x:c>
      <x:c r="X87" s="9" t="b">
        <x:f>AND(ISNUMBER('01_数值调参'!X9),'01_数值调参'!X9&gt;0,IF(ISNUMBER('01_数值调参'!X18),AND('01_数值调参'!X18&lt;=0,'01_数值调参'!X18=INT('01_数值调参'!X18)),FALSE),IF(ISNUMBER('01_数值调参'!X19),AND('01_数值调参'!X19&lt;=0,'01_数值调参'!X19=INT('01_数值调参'!X19)),FALSE),IF(ISNUMBER('01_数值调参'!X20),AND('01_数值调参'!X20&lt;=0,'01_数值调参'!X20=INT('01_数值调参'!X20)),FALSE),'01_数值调参'!X21=0,'01_数值调参'!X22=0,'01_数值调参'!X23=0,'01_数值调参'!X24=0,'01_数值调参'!X25=0,'01_数值调参'!X26=0,IF(ISNUMBER('01_数值调参'!X27),AND('01_数值调参'!X27&lt;=0,'01_数值调参'!X27=INT('01_数值调参'!X27)),FALSE),IF(ISNUMBER('01_数值调参'!X28),AND('01_数值调参'!X28&lt;=0,'01_数值调参'!X28=INT('01_数值调参'!X28)),FALSE),'01_数值调参'!X29=0,'01_数值调参'!X30=0,'01_数值调参'!X31=0,IF(ISNUMBER('01_数值调参'!X32),AND('01_数值调参'!X32&lt;=0,'01_数值调参'!X32=INT('01_数值调参'!X32)),FALSE),IF(ISNUMBER('01_数值调参'!X33),AND('01_数值调参'!X33&lt;=0,'01_数值调参'!X33=INT('01_数值调参'!X33)),FALSE),'01_数值调参'!X34=0,'01_数值调参'!X35=0,'01_数值调参'!X36=0,'01_数值调参'!X37=1,'01_数值调参'!X38=0,'01_数值调参'!X39=0,'01_数值调参'!X40=0,'01_数值调参'!X41=0,'01_数值调参'!X42=0,'01_数值调参'!X43=0,'01_数值调参'!X44=0,'01_数值调参'!X45=0,'01_数值调参'!X46=0,'01_数值调参'!X47=0,'01_数值调参'!X48=0,'01_数值调参'!X49=0,'01_数值调参'!X50=0,'01_数值调参'!X51=0,'01_数值调参'!X52=0,COUNTIF('01_数值调参'!X18:X52,"&lt;0")&gt;0)</x:f>
        <x:v>1</x:v>
      </x:c>
      <x:c r="Y87" s="9" t="b">
        <x:f>AND(ISNUMBER('01_数值调参'!Y9),'01_数值调参'!Y9&gt;0,IF(ISNUMBER('01_数值调参'!Y18),AND('01_数值调参'!Y18&lt;=0,'01_数值调参'!Y18=INT('01_数值调参'!Y18)),FALSE),IF(ISNUMBER('01_数值调参'!Y19),AND('01_数值调参'!Y19&lt;=0,'01_数值调参'!Y19=INT('01_数值调参'!Y19)),FALSE),IF(ISNUMBER('01_数值调参'!Y20),AND('01_数值调参'!Y20&lt;=0,'01_数值调参'!Y20=INT('01_数值调参'!Y20)),FALSE),IF(ISNUMBER('01_数值调参'!Y21),AND('01_数值调参'!Y21&lt;=0,'01_数值调参'!Y21=INT('01_数值调参'!Y21)),FALSE),IF(ISNUMBER('01_数值调参'!Y22),AND('01_数值调参'!Y22&lt;=0,'01_数值调参'!Y22=INT('01_数值调参'!Y22)),FALSE),'01_数值调参'!Y23=0,'01_数值调参'!Y24=0,'01_数值调参'!Y25=0,'01_数值调参'!Y26=0,IF(ISNUMBER('01_数值调参'!Y27),AND('01_数值调参'!Y27&lt;=0,'01_数值调参'!Y27=INT('01_数值调参'!Y27)),FALSE),IF(ISNUMBER('01_数值调参'!Y28),AND('01_数值调参'!Y28&lt;=0,'01_数值调参'!Y28=INT('01_数值调参'!Y28)),FALSE),IF(ISNUMBER('01_数值调参'!Y29),AND('01_数值调参'!Y29&lt;=0,'01_数值调参'!Y29=INT('01_数值调参'!Y29)),FALSE),'01_数值调参'!Y30=0,'01_数值调参'!Y31=0,IF(ISNUMBER('01_数值调参'!Y32),AND('01_数值调参'!Y32&lt;=0,'01_数值调参'!Y32=INT('01_数值调参'!Y32)),FALSE),IF(ISNUMBER('01_数值调参'!Y33),AND('01_数值调参'!Y33&lt;=0,'01_数值调参'!Y33=INT('01_数值调参'!Y33)),FALSE),'01_数值调参'!Y34=0,'01_数值调参'!Y35=0,'01_数值调参'!Y36=0,IF(ISNUMBER('01_数值调参'!Y37),AND('01_数值调参'!Y37&lt;=0,'01_数值调参'!Y37=INT('01_数值调参'!Y37)),FALSE),'01_数值调参'!Y38=1,'01_数值调参'!Y39=0,'01_数值调参'!Y40=0,'01_数值调参'!Y41=0,'01_数值调参'!Y42=0,IF(ISNUMBER('01_数值调参'!Y43),AND('01_数值调参'!Y43&lt;=0,'01_数值调参'!Y43=INT('01_数值调参'!Y43)),FALSE),'01_数值调参'!Y44=0,'01_数值调参'!Y45=0,'01_数值调参'!Y46=0,'01_数值调参'!Y47=0,'01_数值调参'!Y48=0,'01_数值调参'!Y49=0,'01_数值调参'!Y50=0,'01_数值调参'!Y51=0,'01_数值调参'!Y52=0,COUNTIF('01_数值调参'!Y18:Y52,"&lt;0")&gt;0)</x:f>
        <x:v>1</x:v>
      </x:c>
      <x:c r="Z87" s="9" t="b">
        <x:f>AND(ISNUMBER('01_数值调参'!Z9),'01_数值调参'!Z9&gt;0,IF(ISNUMBER('01_数值调参'!Z18),AND('01_数值调参'!Z18&lt;=0,'01_数值调参'!Z18=INT('01_数值调参'!Z18)),FALSE),IF(ISNUMBER('01_数值调参'!Z19),AND('01_数值调参'!Z19&lt;=0,'01_数值调参'!Z19=INT('01_数值调参'!Z19)),FALSE),IF(ISNUMBER('01_数值调参'!Z20),AND('01_数值调参'!Z20&lt;=0,'01_数值调参'!Z20=INT('01_数值调参'!Z20)),FALSE),IF(ISNUMBER('01_数值调参'!Z21),AND('01_数值调参'!Z21&lt;=0,'01_数值调参'!Z21=INT('01_数值调参'!Z21)),FALSE),IF(ISNUMBER('01_数值调参'!Z22),AND('01_数值调参'!Z22&lt;=0,'01_数值调参'!Z22=INT('01_数值调参'!Z22)),FALSE),IF(ISNUMBER('01_数值调参'!Z23),AND('01_数值调参'!Z23&lt;=0,'01_数值调参'!Z23=INT('01_数值调参'!Z23)),FALSE),'01_数值调参'!Z24=0,'01_数值调参'!Z25=0,'01_数值调参'!Z26=0,IF(ISNUMBER('01_数值调参'!Z27),AND('01_数值调参'!Z27&lt;=0,'01_数值调参'!Z27=INT('01_数值调参'!Z27)),FALSE),IF(ISNUMBER('01_数值调参'!Z28),AND('01_数值调参'!Z28&lt;=0,'01_数值调参'!Z28=INT('01_数值调参'!Z28)),FALSE),IF(ISNUMBER('01_数值调参'!Z29),AND('01_数值调参'!Z29&lt;=0,'01_数值调参'!Z29=INT('01_数值调参'!Z29)),FALSE),'01_数值调参'!Z30=0,'01_数值调参'!Z31=0,IF(ISNUMBER('01_数值调参'!Z32),AND('01_数值调参'!Z32&lt;=0,'01_数值调参'!Z32=INT('01_数值调参'!Z32)),FALSE),IF(ISNUMBER('01_数值调参'!Z33),AND('01_数值调参'!Z33&lt;=0,'01_数值调参'!Z33=INT('01_数值调参'!Z33)),FALSE),IF(ISNUMBER('01_数值调参'!Z34),AND('01_数值调参'!Z34&lt;=0,'01_数值调参'!Z34=INT('01_数值调参'!Z34)),FALSE),'01_数值调参'!Z35=0,'01_数值调参'!Z36=0,IF(ISNUMBER('01_数值调参'!Z37),AND('01_数值调参'!Z37&lt;=0,'01_数值调参'!Z37=INT('01_数值调参'!Z37)),FALSE),IF(ISNUMBER('01_数值调参'!Z38),AND('01_数值调参'!Z38&lt;=0,'01_数值调参'!Z38=INT('01_数值调参'!Z38)),FALSE),'01_数值调参'!Z39=1,'01_数值调参'!Z40=0,'01_数值调参'!Z41=0,'01_数值调参'!Z42=0,IF(ISNUMBER('01_数值调参'!Z43),AND('01_数值调参'!Z43&lt;=0,'01_数值调参'!Z43=INT('01_数值调参'!Z43)),FALSE),IF(ISNUMBER('01_数值调参'!Z44),AND('01_数值调参'!Z44&lt;=0,'01_数值调参'!Z44=INT('01_数值调参'!Z44)),FALSE),'01_数值调参'!Z45=0,'01_数值调参'!Z46=0,IF(ISNUMBER('01_数值调参'!Z47),AND('01_数值调参'!Z47&lt;=0,'01_数值调参'!Z47=INT('01_数值调参'!Z47)),FALSE),'01_数值调参'!Z48=0,'01_数值调参'!Z49=0,'01_数值调参'!Z50=0,'01_数值调参'!Z51=0,'01_数值调参'!Z52=0,COUNTIF('01_数值调参'!Z18:Z52,"&lt;0")&gt;0)</x:f>
        <x:v>1</x:v>
      </x:c>
      <x:c r="AA87" s="9" t="b">
        <x:f>AND(ISNUMBER('01_数值调参'!AA9),'01_数值调参'!AA9&gt;0,IF(ISNUMBER('01_数值调参'!AA18),AND('01_数值调参'!AA18&lt;=0,'01_数值调参'!AA18=INT('01_数值调参'!AA18)),FALSE),IF(ISNUMBER('01_数值调参'!AA19),AND('01_数值调参'!AA19&lt;=0,'01_数值调参'!AA19=INT('01_数值调参'!AA19)),FALSE),IF(ISNUMBER('01_数值调参'!AA20),AND('01_数值调参'!AA20&lt;=0,'01_数值调参'!AA20=INT('01_数值调参'!AA20)),FALSE),IF(ISNUMBER('01_数值调参'!AA21),AND('01_数值调参'!AA21&lt;=0,'01_数值调参'!AA21=INT('01_数值调参'!AA21)),FALSE),IF(ISNUMBER('01_数值调参'!AA22),AND('01_数值调参'!AA22&lt;=0,'01_数值调参'!AA22=INT('01_数值调参'!AA22)),FALSE),IF(ISNUMBER('01_数值调参'!AA23),AND('01_数值调参'!AA23&lt;=0,'01_数值调参'!AA23=INT('01_数值调参'!AA23)),FALSE),IF(ISNUMBER('01_数值调参'!AA24),AND('01_数值调参'!AA24&lt;=0,'01_数值调参'!AA24=INT('01_数值调参'!AA24)),FALSE),'01_数值调参'!AA25=0,'01_数值调参'!AA26=0,IF(ISNUMBER('01_数值调参'!AA27),AND('01_数值调参'!AA27&lt;=0,'01_数值调参'!AA27=INT('01_数值调参'!AA27)),FALSE),IF(ISNUMBER('01_数值调参'!AA28),AND('01_数值调参'!AA28&lt;=0,'01_数值调参'!AA28=INT('01_数值调参'!AA28)),FALSE),IF(ISNUMBER('01_数值调参'!AA29),AND('01_数值调参'!AA29&lt;=0,'01_数值调参'!AA29=INT('01_数值调参'!AA29)),FALSE),IF(ISNUMBER('01_数值调参'!AA30),AND('01_数值调参'!AA30&lt;=0,'01_数值调参'!AA30=INT('01_数值调参'!AA30)),FALSE),'01_数值调参'!AA31=0,IF(ISNUMBER('01_数值调参'!AA32),AND('01_数值调参'!AA32&lt;=0,'01_数值调参'!AA32=INT('01_数值调参'!AA32)),FALSE),IF(ISNUMBER('01_数值调参'!AA33),AND('01_数值调参'!AA33&lt;=0,'01_数值调参'!AA33=INT('01_数值调参'!AA33)),FALSE),IF(ISNUMBER('01_数值调参'!AA34),AND('01_数值调参'!AA34&lt;=0,'01_数值调参'!AA34=INT('01_数值调参'!AA34)),FALSE),IF(ISNUMBER('01_数值调参'!AA35),AND('01_数值调参'!AA35&lt;=0,'01_数值调参'!AA35=INT('01_数值调参'!AA35)),FALSE),'01_数值调参'!AA36=0,IF(ISNUMBER('01_数值调参'!AA37),AND('01_数值调参'!AA37&lt;=0,'01_数值调参'!AA37=INT('01_数值调参'!AA37)),FALSE),IF(ISNUMBER('01_数值调参'!AA38),AND('01_数值调参'!AA38&lt;=0,'01_数值调参'!AA38=INT('01_数值调参'!AA38)),FALSE),IF(ISNUMBER('01_数值调参'!AA39),AND('01_数值调参'!AA39&lt;=0,'01_数值调参'!AA39=INT('01_数值调参'!AA39)),FALSE),'01_数值调参'!AA40=1,'01_数值调参'!AA41=0,'01_数值调参'!AA42=0,IF(ISNUMBER('01_数值调参'!AA43),AND('01_数值调参'!AA43&lt;=0,'01_数值调参'!AA43=INT('01_数值调参'!AA43)),FALSE),IF(ISNUMBER('01_数值调参'!AA44),AND('01_数值调参'!AA44&lt;=0,'01_数值调参'!AA44=INT('01_数值调参'!AA44)),FALSE),IF(ISNUMBER('01_数值调参'!AA45),AND('01_数值调参'!AA45&lt;=0,'01_数值调参'!AA45=INT('01_数值调参'!AA45)),FALSE),'01_数值调参'!AA46=0,IF(ISNUMBER('01_数值调参'!AA47),AND('01_数值调参'!AA47&lt;=0,'01_数值调参'!AA47=INT('01_数值调参'!AA47)),FALSE),IF(ISNUMBER('01_数值调参'!AA48),AND('01_数值调参'!AA48&lt;=0,'01_数值调参'!AA48=INT('01_数值调参'!AA48)),FALSE),IF(ISNUMBER('01_数值调参'!AA49),AND('01_数值调参'!AA49&lt;=0,'01_数值调参'!AA49=INT('01_数值调参'!AA49)),FALSE),'01_数值调参'!AA50=0,'01_数值调参'!AA51=0,'01_数值调参'!AA52=0,COUNTIF('01_数值调参'!AA18:AA52,"&lt;0")&gt;0)</x:f>
        <x:v>1</x:v>
      </x:c>
      <x:c r="AB87" s="9" t="b">
        <x:f>AND(ISNUMBER('01_数值调参'!AB9),'01_数值调参'!AB9&gt;0,IF(ISNUMBER('01_数值调参'!AB18),AND('01_数值调参'!AB18&lt;=0,'01_数值调参'!AB18=INT('01_数值调参'!AB18)),FALSE),IF(ISNUMBER('01_数值调参'!AB19),AND('01_数值调参'!AB19&lt;=0,'01_数值调参'!AB19=INT('01_数值调参'!AB19)),FALSE),IF(ISNUMBER('01_数值调参'!AB20),AND('01_数值调参'!AB20&lt;=0,'01_数值调参'!AB20=INT('01_数值调参'!AB20)),FALSE),IF(ISNUMBER('01_数值调参'!AB21),AND('01_数值调参'!AB21&lt;=0,'01_数值调参'!AB21=INT('01_数值调参'!AB21)),FALSE),IF(ISNUMBER('01_数值调参'!AB22),AND('01_数值调参'!AB22&lt;=0,'01_数值调参'!AB22=INT('01_数值调参'!AB22)),FALSE),IF(ISNUMBER('01_数值调参'!AB23),AND('01_数值调参'!AB23&lt;=0,'01_数值调参'!AB23=INT('01_数值调参'!AB23)),FALSE),IF(ISNUMBER('01_数值调参'!AB24),AND('01_数值调参'!AB24&lt;=0,'01_数值调参'!AB24=INT('01_数值调参'!AB24)),FALSE),IF(ISNUMBER('01_数值调参'!AB25),AND('01_数值调参'!AB25&lt;=0,'01_数值调参'!AB25=INT('01_数值调参'!AB25)),FALSE),'01_数值调参'!AB26=0,IF(ISNUMBER('01_数值调参'!AB27),AND('01_数值调参'!AB27&lt;=0,'01_数值调参'!AB27=INT('01_数值调参'!AB27)),FALSE),IF(ISNUMBER('01_数值调参'!AB28),AND('01_数值调参'!AB28&lt;=0,'01_数值调参'!AB28=INT('01_数值调参'!AB28)),FALSE),IF(ISNUMBER('01_数值调参'!AB29),AND('01_数值调参'!AB29&lt;=0,'01_数值调参'!AB29=INT('01_数值调参'!AB29)),FALSE),IF(ISNUMBER('01_数值调参'!AB30),AND('01_数值调参'!AB30&lt;=0,'01_数值调参'!AB30=INT('01_数值调参'!AB30)),FALSE),'01_数值调参'!AB31=0,IF(ISNUMBER('01_数值调参'!AB32),AND('01_数值调参'!AB32&lt;=0,'01_数值调参'!AB32=INT('01_数值调参'!AB32)),FALSE),IF(ISNUMBER('01_数值调参'!AB33),AND('01_数值调参'!AB33&lt;=0,'01_数值调参'!AB33=INT('01_数值调参'!AB33)),FALSE),IF(ISNUMBER('01_数值调参'!AB34),AND('01_数值调参'!AB34&lt;=0,'01_数值调参'!AB34=INT('01_数值调参'!AB34)),FALSE),IF(ISNUMBER('01_数值调参'!AB35),AND('01_数值调参'!AB35&lt;=0,'01_数值调参'!AB35=INT('01_数值调参'!AB35)),FALSE),'01_数值调参'!AB36=0,IF(ISNUMBER('01_数值调参'!AB37),AND('01_数值调参'!AB37&lt;=0,'01_数值调参'!AB37=INT('01_数值调参'!AB37)),FALSE),IF(ISNUMBER('01_数值调参'!AB38),AND('01_数值调参'!AB38&lt;=0,'01_数值调参'!AB38=INT('01_数值调参'!AB38)),FALSE),IF(ISNUMBER('01_数值调参'!AB39),AND('01_数值调参'!AB39&lt;=0,'01_数值调参'!AB39=INT('01_数值调参'!AB39)),FALSE),IF(ISNUMBER('01_数值调参'!AB40),AND('01_数值调参'!AB40&lt;=0,'01_数值调参'!AB40=INT('01_数值调参'!AB40)),FALSE),'01_数值调参'!AB41=1,'01_数值调参'!AB42=0,IF(ISNUMBER('01_数值调参'!AB43),AND('01_数值调参'!AB43&lt;=0,'01_数值调参'!AB43=INT('01_数值调参'!AB43)),FALSE),IF(ISNUMBER('01_数值调参'!AB44),AND('01_数值调参'!AB44&lt;=0,'01_数值调参'!AB44=INT('01_数值调参'!AB44)),FALSE),IF(ISNUMBER('01_数值调参'!AB45),AND('01_数值调参'!AB45&lt;=0,'01_数值调参'!AB45=INT('01_数值调参'!AB45)),FALSE),IF(ISNUMBER('01_数值调参'!AB46),AND('01_数值调参'!AB46&lt;=0,'01_数值调参'!AB46=INT('01_数值调参'!AB46)),FALSE),IF(ISNUMBER('01_数值调参'!AB47),AND('01_数值调参'!AB47&lt;=0,'01_数值调参'!AB47=INT('01_数值调参'!AB47)),FALSE),IF(ISNUMBER('01_数值调参'!AB48),AND('01_数值调参'!AB48&lt;=0,'01_数值调参'!AB48=INT('01_数值调参'!AB48)),FALSE),IF(ISNUMBER('01_数值调参'!AB49),AND('01_数值调参'!AB49&lt;=0,'01_数值调参'!AB49=INT('01_数值调参'!AB49)),FALSE),IF(ISNUMBER('01_数值调参'!AB50),AND('01_数值调参'!AB50&lt;=0,'01_数值调参'!AB50=INT('01_数值调参'!AB50)),FALSE),'01_数值调参'!AB51=0,'01_数值调参'!AB52=0,COUNTIF('01_数值调参'!AB18:AB52,"&lt;0")&gt;0)</x:f>
        <x:v>1</x:v>
      </x:c>
      <x:c r="AC87" s="9" t="b">
        <x:f>AND(ISNUMBER('01_数值调参'!AC9),'01_数值调参'!AC9&gt;0,IF(ISNUMBER('01_数值调参'!AC18),AND('01_数值调参'!AC18&lt;=0,'01_数值调参'!AC18=INT('01_数值调参'!AC18)),FALSE),IF(ISNUMBER('01_数值调参'!AC19),AND('01_数值调参'!AC19&lt;=0,'01_数值调参'!AC19=INT('01_数值调参'!AC19)),FALSE),IF(ISNUMBER('01_数值调参'!AC20),AND('01_数值调参'!AC20&lt;=0,'01_数值调参'!AC20=INT('01_数值调参'!AC20)),FALSE),IF(ISNUMBER('01_数值调参'!AC21),AND('01_数值调参'!AC21&lt;=0,'01_数值调参'!AC21=INT('01_数值调参'!AC21)),FALSE),IF(ISNUMBER('01_数值调参'!AC22),AND('01_数值调参'!AC22&lt;=0,'01_数值调参'!AC22=INT('01_数值调参'!AC22)),FALSE),IF(ISNUMBER('01_数值调参'!AC23),AND('01_数值调参'!AC23&lt;=0,'01_数值调参'!AC23=INT('01_数值调参'!AC23)),FALSE),IF(ISNUMBER('01_数值调参'!AC24),AND('01_数值调参'!AC24&lt;=0,'01_数值调参'!AC24=INT('01_数值调参'!AC24)),FALSE),IF(ISNUMBER('01_数值调参'!AC25),AND('01_数值调参'!AC25&lt;=0,'01_数值调参'!AC25=INT('01_数值调参'!AC25)),FALSE),IF(ISNUMBER('01_数值调参'!AC26),AND('01_数值调参'!AC26&lt;=0,'01_数值调参'!AC26=INT('01_数值调参'!AC26)),FALSE),IF(ISNUMBER('01_数值调参'!AC27),AND('01_数值调参'!AC27&lt;=0,'01_数值调参'!AC27=INT('01_数值调参'!AC27)),FALSE),IF(ISNUMBER('01_数值调参'!AC28),AND('01_数值调参'!AC28&lt;=0,'01_数值调参'!AC28=INT('01_数值调参'!AC28)),FALSE),IF(ISNUMBER('01_数值调参'!AC29),AND('01_数值调参'!AC29&lt;=0,'01_数值调参'!AC29=INT('01_数值调参'!AC29)),FALSE),IF(ISNUMBER('01_数值调参'!AC30),AND('01_数值调参'!AC30&lt;=0,'01_数值调参'!AC30=INT('01_数值调参'!AC30)),FALSE),IF(ISNUMBER('01_数值调参'!AC31),AND('01_数值调参'!AC31&lt;=0,'01_数值调参'!AC31=INT('01_数值调参'!AC31)),FALSE),IF(ISNUMBER('01_数值调参'!AC32),AND('01_数值调参'!AC32&lt;=0,'01_数值调参'!AC32=INT('01_数值调参'!AC32)),FALSE),IF(ISNUMBER('01_数值调参'!AC33),AND('01_数值调参'!AC33&lt;=0,'01_数值调参'!AC33=INT('01_数值调参'!AC33)),FALSE),IF(ISNUMBER('01_数值调参'!AC34),AND('01_数值调参'!AC34&lt;=0,'01_数值调参'!AC34=INT('01_数值调参'!AC34)),FALSE),IF(ISNUMBER('01_数值调参'!AC35),AND('01_数值调参'!AC35&lt;=0,'01_数值调参'!AC35=INT('01_数值调参'!AC35)),FALSE),IF(ISNUMBER('01_数值调参'!AC36),AND('01_数值调参'!AC36&lt;=0,'01_数值调参'!AC36=INT('01_数值调参'!AC36)),FALSE),IF(ISNUMBER('01_数值调参'!AC37),AND('01_数值调参'!AC37&lt;=0,'01_数值调参'!AC37=INT('01_数值调参'!AC37)),FALSE),IF(ISNUMBER('01_数值调参'!AC38),AND('01_数值调参'!AC38&lt;=0,'01_数值调参'!AC38=INT('01_数值调参'!AC38)),FALSE),IF(ISNUMBER('01_数值调参'!AC39),AND('01_数值调参'!AC39&lt;=0,'01_数值调参'!AC39=INT('01_数值调参'!AC39)),FALSE),IF(ISNUMBER('01_数值调参'!AC40),AND('01_数值调参'!AC40&lt;=0,'01_数值调参'!AC40=INT('01_数值调参'!AC40)),FALSE),IF(ISNUMBER('01_数值调参'!AC41),AND('01_数值调参'!AC41&lt;=0,'01_数值调参'!AC41=INT('01_数值调参'!AC41)),FALSE),'01_数值调参'!AC42=1,IF(ISNUMBER('01_数值调参'!AC43),AND('01_数值调参'!AC43&lt;=0,'01_数值调参'!AC43=INT('01_数值调参'!AC43)),FALSE),IF(ISNUMBER('01_数值调参'!AC44),AND('01_数值调参'!AC44&lt;=0,'01_数值调参'!AC44=INT('01_数值调参'!AC44)),FALSE),IF(ISNUMBER('01_数值调参'!AC45),AND('01_数值调参'!AC45&lt;=0,'01_数值调参'!AC45=INT('01_数值调参'!AC45)),FALSE),IF(ISNUMBER('01_数值调参'!AC46),AND('01_数值调参'!AC46&lt;=0,'01_数值调参'!AC46=INT('01_数值调参'!AC46)),FALSE),IF(ISNUMBER('01_数值调参'!AC47),AND('01_数值调参'!AC47&lt;=0,'01_数值调参'!AC47=INT('01_数值调参'!AC47)),FALSE),IF(ISNUMBER('01_数值调参'!AC48),AND('01_数值调参'!AC48&lt;=0,'01_数值调参'!AC48=INT('01_数值调参'!AC48)),FALSE),IF(ISNUMBER('01_数值调参'!AC49),AND('01_数值调参'!AC49&lt;=0,'01_数值调参'!AC49=INT('01_数值调参'!AC49)),FALSE),IF(ISNUMBER('01_数值调参'!AC50),AND('01_数值调参'!AC50&lt;=0,'01_数值调参'!AC50=INT('01_数值调参'!AC50)),FALSE),IF(ISNUMBER('01_数值调参'!AC51),AND('01_数值调参'!AC51&lt;=0,'01_数值调参'!AC51=INT('01_数值调参'!AC51)),FALSE),'01_数值调参'!AC52=0,COUNTIF('01_数值调参'!AC18:AC52,"&lt;0")&gt;0)</x:f>
        <x:v>1</x:v>
      </x:c>
      <x:c r="AD87" s="9" t="b">
        <x:f>AND(ISNUMBER('01_数值调参'!AD9),'01_数值调参'!AD9&gt;0,IF(ISNUMBER('01_数值调参'!AD18),AND('01_数值调参'!AD18&lt;=0,'01_数值调参'!AD18=INT('01_数值调参'!AD18)),FALSE),IF(ISNUMBER('01_数值调参'!AD19),AND('01_数值调参'!AD19&lt;=0,'01_数值调参'!AD19=INT('01_数值调参'!AD19)),FALSE),IF(ISNUMBER('01_数值调参'!AD20),AND('01_数值调参'!AD20&lt;=0,'01_数值调参'!AD20=INT('01_数值调参'!AD20)),FALSE),IF(ISNUMBER('01_数值调参'!AD21),AND('01_数值调参'!AD21&lt;=0,'01_数值调参'!AD21=INT('01_数值调参'!AD21)),FALSE),IF(ISNUMBER('01_数值调参'!AD22),AND('01_数值调参'!AD22&lt;=0,'01_数值调参'!AD22=INT('01_数值调参'!AD22)),FALSE),'01_数值调参'!AD23=0,'01_数值调参'!AD24=0,'01_数值调参'!AD25=0,'01_数值调参'!AD26=0,IF(ISNUMBER('01_数值调参'!AD27),AND('01_数值调参'!AD27&lt;=0,'01_数值调参'!AD27=INT('01_数值调参'!AD27)),FALSE),IF(ISNUMBER('01_数值调参'!AD28),AND('01_数值调参'!AD28&lt;=0,'01_数值调参'!AD28=INT('01_数值调参'!AD28)),FALSE),IF(ISNUMBER('01_数值调参'!AD29),AND('01_数值调参'!AD29&lt;=0,'01_数值调参'!AD29=INT('01_数值调参'!AD29)),FALSE),'01_数值调参'!AD30=0,'01_数值调参'!AD31=0,IF(ISNUMBER('01_数值调参'!AD32),AND('01_数值调参'!AD32&lt;=0,'01_数值调参'!AD32=INT('01_数值调参'!AD32)),FALSE),IF(ISNUMBER('01_数值调参'!AD33),AND('01_数值调参'!AD33&lt;=0,'01_数值调参'!AD33=INT('01_数值调参'!AD33)),FALSE),'01_数值调参'!AD34=0,'01_数值调参'!AD35=0,'01_数值调参'!AD36=0,IF(ISNUMBER('01_数值调参'!AD37),AND('01_数值调参'!AD37&lt;=0,'01_数值调参'!AD37=INT('01_数值调参'!AD37)),FALSE),'01_数值调参'!AD38=0,'01_数值调参'!AD39=0,'01_数值调参'!AD40=0,'01_数值调参'!AD41=0,'01_数值调参'!AD42=0,'01_数值调参'!AD43=1,'01_数值调参'!AD44=0,'01_数值调参'!AD45=0,'01_数值调参'!AD46=0,'01_数值调参'!AD47=0,'01_数值调参'!AD48=0,'01_数值调参'!AD49=0,'01_数值调参'!AD50=0,'01_数值调参'!AD51=0,'01_数值调参'!AD52=0,COUNTIF('01_数值调参'!AD18:AD52,"&lt;0")&gt;0)</x:f>
        <x:v>1</x:v>
      </x:c>
      <x:c r="AE87" s="9" t="b">
        <x:f>AND(ISNUMBER('01_数值调参'!AE9),'01_数值调参'!AE9&gt;0,IF(ISNUMBER('01_数值调参'!AE18),AND('01_数值调参'!AE18&lt;=0,'01_数值调参'!AE18=INT('01_数值调参'!AE18)),FALSE),IF(ISNUMBER('01_数值调参'!AE19),AND('01_数值调参'!AE19&lt;=0,'01_数值调参'!AE19=INT('01_数值调参'!AE19)),FALSE),IF(ISNUMBER('01_数值调参'!AE20),AND('01_数值调参'!AE20&lt;=0,'01_数值调参'!AE20=INT('01_数值调参'!AE20)),FALSE),IF(ISNUMBER('01_数值调参'!AE21),AND('01_数值调参'!AE21&lt;=0,'01_数值调参'!AE21=INT('01_数值调参'!AE21)),FALSE),IF(ISNUMBER('01_数值调参'!AE22),AND('01_数值调参'!AE22&lt;=0,'01_数值调参'!AE22=INT('01_数值调参'!AE22)),FALSE),IF(ISNUMBER('01_数值调参'!AE23),AND('01_数值调参'!AE23&lt;=0,'01_数值调参'!AE23=INT('01_数值调参'!AE23)),FALSE),'01_数值调参'!AE24=0,'01_数值调参'!AE25=0,'01_数值调参'!AE26=0,IF(ISNUMBER('01_数值调参'!AE27),AND('01_数值调参'!AE27&lt;=0,'01_数值调参'!AE27=INT('01_数值调参'!AE27)),FALSE),IF(ISNUMBER('01_数值调参'!AE28),AND('01_数值调参'!AE28&lt;=0,'01_数值调参'!AE28=INT('01_数值调参'!AE28)),FALSE),IF(ISNUMBER('01_数值调参'!AE29),AND('01_数值调参'!AE29&lt;=0,'01_数值调参'!AE29=INT('01_数值调参'!AE29)),FALSE),'01_数值调参'!AE30=0,'01_数值调参'!AE31=0,IF(ISNUMBER('01_数值调参'!AE32),AND('01_数值调参'!AE32&lt;=0,'01_数值调参'!AE32=INT('01_数值调参'!AE32)),FALSE),IF(ISNUMBER('01_数值调参'!AE33),AND('01_数值调参'!AE33&lt;=0,'01_数值调参'!AE33=INT('01_数值调参'!AE33)),FALSE),'01_数值调参'!AE34=0,'01_数值调参'!AE35=0,'01_数值调参'!AE36=0,IF(ISNUMBER('01_数值调参'!AE37),AND('01_数值调参'!AE37&lt;=0,'01_数值调参'!AE37=INT('01_数值调参'!AE37)),FALSE),IF(ISNUMBER('01_数值调参'!AE38),AND('01_数值调参'!AE38&lt;=0,'01_数值调参'!AE38=INT('01_数值调参'!AE38)),FALSE),'01_数值调参'!AE39=0,'01_数值调参'!AE40=0,'01_数值调参'!AE41=0,'01_数值调参'!AE42=0,IF(ISNUMBER('01_数值调参'!AE43),AND('01_数值调参'!AE43&lt;=0,'01_数值调参'!AE43=INT('01_数值调参'!AE43)),FALSE),'01_数值调参'!AE44=1,'01_数值调参'!AE45=0,'01_数值调参'!AE46=0,IF(ISNUMBER('01_数值调参'!AE47),AND('01_数值调参'!AE47&lt;=0,'01_数值调参'!AE47=INT('01_数值调参'!AE47)),FALSE),'01_数值调参'!AE48=0,'01_数值调参'!AE49=0,'01_数值调参'!AE50=0,'01_数值调参'!AE51=0,'01_数值调参'!AE52=0,COUNTIF('01_数值调参'!AE18:AE52,"&lt;0")&gt;0)</x:f>
        <x:v>1</x:v>
      </x:c>
      <x:c r="AF87" s="9" t="b">
        <x:f>AND(ISNUMBER('01_数值调参'!AF9),'01_数值调参'!AF9&gt;0,IF(ISNUMBER('01_数值调参'!AF18),AND('01_数值调参'!AF18&lt;=0,'01_数值调参'!AF18=INT('01_数值调参'!AF18)),FALSE),IF(ISNUMBER('01_数值调参'!AF19),AND('01_数值调参'!AF19&lt;=0,'01_数值调参'!AF19=INT('01_数值调参'!AF19)),FALSE),IF(ISNUMBER('01_数值调参'!AF20),AND('01_数值调参'!AF20&lt;=0,'01_数值调参'!AF20=INT('01_数值调参'!AF20)),FALSE),IF(ISNUMBER('01_数值调参'!AF21),AND('01_数值调参'!AF21&lt;=0,'01_数值调参'!AF21=INT('01_数值调参'!AF21)),FALSE),IF(ISNUMBER('01_数值调参'!AF22),AND('01_数值调参'!AF22&lt;=0,'01_数值调参'!AF22=INT('01_数值调参'!AF22)),FALSE),IF(ISNUMBER('01_数值调参'!AF23),AND('01_数值调参'!AF23&lt;=0,'01_数值调参'!AF23=INT('01_数值调参'!AF23)),FALSE),IF(ISNUMBER('01_数值调参'!AF24),AND('01_数值调参'!AF24&lt;=0,'01_数值调参'!AF24=INT('01_数值调参'!AF24)),FALSE),'01_数值调参'!AF25=0,'01_数值调参'!AF26=0,IF(ISNUMBER('01_数值调参'!AF27),AND('01_数值调参'!AF27&lt;=0,'01_数值调参'!AF27=INT('01_数值调参'!AF27)),FALSE),IF(ISNUMBER('01_数值调参'!AF28),AND('01_数值调参'!AF28&lt;=0,'01_数值调参'!AF28=INT('01_数值调参'!AF28)),FALSE),IF(ISNUMBER('01_数值调参'!AF29),AND('01_数值调参'!AF29&lt;=0,'01_数值调参'!AF29=INT('01_数值调参'!AF29)),FALSE),IF(ISNUMBER('01_数值调参'!AF30),AND('01_数值调参'!AF30&lt;=0,'01_数值调参'!AF30=INT('01_数值调参'!AF30)),FALSE),'01_数值调参'!AF31=0,IF(ISNUMBER('01_数值调参'!AF32),AND('01_数值调参'!AF32&lt;=0,'01_数值调参'!AF32=INT('01_数值调参'!AF32)),FALSE),IF(ISNUMBER('01_数值调参'!AF33),AND('01_数值调参'!AF33&lt;=0,'01_数值调参'!AF33=INT('01_数值调参'!AF33)),FALSE),IF(ISNUMBER('01_数值调参'!AF34),AND('01_数值调参'!AF34&lt;=0,'01_数值调参'!AF34=INT('01_数值调参'!AF34)),FALSE),'01_数值调参'!AF35=0,'01_数值调参'!AF36=0,IF(ISNUMBER('01_数值调参'!AF37),AND('01_数值调参'!AF37&lt;=0,'01_数值调参'!AF37=INT('01_数值调参'!AF37)),FALSE),IF(ISNUMBER('01_数值调参'!AF38),AND('01_数值调参'!AF38&lt;=0,'01_数值调参'!AF38=INT('01_数值调参'!AF38)),FALSE),IF(ISNUMBER('01_数值调参'!AF39),AND('01_数值调参'!AF39&lt;=0,'01_数值调参'!AF39=INT('01_数值调参'!AF39)),FALSE),'01_数值调参'!AF40=0,'01_数值调参'!AF41=0,'01_数值调参'!AF42=0,IF(ISNUMBER('01_数值调参'!AF43),AND('01_数值调参'!AF43&lt;=0,'01_数值调参'!AF43=INT('01_数值调参'!AF43)),FALSE),IF(ISNUMBER('01_数值调参'!AF44),AND('01_数值调参'!AF44&lt;=0,'01_数值调参'!AF44=INT('01_数值调参'!AF44)),FALSE),'01_数值调参'!AF45=1,'01_数值调参'!AF46=0,IF(ISNUMBER('01_数值调参'!AF47),AND('01_数值调参'!AF47&lt;=0,'01_数值调参'!AF47=INT('01_数值调参'!AF47)),FALSE),IF(ISNUMBER('01_数值调参'!AF48),AND('01_数值调参'!AF48&lt;=0,'01_数值调参'!AF48=INT('01_数值调参'!AF48)),FALSE),'01_数值调参'!AF49=0,'01_数值调参'!AF50=0,'01_数值调参'!AF51=0,'01_数值调参'!AF52=0,COUNTIF('01_数值调参'!AF18:AF52,"&lt;0")&gt;0)</x:f>
        <x:v>1</x:v>
      </x:c>
      <x:c r="AG87" s="9" t="b">
        <x:f>AND(ISNUMBER('01_数值调参'!AG9),'01_数值调参'!AG9&gt;0,IF(ISNUMBER('01_数值调参'!AG18),AND('01_数值调参'!AG18&lt;=0,'01_数值调参'!AG18=INT('01_数值调参'!AG18)),FALSE),IF(ISNUMBER('01_数值调参'!AG19),AND('01_数值调参'!AG19&lt;=0,'01_数值调参'!AG19=INT('01_数值调参'!AG19)),FALSE),IF(ISNUMBER('01_数值调参'!AG20),AND('01_数值调参'!AG20&lt;=0,'01_数值调参'!AG20=INT('01_数值调参'!AG20)),FALSE),IF(ISNUMBER('01_数值调参'!AG21),AND('01_数值调参'!AG21&lt;=0,'01_数值调参'!AG21=INT('01_数值调参'!AG21)),FALSE),IF(ISNUMBER('01_数值调参'!AG22),AND('01_数值调参'!AG22&lt;=0,'01_数值调参'!AG22=INT('01_数值调参'!AG22)),FALSE),IF(ISNUMBER('01_数值调参'!AG23),AND('01_数值调参'!AG23&lt;=0,'01_数值调参'!AG23=INT('01_数值调参'!AG23)),FALSE),IF(ISNUMBER('01_数值调参'!AG24),AND('01_数值调参'!AG24&lt;=0,'01_数值调参'!AG24=INT('01_数值调参'!AG24)),FALSE),IF(ISNUMBER('01_数值调参'!AG25),AND('01_数值调参'!AG25&lt;=0,'01_数值调参'!AG25=INT('01_数值调参'!AG25)),FALSE),'01_数值调参'!AG26=0,IF(ISNUMBER('01_数值调参'!AG27),AND('01_数值调参'!AG27&lt;=0,'01_数值调参'!AG27=INT('01_数值调参'!AG27)),FALSE),IF(ISNUMBER('01_数值调参'!AG28),AND('01_数值调参'!AG28&lt;=0,'01_数值调参'!AG28=INT('01_数值调参'!AG28)),FALSE),IF(ISNUMBER('01_数值调参'!AG29),AND('01_数值调参'!AG29&lt;=0,'01_数值调参'!AG29=INT('01_数值调参'!AG29)),FALSE),IF(ISNUMBER('01_数值调参'!AG30),AND('01_数值调参'!AG30&lt;=0,'01_数值调参'!AG30=INT('01_数值调参'!AG30)),FALSE),'01_数值调参'!AG31=0,IF(ISNUMBER('01_数值调参'!AG32),AND('01_数值调参'!AG32&lt;=0,'01_数值调参'!AG32=INT('01_数值调参'!AG32)),FALSE),IF(ISNUMBER('01_数值调参'!AG33),AND('01_数值调参'!AG33&lt;=0,'01_数值调参'!AG33=INT('01_数值调参'!AG33)),FALSE),IF(ISNUMBER('01_数值调参'!AG34),AND('01_数值调参'!AG34&lt;=0,'01_数值调参'!AG34=INT('01_数值调参'!AG34)),FALSE),IF(ISNUMBER('01_数值调参'!AG35),AND('01_数值调参'!AG35&lt;=0,'01_数值调参'!AG35=INT('01_数值调参'!AG35)),FALSE),'01_数值调参'!AG36=0,IF(ISNUMBER('01_数值调参'!AG37),AND('01_数值调参'!AG37&lt;=0,'01_数值调参'!AG37=INT('01_数值调参'!AG37)),FALSE),IF(ISNUMBER('01_数值调参'!AG38),AND('01_数值调参'!AG38&lt;=0,'01_数值调参'!AG38=INT('01_数值调参'!AG38)),FALSE),IF(ISNUMBER('01_数值调参'!AG39),AND('01_数值调参'!AG39&lt;=0,'01_数值调参'!AG39=INT('01_数值调参'!AG39)),FALSE),IF(ISNUMBER('01_数值调参'!AG40),AND('01_数值调参'!AG40&lt;=0,'01_数值调参'!AG40=INT('01_数值调参'!AG40)),FALSE),'01_数值调参'!AG41=0,'01_数值调参'!AG42=0,IF(ISNUMBER('01_数值调参'!AG43),AND('01_数值调参'!AG43&lt;=0,'01_数值调参'!AG43=INT('01_数值调参'!AG43)),FALSE),IF(ISNUMBER('01_数值调参'!AG44),AND('01_数值调参'!AG44&lt;=0,'01_数值调参'!AG44=INT('01_数值调参'!AG44)),FALSE),IF(ISNUMBER('01_数值调参'!AG45),AND('01_数值调参'!AG45&lt;=0,'01_数值调参'!AG45=INT('01_数值调参'!AG45)),FALSE),'01_数值调参'!AG46=1,IF(ISNUMBER('01_数值调参'!AG47),AND('01_数值调参'!AG47&lt;=0,'01_数值调参'!AG47=INT('01_数值调参'!AG47)),FALSE),IF(ISNUMBER('01_数值调参'!AG48),AND('01_数值调参'!AG48&lt;=0,'01_数值调参'!AG48=INT('01_数值调参'!AG48)),FALSE),IF(ISNUMBER('01_数值调参'!AG49),AND('01_数值调参'!AG49&lt;=0,'01_数值调参'!AG49=INT('01_数值调参'!AG49)),FALSE),IF(ISNUMBER('01_数值调参'!AG50),AND('01_数值调参'!AG50&lt;=0,'01_数值调参'!AG50=INT('01_数值调参'!AG50)),FALSE),'01_数值调参'!AG51=0,'01_数值调参'!AG52=0,COUNTIF('01_数值调参'!AG18:AG52,"&lt;0")&gt;0)</x:f>
        <x:v>1</x:v>
      </x:c>
      <x:c r="AH87" s="9" t="b">
        <x:f>AND(ISNUMBER('01_数值调参'!AH9),'01_数值调参'!AH9&gt;0,IF(ISNUMBER('01_数值调参'!AH18),AND('01_数值调参'!AH18&lt;=0,'01_数值调参'!AH18=INT('01_数值调参'!AH18)),FALSE),IF(ISNUMBER('01_数值调参'!AH19),AND('01_数值调参'!AH19&lt;=0,'01_数值调参'!AH19=INT('01_数值调参'!AH19)),FALSE),IF(ISNUMBER('01_数值调参'!AH20),AND('01_数值调参'!AH20&lt;=0,'01_数值调参'!AH20=INT('01_数值调参'!AH20)),FALSE),IF(ISNUMBER('01_数值调参'!AH21),AND('01_数值调参'!AH21&lt;=0,'01_数值调参'!AH21=INT('01_数值调参'!AH21)),FALSE),IF(ISNUMBER('01_数值调参'!AH22),AND('01_数值调参'!AH22&lt;=0,'01_数值调参'!AH22=INT('01_数值调参'!AH22)),FALSE),IF(ISNUMBER('01_数值调参'!AH23),AND('01_数值调参'!AH23&lt;=0,'01_数值调参'!AH23=INT('01_数值调参'!AH23)),FALSE),'01_数值调参'!AH24=0,'01_数值调参'!AH25=0,'01_数值调参'!AH26=0,IF(ISNUMBER('01_数值调参'!AH27),AND('01_数值调参'!AH27&lt;=0,'01_数值调参'!AH27=INT('01_数值调参'!AH27)),FALSE),IF(ISNUMBER('01_数值调参'!AH28),AND('01_数值调参'!AH28&lt;=0,'01_数值调参'!AH28=INT('01_数值调参'!AH28)),FALSE),IF(ISNUMBER('01_数值调参'!AH29),AND('01_数值调参'!AH29&lt;=0,'01_数值调参'!AH29=INT('01_数值调参'!AH29)),FALSE),'01_数值调参'!AH30=0,'01_数值调参'!AH31=0,IF(ISNUMBER('01_数值调参'!AH32),AND('01_数值调参'!AH32&lt;=0,'01_数值调参'!AH32=INT('01_数值调参'!AH32)),FALSE),IF(ISNUMBER('01_数值调参'!AH33),AND('01_数值调参'!AH33&lt;=0,'01_数值调参'!AH33=INT('01_数值调参'!AH33)),FALSE),'01_数值调参'!AH34=0,'01_数值调参'!AH35=0,'01_数值调参'!AH36=0,IF(ISNUMBER('01_数值调参'!AH37),AND('01_数值调参'!AH37&lt;=0,'01_数值调参'!AH37=INT('01_数值调参'!AH37)),FALSE),IF(ISNUMBER('01_数值调参'!AH38),AND('01_数值调参'!AH38&lt;=0,'01_数值调参'!AH38=INT('01_数值调参'!AH38)),FALSE),'01_数值调参'!AH39=0,'01_数值调参'!AH40=0,'01_数值调参'!AH41=0,'01_数值调参'!AH42=0,IF(ISNUMBER('01_数值调参'!AH43),AND('01_数值调参'!AH43&lt;=0,'01_数值调参'!AH43=INT('01_数值调参'!AH43)),FALSE),IF(ISNUMBER('01_数值调参'!AH44),AND('01_数值调参'!AH44&lt;=0,'01_数值调参'!AH44=INT('01_数值调参'!AH44)),FALSE),'01_数值调参'!AH45=0,'01_数值调参'!AH46=0,'01_数值调参'!AH47=1,'01_数值调参'!AH48=0,'01_数值调参'!AH49=0,'01_数值调参'!AH50=0,'01_数值调参'!AH51=0,'01_数值调参'!AH52=0,COUNTIF('01_数值调参'!AH18:AH52,"&lt;0")&gt;0)</x:f>
        <x:v>1</x:v>
      </x:c>
      <x:c r="AI87" s="9" t="b">
        <x:f>AND(ISNUMBER('01_数值调参'!AI9),'01_数值调参'!AI9&gt;0,IF(ISNUMBER('01_数值调参'!AI18),AND('01_数值调参'!AI18&lt;=0,'01_数值调参'!AI18=INT('01_数值调参'!AI18)),FALSE),IF(ISNUMBER('01_数值调参'!AI19),AND('01_数值调参'!AI19&lt;=0,'01_数值调参'!AI19=INT('01_数值调参'!AI19)),FALSE),IF(ISNUMBER('01_数值调参'!AI20),AND('01_数值调参'!AI20&lt;=0,'01_数值调参'!AI20=INT('01_数值调参'!AI20)),FALSE),IF(ISNUMBER('01_数值调参'!AI21),AND('01_数值调参'!AI21&lt;=0,'01_数值调参'!AI21=INT('01_数值调参'!AI21)),FALSE),IF(ISNUMBER('01_数值调参'!AI22),AND('01_数值调参'!AI22&lt;=0,'01_数值调参'!AI22=INT('01_数值调参'!AI22)),FALSE),IF(ISNUMBER('01_数值调参'!AI23),AND('01_数值调参'!AI23&lt;=0,'01_数值调参'!AI23=INT('01_数值调参'!AI23)),FALSE),'01_数值调参'!AI24=0,'01_数值调参'!AI25=0,'01_数值调参'!AI26=0,IF(ISNUMBER('01_数值调参'!AI27),AND('01_数值调参'!AI27&lt;=0,'01_数值调参'!AI27=INT('01_数值调参'!AI27)),FALSE),IF(ISNUMBER('01_数值调参'!AI28),AND('01_数值调参'!AI28&lt;=0,'01_数值调参'!AI28=INT('01_数值调参'!AI28)),FALSE),IF(ISNUMBER('01_数值调参'!AI29),AND('01_数值调参'!AI29&lt;=0,'01_数值调参'!AI29=INT('01_数值调参'!AI29)),FALSE),'01_数值调参'!AI30=0,'01_数值调参'!AI31=0,IF(ISNUMBER('01_数值调参'!AI32),AND('01_数值调参'!AI32&lt;=0,'01_数值调参'!AI32=INT('01_数值调参'!AI32)),FALSE),IF(ISNUMBER('01_数值调参'!AI33),AND('01_数值调参'!AI33&lt;=0,'01_数值调参'!AI33=INT('01_数值调参'!AI33)),FALSE),IF(ISNUMBER('01_数值调参'!AI34),AND('01_数值调参'!AI34&lt;=0,'01_数值调参'!AI34=INT('01_数值调参'!AI34)),FALSE),'01_数值调参'!AI35=0,'01_数值调参'!AI36=0,IF(ISNUMBER('01_数值调参'!AI37),AND('01_数值调参'!AI37&lt;=0,'01_数值调参'!AI37=INT('01_数值调参'!AI37)),FALSE),IF(ISNUMBER('01_数值调参'!AI38),AND('01_数值调参'!AI38&lt;=0,'01_数值调参'!AI38=INT('01_数值调参'!AI38)),FALSE),IF(ISNUMBER('01_数值调参'!AI39),AND('01_数值调参'!AI39&lt;=0,'01_数值调参'!AI39=INT('01_数值调参'!AI39)),FALSE),'01_数值调参'!AI40=0,'01_数值调参'!AI41=0,'01_数值调参'!AI42=0,IF(ISNUMBER('01_数值调参'!AI43),AND('01_数值调参'!AI43&lt;=0,'01_数值调参'!AI43=INT('01_数值调参'!AI43)),FALSE),IF(ISNUMBER('01_数值调参'!AI44),AND('01_数值调参'!AI44&lt;=0,'01_数值调参'!AI44=INT('01_数值调参'!AI44)),FALSE),'01_数值调参'!AI45=0,'01_数值调参'!AI46=0,IF(ISNUMBER('01_数值调参'!AI47),AND('01_数值调参'!AI47&lt;=0,'01_数值调参'!AI47=INT('01_数值调参'!AI47)),FALSE),'01_数值调参'!AI48=1,'01_数值调参'!AI49=0,'01_数值调参'!AI50=0,'01_数值调参'!AI51=0,'01_数值调参'!AI52=0,COUNTIF('01_数值调参'!AI18:AI52,"&lt;0")&gt;0)</x:f>
        <x:v>1</x:v>
      </x:c>
      <x:c r="AJ87" s="9" t="b">
        <x:f>AND(ISNUMBER('01_数值调参'!AJ9),'01_数值调参'!AJ9&gt;0,IF(ISNUMBER('01_数值调参'!AJ18),AND('01_数值调参'!AJ18&lt;=0,'01_数值调参'!AJ18=INT('01_数值调参'!AJ18)),FALSE),IF(ISNUMBER('01_数值调参'!AJ19),AND('01_数值调参'!AJ19&lt;=0,'01_数值调参'!AJ19=INT('01_数值调参'!AJ19)),FALSE),IF(ISNUMBER('01_数值调参'!AJ20),AND('01_数值调参'!AJ20&lt;=0,'01_数值调参'!AJ20=INT('01_数值调参'!AJ20)),FALSE),IF(ISNUMBER('01_数值调参'!AJ21),AND('01_数值调参'!AJ21&lt;=0,'01_数值调参'!AJ21=INT('01_数值调参'!AJ21)),FALSE),IF(ISNUMBER('01_数值调参'!AJ22),AND('01_数值调参'!AJ22&lt;=0,'01_数值调参'!AJ22=INT('01_数值调参'!AJ22)),FALSE),IF(ISNUMBER('01_数值调参'!AJ23),AND('01_数值调参'!AJ23&lt;=0,'01_数值调参'!AJ23=INT('01_数值调参'!AJ23)),FALSE),IF(ISNUMBER('01_数值调参'!AJ24),AND('01_数值调参'!AJ24&lt;=0,'01_数值调参'!AJ24=INT('01_数值调参'!AJ24)),FALSE),'01_数值调参'!AJ25=0,'01_数值调参'!AJ26=0,IF(ISNUMBER('01_数值调参'!AJ27),AND('01_数值调参'!AJ27&lt;=0,'01_数值调参'!AJ27=INT('01_数值调参'!AJ27)),FALSE),IF(ISNUMBER('01_数值调参'!AJ28),AND('01_数值调参'!AJ28&lt;=0,'01_数值调参'!AJ28=INT('01_数值调参'!AJ28)),FALSE),IF(ISNUMBER('01_数值调参'!AJ29),AND('01_数值调参'!AJ29&lt;=0,'01_数值调参'!AJ29=INT('01_数值调参'!AJ29)),FALSE),IF(ISNUMBER('01_数值调参'!AJ30),AND('01_数值调参'!AJ30&lt;=0,'01_数值调参'!AJ30=INT('01_数值调参'!AJ30)),FALSE),'01_数值调参'!AJ31=0,IF(ISNUMBER('01_数值调参'!AJ32),AND('01_数值调参'!AJ32&lt;=0,'01_数值调参'!AJ32=INT('01_数值调参'!AJ32)),FALSE),IF(ISNUMBER('01_数值调参'!AJ33),AND('01_数值调参'!AJ33&lt;=0,'01_数值调参'!AJ33=INT('01_数值调参'!AJ33)),FALSE),IF(ISNUMBER('01_数值调参'!AJ34),AND('01_数值调参'!AJ34&lt;=0,'01_数值调参'!AJ34=INT('01_数值调参'!AJ34)),FALSE),'01_数值调参'!AJ35=0,'01_数值调参'!AJ36=0,IF(ISNUMBER('01_数值调参'!AJ37),AND('01_数值调参'!AJ37&lt;=0,'01_数值调参'!AJ37=INT('01_数值调参'!AJ37)),FALSE),IF(ISNUMBER('01_数值调参'!AJ38),AND('01_数值调参'!AJ38&lt;=0,'01_数值调参'!AJ38=INT('01_数值调参'!AJ38)),FALSE),IF(ISNUMBER('01_数值调参'!AJ39),AND('01_数值调参'!AJ39&lt;=0,'01_数值调参'!AJ39=INT('01_数值调参'!AJ39)),FALSE),'01_数值调参'!AJ40=0,'01_数值调参'!AJ41=0,'01_数值调参'!AJ42=0,IF(ISNUMBER('01_数值调参'!AJ43),AND('01_数值调参'!AJ43&lt;=0,'01_数值调参'!AJ43=INT('01_数值调参'!AJ43)),FALSE),IF(ISNUMBER('01_数值调参'!AJ44),AND('01_数值调参'!AJ44&lt;=0,'01_数值调参'!AJ44=INT('01_数值调参'!AJ44)),FALSE),IF(ISNUMBER('01_数值调参'!AJ45),AND('01_数值调参'!AJ45&lt;=0,'01_数值调参'!AJ45=INT('01_数值调参'!AJ45)),FALSE),'01_数值调参'!AJ46=0,IF(ISNUMBER('01_数值调参'!AJ47),AND('01_数值调参'!AJ47&lt;=0,'01_数值调参'!AJ47=INT('01_数值调参'!AJ47)),FALSE),IF(ISNUMBER('01_数值调参'!AJ48),AND('01_数值调参'!AJ48&lt;=0,'01_数值调参'!AJ48=INT('01_数值调参'!AJ48)),FALSE),'01_数值调参'!AJ49=1,'01_数值调参'!AJ50=0,'01_数值调参'!AJ51=0,'01_数值调参'!AJ52=0,COUNTIF('01_数值调参'!AJ18:AJ52,"&lt;0")&gt;0)</x:f>
        <x:v>1</x:v>
      </x:c>
      <x:c r="AK87" s="9" t="b">
        <x:f>AND(ISNUMBER('01_数值调参'!AK9),'01_数值调参'!AK9&gt;0,IF(ISNUMBER('01_数值调参'!AK18),AND('01_数值调参'!AK18&lt;=0,'01_数值调参'!AK18=INT('01_数值调参'!AK18)),FALSE),IF(ISNUMBER('01_数值调参'!AK19),AND('01_数值调参'!AK19&lt;=0,'01_数值调参'!AK19=INT('01_数值调参'!AK19)),FALSE),IF(ISNUMBER('01_数值调参'!AK20),AND('01_数值调参'!AK20&lt;=0,'01_数值调参'!AK20=INT('01_数值调参'!AK20)),FALSE),IF(ISNUMBER('01_数值调参'!AK21),AND('01_数值调参'!AK21&lt;=0,'01_数值调参'!AK21=INT('01_数值调参'!AK21)),FALSE),IF(ISNUMBER('01_数值调参'!AK22),AND('01_数值调参'!AK22&lt;=0,'01_数值调参'!AK22=INT('01_数值调参'!AK22)),FALSE),IF(ISNUMBER('01_数值调参'!AK23),AND('01_数值调参'!AK23&lt;=0,'01_数值调参'!AK23=INT('01_数值调参'!AK23)),FALSE),IF(ISNUMBER('01_数值调参'!AK24),AND('01_数值调参'!AK24&lt;=0,'01_数值调参'!AK24=INT('01_数值调参'!AK24)),FALSE),IF(ISNUMBER('01_数值调参'!AK25),AND('01_数值调参'!AK25&lt;=0,'01_数值调参'!AK25=INT('01_数值调参'!AK25)),FALSE),'01_数值调参'!AK26=0,IF(ISNUMBER('01_数值调参'!AK27),AND('01_数值调参'!AK27&lt;=0,'01_数值调参'!AK27=INT('01_数值调参'!AK27)),FALSE),IF(ISNUMBER('01_数值调参'!AK28),AND('01_数值调参'!AK28&lt;=0,'01_数值调参'!AK28=INT('01_数值调参'!AK28)),FALSE),IF(ISNUMBER('01_数值调参'!AK29),AND('01_数值调参'!AK29&lt;=0,'01_数值调参'!AK29=INT('01_数值调参'!AK29)),FALSE),IF(ISNUMBER('01_数值调参'!AK30),AND('01_数值调参'!AK30&lt;=0,'01_数值调参'!AK30=INT('01_数值调参'!AK30)),FALSE),'01_数值调参'!AK31=0,IF(ISNUMBER('01_数值调参'!AK32),AND('01_数值调参'!AK32&lt;=0,'01_数值调参'!AK32=INT('01_数值调参'!AK32)),FALSE),IF(ISNUMBER('01_数值调参'!AK33),AND('01_数值调参'!AK33&lt;=0,'01_数值调参'!AK33=INT('01_数值调参'!AK33)),FALSE),IF(ISNUMBER('01_数值调参'!AK34),AND('01_数值调参'!AK34&lt;=0,'01_数值调参'!AK34=INT('01_数值调参'!AK34)),FALSE),IF(ISNUMBER('01_数值调参'!AK35),AND('01_数值调参'!AK35&lt;=0,'01_数值调参'!AK35=INT('01_数值调参'!AK35)),FALSE),'01_数值调参'!AK36=0,IF(ISNUMBER('01_数值调参'!AK37),AND('01_数值调参'!AK37&lt;=0,'01_数值调参'!AK37=INT('01_数值调参'!AK37)),FALSE),IF(ISNUMBER('01_数值调参'!AK38),AND('01_数值调参'!AK38&lt;=0,'01_数值调参'!AK38=INT('01_数值调参'!AK38)),FALSE),IF(ISNUMBER('01_数值调参'!AK39),AND('01_数值调参'!AK39&lt;=0,'01_数值调参'!AK39=INT('01_数值调参'!AK39)),FALSE),IF(ISNUMBER('01_数值调参'!AK40),AND('01_数值调参'!AK40&lt;=0,'01_数值调参'!AK40=INT('01_数值调参'!AK40)),FALSE),'01_数值调参'!AK41=0,'01_数值调参'!AK42=0,IF(ISNUMBER('01_数值调参'!AK43),AND('01_数值调参'!AK43&lt;=0,'01_数值调参'!AK43=INT('01_数值调参'!AK43)),FALSE),IF(ISNUMBER('01_数值调参'!AK44),AND('01_数值调参'!AK44&lt;=0,'01_数值调参'!AK44=INT('01_数值调参'!AK44)),FALSE),IF(ISNUMBER('01_数值调参'!AK45),AND('01_数值调参'!AK45&lt;=0,'01_数值调参'!AK45=INT('01_数值调参'!AK45)),FALSE),IF(ISNUMBER('01_数值调参'!AK46),AND('01_数值调参'!AK46&lt;=0,'01_数值调参'!AK46=INT('01_数值调参'!AK46)),FALSE),IF(ISNUMBER('01_数值调参'!AK47),AND('01_数值调参'!AK47&lt;=0,'01_数值调参'!AK47=INT('01_数值调参'!AK47)),FALSE),IF(ISNUMBER('01_数值调参'!AK48),AND('01_数值调参'!AK48&lt;=0,'01_数值调参'!AK48=INT('01_数值调参'!AK48)),FALSE),IF(ISNUMBER('01_数值调参'!AK49),AND('01_数值调参'!AK49&lt;=0,'01_数值调参'!AK49=INT('01_数值调参'!AK49)),FALSE),'01_数值调参'!AK50=1,'01_数值调参'!AK51=0,'01_数值调参'!AK52=0,COUNTIF('01_数值调参'!AK18:AK52,"&lt;0")&gt;0)</x:f>
        <x:v>1</x:v>
      </x:c>
      <x:c r="AL87" s="9" t="b">
        <x:f>AND(ISNUMBER('01_数值调参'!AL9),'01_数值调参'!AL9&gt;0,IF(ISNUMBER('01_数值调参'!AL18),AND('01_数值调参'!AL18&lt;=0,'01_数值调参'!AL18=INT('01_数值调参'!AL18)),FALSE),IF(ISNUMBER('01_数值调参'!AL19),AND('01_数值调参'!AL19&lt;=0,'01_数值调参'!AL19=INT('01_数值调参'!AL19)),FALSE),IF(ISNUMBER('01_数值调参'!AL20),AND('01_数值调参'!AL20&lt;=0,'01_数值调参'!AL20=INT('01_数值调参'!AL20)),FALSE),IF(ISNUMBER('01_数值调参'!AL21),AND('01_数值调参'!AL21&lt;=0,'01_数值调参'!AL21=INT('01_数值调参'!AL21)),FALSE),IF(ISNUMBER('01_数值调参'!AL22),AND('01_数值调参'!AL22&lt;=0,'01_数值调参'!AL22=INT('01_数值调参'!AL22)),FALSE),IF(ISNUMBER('01_数值调参'!AL23),AND('01_数值调参'!AL23&lt;=0,'01_数值调参'!AL23=INT('01_数值调参'!AL23)),FALSE),IF(ISNUMBER('01_数值调参'!AL24),AND('01_数值调参'!AL24&lt;=0,'01_数值调参'!AL24=INT('01_数值调参'!AL24)),FALSE),IF(ISNUMBER('01_数值调参'!AL25),AND('01_数值调参'!AL25&lt;=0,'01_数值调参'!AL25=INT('01_数值调参'!AL25)),FALSE),'01_数值调参'!AL26=0,IF(ISNUMBER('01_数值调参'!AL27),AND('01_数值调参'!AL27&lt;=0,'01_数值调参'!AL27=INT('01_数值调参'!AL27)),FALSE),IF(ISNUMBER('01_数值调参'!AL28),AND('01_数值调参'!AL28&lt;=0,'01_数值调参'!AL28=INT('01_数值调参'!AL28)),FALSE),IF(ISNUMBER('01_数值调参'!AL29),AND('01_数值调参'!AL29&lt;=0,'01_数值调参'!AL29=INT('01_数值调参'!AL29)),FALSE),IF(ISNUMBER('01_数值调参'!AL30),AND('01_数值调参'!AL30&lt;=0,'01_数值调参'!AL30=INT('01_数值调参'!AL30)),FALSE),IF(ISNUMBER('01_数值调参'!AL31),AND('01_数值调参'!AL31&lt;=0,'01_数值调参'!AL31=INT('01_数值调参'!AL31)),FALSE),IF(ISNUMBER('01_数值调参'!AL32),AND('01_数值调参'!AL32&lt;=0,'01_数值调参'!AL32=INT('01_数值调参'!AL32)),FALSE),IF(ISNUMBER('01_数值调参'!AL33),AND('01_数值调参'!AL33&lt;=0,'01_数值调参'!AL33=INT('01_数值调参'!AL33)),FALSE),IF(ISNUMBER('01_数值调参'!AL34),AND('01_数值调参'!AL34&lt;=0,'01_数值调参'!AL34=INT('01_数值调参'!AL34)),FALSE),IF(ISNUMBER('01_数值调参'!AL35),AND('01_数值调参'!AL35&lt;=0,'01_数值调参'!AL35=INT('01_数值调参'!AL35)),FALSE),'01_数值调参'!AL36=0,IF(ISNUMBER('01_数值调参'!AL37),AND('01_数值调参'!AL37&lt;=0,'01_数值调参'!AL37=INT('01_数值调参'!AL37)),FALSE),IF(ISNUMBER('01_数值调参'!AL38),AND('01_数值调参'!AL38&lt;=0,'01_数值调参'!AL38=INT('01_数值调参'!AL38)),FALSE),IF(ISNUMBER('01_数值调参'!AL39),AND('01_数值调参'!AL39&lt;=0,'01_数值调参'!AL39=INT('01_数值调参'!AL39)),FALSE),IF(ISNUMBER('01_数值调参'!AL40),AND('01_数值调参'!AL40&lt;=0,'01_数值调参'!AL40=INT('01_数值调参'!AL40)),FALSE),IF(ISNUMBER('01_数值调参'!AL41),AND('01_数值调参'!AL41&lt;=0,'01_数值调参'!AL41=INT('01_数值调参'!AL41)),FALSE),'01_数值调参'!AL42=0,IF(ISNUMBER('01_数值调参'!AL43),AND('01_数值调参'!AL43&lt;=0,'01_数值调参'!AL43=INT('01_数值调参'!AL43)),FALSE),IF(ISNUMBER('01_数值调参'!AL44),AND('01_数值调参'!AL44&lt;=0,'01_数值调参'!AL44=INT('01_数值调参'!AL44)),FALSE),IF(ISNUMBER('01_数值调参'!AL45),AND('01_数值调参'!AL45&lt;=0,'01_数值调参'!AL45=INT('01_数值调参'!AL45)),FALSE),IF(ISNUMBER('01_数值调参'!AL46),AND('01_数值调参'!AL46&lt;=0,'01_数值调参'!AL46=INT('01_数值调参'!AL46)),FALSE),IF(ISNUMBER('01_数值调参'!AL47),AND('01_数值调参'!AL47&lt;=0,'01_数值调参'!AL47=INT('01_数值调参'!AL47)),FALSE),IF(ISNUMBER('01_数值调参'!AL48),AND('01_数值调参'!AL48&lt;=0,'01_数值调参'!AL48=INT('01_数值调参'!AL48)),FALSE),IF(ISNUMBER('01_数值调参'!AL49),AND('01_数值调参'!AL49&lt;=0,'01_数值调参'!AL49=INT('01_数值调参'!AL49)),FALSE),IF(ISNUMBER('01_数值调参'!AL50),AND('01_数值调参'!AL50&lt;=0,'01_数值调参'!AL50=INT('01_数值调参'!AL50)),FALSE),'01_数值调参'!AL51=1,'01_数值调参'!AL52=0,COUNTIF('01_数值调参'!AL18:AL52,"&lt;0")&gt;0)</x:f>
        <x:v>1</x:v>
      </x:c>
      <x:c r="AM87" s="9" t="b">
        <x:f>AND(ISNUMBER('01_数值调参'!AM9),'01_数值调参'!AM9&gt;0,IF(ISNUMBER('01_数值调参'!AM18),AND('01_数值调参'!AM18&lt;=0,'01_数值调参'!AM18=INT('01_数值调参'!AM18)),FALSE),IF(ISNUMBER('01_数值调参'!AM19),AND('01_数值调参'!AM19&lt;=0,'01_数值调参'!AM19=INT('01_数值调参'!AM19)),FALSE),IF(ISNUMBER('01_数值调参'!AM20),AND('01_数值调参'!AM20&lt;=0,'01_数值调参'!AM20=INT('01_数值调参'!AM20)),FALSE),IF(ISNUMBER('01_数值调参'!AM21),AND('01_数值调参'!AM21&lt;=0,'01_数值调参'!AM21=INT('01_数值调参'!AM21)),FALSE),IF(ISNUMBER('01_数值调参'!AM22),AND('01_数值调参'!AM22&lt;=0,'01_数值调参'!AM22=INT('01_数值调参'!AM22)),FALSE),IF(ISNUMBER('01_数值调参'!AM23),AND('01_数值调参'!AM23&lt;=0,'01_数值调参'!AM23=INT('01_数值调参'!AM23)),FALSE),IF(ISNUMBER('01_数值调参'!AM24),AND('01_数值调参'!AM24&lt;=0,'01_数值调参'!AM24=INT('01_数值调参'!AM24)),FALSE),IF(ISNUMBER('01_数值调参'!AM25),AND('01_数值调参'!AM25&lt;=0,'01_数值调参'!AM25=INT('01_数值调参'!AM25)),FALSE),IF(ISNUMBER('01_数值调参'!AM26),AND('01_数值调参'!AM26&lt;=0,'01_数值调参'!AM26=INT('01_数值调参'!AM26)),FALSE),IF(ISNUMBER('01_数值调参'!AM27),AND('01_数值调参'!AM27&lt;=0,'01_数值调参'!AM27=INT('01_数值调参'!AM27)),FALSE),IF(ISNUMBER('01_数值调参'!AM28),AND('01_数值调参'!AM28&lt;=0,'01_数值调参'!AM28=INT('01_数值调参'!AM28)),FALSE),IF(ISNUMBER('01_数值调参'!AM29),AND('01_数值调参'!AM29&lt;=0,'01_数值调参'!AM29=INT('01_数值调参'!AM29)),FALSE),IF(ISNUMBER('01_数值调参'!AM30),AND('01_数值调参'!AM30&lt;=0,'01_数值调参'!AM30=INT('01_数值调参'!AM30)),FALSE),IF(ISNUMBER('01_数值调参'!AM31),AND('01_数值调参'!AM31&lt;=0,'01_数值调参'!AM31=INT('01_数值调参'!AM31)),FALSE),IF(ISNUMBER('01_数值调参'!AM32),AND('01_数值调参'!AM32&lt;=0,'01_数值调参'!AM32=INT('01_数值调参'!AM32)),FALSE),IF(ISNUMBER('01_数值调参'!AM33),AND('01_数值调参'!AM33&lt;=0,'01_数值调参'!AM33=INT('01_数值调参'!AM33)),FALSE),IF(ISNUMBER('01_数值调参'!AM34),AND('01_数值调参'!AM34&lt;=0,'01_数值调参'!AM34=INT('01_数值调参'!AM34)),FALSE),IF(ISNUMBER('01_数值调参'!AM35),AND('01_数值调参'!AM35&lt;=0,'01_数值调参'!AM35=INT('01_数值调参'!AM35)),FALSE),IF(ISNUMBER('01_数值调参'!AM36),AND('01_数值调参'!AM36&lt;=0,'01_数值调参'!AM36=INT('01_数值调参'!AM36)),FALSE),IF(ISNUMBER('01_数值调参'!AM37),AND('01_数值调参'!AM37&lt;=0,'01_数值调参'!AM37=INT('01_数值调参'!AM37)),FALSE),IF(ISNUMBER('01_数值调参'!AM38),AND('01_数值调参'!AM38&lt;=0,'01_数值调参'!AM38=INT('01_数值调参'!AM38)),FALSE),IF(ISNUMBER('01_数值调参'!AM39),AND('01_数值调参'!AM39&lt;=0,'01_数值调参'!AM39=INT('01_数值调参'!AM39)),FALSE),IF(ISNUMBER('01_数值调参'!AM40),AND('01_数值调参'!AM40&lt;=0,'01_数值调参'!AM40=INT('01_数值调参'!AM40)),FALSE),IF(ISNUMBER('01_数值调参'!AM41),AND('01_数值调参'!AM41&lt;=0,'01_数值调参'!AM41=INT('01_数值调参'!AM41)),FALSE),IF(ISNUMBER('01_数值调参'!AM42),AND('01_数值调参'!AM42&lt;=0,'01_数值调参'!AM42=INT('01_数值调参'!AM42)),FALSE),IF(ISNUMBER('01_数值调参'!AM43),AND('01_数值调参'!AM43&lt;=0,'01_数值调参'!AM43=INT('01_数值调参'!AM43)),FALSE),IF(ISNUMBER('01_数值调参'!AM44),AND('01_数值调参'!AM44&lt;=0,'01_数值调参'!AM44=INT('01_数值调参'!AM44)),FALSE),IF(ISNUMBER('01_数值调参'!AM45),AND('01_数值调参'!AM45&lt;=0,'01_数值调参'!AM45=INT('01_数值调参'!AM45)),FALSE),IF(ISNUMBER('01_数值调参'!AM46),AND('01_数值调参'!AM46&lt;=0,'01_数值调参'!AM46=INT('01_数值调参'!AM46)),FALSE),IF(ISNUMBER('01_数值调参'!AM47),AND('01_数值调参'!AM47&lt;=0,'01_数值调参'!AM47=INT('01_数值调参'!AM47)),FALSE),IF(ISNUMBER('01_数值调参'!AM48),AND('01_数值调参'!AM48&lt;=0,'01_数值调参'!AM48=INT('01_数值调参'!AM48)),FALSE),IF(ISNUMBER('01_数值调参'!AM49),AND('01_数值调参'!AM49&lt;=0,'01_数值调参'!AM49=INT('01_数值调参'!AM49)),FALSE),IF(ISNUMBER('01_数值调参'!AM50),AND('01_数值调参'!AM50&lt;=0,'01_数值调参'!AM50=INT('01_数值调参'!AM50)),FALSE),IF(ISNUMBER('01_数值调参'!AM51),AND('01_数值调参'!AM51&lt;=0,'01_数值调参'!AM51=INT('01_数值调参'!AM51)),FALSE),'01_数值调参'!AM52=1,COUNTIF('01_数值调参'!AM18:AM52,"&lt;0")&gt;0)</x:f>
        <x:v>1</x:v>
      </x:c>
    </x:row>
    <x:row r="88" ht="22" customHeight="1">
      <x:c r="A88" s="9" t="str">
        <x:v>固定信息一致</x:v>
      </x:c>
      <x:c r="B88" s="9"/>
      <x:c r="C88" s="9"/>
      <x:c r="D88" s="9"/>
      <x:c r="E88" s="9" t="b">
        <x:f>AND('01_数值调参'!E5=1,'01_数值调参'!E6="芦苇草",'01_数值调参'!E7=1,'01_数值调参'!E8="农田")</x:f>
        <x:v>1</x:v>
      </x:c>
      <x:c r="F88" s="9" t="b">
        <x:f>AND('01_数值调参'!F5=2,'01_数值调参'!F6="棉花",'01_数值调参'!F7=2,'01_数值调参'!F8="农田")</x:f>
        <x:v>1</x:v>
      </x:c>
      <x:c r="G88" s="9" t="b">
        <x:f>AND('01_数值调参'!G5=5,'01_数值调参'!G6="竹子",'01_数值调参'!G7=4,'01_数值调参'!G8="农田")</x:f>
        <x:v>1</x:v>
      </x:c>
      <x:c r="H88" s="9" t="b">
        <x:f>AND('01_数值调参'!H5=10,'01_数值调参'!H6="香绒草",'01_数值调参'!H7=7,'01_数值调参'!H8="农田")</x:f>
        <x:v>1</x:v>
      </x:c>
      <x:c r="I88" s="9" t="b">
        <x:f>AND('01_数值调参'!I5=15,'01_数值调参'!I6="薰衣草",'01_数值调参'!I7=8,'01_数值调参'!I8="农田")</x:f>
        <x:v>1</x:v>
      </x:c>
      <x:c r="J88" s="9" t="b">
        <x:f>AND('01_数值调参'!J5=17,'01_数值调参'!J6="芍药花",'01_数值调参'!J7=10,'01_数值调参'!J8="农田")</x:f>
        <x:v>1</x:v>
      </x:c>
      <x:c r="K88" s="9" t="b">
        <x:f>AND('01_数值调参'!K5=24,'01_数值调参'!K6="墨水花",'01_数值调参'!K7=13,'01_数值调参'!K8="农田")</x:f>
        <x:v>1</x:v>
      </x:c>
      <x:c r="L88" s="9" t="b">
        <x:f>AND('01_数值调参'!L5=30,'01_数值调参'!L6="蜡烛花",'01_数值调参'!L7=16,'01_数值调参'!L8="农田")</x:f>
        <x:v>1</x:v>
      </x:c>
      <x:c r="M88" s="9" t="b">
        <x:f>AND('01_数值调参'!M5=35,'01_数值调参'!M6="浆果珍珠",'01_数值调参'!M7=19,'01_数值调参'!M8="农田")</x:f>
        <x:v>1</x:v>
      </x:c>
      <x:c r="N88" s="9" t="b">
        <x:f>AND('01_数值调参'!N5=3,'01_数值调参'!N6="芦苇丝",'01_数值调参'!N7=2,'01_数值调参'!N8="研磨机")</x:f>
        <x:v>1</x:v>
      </x:c>
      <x:c r="O88" s="9" t="b">
        <x:f>AND('01_数值调参'!O5=4,'01_数值调参'!O6="棉绒团",'01_数值调参'!O7=3,'01_数值调参'!O8="研磨机")</x:f>
        <x:v>1</x:v>
      </x:c>
      <x:c r="P88" s="9" t="b">
        <x:f>AND('01_数值调参'!P5=12,'01_数值调参'!P6="绒香粉",'01_数值调参'!P7=7,'01_数值调参'!P8="研磨机")</x:f>
        <x:v>1</x:v>
      </x:c>
      <x:c r="Q88" s="9" t="b">
        <x:f>AND('01_数值调参'!Q5=22,'01_数值调参'!Q6="云朵香粉",'01_数值调参'!Q7=13,'01_数值调参'!Q8="研磨机")</x:f>
        <x:v>1</x:v>
      </x:c>
      <x:c r="R88" s="9" t="b">
        <x:f>AND('01_数值调参'!R5=33,'01_数值调参'!R6="乌云绒团",'01_数值调参'!R7=18,'01_数值调参'!R8="研磨机")</x:f>
        <x:v>1</x:v>
      </x:c>
      <x:c r="S88" s="9" t="b">
        <x:f>AND('01_数值调参'!S5=6,'01_数值调参'!S6="竹条",'01_数值调参'!S7=4,'01_数值调参'!S8="切割机")</x:f>
        <x:v>1</x:v>
      </x:c>
      <x:c r="T88" s="9" t="b">
        <x:f>AND('01_数值调参'!T5=7,'01_数值调参'!T6="薄竹片",'01_数值调参'!T7=5,'01_数值调参'!T8="切割机")</x:f>
        <x:v>1</x:v>
      </x:c>
      <x:c r="U88" s="9" t="b">
        <x:f>AND('01_数值调参'!U5=20,'01_数值调参'!U6="小竹框",'01_数值调参'!U7=11,'01_数值调参'!U8="切割机")</x:f>
        <x:v>1</x:v>
      </x:c>
      <x:c r="V88" s="9" t="b">
        <x:f>AND('01_数值调参'!V5=28,'01_数值调参'!V6="花瓣竹板",'01_数值调参'!V7=15,'01_数值调参'!V8="切割机")</x:f>
        <x:v>1</x:v>
      </x:c>
      <x:c r="W88" s="9" t="b">
        <x:f>AND('01_数值调参'!W5=36,'01_数值调参'!W6="珍珠衣帽架",'01_数值调参'!W7=19,'01_数值调参'!W8="切割机")</x:f>
        <x:v>1</x:v>
      </x:c>
      <x:c r="X88" s="9" t="b">
        <x:f>AND('01_数值调参'!X5=14,'01_数值调参'!X6="竹编小垫",'01_数值调参'!X7=6,'01_数值调参'!X8="纺织机")</x:f>
        <x:v>1</x:v>
      </x:c>
      <x:c r="Y88" s="9" t="b">
        <x:f>AND('01_数值调参'!Y5=16,'01_数值调参'!Y6="软棉布",'01_数值调参'!Y7=9,'01_数值调参'!Y8="纺织机")</x:f>
        <x:v>1</x:v>
      </x:c>
      <x:c r="Z88" s="9" t="b">
        <x:f>AND('01_数值调参'!Z5=21,'01_数值调参'!Z6="竹帘",'01_数值调参'!Z7=11,'01_数值调参'!Z8="纺织机")</x:f>
        <x:v>1</x:v>
      </x:c>
      <x:c r="AA88" s="9" t="b">
        <x:f>AND('01_数值调参'!AA5=27,'01_数值调参'!AA6="绒绒灯罩",'01_数值调参'!AA7=15,'01_数值调参'!AA8="纺织机")</x:f>
        <x:v>1</x:v>
      </x:c>
      <x:c r="AB88" s="9" t="b">
        <x:f>AND('01_数值调参'!AB5=32,'01_数值调参'!AB6="软边小席",'01_数值调参'!AB7=17,'01_数值调参'!AB8="纺织机")</x:f>
        <x:v>1</x:v>
      </x:c>
      <x:c r="AC88" s="9" t="b">
        <x:f>AND('01_数值调参'!AC5=37,'01_数值调参'!AC6="雨滴篮子",'01_数值调参'!AC7=19,'01_数值调参'!AC8="纺织机")</x:f>
        <x:v>1</x:v>
      </x:c>
      <x:c r="AD88" s="9" t="b">
        <x:f>AND('01_数值调参'!AD5=13,'01_数值调参'!AD6="薰衣草精油",'01_数值调参'!AD7=8,'01_数值调参'!AD8="萃取机")</x:f>
        <x:v>1</x:v>
      </x:c>
      <x:c r="AE88" s="9" t="b">
        <x:f>AND('01_数值调参'!AE5=18,'01_数值调参'!AE6="花瓣香水",'01_数值调参'!AE7=10,'01_数值调参'!AE8="萃取机")</x:f>
        <x:v>1</x:v>
      </x:c>
      <x:c r="AF88" s="9" t="b">
        <x:f>AND('01_数值调参'!AF5=25,'01_数值调参'!AF6="墨汁",'01_数值调参'!AF7=13,'01_数值调参'!AF8="萃取机")</x:f>
        <x:v>1</x:v>
      </x:c>
      <x:c r="AG88" s="9" t="b">
        <x:f>AND('01_数值调参'!AG5=31,'01_数值调参'!AG6="花蜡",'01_数值调参'!AG7=16,'01_数值调参'!AG8="萃取机")</x:f>
        <x:v>1</x:v>
      </x:c>
      <x:c r="AH88" s="9" t="b">
        <x:f>AND('01_数值调参'!AH5=19,'01_数值调参'!AH6="竹炭画笔",'01_数值调参'!AH7=10,'01_数值调参'!AH8="窑炉")</x:f>
        <x:v>1</x:v>
      </x:c>
      <x:c r="AI88" s="9" t="b">
        <x:f>AND('01_数值调参'!AI5=23,'01_数值调参'!AI6="薰衣草香棒",'01_数值调参'!AI7=12,'01_数值调参'!AI8="窑炉")</x:f>
        <x:v>1</x:v>
      </x:c>
      <x:c r="AJ88" s="9" t="b">
        <x:f>AND('01_数值调参'!AJ5=26,'01_数值调参'!AJ6="竹制盆景",'01_数值调参'!AJ7=14,'01_数值调参'!AJ8="窑炉")</x:f>
        <x:v>1</x:v>
      </x:c>
      <x:c r="AK88" s="9" t="b">
        <x:f>AND('01_数值调参'!AK5=29,'01_数值调参'!AK6="圈圈蚊香",'01_数值调参'!AK7=16,'01_数值调参'!AK8="窑炉")</x:f>
        <x:v>1</x:v>
      </x:c>
      <x:c r="AL88" s="9" t="b">
        <x:f>AND('01_数值调参'!AL5=34,'01_数值调参'!AL6="薰衣草软垫",'01_数值调参'!AL7=18,'01_数值调参'!AL8="窑炉")</x:f>
        <x:v>1</x:v>
      </x:c>
      <x:c r="AM88" s="9" t="b">
        <x:f>AND('01_数值调参'!AM5=38,'01_数值调参'!AM6="花瓣小灯",'01_数值调参'!AM7=20,'01_数值调参'!AM8="窑炉")</x:f>
        <x:v>1</x:v>
      </x:c>
    </x:row>
    <x:row r="89" ht="22" customHeight="1">
      <x:c r="A89" s="9" t="str">
        <x:v>全链排程参数一致</x:v>
      </x:c>
      <x:c r="B89" s="9"/>
      <x:c r="C89" s="9"/>
      <x:c r="D89" s="9"/>
      <x:c r="E89" s="9" t="b">
        <x:f>SUM(IF(OR('03_全链计算'!E7&gt;0,'03_全链计算'!E136&gt;0),'03_全链计算'!$E$86,0),IF(OR('03_全链计算'!E8&gt;0,'03_全链计算'!E137&gt;0),'03_全链计算'!$F$86,0),IF(OR('03_全链计算'!E9&gt;0,'03_全链计算'!E138&gt;0),'03_全链计算'!$G$86,0),IF(OR('03_全链计算'!E10&gt;0,'03_全链计算'!E139&gt;0),'03_全链计算'!$H$86,0),IF(OR('03_全链计算'!E11&gt;0,'03_全链计算'!E140&gt;0),'03_全链计算'!$I$86,0),IF(OR('03_全链计算'!E12&gt;0,'03_全链计算'!E141&gt;0),'03_全链计算'!$J$86,0),IF(OR('03_全链计算'!E13&gt;0,'03_全链计算'!E142&gt;0),'03_全链计算'!$K$86,0),IF(OR('03_全链计算'!E14&gt;0,'03_全链计算'!E143&gt;0),'03_全链计算'!$L$86,0),IF(OR('03_全链计算'!E15&gt;0,'03_全链计算'!E144&gt;0),'03_全链计算'!$M$86,0),IF(OR('03_全链计算'!E16&gt;0,'03_全链计算'!E145&gt;0),'03_全链计算'!$N$86,0),IF(OR('03_全链计算'!E17&gt;0,'03_全链计算'!E146&gt;0),'03_全链计算'!$O$86,0),IF(OR('03_全链计算'!E18&gt;0,'03_全链计算'!E147&gt;0),'03_全链计算'!$P$86,0),IF(OR('03_全链计算'!E19&gt;0,'03_全链计算'!E148&gt;0),'03_全链计算'!$Q$86,0),IF(OR('03_全链计算'!E20&gt;0,'03_全链计算'!E149&gt;0),'03_全链计算'!$R$86,0),IF(OR('03_全链计算'!E21&gt;0,'03_全链计算'!E150&gt;0),'03_全链计算'!$S$86,0),IF(OR('03_全链计算'!E22&gt;0,'03_全链计算'!E151&gt;0),'03_全链计算'!$T$86,0),IF(OR('03_全链计算'!E23&gt;0,'03_全链计算'!E152&gt;0),'03_全链计算'!$U$86,0),IF(OR('03_全链计算'!E24&gt;0,'03_全链计算'!E153&gt;0),'03_全链计算'!$V$86,0),IF(OR('03_全链计算'!E25&gt;0,'03_全链计算'!E154&gt;0),'03_全链计算'!$W$86,0),IF(OR('03_全链计算'!E26&gt;0,'03_全链计算'!E155&gt;0),'03_全链计算'!$X$86,0),IF(OR('03_全链计算'!E27&gt;0,'03_全链计算'!E156&gt;0),'03_全链计算'!$Y$86,0),IF(OR('03_全链计算'!E28&gt;0,'03_全链计算'!E157&gt;0),'03_全链计算'!$Z$86,0),IF(OR('03_全链计算'!E29&gt;0,'03_全链计算'!E158&gt;0),'03_全链计算'!$AA$86,0),IF(OR('03_全链计算'!E30&gt;0,'03_全链计算'!E159&gt;0),'03_全链计算'!$AB$86,0),IF(OR('03_全链计算'!E31&gt;0,'03_全链计算'!E160&gt;0),'03_全链计算'!$AC$86,0),IF(OR('03_全链计算'!E32&gt;0,'03_全链计算'!E161&gt;0),'03_全链计算'!$AD$86,0),IF(OR('03_全链计算'!E33&gt;0,'03_全链计算'!E162&gt;0),'03_全链计算'!$AE$86,0),IF(OR('03_全链计算'!E34&gt;0,'03_全链计算'!E163&gt;0),'03_全链计算'!$AF$86,0),IF(OR('03_全链计算'!E35&gt;0,'03_全链计算'!E164&gt;0),'03_全链计算'!$AG$86,0),IF(OR('03_全链计算'!E36&gt;0,'03_全链计算'!E165&gt;0),'03_全链计算'!$AH$86,0),IF(OR('03_全链计算'!E37&gt;0,'03_全链计算'!E166&gt;0),'03_全链计算'!$AI$86,0),IF(OR('03_全链计算'!E38&gt;0,'03_全链计算'!E167&gt;0),'03_全链计算'!$AJ$86,0),IF(OR('03_全链计算'!E39&gt;0,'03_全链计算'!E168&gt;0),'03_全链计算'!$AK$86,0),IF(OR('03_全链计算'!E40&gt;0,'03_全链计算'!E169&gt;0),'03_全链计算'!$AL$86,0),IF(OR('03_全链计算'!E41&gt;0,'03_全链计算'!E170&gt;0),'03_全链计算'!$AM$86,0))=0</x:f>
        <x:v>1</x:v>
      </x:c>
      <x:c r="F89" s="9" t="b">
        <x:f>SUM(IF(OR('03_全链计算'!F7&gt;0,'03_全链计算'!F136&gt;0),'03_全链计算'!$E$86,0),IF(OR('03_全链计算'!F8&gt;0,'03_全链计算'!F137&gt;0),'03_全链计算'!$F$86,0),IF(OR('03_全链计算'!F9&gt;0,'03_全链计算'!F138&gt;0),'03_全链计算'!$G$86,0),IF(OR('03_全链计算'!F10&gt;0,'03_全链计算'!F139&gt;0),'03_全链计算'!$H$86,0),IF(OR('03_全链计算'!F11&gt;0,'03_全链计算'!F140&gt;0),'03_全链计算'!$I$86,0),IF(OR('03_全链计算'!F12&gt;0,'03_全链计算'!F141&gt;0),'03_全链计算'!$J$86,0),IF(OR('03_全链计算'!F13&gt;0,'03_全链计算'!F142&gt;0),'03_全链计算'!$K$86,0),IF(OR('03_全链计算'!F14&gt;0,'03_全链计算'!F143&gt;0),'03_全链计算'!$L$86,0),IF(OR('03_全链计算'!F15&gt;0,'03_全链计算'!F144&gt;0),'03_全链计算'!$M$86,0),IF(OR('03_全链计算'!F16&gt;0,'03_全链计算'!F145&gt;0),'03_全链计算'!$N$86,0),IF(OR('03_全链计算'!F17&gt;0,'03_全链计算'!F146&gt;0),'03_全链计算'!$O$86,0),IF(OR('03_全链计算'!F18&gt;0,'03_全链计算'!F147&gt;0),'03_全链计算'!$P$86,0),IF(OR('03_全链计算'!F19&gt;0,'03_全链计算'!F148&gt;0),'03_全链计算'!$Q$86,0),IF(OR('03_全链计算'!F20&gt;0,'03_全链计算'!F149&gt;0),'03_全链计算'!$R$86,0),IF(OR('03_全链计算'!F21&gt;0,'03_全链计算'!F150&gt;0),'03_全链计算'!$S$86,0),IF(OR('03_全链计算'!F22&gt;0,'03_全链计算'!F151&gt;0),'03_全链计算'!$T$86,0),IF(OR('03_全链计算'!F23&gt;0,'03_全链计算'!F152&gt;0),'03_全链计算'!$U$86,0),IF(OR('03_全链计算'!F24&gt;0,'03_全链计算'!F153&gt;0),'03_全链计算'!$V$86,0),IF(OR('03_全链计算'!F25&gt;0,'03_全链计算'!F154&gt;0),'03_全链计算'!$W$86,0),IF(OR('03_全链计算'!F26&gt;0,'03_全链计算'!F155&gt;0),'03_全链计算'!$X$86,0),IF(OR('03_全链计算'!F27&gt;0,'03_全链计算'!F156&gt;0),'03_全链计算'!$Y$86,0),IF(OR('03_全链计算'!F28&gt;0,'03_全链计算'!F157&gt;0),'03_全链计算'!$Z$86,0),IF(OR('03_全链计算'!F29&gt;0,'03_全链计算'!F158&gt;0),'03_全链计算'!$AA$86,0),IF(OR('03_全链计算'!F30&gt;0,'03_全链计算'!F159&gt;0),'03_全链计算'!$AB$86,0),IF(OR('03_全链计算'!F31&gt;0,'03_全链计算'!F160&gt;0),'03_全链计算'!$AC$86,0),IF(OR('03_全链计算'!F32&gt;0,'03_全链计算'!F161&gt;0),'03_全链计算'!$AD$86,0),IF(OR('03_全链计算'!F33&gt;0,'03_全链计算'!F162&gt;0),'03_全链计算'!$AE$86,0),IF(OR('03_全链计算'!F34&gt;0,'03_全链计算'!F163&gt;0),'03_全链计算'!$AF$86,0),IF(OR('03_全链计算'!F35&gt;0,'03_全链计算'!F164&gt;0),'03_全链计算'!$AG$86,0),IF(OR('03_全链计算'!F36&gt;0,'03_全链计算'!F165&gt;0),'03_全链计算'!$AH$86,0),IF(OR('03_全链计算'!F37&gt;0,'03_全链计算'!F166&gt;0),'03_全链计算'!$AI$86,0),IF(OR('03_全链计算'!F38&gt;0,'03_全链计算'!F167&gt;0),'03_全链计算'!$AJ$86,0),IF(OR('03_全链计算'!F39&gt;0,'03_全链计算'!F168&gt;0),'03_全链计算'!$AK$86,0),IF(OR('03_全链计算'!F40&gt;0,'03_全链计算'!F169&gt;0),'03_全链计算'!$AL$86,0),IF(OR('03_全链计算'!F41&gt;0,'03_全链计算'!F170&gt;0),'03_全链计算'!$AM$86,0))=0</x:f>
        <x:v>1</x:v>
      </x:c>
      <x:c r="G89" s="9" t="b">
        <x:f>SUM(IF(OR('03_全链计算'!G7&gt;0,'03_全链计算'!G136&gt;0),'03_全链计算'!$E$86,0),IF(OR('03_全链计算'!G8&gt;0,'03_全链计算'!G137&gt;0),'03_全链计算'!$F$86,0),IF(OR('03_全链计算'!G9&gt;0,'03_全链计算'!G138&gt;0),'03_全链计算'!$G$86,0),IF(OR('03_全链计算'!G10&gt;0,'03_全链计算'!G139&gt;0),'03_全链计算'!$H$86,0),IF(OR('03_全链计算'!G11&gt;0,'03_全链计算'!G140&gt;0),'03_全链计算'!$I$86,0),IF(OR('03_全链计算'!G12&gt;0,'03_全链计算'!G141&gt;0),'03_全链计算'!$J$86,0),IF(OR('03_全链计算'!G13&gt;0,'03_全链计算'!G142&gt;0),'03_全链计算'!$K$86,0),IF(OR('03_全链计算'!G14&gt;0,'03_全链计算'!G143&gt;0),'03_全链计算'!$L$86,0),IF(OR('03_全链计算'!G15&gt;0,'03_全链计算'!G144&gt;0),'03_全链计算'!$M$86,0),IF(OR('03_全链计算'!G16&gt;0,'03_全链计算'!G145&gt;0),'03_全链计算'!$N$86,0),IF(OR('03_全链计算'!G17&gt;0,'03_全链计算'!G146&gt;0),'03_全链计算'!$O$86,0),IF(OR('03_全链计算'!G18&gt;0,'03_全链计算'!G147&gt;0),'03_全链计算'!$P$86,0),IF(OR('03_全链计算'!G19&gt;0,'03_全链计算'!G148&gt;0),'03_全链计算'!$Q$86,0),IF(OR('03_全链计算'!G20&gt;0,'03_全链计算'!G149&gt;0),'03_全链计算'!$R$86,0),IF(OR('03_全链计算'!G21&gt;0,'03_全链计算'!G150&gt;0),'03_全链计算'!$S$86,0),IF(OR('03_全链计算'!G22&gt;0,'03_全链计算'!G151&gt;0),'03_全链计算'!$T$86,0),IF(OR('03_全链计算'!G23&gt;0,'03_全链计算'!G152&gt;0),'03_全链计算'!$U$86,0),IF(OR('03_全链计算'!G24&gt;0,'03_全链计算'!G153&gt;0),'03_全链计算'!$V$86,0),IF(OR('03_全链计算'!G25&gt;0,'03_全链计算'!G154&gt;0),'03_全链计算'!$W$86,0),IF(OR('03_全链计算'!G26&gt;0,'03_全链计算'!G155&gt;0),'03_全链计算'!$X$86,0),IF(OR('03_全链计算'!G27&gt;0,'03_全链计算'!G156&gt;0),'03_全链计算'!$Y$86,0),IF(OR('03_全链计算'!G28&gt;0,'03_全链计算'!G157&gt;0),'03_全链计算'!$Z$86,0),IF(OR('03_全链计算'!G29&gt;0,'03_全链计算'!G158&gt;0),'03_全链计算'!$AA$86,0),IF(OR('03_全链计算'!G30&gt;0,'03_全链计算'!G159&gt;0),'03_全链计算'!$AB$86,0),IF(OR('03_全链计算'!G31&gt;0,'03_全链计算'!G160&gt;0),'03_全链计算'!$AC$86,0),IF(OR('03_全链计算'!G32&gt;0,'03_全链计算'!G161&gt;0),'03_全链计算'!$AD$86,0),IF(OR('03_全链计算'!G33&gt;0,'03_全链计算'!G162&gt;0),'03_全链计算'!$AE$86,0),IF(OR('03_全链计算'!G34&gt;0,'03_全链计算'!G163&gt;0),'03_全链计算'!$AF$86,0),IF(OR('03_全链计算'!G35&gt;0,'03_全链计算'!G164&gt;0),'03_全链计算'!$AG$86,0),IF(OR('03_全链计算'!G36&gt;0,'03_全链计算'!G165&gt;0),'03_全链计算'!$AH$86,0),IF(OR('03_全链计算'!G37&gt;0,'03_全链计算'!G166&gt;0),'03_全链计算'!$AI$86,0),IF(OR('03_全链计算'!G38&gt;0,'03_全链计算'!G167&gt;0),'03_全链计算'!$AJ$86,0),IF(OR('03_全链计算'!G39&gt;0,'03_全链计算'!G168&gt;0),'03_全链计算'!$AK$86,0),IF(OR('03_全链计算'!G40&gt;0,'03_全链计算'!G169&gt;0),'03_全链计算'!$AL$86,0),IF(OR('03_全链计算'!G41&gt;0,'03_全链计算'!G170&gt;0),'03_全链计算'!$AM$86,0))=0</x:f>
        <x:v>1</x:v>
      </x:c>
      <x:c r="H89" s="9" t="b">
        <x:f>SUM(IF(OR('03_全链计算'!H7&gt;0,'03_全链计算'!H136&gt;0),'03_全链计算'!$E$86,0),IF(OR('03_全链计算'!H8&gt;0,'03_全链计算'!H137&gt;0),'03_全链计算'!$F$86,0),IF(OR('03_全链计算'!H9&gt;0,'03_全链计算'!H138&gt;0),'03_全链计算'!$G$86,0),IF(OR('03_全链计算'!H10&gt;0,'03_全链计算'!H139&gt;0),'03_全链计算'!$H$86,0),IF(OR('03_全链计算'!H11&gt;0,'03_全链计算'!H140&gt;0),'03_全链计算'!$I$86,0),IF(OR('03_全链计算'!H12&gt;0,'03_全链计算'!H141&gt;0),'03_全链计算'!$J$86,0),IF(OR('03_全链计算'!H13&gt;0,'03_全链计算'!H142&gt;0),'03_全链计算'!$K$86,0),IF(OR('03_全链计算'!H14&gt;0,'03_全链计算'!H143&gt;0),'03_全链计算'!$L$86,0),IF(OR('03_全链计算'!H15&gt;0,'03_全链计算'!H144&gt;0),'03_全链计算'!$M$86,0),IF(OR('03_全链计算'!H16&gt;0,'03_全链计算'!H145&gt;0),'03_全链计算'!$N$86,0),IF(OR('03_全链计算'!H17&gt;0,'03_全链计算'!H146&gt;0),'03_全链计算'!$O$86,0),IF(OR('03_全链计算'!H18&gt;0,'03_全链计算'!H147&gt;0),'03_全链计算'!$P$86,0),IF(OR('03_全链计算'!H19&gt;0,'03_全链计算'!H148&gt;0),'03_全链计算'!$Q$86,0),IF(OR('03_全链计算'!H20&gt;0,'03_全链计算'!H149&gt;0),'03_全链计算'!$R$86,0),IF(OR('03_全链计算'!H21&gt;0,'03_全链计算'!H150&gt;0),'03_全链计算'!$S$86,0),IF(OR('03_全链计算'!H22&gt;0,'03_全链计算'!H151&gt;0),'03_全链计算'!$T$86,0),IF(OR('03_全链计算'!H23&gt;0,'03_全链计算'!H152&gt;0),'03_全链计算'!$U$86,0),IF(OR('03_全链计算'!H24&gt;0,'03_全链计算'!H153&gt;0),'03_全链计算'!$V$86,0),IF(OR('03_全链计算'!H25&gt;0,'03_全链计算'!H154&gt;0),'03_全链计算'!$W$86,0),IF(OR('03_全链计算'!H26&gt;0,'03_全链计算'!H155&gt;0),'03_全链计算'!$X$86,0),IF(OR('03_全链计算'!H27&gt;0,'03_全链计算'!H156&gt;0),'03_全链计算'!$Y$86,0),IF(OR('03_全链计算'!H28&gt;0,'03_全链计算'!H157&gt;0),'03_全链计算'!$Z$86,0),IF(OR('03_全链计算'!H29&gt;0,'03_全链计算'!H158&gt;0),'03_全链计算'!$AA$86,0),IF(OR('03_全链计算'!H30&gt;0,'03_全链计算'!H159&gt;0),'03_全链计算'!$AB$86,0),IF(OR('03_全链计算'!H31&gt;0,'03_全链计算'!H160&gt;0),'03_全链计算'!$AC$86,0),IF(OR('03_全链计算'!H32&gt;0,'03_全链计算'!H161&gt;0),'03_全链计算'!$AD$86,0),IF(OR('03_全链计算'!H33&gt;0,'03_全链计算'!H162&gt;0),'03_全链计算'!$AE$86,0),IF(OR('03_全链计算'!H34&gt;0,'03_全链计算'!H163&gt;0),'03_全链计算'!$AF$86,0),IF(OR('03_全链计算'!H35&gt;0,'03_全链计算'!H164&gt;0),'03_全链计算'!$AG$86,0),IF(OR('03_全链计算'!H36&gt;0,'03_全链计算'!H165&gt;0),'03_全链计算'!$AH$86,0),IF(OR('03_全链计算'!H37&gt;0,'03_全链计算'!H166&gt;0),'03_全链计算'!$AI$86,0),IF(OR('03_全链计算'!H38&gt;0,'03_全链计算'!H167&gt;0),'03_全链计算'!$AJ$86,0),IF(OR('03_全链计算'!H39&gt;0,'03_全链计算'!H168&gt;0),'03_全链计算'!$AK$86,0),IF(OR('03_全链计算'!H40&gt;0,'03_全链计算'!H169&gt;0),'03_全链计算'!$AL$86,0),IF(OR('03_全链计算'!H41&gt;0,'03_全链计算'!H170&gt;0),'03_全链计算'!$AM$86,0))=0</x:f>
        <x:v>1</x:v>
      </x:c>
      <x:c r="I89" s="9" t="b">
        <x:f>SUM(IF(OR('03_全链计算'!I7&gt;0,'03_全链计算'!I136&gt;0),'03_全链计算'!$E$86,0),IF(OR('03_全链计算'!I8&gt;0,'03_全链计算'!I137&gt;0),'03_全链计算'!$F$86,0),IF(OR('03_全链计算'!I9&gt;0,'03_全链计算'!I138&gt;0),'03_全链计算'!$G$86,0),IF(OR('03_全链计算'!I10&gt;0,'03_全链计算'!I139&gt;0),'03_全链计算'!$H$86,0),IF(OR('03_全链计算'!I11&gt;0,'03_全链计算'!I140&gt;0),'03_全链计算'!$I$86,0),IF(OR('03_全链计算'!I12&gt;0,'03_全链计算'!I141&gt;0),'03_全链计算'!$J$86,0),IF(OR('03_全链计算'!I13&gt;0,'03_全链计算'!I142&gt;0),'03_全链计算'!$K$86,0),IF(OR('03_全链计算'!I14&gt;0,'03_全链计算'!I143&gt;0),'03_全链计算'!$L$86,0),IF(OR('03_全链计算'!I15&gt;0,'03_全链计算'!I144&gt;0),'03_全链计算'!$M$86,0),IF(OR('03_全链计算'!I16&gt;0,'03_全链计算'!I145&gt;0),'03_全链计算'!$N$86,0),IF(OR('03_全链计算'!I17&gt;0,'03_全链计算'!I146&gt;0),'03_全链计算'!$O$86,0),IF(OR('03_全链计算'!I18&gt;0,'03_全链计算'!I147&gt;0),'03_全链计算'!$P$86,0),IF(OR('03_全链计算'!I19&gt;0,'03_全链计算'!I148&gt;0),'03_全链计算'!$Q$86,0),IF(OR('03_全链计算'!I20&gt;0,'03_全链计算'!I149&gt;0),'03_全链计算'!$R$86,0),IF(OR('03_全链计算'!I21&gt;0,'03_全链计算'!I150&gt;0),'03_全链计算'!$S$86,0),IF(OR('03_全链计算'!I22&gt;0,'03_全链计算'!I151&gt;0),'03_全链计算'!$T$86,0),IF(OR('03_全链计算'!I23&gt;0,'03_全链计算'!I152&gt;0),'03_全链计算'!$U$86,0),IF(OR('03_全链计算'!I24&gt;0,'03_全链计算'!I153&gt;0),'03_全链计算'!$V$86,0),IF(OR('03_全链计算'!I25&gt;0,'03_全链计算'!I154&gt;0),'03_全链计算'!$W$86,0),IF(OR('03_全链计算'!I26&gt;0,'03_全链计算'!I155&gt;0),'03_全链计算'!$X$86,0),IF(OR('03_全链计算'!I27&gt;0,'03_全链计算'!I156&gt;0),'03_全链计算'!$Y$86,0),IF(OR('03_全链计算'!I28&gt;0,'03_全链计算'!I157&gt;0),'03_全链计算'!$Z$86,0),IF(OR('03_全链计算'!I29&gt;0,'03_全链计算'!I158&gt;0),'03_全链计算'!$AA$86,0),IF(OR('03_全链计算'!I30&gt;0,'03_全链计算'!I159&gt;0),'03_全链计算'!$AB$86,0),IF(OR('03_全链计算'!I31&gt;0,'03_全链计算'!I160&gt;0),'03_全链计算'!$AC$86,0),IF(OR('03_全链计算'!I32&gt;0,'03_全链计算'!I161&gt;0),'03_全链计算'!$AD$86,0),IF(OR('03_全链计算'!I33&gt;0,'03_全链计算'!I162&gt;0),'03_全链计算'!$AE$86,0),IF(OR('03_全链计算'!I34&gt;0,'03_全链计算'!I163&gt;0),'03_全链计算'!$AF$86,0),IF(OR('03_全链计算'!I35&gt;0,'03_全链计算'!I164&gt;0),'03_全链计算'!$AG$86,0),IF(OR('03_全链计算'!I36&gt;0,'03_全链计算'!I165&gt;0),'03_全链计算'!$AH$86,0),IF(OR('03_全链计算'!I37&gt;0,'03_全链计算'!I166&gt;0),'03_全链计算'!$AI$86,0),IF(OR('03_全链计算'!I38&gt;0,'03_全链计算'!I167&gt;0),'03_全链计算'!$AJ$86,0),IF(OR('03_全链计算'!I39&gt;0,'03_全链计算'!I168&gt;0),'03_全链计算'!$AK$86,0),IF(OR('03_全链计算'!I40&gt;0,'03_全链计算'!I169&gt;0),'03_全链计算'!$AL$86,0),IF(OR('03_全链计算'!I41&gt;0,'03_全链计算'!I170&gt;0),'03_全链计算'!$AM$86,0))=0</x:f>
        <x:v>1</x:v>
      </x:c>
      <x:c r="J89" s="9" t="b">
        <x:f>SUM(IF(OR('03_全链计算'!J7&gt;0,'03_全链计算'!J136&gt;0),'03_全链计算'!$E$86,0),IF(OR('03_全链计算'!J8&gt;0,'03_全链计算'!J137&gt;0),'03_全链计算'!$F$86,0),IF(OR('03_全链计算'!J9&gt;0,'03_全链计算'!J138&gt;0),'03_全链计算'!$G$86,0),IF(OR('03_全链计算'!J10&gt;0,'03_全链计算'!J139&gt;0),'03_全链计算'!$H$86,0),IF(OR('03_全链计算'!J11&gt;0,'03_全链计算'!J140&gt;0),'03_全链计算'!$I$86,0),IF(OR('03_全链计算'!J12&gt;0,'03_全链计算'!J141&gt;0),'03_全链计算'!$J$86,0),IF(OR('03_全链计算'!J13&gt;0,'03_全链计算'!J142&gt;0),'03_全链计算'!$K$86,0),IF(OR('03_全链计算'!J14&gt;0,'03_全链计算'!J143&gt;0),'03_全链计算'!$L$86,0),IF(OR('03_全链计算'!J15&gt;0,'03_全链计算'!J144&gt;0),'03_全链计算'!$M$86,0),IF(OR('03_全链计算'!J16&gt;0,'03_全链计算'!J145&gt;0),'03_全链计算'!$N$86,0),IF(OR('03_全链计算'!J17&gt;0,'03_全链计算'!J146&gt;0),'03_全链计算'!$O$86,0),IF(OR('03_全链计算'!J18&gt;0,'03_全链计算'!J147&gt;0),'03_全链计算'!$P$86,0),IF(OR('03_全链计算'!J19&gt;0,'03_全链计算'!J148&gt;0),'03_全链计算'!$Q$86,0),IF(OR('03_全链计算'!J20&gt;0,'03_全链计算'!J149&gt;0),'03_全链计算'!$R$86,0),IF(OR('03_全链计算'!J21&gt;0,'03_全链计算'!J150&gt;0),'03_全链计算'!$S$86,0),IF(OR('03_全链计算'!J22&gt;0,'03_全链计算'!J151&gt;0),'03_全链计算'!$T$86,0),IF(OR('03_全链计算'!J23&gt;0,'03_全链计算'!J152&gt;0),'03_全链计算'!$U$86,0),IF(OR('03_全链计算'!J24&gt;0,'03_全链计算'!J153&gt;0),'03_全链计算'!$V$86,0),IF(OR('03_全链计算'!J25&gt;0,'03_全链计算'!J154&gt;0),'03_全链计算'!$W$86,0),IF(OR('03_全链计算'!J26&gt;0,'03_全链计算'!J155&gt;0),'03_全链计算'!$X$86,0),IF(OR('03_全链计算'!J27&gt;0,'03_全链计算'!J156&gt;0),'03_全链计算'!$Y$86,0),IF(OR('03_全链计算'!J28&gt;0,'03_全链计算'!J157&gt;0),'03_全链计算'!$Z$86,0),IF(OR('03_全链计算'!J29&gt;0,'03_全链计算'!J158&gt;0),'03_全链计算'!$AA$86,0),IF(OR('03_全链计算'!J30&gt;0,'03_全链计算'!J159&gt;0),'03_全链计算'!$AB$86,0),IF(OR('03_全链计算'!J31&gt;0,'03_全链计算'!J160&gt;0),'03_全链计算'!$AC$86,0),IF(OR('03_全链计算'!J32&gt;0,'03_全链计算'!J161&gt;0),'03_全链计算'!$AD$86,0),IF(OR('03_全链计算'!J33&gt;0,'03_全链计算'!J162&gt;0),'03_全链计算'!$AE$86,0),IF(OR('03_全链计算'!J34&gt;0,'03_全链计算'!J163&gt;0),'03_全链计算'!$AF$86,0),IF(OR('03_全链计算'!J35&gt;0,'03_全链计算'!J164&gt;0),'03_全链计算'!$AG$86,0),IF(OR('03_全链计算'!J36&gt;0,'03_全链计算'!J165&gt;0),'03_全链计算'!$AH$86,0),IF(OR('03_全链计算'!J37&gt;0,'03_全链计算'!J166&gt;0),'03_全链计算'!$AI$86,0),IF(OR('03_全链计算'!J38&gt;0,'03_全链计算'!J167&gt;0),'03_全链计算'!$AJ$86,0),IF(OR('03_全链计算'!J39&gt;0,'03_全链计算'!J168&gt;0),'03_全链计算'!$AK$86,0),IF(OR('03_全链计算'!J40&gt;0,'03_全链计算'!J169&gt;0),'03_全链计算'!$AL$86,0),IF(OR('03_全链计算'!J41&gt;0,'03_全链计算'!J170&gt;0),'03_全链计算'!$AM$86,0))=0</x:f>
        <x:v>1</x:v>
      </x:c>
      <x:c r="K89" s="9" t="b">
        <x:f>SUM(IF(OR('03_全链计算'!K7&gt;0,'03_全链计算'!K136&gt;0),'03_全链计算'!$E$86,0),IF(OR('03_全链计算'!K8&gt;0,'03_全链计算'!K137&gt;0),'03_全链计算'!$F$86,0),IF(OR('03_全链计算'!K9&gt;0,'03_全链计算'!K138&gt;0),'03_全链计算'!$G$86,0),IF(OR('03_全链计算'!K10&gt;0,'03_全链计算'!K139&gt;0),'03_全链计算'!$H$86,0),IF(OR('03_全链计算'!K11&gt;0,'03_全链计算'!K140&gt;0),'03_全链计算'!$I$86,0),IF(OR('03_全链计算'!K12&gt;0,'03_全链计算'!K141&gt;0),'03_全链计算'!$J$86,0),IF(OR('03_全链计算'!K13&gt;0,'03_全链计算'!K142&gt;0),'03_全链计算'!$K$86,0),IF(OR('03_全链计算'!K14&gt;0,'03_全链计算'!K143&gt;0),'03_全链计算'!$L$86,0),IF(OR('03_全链计算'!K15&gt;0,'03_全链计算'!K144&gt;0),'03_全链计算'!$M$86,0),IF(OR('03_全链计算'!K16&gt;0,'03_全链计算'!K145&gt;0),'03_全链计算'!$N$86,0),IF(OR('03_全链计算'!K17&gt;0,'03_全链计算'!K146&gt;0),'03_全链计算'!$O$86,0),IF(OR('03_全链计算'!K18&gt;0,'03_全链计算'!K147&gt;0),'03_全链计算'!$P$86,0),IF(OR('03_全链计算'!K19&gt;0,'03_全链计算'!K148&gt;0),'03_全链计算'!$Q$86,0),IF(OR('03_全链计算'!K20&gt;0,'03_全链计算'!K149&gt;0),'03_全链计算'!$R$86,0),IF(OR('03_全链计算'!K21&gt;0,'03_全链计算'!K150&gt;0),'03_全链计算'!$S$86,0),IF(OR('03_全链计算'!K22&gt;0,'03_全链计算'!K151&gt;0),'03_全链计算'!$T$86,0),IF(OR('03_全链计算'!K23&gt;0,'03_全链计算'!K152&gt;0),'03_全链计算'!$U$86,0),IF(OR('03_全链计算'!K24&gt;0,'03_全链计算'!K153&gt;0),'03_全链计算'!$V$86,0),IF(OR('03_全链计算'!K25&gt;0,'03_全链计算'!K154&gt;0),'03_全链计算'!$W$86,0),IF(OR('03_全链计算'!K26&gt;0,'03_全链计算'!K155&gt;0),'03_全链计算'!$X$86,0),IF(OR('03_全链计算'!K27&gt;0,'03_全链计算'!K156&gt;0),'03_全链计算'!$Y$86,0),IF(OR('03_全链计算'!K28&gt;0,'03_全链计算'!K157&gt;0),'03_全链计算'!$Z$86,0),IF(OR('03_全链计算'!K29&gt;0,'03_全链计算'!K158&gt;0),'03_全链计算'!$AA$86,0),IF(OR('03_全链计算'!K30&gt;0,'03_全链计算'!K159&gt;0),'03_全链计算'!$AB$86,0),IF(OR('03_全链计算'!K31&gt;0,'03_全链计算'!K160&gt;0),'03_全链计算'!$AC$86,0),IF(OR('03_全链计算'!K32&gt;0,'03_全链计算'!K161&gt;0),'03_全链计算'!$AD$86,0),IF(OR('03_全链计算'!K33&gt;0,'03_全链计算'!K162&gt;0),'03_全链计算'!$AE$86,0),IF(OR('03_全链计算'!K34&gt;0,'03_全链计算'!K163&gt;0),'03_全链计算'!$AF$86,0),IF(OR('03_全链计算'!K35&gt;0,'03_全链计算'!K164&gt;0),'03_全链计算'!$AG$86,0),IF(OR('03_全链计算'!K36&gt;0,'03_全链计算'!K165&gt;0),'03_全链计算'!$AH$86,0),IF(OR('03_全链计算'!K37&gt;0,'03_全链计算'!K166&gt;0),'03_全链计算'!$AI$86,0),IF(OR('03_全链计算'!K38&gt;0,'03_全链计算'!K167&gt;0),'03_全链计算'!$AJ$86,0),IF(OR('03_全链计算'!K39&gt;0,'03_全链计算'!K168&gt;0),'03_全链计算'!$AK$86,0),IF(OR('03_全链计算'!K40&gt;0,'03_全链计算'!K169&gt;0),'03_全链计算'!$AL$86,0),IF(OR('03_全链计算'!K41&gt;0,'03_全链计算'!K170&gt;0),'03_全链计算'!$AM$86,0))=0</x:f>
        <x:v>1</x:v>
      </x:c>
      <x:c r="L89" s="9" t="b">
        <x:f>SUM(IF(OR('03_全链计算'!L7&gt;0,'03_全链计算'!L136&gt;0),'03_全链计算'!$E$86,0),IF(OR('03_全链计算'!L8&gt;0,'03_全链计算'!L137&gt;0),'03_全链计算'!$F$86,0),IF(OR('03_全链计算'!L9&gt;0,'03_全链计算'!L138&gt;0),'03_全链计算'!$G$86,0),IF(OR('03_全链计算'!L10&gt;0,'03_全链计算'!L139&gt;0),'03_全链计算'!$H$86,0),IF(OR('03_全链计算'!L11&gt;0,'03_全链计算'!L140&gt;0),'03_全链计算'!$I$86,0),IF(OR('03_全链计算'!L12&gt;0,'03_全链计算'!L141&gt;0),'03_全链计算'!$J$86,0),IF(OR('03_全链计算'!L13&gt;0,'03_全链计算'!L142&gt;0),'03_全链计算'!$K$86,0),IF(OR('03_全链计算'!L14&gt;0,'03_全链计算'!L143&gt;0),'03_全链计算'!$L$86,0),IF(OR('03_全链计算'!L15&gt;0,'03_全链计算'!L144&gt;0),'03_全链计算'!$M$86,0),IF(OR('03_全链计算'!L16&gt;0,'03_全链计算'!L145&gt;0),'03_全链计算'!$N$86,0),IF(OR('03_全链计算'!L17&gt;0,'03_全链计算'!L146&gt;0),'03_全链计算'!$O$86,0),IF(OR('03_全链计算'!L18&gt;0,'03_全链计算'!L147&gt;0),'03_全链计算'!$P$86,0),IF(OR('03_全链计算'!L19&gt;0,'03_全链计算'!L148&gt;0),'03_全链计算'!$Q$86,0),IF(OR('03_全链计算'!L20&gt;0,'03_全链计算'!L149&gt;0),'03_全链计算'!$R$86,0),IF(OR('03_全链计算'!L21&gt;0,'03_全链计算'!L150&gt;0),'03_全链计算'!$S$86,0),IF(OR('03_全链计算'!L22&gt;0,'03_全链计算'!L151&gt;0),'03_全链计算'!$T$86,0),IF(OR('03_全链计算'!L23&gt;0,'03_全链计算'!L152&gt;0),'03_全链计算'!$U$86,0),IF(OR('03_全链计算'!L24&gt;0,'03_全链计算'!L153&gt;0),'03_全链计算'!$V$86,0),IF(OR('03_全链计算'!L25&gt;0,'03_全链计算'!L154&gt;0),'03_全链计算'!$W$86,0),IF(OR('03_全链计算'!L26&gt;0,'03_全链计算'!L155&gt;0),'03_全链计算'!$X$86,0),IF(OR('03_全链计算'!L27&gt;0,'03_全链计算'!L156&gt;0),'03_全链计算'!$Y$86,0),IF(OR('03_全链计算'!L28&gt;0,'03_全链计算'!L157&gt;0),'03_全链计算'!$Z$86,0),IF(OR('03_全链计算'!L29&gt;0,'03_全链计算'!L158&gt;0),'03_全链计算'!$AA$86,0),IF(OR('03_全链计算'!L30&gt;0,'03_全链计算'!L159&gt;0),'03_全链计算'!$AB$86,0),IF(OR('03_全链计算'!L31&gt;0,'03_全链计算'!L160&gt;0),'03_全链计算'!$AC$86,0),IF(OR('03_全链计算'!L32&gt;0,'03_全链计算'!L161&gt;0),'03_全链计算'!$AD$86,0),IF(OR('03_全链计算'!L33&gt;0,'03_全链计算'!L162&gt;0),'03_全链计算'!$AE$86,0),IF(OR('03_全链计算'!L34&gt;0,'03_全链计算'!L163&gt;0),'03_全链计算'!$AF$86,0),IF(OR('03_全链计算'!L35&gt;0,'03_全链计算'!L164&gt;0),'03_全链计算'!$AG$86,0),IF(OR('03_全链计算'!L36&gt;0,'03_全链计算'!L165&gt;0),'03_全链计算'!$AH$86,0),IF(OR('03_全链计算'!L37&gt;0,'03_全链计算'!L166&gt;0),'03_全链计算'!$AI$86,0),IF(OR('03_全链计算'!L38&gt;0,'03_全链计算'!L167&gt;0),'03_全链计算'!$AJ$86,0),IF(OR('03_全链计算'!L39&gt;0,'03_全链计算'!L168&gt;0),'03_全链计算'!$AK$86,0),IF(OR('03_全链计算'!L40&gt;0,'03_全链计算'!L169&gt;0),'03_全链计算'!$AL$86,0),IF(OR('03_全链计算'!L41&gt;0,'03_全链计算'!L170&gt;0),'03_全链计算'!$AM$86,0))=0</x:f>
        <x:v>1</x:v>
      </x:c>
      <x:c r="M89" s="9" t="b">
        <x:f>SUM(IF(OR('03_全链计算'!M7&gt;0,'03_全链计算'!M136&gt;0),'03_全链计算'!$E$86,0),IF(OR('03_全链计算'!M8&gt;0,'03_全链计算'!M137&gt;0),'03_全链计算'!$F$86,0),IF(OR('03_全链计算'!M9&gt;0,'03_全链计算'!M138&gt;0),'03_全链计算'!$G$86,0),IF(OR('03_全链计算'!M10&gt;0,'03_全链计算'!M139&gt;0),'03_全链计算'!$H$86,0),IF(OR('03_全链计算'!M11&gt;0,'03_全链计算'!M140&gt;0),'03_全链计算'!$I$86,0),IF(OR('03_全链计算'!M12&gt;0,'03_全链计算'!M141&gt;0),'03_全链计算'!$J$86,0),IF(OR('03_全链计算'!M13&gt;0,'03_全链计算'!M142&gt;0),'03_全链计算'!$K$86,0),IF(OR('03_全链计算'!M14&gt;0,'03_全链计算'!M143&gt;0),'03_全链计算'!$L$86,0),IF(OR('03_全链计算'!M15&gt;0,'03_全链计算'!M144&gt;0),'03_全链计算'!$M$86,0),IF(OR('03_全链计算'!M16&gt;0,'03_全链计算'!M145&gt;0),'03_全链计算'!$N$86,0),IF(OR('03_全链计算'!M17&gt;0,'03_全链计算'!M146&gt;0),'03_全链计算'!$O$86,0),IF(OR('03_全链计算'!M18&gt;0,'03_全链计算'!M147&gt;0),'03_全链计算'!$P$86,0),IF(OR('03_全链计算'!M19&gt;0,'03_全链计算'!M148&gt;0),'03_全链计算'!$Q$86,0),IF(OR('03_全链计算'!M20&gt;0,'03_全链计算'!M149&gt;0),'03_全链计算'!$R$86,0),IF(OR('03_全链计算'!M21&gt;0,'03_全链计算'!M150&gt;0),'03_全链计算'!$S$86,0),IF(OR('03_全链计算'!M22&gt;0,'03_全链计算'!M151&gt;0),'03_全链计算'!$T$86,0),IF(OR('03_全链计算'!M23&gt;0,'03_全链计算'!M152&gt;0),'03_全链计算'!$U$86,0),IF(OR('03_全链计算'!M24&gt;0,'03_全链计算'!M153&gt;0),'03_全链计算'!$V$86,0),IF(OR('03_全链计算'!M25&gt;0,'03_全链计算'!M154&gt;0),'03_全链计算'!$W$86,0),IF(OR('03_全链计算'!M26&gt;0,'03_全链计算'!M155&gt;0),'03_全链计算'!$X$86,0),IF(OR('03_全链计算'!M27&gt;0,'03_全链计算'!M156&gt;0),'03_全链计算'!$Y$86,0),IF(OR('03_全链计算'!M28&gt;0,'03_全链计算'!M157&gt;0),'03_全链计算'!$Z$86,0),IF(OR('03_全链计算'!M29&gt;0,'03_全链计算'!M158&gt;0),'03_全链计算'!$AA$86,0),IF(OR('03_全链计算'!M30&gt;0,'03_全链计算'!M159&gt;0),'03_全链计算'!$AB$86,0),IF(OR('03_全链计算'!M31&gt;0,'03_全链计算'!M160&gt;0),'03_全链计算'!$AC$86,0),IF(OR('03_全链计算'!M32&gt;0,'03_全链计算'!M161&gt;0),'03_全链计算'!$AD$86,0),IF(OR('03_全链计算'!M33&gt;0,'03_全链计算'!M162&gt;0),'03_全链计算'!$AE$86,0),IF(OR('03_全链计算'!M34&gt;0,'03_全链计算'!M163&gt;0),'03_全链计算'!$AF$86,0),IF(OR('03_全链计算'!M35&gt;0,'03_全链计算'!M164&gt;0),'03_全链计算'!$AG$86,0),IF(OR('03_全链计算'!M36&gt;0,'03_全链计算'!M165&gt;0),'03_全链计算'!$AH$86,0),IF(OR('03_全链计算'!M37&gt;0,'03_全链计算'!M166&gt;0),'03_全链计算'!$AI$86,0),IF(OR('03_全链计算'!M38&gt;0,'03_全链计算'!M167&gt;0),'03_全链计算'!$AJ$86,0),IF(OR('03_全链计算'!M39&gt;0,'03_全链计算'!M168&gt;0),'03_全链计算'!$AK$86,0),IF(OR('03_全链计算'!M40&gt;0,'03_全链计算'!M169&gt;0),'03_全链计算'!$AL$86,0),IF(OR('03_全链计算'!M41&gt;0,'03_全链计算'!M170&gt;0),'03_全链计算'!$AM$86,0))=0</x:f>
        <x:v>1</x:v>
      </x:c>
      <x:c r="N89" s="9" t="b">
        <x:f>SUM(IF(OR('03_全链计算'!N7&gt;0,'03_全链计算'!N136&gt;0),'03_全链计算'!$E$86,0),IF(OR('03_全链计算'!N8&gt;0,'03_全链计算'!N137&gt;0),'03_全链计算'!$F$86,0),IF(OR('03_全链计算'!N9&gt;0,'03_全链计算'!N138&gt;0),'03_全链计算'!$G$86,0),IF(OR('03_全链计算'!N10&gt;0,'03_全链计算'!N139&gt;0),'03_全链计算'!$H$86,0),IF(OR('03_全链计算'!N11&gt;0,'03_全链计算'!N140&gt;0),'03_全链计算'!$I$86,0),IF(OR('03_全链计算'!N12&gt;0,'03_全链计算'!N141&gt;0),'03_全链计算'!$J$86,0),IF(OR('03_全链计算'!N13&gt;0,'03_全链计算'!N142&gt;0),'03_全链计算'!$K$86,0),IF(OR('03_全链计算'!N14&gt;0,'03_全链计算'!N143&gt;0),'03_全链计算'!$L$86,0),IF(OR('03_全链计算'!N15&gt;0,'03_全链计算'!N144&gt;0),'03_全链计算'!$M$86,0),IF(OR('03_全链计算'!N16&gt;0,'03_全链计算'!N145&gt;0),'03_全链计算'!$N$86,0),IF(OR('03_全链计算'!N17&gt;0,'03_全链计算'!N146&gt;0),'03_全链计算'!$O$86,0),IF(OR('03_全链计算'!N18&gt;0,'03_全链计算'!N147&gt;0),'03_全链计算'!$P$86,0),IF(OR('03_全链计算'!N19&gt;0,'03_全链计算'!N148&gt;0),'03_全链计算'!$Q$86,0),IF(OR('03_全链计算'!N20&gt;0,'03_全链计算'!N149&gt;0),'03_全链计算'!$R$86,0),IF(OR('03_全链计算'!N21&gt;0,'03_全链计算'!N150&gt;0),'03_全链计算'!$S$86,0),IF(OR('03_全链计算'!N22&gt;0,'03_全链计算'!N151&gt;0),'03_全链计算'!$T$86,0),IF(OR('03_全链计算'!N23&gt;0,'03_全链计算'!N152&gt;0),'03_全链计算'!$U$86,0),IF(OR('03_全链计算'!N24&gt;0,'03_全链计算'!N153&gt;0),'03_全链计算'!$V$86,0),IF(OR('03_全链计算'!N25&gt;0,'03_全链计算'!N154&gt;0),'03_全链计算'!$W$86,0),IF(OR('03_全链计算'!N26&gt;0,'03_全链计算'!N155&gt;0),'03_全链计算'!$X$86,0),IF(OR('03_全链计算'!N27&gt;0,'03_全链计算'!N156&gt;0),'03_全链计算'!$Y$86,0),IF(OR('03_全链计算'!N28&gt;0,'03_全链计算'!N157&gt;0),'03_全链计算'!$Z$86,0),IF(OR('03_全链计算'!N29&gt;0,'03_全链计算'!N158&gt;0),'03_全链计算'!$AA$86,0),IF(OR('03_全链计算'!N30&gt;0,'03_全链计算'!N159&gt;0),'03_全链计算'!$AB$86,0),IF(OR('03_全链计算'!N31&gt;0,'03_全链计算'!N160&gt;0),'03_全链计算'!$AC$86,0),IF(OR('03_全链计算'!N32&gt;0,'03_全链计算'!N161&gt;0),'03_全链计算'!$AD$86,0),IF(OR('03_全链计算'!N33&gt;0,'03_全链计算'!N162&gt;0),'03_全链计算'!$AE$86,0),IF(OR('03_全链计算'!N34&gt;0,'03_全链计算'!N163&gt;0),'03_全链计算'!$AF$86,0),IF(OR('03_全链计算'!N35&gt;0,'03_全链计算'!N164&gt;0),'03_全链计算'!$AG$86,0),IF(OR('03_全链计算'!N36&gt;0,'03_全链计算'!N165&gt;0),'03_全链计算'!$AH$86,0),IF(OR('03_全链计算'!N37&gt;0,'03_全链计算'!N166&gt;0),'03_全链计算'!$AI$86,0),IF(OR('03_全链计算'!N38&gt;0,'03_全链计算'!N167&gt;0),'03_全链计算'!$AJ$86,0),IF(OR('03_全链计算'!N39&gt;0,'03_全链计算'!N168&gt;0),'03_全链计算'!$AK$86,0),IF(OR('03_全链计算'!N40&gt;0,'03_全链计算'!N169&gt;0),'03_全链计算'!$AL$86,0),IF(OR('03_全链计算'!N41&gt;0,'03_全链计算'!N170&gt;0),'03_全链计算'!$AM$86,0))=0</x:f>
        <x:v>1</x:v>
      </x:c>
      <x:c r="O89" s="9" t="b">
        <x:f>SUM(IF(OR('03_全链计算'!O7&gt;0,'03_全链计算'!O136&gt;0),'03_全链计算'!$E$86,0),IF(OR('03_全链计算'!O8&gt;0,'03_全链计算'!O137&gt;0),'03_全链计算'!$F$86,0),IF(OR('03_全链计算'!O9&gt;0,'03_全链计算'!O138&gt;0),'03_全链计算'!$G$86,0),IF(OR('03_全链计算'!O10&gt;0,'03_全链计算'!O139&gt;0),'03_全链计算'!$H$86,0),IF(OR('03_全链计算'!O11&gt;0,'03_全链计算'!O140&gt;0),'03_全链计算'!$I$86,0),IF(OR('03_全链计算'!O12&gt;0,'03_全链计算'!O141&gt;0),'03_全链计算'!$J$86,0),IF(OR('03_全链计算'!O13&gt;0,'03_全链计算'!O142&gt;0),'03_全链计算'!$K$86,0),IF(OR('03_全链计算'!O14&gt;0,'03_全链计算'!O143&gt;0),'03_全链计算'!$L$86,0),IF(OR('03_全链计算'!O15&gt;0,'03_全链计算'!O144&gt;0),'03_全链计算'!$M$86,0),IF(OR('03_全链计算'!O16&gt;0,'03_全链计算'!O145&gt;0),'03_全链计算'!$N$86,0),IF(OR('03_全链计算'!O17&gt;0,'03_全链计算'!O146&gt;0),'03_全链计算'!$O$86,0),IF(OR('03_全链计算'!O18&gt;0,'03_全链计算'!O147&gt;0),'03_全链计算'!$P$86,0),IF(OR('03_全链计算'!O19&gt;0,'03_全链计算'!O148&gt;0),'03_全链计算'!$Q$86,0),IF(OR('03_全链计算'!O20&gt;0,'03_全链计算'!O149&gt;0),'03_全链计算'!$R$86,0),IF(OR('03_全链计算'!O21&gt;0,'03_全链计算'!O150&gt;0),'03_全链计算'!$S$86,0),IF(OR('03_全链计算'!O22&gt;0,'03_全链计算'!O151&gt;0),'03_全链计算'!$T$86,0),IF(OR('03_全链计算'!O23&gt;0,'03_全链计算'!O152&gt;0),'03_全链计算'!$U$86,0),IF(OR('03_全链计算'!O24&gt;0,'03_全链计算'!O153&gt;0),'03_全链计算'!$V$86,0),IF(OR('03_全链计算'!O25&gt;0,'03_全链计算'!O154&gt;0),'03_全链计算'!$W$86,0),IF(OR('03_全链计算'!O26&gt;0,'03_全链计算'!O155&gt;0),'03_全链计算'!$X$86,0),IF(OR('03_全链计算'!O27&gt;0,'03_全链计算'!O156&gt;0),'03_全链计算'!$Y$86,0),IF(OR('03_全链计算'!O28&gt;0,'03_全链计算'!O157&gt;0),'03_全链计算'!$Z$86,0),IF(OR('03_全链计算'!O29&gt;0,'03_全链计算'!O158&gt;0),'03_全链计算'!$AA$86,0),IF(OR('03_全链计算'!O30&gt;0,'03_全链计算'!O159&gt;0),'03_全链计算'!$AB$86,0),IF(OR('03_全链计算'!O31&gt;0,'03_全链计算'!O160&gt;0),'03_全链计算'!$AC$86,0),IF(OR('03_全链计算'!O32&gt;0,'03_全链计算'!O161&gt;0),'03_全链计算'!$AD$86,0),IF(OR('03_全链计算'!O33&gt;0,'03_全链计算'!O162&gt;0),'03_全链计算'!$AE$86,0),IF(OR('03_全链计算'!O34&gt;0,'03_全链计算'!O163&gt;0),'03_全链计算'!$AF$86,0),IF(OR('03_全链计算'!O35&gt;0,'03_全链计算'!O164&gt;0),'03_全链计算'!$AG$86,0),IF(OR('03_全链计算'!O36&gt;0,'03_全链计算'!O165&gt;0),'03_全链计算'!$AH$86,0),IF(OR('03_全链计算'!O37&gt;0,'03_全链计算'!O166&gt;0),'03_全链计算'!$AI$86,0),IF(OR('03_全链计算'!O38&gt;0,'03_全链计算'!O167&gt;0),'03_全链计算'!$AJ$86,0),IF(OR('03_全链计算'!O39&gt;0,'03_全链计算'!O168&gt;0),'03_全链计算'!$AK$86,0),IF(OR('03_全链计算'!O40&gt;0,'03_全链计算'!O169&gt;0),'03_全链计算'!$AL$86,0),IF(OR('03_全链计算'!O41&gt;0,'03_全链计算'!O170&gt;0),'03_全链计算'!$AM$86,0))=0</x:f>
        <x:v>1</x:v>
      </x:c>
      <x:c r="P89" s="9" t="b">
        <x:f>SUM(IF(OR('03_全链计算'!P7&gt;0,'03_全链计算'!P136&gt;0),'03_全链计算'!$E$86,0),IF(OR('03_全链计算'!P8&gt;0,'03_全链计算'!P137&gt;0),'03_全链计算'!$F$86,0),IF(OR('03_全链计算'!P9&gt;0,'03_全链计算'!P138&gt;0),'03_全链计算'!$G$86,0),IF(OR('03_全链计算'!P10&gt;0,'03_全链计算'!P139&gt;0),'03_全链计算'!$H$86,0),IF(OR('03_全链计算'!P11&gt;0,'03_全链计算'!P140&gt;0),'03_全链计算'!$I$86,0),IF(OR('03_全链计算'!P12&gt;0,'03_全链计算'!P141&gt;0),'03_全链计算'!$J$86,0),IF(OR('03_全链计算'!P13&gt;0,'03_全链计算'!P142&gt;0),'03_全链计算'!$K$86,0),IF(OR('03_全链计算'!P14&gt;0,'03_全链计算'!P143&gt;0),'03_全链计算'!$L$86,0),IF(OR('03_全链计算'!P15&gt;0,'03_全链计算'!P144&gt;0),'03_全链计算'!$M$86,0),IF(OR('03_全链计算'!P16&gt;0,'03_全链计算'!P145&gt;0),'03_全链计算'!$N$86,0),IF(OR('03_全链计算'!P17&gt;0,'03_全链计算'!P146&gt;0),'03_全链计算'!$O$86,0),IF(OR('03_全链计算'!P18&gt;0,'03_全链计算'!P147&gt;0),'03_全链计算'!$P$86,0),IF(OR('03_全链计算'!P19&gt;0,'03_全链计算'!P148&gt;0),'03_全链计算'!$Q$86,0),IF(OR('03_全链计算'!P20&gt;0,'03_全链计算'!P149&gt;0),'03_全链计算'!$R$86,0),IF(OR('03_全链计算'!P21&gt;0,'03_全链计算'!P150&gt;0),'03_全链计算'!$S$86,0),IF(OR('03_全链计算'!P22&gt;0,'03_全链计算'!P151&gt;0),'03_全链计算'!$T$86,0),IF(OR('03_全链计算'!P23&gt;0,'03_全链计算'!P152&gt;0),'03_全链计算'!$U$86,0),IF(OR('03_全链计算'!P24&gt;0,'03_全链计算'!P153&gt;0),'03_全链计算'!$V$86,0),IF(OR('03_全链计算'!P25&gt;0,'03_全链计算'!P154&gt;0),'03_全链计算'!$W$86,0),IF(OR('03_全链计算'!P26&gt;0,'03_全链计算'!P155&gt;0),'03_全链计算'!$X$86,0),IF(OR('03_全链计算'!P27&gt;0,'03_全链计算'!P156&gt;0),'03_全链计算'!$Y$86,0),IF(OR('03_全链计算'!P28&gt;0,'03_全链计算'!P157&gt;0),'03_全链计算'!$Z$86,0),IF(OR('03_全链计算'!P29&gt;0,'03_全链计算'!P158&gt;0),'03_全链计算'!$AA$86,0),IF(OR('03_全链计算'!P30&gt;0,'03_全链计算'!P159&gt;0),'03_全链计算'!$AB$86,0),IF(OR('03_全链计算'!P31&gt;0,'03_全链计算'!P160&gt;0),'03_全链计算'!$AC$86,0),IF(OR('03_全链计算'!P32&gt;0,'03_全链计算'!P161&gt;0),'03_全链计算'!$AD$86,0),IF(OR('03_全链计算'!P33&gt;0,'03_全链计算'!P162&gt;0),'03_全链计算'!$AE$86,0),IF(OR('03_全链计算'!P34&gt;0,'03_全链计算'!P163&gt;0),'03_全链计算'!$AF$86,0),IF(OR('03_全链计算'!P35&gt;0,'03_全链计算'!P164&gt;0),'03_全链计算'!$AG$86,0),IF(OR('03_全链计算'!P36&gt;0,'03_全链计算'!P165&gt;0),'03_全链计算'!$AH$86,0),IF(OR('03_全链计算'!P37&gt;0,'03_全链计算'!P166&gt;0),'03_全链计算'!$AI$86,0),IF(OR('03_全链计算'!P38&gt;0,'03_全链计算'!P167&gt;0),'03_全链计算'!$AJ$86,0),IF(OR('03_全链计算'!P39&gt;0,'03_全链计算'!P168&gt;0),'03_全链计算'!$AK$86,0),IF(OR('03_全链计算'!P40&gt;0,'03_全链计算'!P169&gt;0),'03_全链计算'!$AL$86,0),IF(OR('03_全链计算'!P41&gt;0,'03_全链计算'!P170&gt;0),'03_全链计算'!$AM$86,0))=0</x:f>
        <x:v>1</x:v>
      </x:c>
      <x:c r="Q89" s="9" t="b">
        <x:f>SUM(IF(OR('03_全链计算'!Q7&gt;0,'03_全链计算'!Q136&gt;0),'03_全链计算'!$E$86,0),IF(OR('03_全链计算'!Q8&gt;0,'03_全链计算'!Q137&gt;0),'03_全链计算'!$F$86,0),IF(OR('03_全链计算'!Q9&gt;0,'03_全链计算'!Q138&gt;0),'03_全链计算'!$G$86,0),IF(OR('03_全链计算'!Q10&gt;0,'03_全链计算'!Q139&gt;0),'03_全链计算'!$H$86,0),IF(OR('03_全链计算'!Q11&gt;0,'03_全链计算'!Q140&gt;0),'03_全链计算'!$I$86,0),IF(OR('03_全链计算'!Q12&gt;0,'03_全链计算'!Q141&gt;0),'03_全链计算'!$J$86,0),IF(OR('03_全链计算'!Q13&gt;0,'03_全链计算'!Q142&gt;0),'03_全链计算'!$K$86,0),IF(OR('03_全链计算'!Q14&gt;0,'03_全链计算'!Q143&gt;0),'03_全链计算'!$L$86,0),IF(OR('03_全链计算'!Q15&gt;0,'03_全链计算'!Q144&gt;0),'03_全链计算'!$M$86,0),IF(OR('03_全链计算'!Q16&gt;0,'03_全链计算'!Q145&gt;0),'03_全链计算'!$N$86,0),IF(OR('03_全链计算'!Q17&gt;0,'03_全链计算'!Q146&gt;0),'03_全链计算'!$O$86,0),IF(OR('03_全链计算'!Q18&gt;0,'03_全链计算'!Q147&gt;0),'03_全链计算'!$P$86,0),IF(OR('03_全链计算'!Q19&gt;0,'03_全链计算'!Q148&gt;0),'03_全链计算'!$Q$86,0),IF(OR('03_全链计算'!Q20&gt;0,'03_全链计算'!Q149&gt;0),'03_全链计算'!$R$86,0),IF(OR('03_全链计算'!Q21&gt;0,'03_全链计算'!Q150&gt;0),'03_全链计算'!$S$86,0),IF(OR('03_全链计算'!Q22&gt;0,'03_全链计算'!Q151&gt;0),'03_全链计算'!$T$86,0),IF(OR('03_全链计算'!Q23&gt;0,'03_全链计算'!Q152&gt;0),'03_全链计算'!$U$86,0),IF(OR('03_全链计算'!Q24&gt;0,'03_全链计算'!Q153&gt;0),'03_全链计算'!$V$86,0),IF(OR('03_全链计算'!Q25&gt;0,'03_全链计算'!Q154&gt;0),'03_全链计算'!$W$86,0),IF(OR('03_全链计算'!Q26&gt;0,'03_全链计算'!Q155&gt;0),'03_全链计算'!$X$86,0),IF(OR('03_全链计算'!Q27&gt;0,'03_全链计算'!Q156&gt;0),'03_全链计算'!$Y$86,0),IF(OR('03_全链计算'!Q28&gt;0,'03_全链计算'!Q157&gt;0),'03_全链计算'!$Z$86,0),IF(OR('03_全链计算'!Q29&gt;0,'03_全链计算'!Q158&gt;0),'03_全链计算'!$AA$86,0),IF(OR('03_全链计算'!Q30&gt;0,'03_全链计算'!Q159&gt;0),'03_全链计算'!$AB$86,0),IF(OR('03_全链计算'!Q31&gt;0,'03_全链计算'!Q160&gt;0),'03_全链计算'!$AC$86,0),IF(OR('03_全链计算'!Q32&gt;0,'03_全链计算'!Q161&gt;0),'03_全链计算'!$AD$86,0),IF(OR('03_全链计算'!Q33&gt;0,'03_全链计算'!Q162&gt;0),'03_全链计算'!$AE$86,0),IF(OR('03_全链计算'!Q34&gt;0,'03_全链计算'!Q163&gt;0),'03_全链计算'!$AF$86,0),IF(OR('03_全链计算'!Q35&gt;0,'03_全链计算'!Q164&gt;0),'03_全链计算'!$AG$86,0),IF(OR('03_全链计算'!Q36&gt;0,'03_全链计算'!Q165&gt;0),'03_全链计算'!$AH$86,0),IF(OR('03_全链计算'!Q37&gt;0,'03_全链计算'!Q166&gt;0),'03_全链计算'!$AI$86,0),IF(OR('03_全链计算'!Q38&gt;0,'03_全链计算'!Q167&gt;0),'03_全链计算'!$AJ$86,0),IF(OR('03_全链计算'!Q39&gt;0,'03_全链计算'!Q168&gt;0),'03_全链计算'!$AK$86,0),IF(OR('03_全链计算'!Q40&gt;0,'03_全链计算'!Q169&gt;0),'03_全链计算'!$AL$86,0),IF(OR('03_全链计算'!Q41&gt;0,'03_全链计算'!Q170&gt;0),'03_全链计算'!$AM$86,0))=0</x:f>
        <x:v>1</x:v>
      </x:c>
      <x:c r="R89" s="9" t="b">
        <x:f>SUM(IF(OR('03_全链计算'!R7&gt;0,'03_全链计算'!R136&gt;0),'03_全链计算'!$E$86,0),IF(OR('03_全链计算'!R8&gt;0,'03_全链计算'!R137&gt;0),'03_全链计算'!$F$86,0),IF(OR('03_全链计算'!R9&gt;0,'03_全链计算'!R138&gt;0),'03_全链计算'!$G$86,0),IF(OR('03_全链计算'!R10&gt;0,'03_全链计算'!R139&gt;0),'03_全链计算'!$H$86,0),IF(OR('03_全链计算'!R11&gt;0,'03_全链计算'!R140&gt;0),'03_全链计算'!$I$86,0),IF(OR('03_全链计算'!R12&gt;0,'03_全链计算'!R141&gt;0),'03_全链计算'!$J$86,0),IF(OR('03_全链计算'!R13&gt;0,'03_全链计算'!R142&gt;0),'03_全链计算'!$K$86,0),IF(OR('03_全链计算'!R14&gt;0,'03_全链计算'!R143&gt;0),'03_全链计算'!$L$86,0),IF(OR('03_全链计算'!R15&gt;0,'03_全链计算'!R144&gt;0),'03_全链计算'!$M$86,0),IF(OR('03_全链计算'!R16&gt;0,'03_全链计算'!R145&gt;0),'03_全链计算'!$N$86,0),IF(OR('03_全链计算'!R17&gt;0,'03_全链计算'!R146&gt;0),'03_全链计算'!$O$86,0),IF(OR('03_全链计算'!R18&gt;0,'03_全链计算'!R147&gt;0),'03_全链计算'!$P$86,0),IF(OR('03_全链计算'!R19&gt;0,'03_全链计算'!R148&gt;0),'03_全链计算'!$Q$86,0),IF(OR('03_全链计算'!R20&gt;0,'03_全链计算'!R149&gt;0),'03_全链计算'!$R$86,0),IF(OR('03_全链计算'!R21&gt;0,'03_全链计算'!R150&gt;0),'03_全链计算'!$S$86,0),IF(OR('03_全链计算'!R22&gt;0,'03_全链计算'!R151&gt;0),'03_全链计算'!$T$86,0),IF(OR('03_全链计算'!R23&gt;0,'03_全链计算'!R152&gt;0),'03_全链计算'!$U$86,0),IF(OR('03_全链计算'!R24&gt;0,'03_全链计算'!R153&gt;0),'03_全链计算'!$V$86,0),IF(OR('03_全链计算'!R25&gt;0,'03_全链计算'!R154&gt;0),'03_全链计算'!$W$86,0),IF(OR('03_全链计算'!R26&gt;0,'03_全链计算'!R155&gt;0),'03_全链计算'!$X$86,0),IF(OR('03_全链计算'!R27&gt;0,'03_全链计算'!R156&gt;0),'03_全链计算'!$Y$86,0),IF(OR('03_全链计算'!R28&gt;0,'03_全链计算'!R157&gt;0),'03_全链计算'!$Z$86,0),IF(OR('03_全链计算'!R29&gt;0,'03_全链计算'!R158&gt;0),'03_全链计算'!$AA$86,0),IF(OR('03_全链计算'!R30&gt;0,'03_全链计算'!R159&gt;0),'03_全链计算'!$AB$86,0),IF(OR('03_全链计算'!R31&gt;0,'03_全链计算'!R160&gt;0),'03_全链计算'!$AC$86,0),IF(OR('03_全链计算'!R32&gt;0,'03_全链计算'!R161&gt;0),'03_全链计算'!$AD$86,0),IF(OR('03_全链计算'!R33&gt;0,'03_全链计算'!R162&gt;0),'03_全链计算'!$AE$86,0),IF(OR('03_全链计算'!R34&gt;0,'03_全链计算'!R163&gt;0),'03_全链计算'!$AF$86,0),IF(OR('03_全链计算'!R35&gt;0,'03_全链计算'!R164&gt;0),'03_全链计算'!$AG$86,0),IF(OR('03_全链计算'!R36&gt;0,'03_全链计算'!R165&gt;0),'03_全链计算'!$AH$86,0),IF(OR('03_全链计算'!R37&gt;0,'03_全链计算'!R166&gt;0),'03_全链计算'!$AI$86,0),IF(OR('03_全链计算'!R38&gt;0,'03_全链计算'!R167&gt;0),'03_全链计算'!$AJ$86,0),IF(OR('03_全链计算'!R39&gt;0,'03_全链计算'!R168&gt;0),'03_全链计算'!$AK$86,0),IF(OR('03_全链计算'!R40&gt;0,'03_全链计算'!R169&gt;0),'03_全链计算'!$AL$86,0),IF(OR('03_全链计算'!R41&gt;0,'03_全链计算'!R170&gt;0),'03_全链计算'!$AM$86,0))=0</x:f>
        <x:v>1</x:v>
      </x:c>
      <x:c r="S89" s="9" t="b">
        <x:f>SUM(IF(OR('03_全链计算'!S7&gt;0,'03_全链计算'!S136&gt;0),'03_全链计算'!$E$86,0),IF(OR('03_全链计算'!S8&gt;0,'03_全链计算'!S137&gt;0),'03_全链计算'!$F$86,0),IF(OR('03_全链计算'!S9&gt;0,'03_全链计算'!S138&gt;0),'03_全链计算'!$G$86,0),IF(OR('03_全链计算'!S10&gt;0,'03_全链计算'!S139&gt;0),'03_全链计算'!$H$86,0),IF(OR('03_全链计算'!S11&gt;0,'03_全链计算'!S140&gt;0),'03_全链计算'!$I$86,0),IF(OR('03_全链计算'!S12&gt;0,'03_全链计算'!S141&gt;0),'03_全链计算'!$J$86,0),IF(OR('03_全链计算'!S13&gt;0,'03_全链计算'!S142&gt;0),'03_全链计算'!$K$86,0),IF(OR('03_全链计算'!S14&gt;0,'03_全链计算'!S143&gt;0),'03_全链计算'!$L$86,0),IF(OR('03_全链计算'!S15&gt;0,'03_全链计算'!S144&gt;0),'03_全链计算'!$M$86,0),IF(OR('03_全链计算'!S16&gt;0,'03_全链计算'!S145&gt;0),'03_全链计算'!$N$86,0),IF(OR('03_全链计算'!S17&gt;0,'03_全链计算'!S146&gt;0),'03_全链计算'!$O$86,0),IF(OR('03_全链计算'!S18&gt;0,'03_全链计算'!S147&gt;0),'03_全链计算'!$P$86,0),IF(OR('03_全链计算'!S19&gt;0,'03_全链计算'!S148&gt;0),'03_全链计算'!$Q$86,0),IF(OR('03_全链计算'!S20&gt;0,'03_全链计算'!S149&gt;0),'03_全链计算'!$R$86,0),IF(OR('03_全链计算'!S21&gt;0,'03_全链计算'!S150&gt;0),'03_全链计算'!$S$86,0),IF(OR('03_全链计算'!S22&gt;0,'03_全链计算'!S151&gt;0),'03_全链计算'!$T$86,0),IF(OR('03_全链计算'!S23&gt;0,'03_全链计算'!S152&gt;0),'03_全链计算'!$U$86,0),IF(OR('03_全链计算'!S24&gt;0,'03_全链计算'!S153&gt;0),'03_全链计算'!$V$86,0),IF(OR('03_全链计算'!S25&gt;0,'03_全链计算'!S154&gt;0),'03_全链计算'!$W$86,0),IF(OR('03_全链计算'!S26&gt;0,'03_全链计算'!S155&gt;0),'03_全链计算'!$X$86,0),IF(OR('03_全链计算'!S27&gt;0,'03_全链计算'!S156&gt;0),'03_全链计算'!$Y$86,0),IF(OR('03_全链计算'!S28&gt;0,'03_全链计算'!S157&gt;0),'03_全链计算'!$Z$86,0),IF(OR('03_全链计算'!S29&gt;0,'03_全链计算'!S158&gt;0),'03_全链计算'!$AA$86,0),IF(OR('03_全链计算'!S30&gt;0,'03_全链计算'!S159&gt;0),'03_全链计算'!$AB$86,0),IF(OR('03_全链计算'!S31&gt;0,'03_全链计算'!S160&gt;0),'03_全链计算'!$AC$86,0),IF(OR('03_全链计算'!S32&gt;0,'03_全链计算'!S161&gt;0),'03_全链计算'!$AD$86,0),IF(OR('03_全链计算'!S33&gt;0,'03_全链计算'!S162&gt;0),'03_全链计算'!$AE$86,0),IF(OR('03_全链计算'!S34&gt;0,'03_全链计算'!S163&gt;0),'03_全链计算'!$AF$86,0),IF(OR('03_全链计算'!S35&gt;0,'03_全链计算'!S164&gt;0),'03_全链计算'!$AG$86,0),IF(OR('03_全链计算'!S36&gt;0,'03_全链计算'!S165&gt;0),'03_全链计算'!$AH$86,0),IF(OR('03_全链计算'!S37&gt;0,'03_全链计算'!S166&gt;0),'03_全链计算'!$AI$86,0),IF(OR('03_全链计算'!S38&gt;0,'03_全链计算'!S167&gt;0),'03_全链计算'!$AJ$86,0),IF(OR('03_全链计算'!S39&gt;0,'03_全链计算'!S168&gt;0),'03_全链计算'!$AK$86,0),IF(OR('03_全链计算'!S40&gt;0,'03_全链计算'!S169&gt;0),'03_全链计算'!$AL$86,0),IF(OR('03_全链计算'!S41&gt;0,'03_全链计算'!S170&gt;0),'03_全链计算'!$AM$86,0))=0</x:f>
        <x:v>1</x:v>
      </x:c>
      <x:c r="T89" s="9" t="b">
        <x:f>SUM(IF(OR('03_全链计算'!T7&gt;0,'03_全链计算'!T136&gt;0),'03_全链计算'!$E$86,0),IF(OR('03_全链计算'!T8&gt;0,'03_全链计算'!T137&gt;0),'03_全链计算'!$F$86,0),IF(OR('03_全链计算'!T9&gt;0,'03_全链计算'!T138&gt;0),'03_全链计算'!$G$86,0),IF(OR('03_全链计算'!T10&gt;0,'03_全链计算'!T139&gt;0),'03_全链计算'!$H$86,0),IF(OR('03_全链计算'!T11&gt;0,'03_全链计算'!T140&gt;0),'03_全链计算'!$I$86,0),IF(OR('03_全链计算'!T12&gt;0,'03_全链计算'!T141&gt;0),'03_全链计算'!$J$86,0),IF(OR('03_全链计算'!T13&gt;0,'03_全链计算'!T142&gt;0),'03_全链计算'!$K$86,0),IF(OR('03_全链计算'!T14&gt;0,'03_全链计算'!T143&gt;0),'03_全链计算'!$L$86,0),IF(OR('03_全链计算'!T15&gt;0,'03_全链计算'!T144&gt;0),'03_全链计算'!$M$86,0),IF(OR('03_全链计算'!T16&gt;0,'03_全链计算'!T145&gt;0),'03_全链计算'!$N$86,0),IF(OR('03_全链计算'!T17&gt;0,'03_全链计算'!T146&gt;0),'03_全链计算'!$O$86,0),IF(OR('03_全链计算'!T18&gt;0,'03_全链计算'!T147&gt;0),'03_全链计算'!$P$86,0),IF(OR('03_全链计算'!T19&gt;0,'03_全链计算'!T148&gt;0),'03_全链计算'!$Q$86,0),IF(OR('03_全链计算'!T20&gt;0,'03_全链计算'!T149&gt;0),'03_全链计算'!$R$86,0),IF(OR('03_全链计算'!T21&gt;0,'03_全链计算'!T150&gt;0),'03_全链计算'!$S$86,0),IF(OR('03_全链计算'!T22&gt;0,'03_全链计算'!T151&gt;0),'03_全链计算'!$T$86,0),IF(OR('03_全链计算'!T23&gt;0,'03_全链计算'!T152&gt;0),'03_全链计算'!$U$86,0),IF(OR('03_全链计算'!T24&gt;0,'03_全链计算'!T153&gt;0),'03_全链计算'!$V$86,0),IF(OR('03_全链计算'!T25&gt;0,'03_全链计算'!T154&gt;0),'03_全链计算'!$W$86,0),IF(OR('03_全链计算'!T26&gt;0,'03_全链计算'!T155&gt;0),'03_全链计算'!$X$86,0),IF(OR('03_全链计算'!T27&gt;0,'03_全链计算'!T156&gt;0),'03_全链计算'!$Y$86,0),IF(OR('03_全链计算'!T28&gt;0,'03_全链计算'!T157&gt;0),'03_全链计算'!$Z$86,0),IF(OR('03_全链计算'!T29&gt;0,'03_全链计算'!T158&gt;0),'03_全链计算'!$AA$86,0),IF(OR('03_全链计算'!T30&gt;0,'03_全链计算'!T159&gt;0),'03_全链计算'!$AB$86,0),IF(OR('03_全链计算'!T31&gt;0,'03_全链计算'!T160&gt;0),'03_全链计算'!$AC$86,0),IF(OR('03_全链计算'!T32&gt;0,'03_全链计算'!T161&gt;0),'03_全链计算'!$AD$86,0),IF(OR('03_全链计算'!T33&gt;0,'03_全链计算'!T162&gt;0),'03_全链计算'!$AE$86,0),IF(OR('03_全链计算'!T34&gt;0,'03_全链计算'!T163&gt;0),'03_全链计算'!$AF$86,0),IF(OR('03_全链计算'!T35&gt;0,'03_全链计算'!T164&gt;0),'03_全链计算'!$AG$86,0),IF(OR('03_全链计算'!T36&gt;0,'03_全链计算'!T165&gt;0),'03_全链计算'!$AH$86,0),IF(OR('03_全链计算'!T37&gt;0,'03_全链计算'!T166&gt;0),'03_全链计算'!$AI$86,0),IF(OR('03_全链计算'!T38&gt;0,'03_全链计算'!T167&gt;0),'03_全链计算'!$AJ$86,0),IF(OR('03_全链计算'!T39&gt;0,'03_全链计算'!T168&gt;0),'03_全链计算'!$AK$86,0),IF(OR('03_全链计算'!T40&gt;0,'03_全链计算'!T169&gt;0),'03_全链计算'!$AL$86,0),IF(OR('03_全链计算'!T41&gt;0,'03_全链计算'!T170&gt;0),'03_全链计算'!$AM$86,0))=0</x:f>
        <x:v>1</x:v>
      </x:c>
      <x:c r="U89" s="9" t="b">
        <x:f>SUM(IF(OR('03_全链计算'!U7&gt;0,'03_全链计算'!U136&gt;0),'03_全链计算'!$E$86,0),IF(OR('03_全链计算'!U8&gt;0,'03_全链计算'!U137&gt;0),'03_全链计算'!$F$86,0),IF(OR('03_全链计算'!U9&gt;0,'03_全链计算'!U138&gt;0),'03_全链计算'!$G$86,0),IF(OR('03_全链计算'!U10&gt;0,'03_全链计算'!U139&gt;0),'03_全链计算'!$H$86,0),IF(OR('03_全链计算'!U11&gt;0,'03_全链计算'!U140&gt;0),'03_全链计算'!$I$86,0),IF(OR('03_全链计算'!U12&gt;0,'03_全链计算'!U141&gt;0),'03_全链计算'!$J$86,0),IF(OR('03_全链计算'!U13&gt;0,'03_全链计算'!U142&gt;0),'03_全链计算'!$K$86,0),IF(OR('03_全链计算'!U14&gt;0,'03_全链计算'!U143&gt;0),'03_全链计算'!$L$86,0),IF(OR('03_全链计算'!U15&gt;0,'03_全链计算'!U144&gt;0),'03_全链计算'!$M$86,0),IF(OR('03_全链计算'!U16&gt;0,'03_全链计算'!U145&gt;0),'03_全链计算'!$N$86,0),IF(OR('03_全链计算'!U17&gt;0,'03_全链计算'!U146&gt;0),'03_全链计算'!$O$86,0),IF(OR('03_全链计算'!U18&gt;0,'03_全链计算'!U147&gt;0),'03_全链计算'!$P$86,0),IF(OR('03_全链计算'!U19&gt;0,'03_全链计算'!U148&gt;0),'03_全链计算'!$Q$86,0),IF(OR('03_全链计算'!U20&gt;0,'03_全链计算'!U149&gt;0),'03_全链计算'!$R$86,0),IF(OR('03_全链计算'!U21&gt;0,'03_全链计算'!U150&gt;0),'03_全链计算'!$S$86,0),IF(OR('03_全链计算'!U22&gt;0,'03_全链计算'!U151&gt;0),'03_全链计算'!$T$86,0),IF(OR('03_全链计算'!U23&gt;0,'03_全链计算'!U152&gt;0),'03_全链计算'!$U$86,0),IF(OR('03_全链计算'!U24&gt;0,'03_全链计算'!U153&gt;0),'03_全链计算'!$V$86,0),IF(OR('03_全链计算'!U25&gt;0,'03_全链计算'!U154&gt;0),'03_全链计算'!$W$86,0),IF(OR('03_全链计算'!U26&gt;0,'03_全链计算'!U155&gt;0),'03_全链计算'!$X$86,0),IF(OR('03_全链计算'!U27&gt;0,'03_全链计算'!U156&gt;0),'03_全链计算'!$Y$86,0),IF(OR('03_全链计算'!U28&gt;0,'03_全链计算'!U157&gt;0),'03_全链计算'!$Z$86,0),IF(OR('03_全链计算'!U29&gt;0,'03_全链计算'!U158&gt;0),'03_全链计算'!$AA$86,0),IF(OR('03_全链计算'!U30&gt;0,'03_全链计算'!U159&gt;0),'03_全链计算'!$AB$86,0),IF(OR('03_全链计算'!U31&gt;0,'03_全链计算'!U160&gt;0),'03_全链计算'!$AC$86,0),IF(OR('03_全链计算'!U32&gt;0,'03_全链计算'!U161&gt;0),'03_全链计算'!$AD$86,0),IF(OR('03_全链计算'!U33&gt;0,'03_全链计算'!U162&gt;0),'03_全链计算'!$AE$86,0),IF(OR('03_全链计算'!U34&gt;0,'03_全链计算'!U163&gt;0),'03_全链计算'!$AF$86,0),IF(OR('03_全链计算'!U35&gt;0,'03_全链计算'!U164&gt;0),'03_全链计算'!$AG$86,0),IF(OR('03_全链计算'!U36&gt;0,'03_全链计算'!U165&gt;0),'03_全链计算'!$AH$86,0),IF(OR('03_全链计算'!U37&gt;0,'03_全链计算'!U166&gt;0),'03_全链计算'!$AI$86,0),IF(OR('03_全链计算'!U38&gt;0,'03_全链计算'!U167&gt;0),'03_全链计算'!$AJ$86,0),IF(OR('03_全链计算'!U39&gt;0,'03_全链计算'!U168&gt;0),'03_全链计算'!$AK$86,0),IF(OR('03_全链计算'!U40&gt;0,'03_全链计算'!U169&gt;0),'03_全链计算'!$AL$86,0),IF(OR('03_全链计算'!U41&gt;0,'03_全链计算'!U170&gt;0),'03_全链计算'!$AM$86,0))=0</x:f>
        <x:v>1</x:v>
      </x:c>
      <x:c r="V89" s="9" t="b">
        <x:f>SUM(IF(OR('03_全链计算'!V7&gt;0,'03_全链计算'!V136&gt;0),'03_全链计算'!$E$86,0),IF(OR('03_全链计算'!V8&gt;0,'03_全链计算'!V137&gt;0),'03_全链计算'!$F$86,0),IF(OR('03_全链计算'!V9&gt;0,'03_全链计算'!V138&gt;0),'03_全链计算'!$G$86,0),IF(OR('03_全链计算'!V10&gt;0,'03_全链计算'!V139&gt;0),'03_全链计算'!$H$86,0),IF(OR('03_全链计算'!V11&gt;0,'03_全链计算'!V140&gt;0),'03_全链计算'!$I$86,0),IF(OR('03_全链计算'!V12&gt;0,'03_全链计算'!V141&gt;0),'03_全链计算'!$J$86,0),IF(OR('03_全链计算'!V13&gt;0,'03_全链计算'!V142&gt;0),'03_全链计算'!$K$86,0),IF(OR('03_全链计算'!V14&gt;0,'03_全链计算'!V143&gt;0),'03_全链计算'!$L$86,0),IF(OR('03_全链计算'!V15&gt;0,'03_全链计算'!V144&gt;0),'03_全链计算'!$M$86,0),IF(OR('03_全链计算'!V16&gt;0,'03_全链计算'!V145&gt;0),'03_全链计算'!$N$86,0),IF(OR('03_全链计算'!V17&gt;0,'03_全链计算'!V146&gt;0),'03_全链计算'!$O$86,0),IF(OR('03_全链计算'!V18&gt;0,'03_全链计算'!V147&gt;0),'03_全链计算'!$P$86,0),IF(OR('03_全链计算'!V19&gt;0,'03_全链计算'!V148&gt;0),'03_全链计算'!$Q$86,0),IF(OR('03_全链计算'!V20&gt;0,'03_全链计算'!V149&gt;0),'03_全链计算'!$R$86,0),IF(OR('03_全链计算'!V21&gt;0,'03_全链计算'!V150&gt;0),'03_全链计算'!$S$86,0),IF(OR('03_全链计算'!V22&gt;0,'03_全链计算'!V151&gt;0),'03_全链计算'!$T$86,0),IF(OR('03_全链计算'!V23&gt;0,'03_全链计算'!V152&gt;0),'03_全链计算'!$U$86,0),IF(OR('03_全链计算'!V24&gt;0,'03_全链计算'!V153&gt;0),'03_全链计算'!$V$86,0),IF(OR('03_全链计算'!V25&gt;0,'03_全链计算'!V154&gt;0),'03_全链计算'!$W$86,0),IF(OR('03_全链计算'!V26&gt;0,'03_全链计算'!V155&gt;0),'03_全链计算'!$X$86,0),IF(OR('03_全链计算'!V27&gt;0,'03_全链计算'!V156&gt;0),'03_全链计算'!$Y$86,0),IF(OR('03_全链计算'!V28&gt;0,'03_全链计算'!V157&gt;0),'03_全链计算'!$Z$86,0),IF(OR('03_全链计算'!V29&gt;0,'03_全链计算'!V158&gt;0),'03_全链计算'!$AA$86,0),IF(OR('03_全链计算'!V30&gt;0,'03_全链计算'!V159&gt;0),'03_全链计算'!$AB$86,0),IF(OR('03_全链计算'!V31&gt;0,'03_全链计算'!V160&gt;0),'03_全链计算'!$AC$86,0),IF(OR('03_全链计算'!V32&gt;0,'03_全链计算'!V161&gt;0),'03_全链计算'!$AD$86,0),IF(OR('03_全链计算'!V33&gt;0,'03_全链计算'!V162&gt;0),'03_全链计算'!$AE$86,0),IF(OR('03_全链计算'!V34&gt;0,'03_全链计算'!V163&gt;0),'03_全链计算'!$AF$86,0),IF(OR('03_全链计算'!V35&gt;0,'03_全链计算'!V164&gt;0),'03_全链计算'!$AG$86,0),IF(OR('03_全链计算'!V36&gt;0,'03_全链计算'!V165&gt;0),'03_全链计算'!$AH$86,0),IF(OR('03_全链计算'!V37&gt;0,'03_全链计算'!V166&gt;0),'03_全链计算'!$AI$86,0),IF(OR('03_全链计算'!V38&gt;0,'03_全链计算'!V167&gt;0),'03_全链计算'!$AJ$86,0),IF(OR('03_全链计算'!V39&gt;0,'03_全链计算'!V168&gt;0),'03_全链计算'!$AK$86,0),IF(OR('03_全链计算'!V40&gt;0,'03_全链计算'!V169&gt;0),'03_全链计算'!$AL$86,0),IF(OR('03_全链计算'!V41&gt;0,'03_全链计算'!V170&gt;0),'03_全链计算'!$AM$86,0))=0</x:f>
        <x:v>1</x:v>
      </x:c>
      <x:c r="W89" s="9" t="b">
        <x:f>SUM(IF(OR('03_全链计算'!W7&gt;0,'03_全链计算'!W136&gt;0),'03_全链计算'!$E$86,0),IF(OR('03_全链计算'!W8&gt;0,'03_全链计算'!W137&gt;0),'03_全链计算'!$F$86,0),IF(OR('03_全链计算'!W9&gt;0,'03_全链计算'!W138&gt;0),'03_全链计算'!$G$86,0),IF(OR('03_全链计算'!W10&gt;0,'03_全链计算'!W139&gt;0),'03_全链计算'!$H$86,0),IF(OR('03_全链计算'!W11&gt;0,'03_全链计算'!W140&gt;0),'03_全链计算'!$I$86,0),IF(OR('03_全链计算'!W12&gt;0,'03_全链计算'!W141&gt;0),'03_全链计算'!$J$86,0),IF(OR('03_全链计算'!W13&gt;0,'03_全链计算'!W142&gt;0),'03_全链计算'!$K$86,0),IF(OR('03_全链计算'!W14&gt;0,'03_全链计算'!W143&gt;0),'03_全链计算'!$L$86,0),IF(OR('03_全链计算'!W15&gt;0,'03_全链计算'!W144&gt;0),'03_全链计算'!$M$86,0),IF(OR('03_全链计算'!W16&gt;0,'03_全链计算'!W145&gt;0),'03_全链计算'!$N$86,0),IF(OR('03_全链计算'!W17&gt;0,'03_全链计算'!W146&gt;0),'03_全链计算'!$O$86,0),IF(OR('03_全链计算'!W18&gt;0,'03_全链计算'!W147&gt;0),'03_全链计算'!$P$86,0),IF(OR('03_全链计算'!W19&gt;0,'03_全链计算'!W148&gt;0),'03_全链计算'!$Q$86,0),IF(OR('03_全链计算'!W20&gt;0,'03_全链计算'!W149&gt;0),'03_全链计算'!$R$86,0),IF(OR('03_全链计算'!W21&gt;0,'03_全链计算'!W150&gt;0),'03_全链计算'!$S$86,0),IF(OR('03_全链计算'!W22&gt;0,'03_全链计算'!W151&gt;0),'03_全链计算'!$T$86,0),IF(OR('03_全链计算'!W23&gt;0,'03_全链计算'!W152&gt;0),'03_全链计算'!$U$86,0),IF(OR('03_全链计算'!W24&gt;0,'03_全链计算'!W153&gt;0),'03_全链计算'!$V$86,0),IF(OR('03_全链计算'!W25&gt;0,'03_全链计算'!W154&gt;0),'03_全链计算'!$W$86,0),IF(OR('03_全链计算'!W26&gt;0,'03_全链计算'!W155&gt;0),'03_全链计算'!$X$86,0),IF(OR('03_全链计算'!W27&gt;0,'03_全链计算'!W156&gt;0),'03_全链计算'!$Y$86,0),IF(OR('03_全链计算'!W28&gt;0,'03_全链计算'!W157&gt;0),'03_全链计算'!$Z$86,0),IF(OR('03_全链计算'!W29&gt;0,'03_全链计算'!W158&gt;0),'03_全链计算'!$AA$86,0),IF(OR('03_全链计算'!W30&gt;0,'03_全链计算'!W159&gt;0),'03_全链计算'!$AB$86,0),IF(OR('03_全链计算'!W31&gt;0,'03_全链计算'!W160&gt;0),'03_全链计算'!$AC$86,0),IF(OR('03_全链计算'!W32&gt;0,'03_全链计算'!W161&gt;0),'03_全链计算'!$AD$86,0),IF(OR('03_全链计算'!W33&gt;0,'03_全链计算'!W162&gt;0),'03_全链计算'!$AE$86,0),IF(OR('03_全链计算'!W34&gt;0,'03_全链计算'!W163&gt;0),'03_全链计算'!$AF$86,0),IF(OR('03_全链计算'!W35&gt;0,'03_全链计算'!W164&gt;0),'03_全链计算'!$AG$86,0),IF(OR('03_全链计算'!W36&gt;0,'03_全链计算'!W165&gt;0),'03_全链计算'!$AH$86,0),IF(OR('03_全链计算'!W37&gt;0,'03_全链计算'!W166&gt;0),'03_全链计算'!$AI$86,0),IF(OR('03_全链计算'!W38&gt;0,'03_全链计算'!W167&gt;0),'03_全链计算'!$AJ$86,0),IF(OR('03_全链计算'!W39&gt;0,'03_全链计算'!W168&gt;0),'03_全链计算'!$AK$86,0),IF(OR('03_全链计算'!W40&gt;0,'03_全链计算'!W169&gt;0),'03_全链计算'!$AL$86,0),IF(OR('03_全链计算'!W41&gt;0,'03_全链计算'!W170&gt;0),'03_全链计算'!$AM$86,0))=0</x:f>
        <x:v>1</x:v>
      </x:c>
      <x:c r="X89" s="9" t="b">
        <x:f>SUM(IF(OR('03_全链计算'!X7&gt;0,'03_全链计算'!X136&gt;0),'03_全链计算'!$E$86,0),IF(OR('03_全链计算'!X8&gt;0,'03_全链计算'!X137&gt;0),'03_全链计算'!$F$86,0),IF(OR('03_全链计算'!X9&gt;0,'03_全链计算'!X138&gt;0),'03_全链计算'!$G$86,0),IF(OR('03_全链计算'!X10&gt;0,'03_全链计算'!X139&gt;0),'03_全链计算'!$H$86,0),IF(OR('03_全链计算'!X11&gt;0,'03_全链计算'!X140&gt;0),'03_全链计算'!$I$86,0),IF(OR('03_全链计算'!X12&gt;0,'03_全链计算'!X141&gt;0),'03_全链计算'!$J$86,0),IF(OR('03_全链计算'!X13&gt;0,'03_全链计算'!X142&gt;0),'03_全链计算'!$K$86,0),IF(OR('03_全链计算'!X14&gt;0,'03_全链计算'!X143&gt;0),'03_全链计算'!$L$86,0),IF(OR('03_全链计算'!X15&gt;0,'03_全链计算'!X144&gt;0),'03_全链计算'!$M$86,0),IF(OR('03_全链计算'!X16&gt;0,'03_全链计算'!X145&gt;0),'03_全链计算'!$N$86,0),IF(OR('03_全链计算'!X17&gt;0,'03_全链计算'!X146&gt;0),'03_全链计算'!$O$86,0),IF(OR('03_全链计算'!X18&gt;0,'03_全链计算'!X147&gt;0),'03_全链计算'!$P$86,0),IF(OR('03_全链计算'!X19&gt;0,'03_全链计算'!X148&gt;0),'03_全链计算'!$Q$86,0),IF(OR('03_全链计算'!X20&gt;0,'03_全链计算'!X149&gt;0),'03_全链计算'!$R$86,0),IF(OR('03_全链计算'!X21&gt;0,'03_全链计算'!X150&gt;0),'03_全链计算'!$S$86,0),IF(OR('03_全链计算'!X22&gt;0,'03_全链计算'!X151&gt;0),'03_全链计算'!$T$86,0),IF(OR('03_全链计算'!X23&gt;0,'03_全链计算'!X152&gt;0),'03_全链计算'!$U$86,0),IF(OR('03_全链计算'!X24&gt;0,'03_全链计算'!X153&gt;0),'03_全链计算'!$V$86,0),IF(OR('03_全链计算'!X25&gt;0,'03_全链计算'!X154&gt;0),'03_全链计算'!$W$86,0),IF(OR('03_全链计算'!X26&gt;0,'03_全链计算'!X155&gt;0),'03_全链计算'!$X$86,0),IF(OR('03_全链计算'!X27&gt;0,'03_全链计算'!X156&gt;0),'03_全链计算'!$Y$86,0),IF(OR('03_全链计算'!X28&gt;0,'03_全链计算'!X157&gt;0),'03_全链计算'!$Z$86,0),IF(OR('03_全链计算'!X29&gt;0,'03_全链计算'!X158&gt;0),'03_全链计算'!$AA$86,0),IF(OR('03_全链计算'!X30&gt;0,'03_全链计算'!X159&gt;0),'03_全链计算'!$AB$86,0),IF(OR('03_全链计算'!X31&gt;0,'03_全链计算'!X160&gt;0),'03_全链计算'!$AC$86,0),IF(OR('03_全链计算'!X32&gt;0,'03_全链计算'!X161&gt;0),'03_全链计算'!$AD$86,0),IF(OR('03_全链计算'!X33&gt;0,'03_全链计算'!X162&gt;0),'03_全链计算'!$AE$86,0),IF(OR('03_全链计算'!X34&gt;0,'03_全链计算'!X163&gt;0),'03_全链计算'!$AF$86,0),IF(OR('03_全链计算'!X35&gt;0,'03_全链计算'!X164&gt;0),'03_全链计算'!$AG$86,0),IF(OR('03_全链计算'!X36&gt;0,'03_全链计算'!X165&gt;0),'03_全链计算'!$AH$86,0),IF(OR('03_全链计算'!X37&gt;0,'03_全链计算'!X166&gt;0),'03_全链计算'!$AI$86,0),IF(OR('03_全链计算'!X38&gt;0,'03_全链计算'!X167&gt;0),'03_全链计算'!$AJ$86,0),IF(OR('03_全链计算'!X39&gt;0,'03_全链计算'!X168&gt;0),'03_全链计算'!$AK$86,0),IF(OR('03_全链计算'!X40&gt;0,'03_全链计算'!X169&gt;0),'03_全链计算'!$AL$86,0),IF(OR('03_全链计算'!X41&gt;0,'03_全链计算'!X170&gt;0),'03_全链计算'!$AM$86,0))=0</x:f>
        <x:v>1</x:v>
      </x:c>
      <x:c r="Y89" s="9" t="b">
        <x:f>SUM(IF(OR('03_全链计算'!Y7&gt;0,'03_全链计算'!Y136&gt;0),'03_全链计算'!$E$86,0),IF(OR('03_全链计算'!Y8&gt;0,'03_全链计算'!Y137&gt;0),'03_全链计算'!$F$86,0),IF(OR('03_全链计算'!Y9&gt;0,'03_全链计算'!Y138&gt;0),'03_全链计算'!$G$86,0),IF(OR('03_全链计算'!Y10&gt;0,'03_全链计算'!Y139&gt;0),'03_全链计算'!$H$86,0),IF(OR('03_全链计算'!Y11&gt;0,'03_全链计算'!Y140&gt;0),'03_全链计算'!$I$86,0),IF(OR('03_全链计算'!Y12&gt;0,'03_全链计算'!Y141&gt;0),'03_全链计算'!$J$86,0),IF(OR('03_全链计算'!Y13&gt;0,'03_全链计算'!Y142&gt;0),'03_全链计算'!$K$86,0),IF(OR('03_全链计算'!Y14&gt;0,'03_全链计算'!Y143&gt;0),'03_全链计算'!$L$86,0),IF(OR('03_全链计算'!Y15&gt;0,'03_全链计算'!Y144&gt;0),'03_全链计算'!$M$86,0),IF(OR('03_全链计算'!Y16&gt;0,'03_全链计算'!Y145&gt;0),'03_全链计算'!$N$86,0),IF(OR('03_全链计算'!Y17&gt;0,'03_全链计算'!Y146&gt;0),'03_全链计算'!$O$86,0),IF(OR('03_全链计算'!Y18&gt;0,'03_全链计算'!Y147&gt;0),'03_全链计算'!$P$86,0),IF(OR('03_全链计算'!Y19&gt;0,'03_全链计算'!Y148&gt;0),'03_全链计算'!$Q$86,0),IF(OR('03_全链计算'!Y20&gt;0,'03_全链计算'!Y149&gt;0),'03_全链计算'!$R$86,0),IF(OR('03_全链计算'!Y21&gt;0,'03_全链计算'!Y150&gt;0),'03_全链计算'!$S$86,0),IF(OR('03_全链计算'!Y22&gt;0,'03_全链计算'!Y151&gt;0),'03_全链计算'!$T$86,0),IF(OR('03_全链计算'!Y23&gt;0,'03_全链计算'!Y152&gt;0),'03_全链计算'!$U$86,0),IF(OR('03_全链计算'!Y24&gt;0,'03_全链计算'!Y153&gt;0),'03_全链计算'!$V$86,0),IF(OR('03_全链计算'!Y25&gt;0,'03_全链计算'!Y154&gt;0),'03_全链计算'!$W$86,0),IF(OR('03_全链计算'!Y26&gt;0,'03_全链计算'!Y155&gt;0),'03_全链计算'!$X$86,0),IF(OR('03_全链计算'!Y27&gt;0,'03_全链计算'!Y156&gt;0),'03_全链计算'!$Y$86,0),IF(OR('03_全链计算'!Y28&gt;0,'03_全链计算'!Y157&gt;0),'03_全链计算'!$Z$86,0),IF(OR('03_全链计算'!Y29&gt;0,'03_全链计算'!Y158&gt;0),'03_全链计算'!$AA$86,0),IF(OR('03_全链计算'!Y30&gt;0,'03_全链计算'!Y159&gt;0),'03_全链计算'!$AB$86,0),IF(OR('03_全链计算'!Y31&gt;0,'03_全链计算'!Y160&gt;0),'03_全链计算'!$AC$86,0),IF(OR('03_全链计算'!Y32&gt;0,'03_全链计算'!Y161&gt;0),'03_全链计算'!$AD$86,0),IF(OR('03_全链计算'!Y33&gt;0,'03_全链计算'!Y162&gt;0),'03_全链计算'!$AE$86,0),IF(OR('03_全链计算'!Y34&gt;0,'03_全链计算'!Y163&gt;0),'03_全链计算'!$AF$86,0),IF(OR('03_全链计算'!Y35&gt;0,'03_全链计算'!Y164&gt;0),'03_全链计算'!$AG$86,0),IF(OR('03_全链计算'!Y36&gt;0,'03_全链计算'!Y165&gt;0),'03_全链计算'!$AH$86,0),IF(OR('03_全链计算'!Y37&gt;0,'03_全链计算'!Y166&gt;0),'03_全链计算'!$AI$86,0),IF(OR('03_全链计算'!Y38&gt;0,'03_全链计算'!Y167&gt;0),'03_全链计算'!$AJ$86,0),IF(OR('03_全链计算'!Y39&gt;0,'03_全链计算'!Y168&gt;0),'03_全链计算'!$AK$86,0),IF(OR('03_全链计算'!Y40&gt;0,'03_全链计算'!Y169&gt;0),'03_全链计算'!$AL$86,0),IF(OR('03_全链计算'!Y41&gt;0,'03_全链计算'!Y170&gt;0),'03_全链计算'!$AM$86,0))=0</x:f>
        <x:v>1</x:v>
      </x:c>
      <x:c r="Z89" s="9" t="b">
        <x:f>SUM(IF(OR('03_全链计算'!Z7&gt;0,'03_全链计算'!Z136&gt;0),'03_全链计算'!$E$86,0),IF(OR('03_全链计算'!Z8&gt;0,'03_全链计算'!Z137&gt;0),'03_全链计算'!$F$86,0),IF(OR('03_全链计算'!Z9&gt;0,'03_全链计算'!Z138&gt;0),'03_全链计算'!$G$86,0),IF(OR('03_全链计算'!Z10&gt;0,'03_全链计算'!Z139&gt;0),'03_全链计算'!$H$86,0),IF(OR('03_全链计算'!Z11&gt;0,'03_全链计算'!Z140&gt;0),'03_全链计算'!$I$86,0),IF(OR('03_全链计算'!Z12&gt;0,'03_全链计算'!Z141&gt;0),'03_全链计算'!$J$86,0),IF(OR('03_全链计算'!Z13&gt;0,'03_全链计算'!Z142&gt;0),'03_全链计算'!$K$86,0),IF(OR('03_全链计算'!Z14&gt;0,'03_全链计算'!Z143&gt;0),'03_全链计算'!$L$86,0),IF(OR('03_全链计算'!Z15&gt;0,'03_全链计算'!Z144&gt;0),'03_全链计算'!$M$86,0),IF(OR('03_全链计算'!Z16&gt;0,'03_全链计算'!Z145&gt;0),'03_全链计算'!$N$86,0),IF(OR('03_全链计算'!Z17&gt;0,'03_全链计算'!Z146&gt;0),'03_全链计算'!$O$86,0),IF(OR('03_全链计算'!Z18&gt;0,'03_全链计算'!Z147&gt;0),'03_全链计算'!$P$86,0),IF(OR('03_全链计算'!Z19&gt;0,'03_全链计算'!Z148&gt;0),'03_全链计算'!$Q$86,0),IF(OR('03_全链计算'!Z20&gt;0,'03_全链计算'!Z149&gt;0),'03_全链计算'!$R$86,0),IF(OR('03_全链计算'!Z21&gt;0,'03_全链计算'!Z150&gt;0),'03_全链计算'!$S$86,0),IF(OR('03_全链计算'!Z22&gt;0,'03_全链计算'!Z151&gt;0),'03_全链计算'!$T$86,0),IF(OR('03_全链计算'!Z23&gt;0,'03_全链计算'!Z152&gt;0),'03_全链计算'!$U$86,0),IF(OR('03_全链计算'!Z24&gt;0,'03_全链计算'!Z153&gt;0),'03_全链计算'!$V$86,0),IF(OR('03_全链计算'!Z25&gt;0,'03_全链计算'!Z154&gt;0),'03_全链计算'!$W$86,0),IF(OR('03_全链计算'!Z26&gt;0,'03_全链计算'!Z155&gt;0),'03_全链计算'!$X$86,0),IF(OR('03_全链计算'!Z27&gt;0,'03_全链计算'!Z156&gt;0),'03_全链计算'!$Y$86,0),IF(OR('03_全链计算'!Z28&gt;0,'03_全链计算'!Z157&gt;0),'03_全链计算'!$Z$86,0),IF(OR('03_全链计算'!Z29&gt;0,'03_全链计算'!Z158&gt;0),'03_全链计算'!$AA$86,0),IF(OR('03_全链计算'!Z30&gt;0,'03_全链计算'!Z159&gt;0),'03_全链计算'!$AB$86,0),IF(OR('03_全链计算'!Z31&gt;0,'03_全链计算'!Z160&gt;0),'03_全链计算'!$AC$86,0),IF(OR('03_全链计算'!Z32&gt;0,'03_全链计算'!Z161&gt;0),'03_全链计算'!$AD$86,0),IF(OR('03_全链计算'!Z33&gt;0,'03_全链计算'!Z162&gt;0),'03_全链计算'!$AE$86,0),IF(OR('03_全链计算'!Z34&gt;0,'03_全链计算'!Z163&gt;0),'03_全链计算'!$AF$86,0),IF(OR('03_全链计算'!Z35&gt;0,'03_全链计算'!Z164&gt;0),'03_全链计算'!$AG$86,0),IF(OR('03_全链计算'!Z36&gt;0,'03_全链计算'!Z165&gt;0),'03_全链计算'!$AH$86,0),IF(OR('03_全链计算'!Z37&gt;0,'03_全链计算'!Z166&gt;0),'03_全链计算'!$AI$86,0),IF(OR('03_全链计算'!Z38&gt;0,'03_全链计算'!Z167&gt;0),'03_全链计算'!$AJ$86,0),IF(OR('03_全链计算'!Z39&gt;0,'03_全链计算'!Z168&gt;0),'03_全链计算'!$AK$86,0),IF(OR('03_全链计算'!Z40&gt;0,'03_全链计算'!Z169&gt;0),'03_全链计算'!$AL$86,0),IF(OR('03_全链计算'!Z41&gt;0,'03_全链计算'!Z170&gt;0),'03_全链计算'!$AM$86,0))=0</x:f>
        <x:v>1</x:v>
      </x:c>
      <x:c r="AA89" s="9" t="b">
        <x:f>SUM(IF(OR('03_全链计算'!AA7&gt;0,'03_全链计算'!AA136&gt;0),'03_全链计算'!$E$86,0),IF(OR('03_全链计算'!AA8&gt;0,'03_全链计算'!AA137&gt;0),'03_全链计算'!$F$86,0),IF(OR('03_全链计算'!AA9&gt;0,'03_全链计算'!AA138&gt;0),'03_全链计算'!$G$86,0),IF(OR('03_全链计算'!AA10&gt;0,'03_全链计算'!AA139&gt;0),'03_全链计算'!$H$86,0),IF(OR('03_全链计算'!AA11&gt;0,'03_全链计算'!AA140&gt;0),'03_全链计算'!$I$86,0),IF(OR('03_全链计算'!AA12&gt;0,'03_全链计算'!AA141&gt;0),'03_全链计算'!$J$86,0),IF(OR('03_全链计算'!AA13&gt;0,'03_全链计算'!AA142&gt;0),'03_全链计算'!$K$86,0),IF(OR('03_全链计算'!AA14&gt;0,'03_全链计算'!AA143&gt;0),'03_全链计算'!$L$86,0),IF(OR('03_全链计算'!AA15&gt;0,'03_全链计算'!AA144&gt;0),'03_全链计算'!$M$86,0),IF(OR('03_全链计算'!AA16&gt;0,'03_全链计算'!AA145&gt;0),'03_全链计算'!$N$86,0),IF(OR('03_全链计算'!AA17&gt;0,'03_全链计算'!AA146&gt;0),'03_全链计算'!$O$86,0),IF(OR('03_全链计算'!AA18&gt;0,'03_全链计算'!AA147&gt;0),'03_全链计算'!$P$86,0),IF(OR('03_全链计算'!AA19&gt;0,'03_全链计算'!AA148&gt;0),'03_全链计算'!$Q$86,0),IF(OR('03_全链计算'!AA20&gt;0,'03_全链计算'!AA149&gt;0),'03_全链计算'!$R$86,0),IF(OR('03_全链计算'!AA21&gt;0,'03_全链计算'!AA150&gt;0),'03_全链计算'!$S$86,0),IF(OR('03_全链计算'!AA22&gt;0,'03_全链计算'!AA151&gt;0),'03_全链计算'!$T$86,0),IF(OR('03_全链计算'!AA23&gt;0,'03_全链计算'!AA152&gt;0),'03_全链计算'!$U$86,0),IF(OR('03_全链计算'!AA24&gt;0,'03_全链计算'!AA153&gt;0),'03_全链计算'!$V$86,0),IF(OR('03_全链计算'!AA25&gt;0,'03_全链计算'!AA154&gt;0),'03_全链计算'!$W$86,0),IF(OR('03_全链计算'!AA26&gt;0,'03_全链计算'!AA155&gt;0),'03_全链计算'!$X$86,0),IF(OR('03_全链计算'!AA27&gt;0,'03_全链计算'!AA156&gt;0),'03_全链计算'!$Y$86,0),IF(OR('03_全链计算'!AA28&gt;0,'03_全链计算'!AA157&gt;0),'03_全链计算'!$Z$86,0),IF(OR('03_全链计算'!AA29&gt;0,'03_全链计算'!AA158&gt;0),'03_全链计算'!$AA$86,0),IF(OR('03_全链计算'!AA30&gt;0,'03_全链计算'!AA159&gt;0),'03_全链计算'!$AB$86,0),IF(OR('03_全链计算'!AA31&gt;0,'03_全链计算'!AA160&gt;0),'03_全链计算'!$AC$86,0),IF(OR('03_全链计算'!AA32&gt;0,'03_全链计算'!AA161&gt;0),'03_全链计算'!$AD$86,0),IF(OR('03_全链计算'!AA33&gt;0,'03_全链计算'!AA162&gt;0),'03_全链计算'!$AE$86,0),IF(OR('03_全链计算'!AA34&gt;0,'03_全链计算'!AA163&gt;0),'03_全链计算'!$AF$86,0),IF(OR('03_全链计算'!AA35&gt;0,'03_全链计算'!AA164&gt;0),'03_全链计算'!$AG$86,0),IF(OR('03_全链计算'!AA36&gt;0,'03_全链计算'!AA165&gt;0),'03_全链计算'!$AH$86,0),IF(OR('03_全链计算'!AA37&gt;0,'03_全链计算'!AA166&gt;0),'03_全链计算'!$AI$86,0),IF(OR('03_全链计算'!AA38&gt;0,'03_全链计算'!AA167&gt;0),'03_全链计算'!$AJ$86,0),IF(OR('03_全链计算'!AA39&gt;0,'03_全链计算'!AA168&gt;0),'03_全链计算'!$AK$86,0),IF(OR('03_全链计算'!AA40&gt;0,'03_全链计算'!AA169&gt;0),'03_全链计算'!$AL$86,0),IF(OR('03_全链计算'!AA41&gt;0,'03_全链计算'!AA170&gt;0),'03_全链计算'!$AM$86,0))=0</x:f>
        <x:v>1</x:v>
      </x:c>
      <x:c r="AB89" s="9" t="b">
        <x:f>SUM(IF(OR('03_全链计算'!AB7&gt;0,'03_全链计算'!AB136&gt;0),'03_全链计算'!$E$86,0),IF(OR('03_全链计算'!AB8&gt;0,'03_全链计算'!AB137&gt;0),'03_全链计算'!$F$86,0),IF(OR('03_全链计算'!AB9&gt;0,'03_全链计算'!AB138&gt;0),'03_全链计算'!$G$86,0),IF(OR('03_全链计算'!AB10&gt;0,'03_全链计算'!AB139&gt;0),'03_全链计算'!$H$86,0),IF(OR('03_全链计算'!AB11&gt;0,'03_全链计算'!AB140&gt;0),'03_全链计算'!$I$86,0),IF(OR('03_全链计算'!AB12&gt;0,'03_全链计算'!AB141&gt;0),'03_全链计算'!$J$86,0),IF(OR('03_全链计算'!AB13&gt;0,'03_全链计算'!AB142&gt;0),'03_全链计算'!$K$86,0),IF(OR('03_全链计算'!AB14&gt;0,'03_全链计算'!AB143&gt;0),'03_全链计算'!$L$86,0),IF(OR('03_全链计算'!AB15&gt;0,'03_全链计算'!AB144&gt;0),'03_全链计算'!$M$86,0),IF(OR('03_全链计算'!AB16&gt;0,'03_全链计算'!AB145&gt;0),'03_全链计算'!$N$86,0),IF(OR('03_全链计算'!AB17&gt;0,'03_全链计算'!AB146&gt;0),'03_全链计算'!$O$86,0),IF(OR('03_全链计算'!AB18&gt;0,'03_全链计算'!AB147&gt;0),'03_全链计算'!$P$86,0),IF(OR('03_全链计算'!AB19&gt;0,'03_全链计算'!AB148&gt;0),'03_全链计算'!$Q$86,0),IF(OR('03_全链计算'!AB20&gt;0,'03_全链计算'!AB149&gt;0),'03_全链计算'!$R$86,0),IF(OR('03_全链计算'!AB21&gt;0,'03_全链计算'!AB150&gt;0),'03_全链计算'!$S$86,0),IF(OR('03_全链计算'!AB22&gt;0,'03_全链计算'!AB151&gt;0),'03_全链计算'!$T$86,0),IF(OR('03_全链计算'!AB23&gt;0,'03_全链计算'!AB152&gt;0),'03_全链计算'!$U$86,0),IF(OR('03_全链计算'!AB24&gt;0,'03_全链计算'!AB153&gt;0),'03_全链计算'!$V$86,0),IF(OR('03_全链计算'!AB25&gt;0,'03_全链计算'!AB154&gt;0),'03_全链计算'!$W$86,0),IF(OR('03_全链计算'!AB26&gt;0,'03_全链计算'!AB155&gt;0),'03_全链计算'!$X$86,0),IF(OR('03_全链计算'!AB27&gt;0,'03_全链计算'!AB156&gt;0),'03_全链计算'!$Y$86,0),IF(OR('03_全链计算'!AB28&gt;0,'03_全链计算'!AB157&gt;0),'03_全链计算'!$Z$86,0),IF(OR('03_全链计算'!AB29&gt;0,'03_全链计算'!AB158&gt;0),'03_全链计算'!$AA$86,0),IF(OR('03_全链计算'!AB30&gt;0,'03_全链计算'!AB159&gt;0),'03_全链计算'!$AB$86,0),IF(OR('03_全链计算'!AB31&gt;0,'03_全链计算'!AB160&gt;0),'03_全链计算'!$AC$86,0),IF(OR('03_全链计算'!AB32&gt;0,'03_全链计算'!AB161&gt;0),'03_全链计算'!$AD$86,0),IF(OR('03_全链计算'!AB33&gt;0,'03_全链计算'!AB162&gt;0),'03_全链计算'!$AE$86,0),IF(OR('03_全链计算'!AB34&gt;0,'03_全链计算'!AB163&gt;0),'03_全链计算'!$AF$86,0),IF(OR('03_全链计算'!AB35&gt;0,'03_全链计算'!AB164&gt;0),'03_全链计算'!$AG$86,0),IF(OR('03_全链计算'!AB36&gt;0,'03_全链计算'!AB165&gt;0),'03_全链计算'!$AH$86,0),IF(OR('03_全链计算'!AB37&gt;0,'03_全链计算'!AB166&gt;0),'03_全链计算'!$AI$86,0),IF(OR('03_全链计算'!AB38&gt;0,'03_全链计算'!AB167&gt;0),'03_全链计算'!$AJ$86,0),IF(OR('03_全链计算'!AB39&gt;0,'03_全链计算'!AB168&gt;0),'03_全链计算'!$AK$86,0),IF(OR('03_全链计算'!AB40&gt;0,'03_全链计算'!AB169&gt;0),'03_全链计算'!$AL$86,0),IF(OR('03_全链计算'!AB41&gt;0,'03_全链计算'!AB170&gt;0),'03_全链计算'!$AM$86,0))=0</x:f>
        <x:v>1</x:v>
      </x:c>
      <x:c r="AC89" s="9" t="b">
        <x:f>SUM(IF(OR('03_全链计算'!AC7&gt;0,'03_全链计算'!AC136&gt;0),'03_全链计算'!$E$86,0),IF(OR('03_全链计算'!AC8&gt;0,'03_全链计算'!AC137&gt;0),'03_全链计算'!$F$86,0),IF(OR('03_全链计算'!AC9&gt;0,'03_全链计算'!AC138&gt;0),'03_全链计算'!$G$86,0),IF(OR('03_全链计算'!AC10&gt;0,'03_全链计算'!AC139&gt;0),'03_全链计算'!$H$86,0),IF(OR('03_全链计算'!AC11&gt;0,'03_全链计算'!AC140&gt;0),'03_全链计算'!$I$86,0),IF(OR('03_全链计算'!AC12&gt;0,'03_全链计算'!AC141&gt;0),'03_全链计算'!$J$86,0),IF(OR('03_全链计算'!AC13&gt;0,'03_全链计算'!AC142&gt;0),'03_全链计算'!$K$86,0),IF(OR('03_全链计算'!AC14&gt;0,'03_全链计算'!AC143&gt;0),'03_全链计算'!$L$86,0),IF(OR('03_全链计算'!AC15&gt;0,'03_全链计算'!AC144&gt;0),'03_全链计算'!$M$86,0),IF(OR('03_全链计算'!AC16&gt;0,'03_全链计算'!AC145&gt;0),'03_全链计算'!$N$86,0),IF(OR('03_全链计算'!AC17&gt;0,'03_全链计算'!AC146&gt;0),'03_全链计算'!$O$86,0),IF(OR('03_全链计算'!AC18&gt;0,'03_全链计算'!AC147&gt;0),'03_全链计算'!$P$86,0),IF(OR('03_全链计算'!AC19&gt;0,'03_全链计算'!AC148&gt;0),'03_全链计算'!$Q$86,0),IF(OR('03_全链计算'!AC20&gt;0,'03_全链计算'!AC149&gt;0),'03_全链计算'!$R$86,0),IF(OR('03_全链计算'!AC21&gt;0,'03_全链计算'!AC150&gt;0),'03_全链计算'!$S$86,0),IF(OR('03_全链计算'!AC22&gt;0,'03_全链计算'!AC151&gt;0),'03_全链计算'!$T$86,0),IF(OR('03_全链计算'!AC23&gt;0,'03_全链计算'!AC152&gt;0),'03_全链计算'!$U$86,0),IF(OR('03_全链计算'!AC24&gt;0,'03_全链计算'!AC153&gt;0),'03_全链计算'!$V$86,0),IF(OR('03_全链计算'!AC25&gt;0,'03_全链计算'!AC154&gt;0),'03_全链计算'!$W$86,0),IF(OR('03_全链计算'!AC26&gt;0,'03_全链计算'!AC155&gt;0),'03_全链计算'!$X$86,0),IF(OR('03_全链计算'!AC27&gt;0,'03_全链计算'!AC156&gt;0),'03_全链计算'!$Y$86,0),IF(OR('03_全链计算'!AC28&gt;0,'03_全链计算'!AC157&gt;0),'03_全链计算'!$Z$86,0),IF(OR('03_全链计算'!AC29&gt;0,'03_全链计算'!AC158&gt;0),'03_全链计算'!$AA$86,0),IF(OR('03_全链计算'!AC30&gt;0,'03_全链计算'!AC159&gt;0),'03_全链计算'!$AB$86,0),IF(OR('03_全链计算'!AC31&gt;0,'03_全链计算'!AC160&gt;0),'03_全链计算'!$AC$86,0),IF(OR('03_全链计算'!AC32&gt;0,'03_全链计算'!AC161&gt;0),'03_全链计算'!$AD$86,0),IF(OR('03_全链计算'!AC33&gt;0,'03_全链计算'!AC162&gt;0),'03_全链计算'!$AE$86,0),IF(OR('03_全链计算'!AC34&gt;0,'03_全链计算'!AC163&gt;0),'03_全链计算'!$AF$86,0),IF(OR('03_全链计算'!AC35&gt;0,'03_全链计算'!AC164&gt;0),'03_全链计算'!$AG$86,0),IF(OR('03_全链计算'!AC36&gt;0,'03_全链计算'!AC165&gt;0),'03_全链计算'!$AH$86,0),IF(OR('03_全链计算'!AC37&gt;0,'03_全链计算'!AC166&gt;0),'03_全链计算'!$AI$86,0),IF(OR('03_全链计算'!AC38&gt;0,'03_全链计算'!AC167&gt;0),'03_全链计算'!$AJ$86,0),IF(OR('03_全链计算'!AC39&gt;0,'03_全链计算'!AC168&gt;0),'03_全链计算'!$AK$86,0),IF(OR('03_全链计算'!AC40&gt;0,'03_全链计算'!AC169&gt;0),'03_全链计算'!$AL$86,0),IF(OR('03_全链计算'!AC41&gt;0,'03_全链计算'!AC170&gt;0),'03_全链计算'!$AM$86,0))=0</x:f>
        <x:v>1</x:v>
      </x:c>
      <x:c r="AD89" s="9" t="b">
        <x:f>SUM(IF(OR('03_全链计算'!AD7&gt;0,'03_全链计算'!AD136&gt;0),'03_全链计算'!$E$86,0),IF(OR('03_全链计算'!AD8&gt;0,'03_全链计算'!AD137&gt;0),'03_全链计算'!$F$86,0),IF(OR('03_全链计算'!AD9&gt;0,'03_全链计算'!AD138&gt;0),'03_全链计算'!$G$86,0),IF(OR('03_全链计算'!AD10&gt;0,'03_全链计算'!AD139&gt;0),'03_全链计算'!$H$86,0),IF(OR('03_全链计算'!AD11&gt;0,'03_全链计算'!AD140&gt;0),'03_全链计算'!$I$86,0),IF(OR('03_全链计算'!AD12&gt;0,'03_全链计算'!AD141&gt;0),'03_全链计算'!$J$86,0),IF(OR('03_全链计算'!AD13&gt;0,'03_全链计算'!AD142&gt;0),'03_全链计算'!$K$86,0),IF(OR('03_全链计算'!AD14&gt;0,'03_全链计算'!AD143&gt;0),'03_全链计算'!$L$86,0),IF(OR('03_全链计算'!AD15&gt;0,'03_全链计算'!AD144&gt;0),'03_全链计算'!$M$86,0),IF(OR('03_全链计算'!AD16&gt;0,'03_全链计算'!AD145&gt;0),'03_全链计算'!$N$86,0),IF(OR('03_全链计算'!AD17&gt;0,'03_全链计算'!AD146&gt;0),'03_全链计算'!$O$86,0),IF(OR('03_全链计算'!AD18&gt;0,'03_全链计算'!AD147&gt;0),'03_全链计算'!$P$86,0),IF(OR('03_全链计算'!AD19&gt;0,'03_全链计算'!AD148&gt;0),'03_全链计算'!$Q$86,0),IF(OR('03_全链计算'!AD20&gt;0,'03_全链计算'!AD149&gt;0),'03_全链计算'!$R$86,0),IF(OR('03_全链计算'!AD21&gt;0,'03_全链计算'!AD150&gt;0),'03_全链计算'!$S$86,0),IF(OR('03_全链计算'!AD22&gt;0,'03_全链计算'!AD151&gt;0),'03_全链计算'!$T$86,0),IF(OR('03_全链计算'!AD23&gt;0,'03_全链计算'!AD152&gt;0),'03_全链计算'!$U$86,0),IF(OR('03_全链计算'!AD24&gt;0,'03_全链计算'!AD153&gt;0),'03_全链计算'!$V$86,0),IF(OR('03_全链计算'!AD25&gt;0,'03_全链计算'!AD154&gt;0),'03_全链计算'!$W$86,0),IF(OR('03_全链计算'!AD26&gt;0,'03_全链计算'!AD155&gt;0),'03_全链计算'!$X$86,0),IF(OR('03_全链计算'!AD27&gt;0,'03_全链计算'!AD156&gt;0),'03_全链计算'!$Y$86,0),IF(OR('03_全链计算'!AD28&gt;0,'03_全链计算'!AD157&gt;0),'03_全链计算'!$Z$86,0),IF(OR('03_全链计算'!AD29&gt;0,'03_全链计算'!AD158&gt;0),'03_全链计算'!$AA$86,0),IF(OR('03_全链计算'!AD30&gt;0,'03_全链计算'!AD159&gt;0),'03_全链计算'!$AB$86,0),IF(OR('03_全链计算'!AD31&gt;0,'03_全链计算'!AD160&gt;0),'03_全链计算'!$AC$86,0),IF(OR('03_全链计算'!AD32&gt;0,'03_全链计算'!AD161&gt;0),'03_全链计算'!$AD$86,0),IF(OR('03_全链计算'!AD33&gt;0,'03_全链计算'!AD162&gt;0),'03_全链计算'!$AE$86,0),IF(OR('03_全链计算'!AD34&gt;0,'03_全链计算'!AD163&gt;0),'03_全链计算'!$AF$86,0),IF(OR('03_全链计算'!AD35&gt;0,'03_全链计算'!AD164&gt;0),'03_全链计算'!$AG$86,0),IF(OR('03_全链计算'!AD36&gt;0,'03_全链计算'!AD165&gt;0),'03_全链计算'!$AH$86,0),IF(OR('03_全链计算'!AD37&gt;0,'03_全链计算'!AD166&gt;0),'03_全链计算'!$AI$86,0),IF(OR('03_全链计算'!AD38&gt;0,'03_全链计算'!AD167&gt;0),'03_全链计算'!$AJ$86,0),IF(OR('03_全链计算'!AD39&gt;0,'03_全链计算'!AD168&gt;0),'03_全链计算'!$AK$86,0),IF(OR('03_全链计算'!AD40&gt;0,'03_全链计算'!AD169&gt;0),'03_全链计算'!$AL$86,0),IF(OR('03_全链计算'!AD41&gt;0,'03_全链计算'!AD170&gt;0),'03_全链计算'!$AM$86,0))=0</x:f>
        <x:v>1</x:v>
      </x:c>
      <x:c r="AE89" s="9" t="b">
        <x:f>SUM(IF(OR('03_全链计算'!AE7&gt;0,'03_全链计算'!AE136&gt;0),'03_全链计算'!$E$86,0),IF(OR('03_全链计算'!AE8&gt;0,'03_全链计算'!AE137&gt;0),'03_全链计算'!$F$86,0),IF(OR('03_全链计算'!AE9&gt;0,'03_全链计算'!AE138&gt;0),'03_全链计算'!$G$86,0),IF(OR('03_全链计算'!AE10&gt;0,'03_全链计算'!AE139&gt;0),'03_全链计算'!$H$86,0),IF(OR('03_全链计算'!AE11&gt;0,'03_全链计算'!AE140&gt;0),'03_全链计算'!$I$86,0),IF(OR('03_全链计算'!AE12&gt;0,'03_全链计算'!AE141&gt;0),'03_全链计算'!$J$86,0),IF(OR('03_全链计算'!AE13&gt;0,'03_全链计算'!AE142&gt;0),'03_全链计算'!$K$86,0),IF(OR('03_全链计算'!AE14&gt;0,'03_全链计算'!AE143&gt;0),'03_全链计算'!$L$86,0),IF(OR('03_全链计算'!AE15&gt;0,'03_全链计算'!AE144&gt;0),'03_全链计算'!$M$86,0),IF(OR('03_全链计算'!AE16&gt;0,'03_全链计算'!AE145&gt;0),'03_全链计算'!$N$86,0),IF(OR('03_全链计算'!AE17&gt;0,'03_全链计算'!AE146&gt;0),'03_全链计算'!$O$86,0),IF(OR('03_全链计算'!AE18&gt;0,'03_全链计算'!AE147&gt;0),'03_全链计算'!$P$86,0),IF(OR('03_全链计算'!AE19&gt;0,'03_全链计算'!AE148&gt;0),'03_全链计算'!$Q$86,0),IF(OR('03_全链计算'!AE20&gt;0,'03_全链计算'!AE149&gt;0),'03_全链计算'!$R$86,0),IF(OR('03_全链计算'!AE21&gt;0,'03_全链计算'!AE150&gt;0),'03_全链计算'!$S$86,0),IF(OR('03_全链计算'!AE22&gt;0,'03_全链计算'!AE151&gt;0),'03_全链计算'!$T$86,0),IF(OR('03_全链计算'!AE23&gt;0,'03_全链计算'!AE152&gt;0),'03_全链计算'!$U$86,0),IF(OR('03_全链计算'!AE24&gt;0,'03_全链计算'!AE153&gt;0),'03_全链计算'!$V$86,0),IF(OR('03_全链计算'!AE25&gt;0,'03_全链计算'!AE154&gt;0),'03_全链计算'!$W$86,0),IF(OR('03_全链计算'!AE26&gt;0,'03_全链计算'!AE155&gt;0),'03_全链计算'!$X$86,0),IF(OR('03_全链计算'!AE27&gt;0,'03_全链计算'!AE156&gt;0),'03_全链计算'!$Y$86,0),IF(OR('03_全链计算'!AE28&gt;0,'03_全链计算'!AE157&gt;0),'03_全链计算'!$Z$86,0),IF(OR('03_全链计算'!AE29&gt;0,'03_全链计算'!AE158&gt;0),'03_全链计算'!$AA$86,0),IF(OR('03_全链计算'!AE30&gt;0,'03_全链计算'!AE159&gt;0),'03_全链计算'!$AB$86,0),IF(OR('03_全链计算'!AE31&gt;0,'03_全链计算'!AE160&gt;0),'03_全链计算'!$AC$86,0),IF(OR('03_全链计算'!AE32&gt;0,'03_全链计算'!AE161&gt;0),'03_全链计算'!$AD$86,0),IF(OR('03_全链计算'!AE33&gt;0,'03_全链计算'!AE162&gt;0),'03_全链计算'!$AE$86,0),IF(OR('03_全链计算'!AE34&gt;0,'03_全链计算'!AE163&gt;0),'03_全链计算'!$AF$86,0),IF(OR('03_全链计算'!AE35&gt;0,'03_全链计算'!AE164&gt;0),'03_全链计算'!$AG$86,0),IF(OR('03_全链计算'!AE36&gt;0,'03_全链计算'!AE165&gt;0),'03_全链计算'!$AH$86,0),IF(OR('03_全链计算'!AE37&gt;0,'03_全链计算'!AE166&gt;0),'03_全链计算'!$AI$86,0),IF(OR('03_全链计算'!AE38&gt;0,'03_全链计算'!AE167&gt;0),'03_全链计算'!$AJ$86,0),IF(OR('03_全链计算'!AE39&gt;0,'03_全链计算'!AE168&gt;0),'03_全链计算'!$AK$86,0),IF(OR('03_全链计算'!AE40&gt;0,'03_全链计算'!AE169&gt;0),'03_全链计算'!$AL$86,0),IF(OR('03_全链计算'!AE41&gt;0,'03_全链计算'!AE170&gt;0),'03_全链计算'!$AM$86,0))=0</x:f>
        <x:v>1</x:v>
      </x:c>
      <x:c r="AF89" s="9" t="b">
        <x:f>SUM(IF(OR('03_全链计算'!AF7&gt;0,'03_全链计算'!AF136&gt;0),'03_全链计算'!$E$86,0),IF(OR('03_全链计算'!AF8&gt;0,'03_全链计算'!AF137&gt;0),'03_全链计算'!$F$86,0),IF(OR('03_全链计算'!AF9&gt;0,'03_全链计算'!AF138&gt;0),'03_全链计算'!$G$86,0),IF(OR('03_全链计算'!AF10&gt;0,'03_全链计算'!AF139&gt;0),'03_全链计算'!$H$86,0),IF(OR('03_全链计算'!AF11&gt;0,'03_全链计算'!AF140&gt;0),'03_全链计算'!$I$86,0),IF(OR('03_全链计算'!AF12&gt;0,'03_全链计算'!AF141&gt;0),'03_全链计算'!$J$86,0),IF(OR('03_全链计算'!AF13&gt;0,'03_全链计算'!AF142&gt;0),'03_全链计算'!$K$86,0),IF(OR('03_全链计算'!AF14&gt;0,'03_全链计算'!AF143&gt;0),'03_全链计算'!$L$86,0),IF(OR('03_全链计算'!AF15&gt;0,'03_全链计算'!AF144&gt;0),'03_全链计算'!$M$86,0),IF(OR('03_全链计算'!AF16&gt;0,'03_全链计算'!AF145&gt;0),'03_全链计算'!$N$86,0),IF(OR('03_全链计算'!AF17&gt;0,'03_全链计算'!AF146&gt;0),'03_全链计算'!$O$86,0),IF(OR('03_全链计算'!AF18&gt;0,'03_全链计算'!AF147&gt;0),'03_全链计算'!$P$86,0),IF(OR('03_全链计算'!AF19&gt;0,'03_全链计算'!AF148&gt;0),'03_全链计算'!$Q$86,0),IF(OR('03_全链计算'!AF20&gt;0,'03_全链计算'!AF149&gt;0),'03_全链计算'!$R$86,0),IF(OR('03_全链计算'!AF21&gt;0,'03_全链计算'!AF150&gt;0),'03_全链计算'!$S$86,0),IF(OR('03_全链计算'!AF22&gt;0,'03_全链计算'!AF151&gt;0),'03_全链计算'!$T$86,0),IF(OR('03_全链计算'!AF23&gt;0,'03_全链计算'!AF152&gt;0),'03_全链计算'!$U$86,0),IF(OR('03_全链计算'!AF24&gt;0,'03_全链计算'!AF153&gt;0),'03_全链计算'!$V$86,0),IF(OR('03_全链计算'!AF25&gt;0,'03_全链计算'!AF154&gt;0),'03_全链计算'!$W$86,0),IF(OR('03_全链计算'!AF26&gt;0,'03_全链计算'!AF155&gt;0),'03_全链计算'!$X$86,0),IF(OR('03_全链计算'!AF27&gt;0,'03_全链计算'!AF156&gt;0),'03_全链计算'!$Y$86,0),IF(OR('03_全链计算'!AF28&gt;0,'03_全链计算'!AF157&gt;0),'03_全链计算'!$Z$86,0),IF(OR('03_全链计算'!AF29&gt;0,'03_全链计算'!AF158&gt;0),'03_全链计算'!$AA$86,0),IF(OR('03_全链计算'!AF30&gt;0,'03_全链计算'!AF159&gt;0),'03_全链计算'!$AB$86,0),IF(OR('03_全链计算'!AF31&gt;0,'03_全链计算'!AF160&gt;0),'03_全链计算'!$AC$86,0),IF(OR('03_全链计算'!AF32&gt;0,'03_全链计算'!AF161&gt;0),'03_全链计算'!$AD$86,0),IF(OR('03_全链计算'!AF33&gt;0,'03_全链计算'!AF162&gt;0),'03_全链计算'!$AE$86,0),IF(OR('03_全链计算'!AF34&gt;0,'03_全链计算'!AF163&gt;0),'03_全链计算'!$AF$86,0),IF(OR('03_全链计算'!AF35&gt;0,'03_全链计算'!AF164&gt;0),'03_全链计算'!$AG$86,0),IF(OR('03_全链计算'!AF36&gt;0,'03_全链计算'!AF165&gt;0),'03_全链计算'!$AH$86,0),IF(OR('03_全链计算'!AF37&gt;0,'03_全链计算'!AF166&gt;0),'03_全链计算'!$AI$86,0),IF(OR('03_全链计算'!AF38&gt;0,'03_全链计算'!AF167&gt;0),'03_全链计算'!$AJ$86,0),IF(OR('03_全链计算'!AF39&gt;0,'03_全链计算'!AF168&gt;0),'03_全链计算'!$AK$86,0),IF(OR('03_全链计算'!AF40&gt;0,'03_全链计算'!AF169&gt;0),'03_全链计算'!$AL$86,0),IF(OR('03_全链计算'!AF41&gt;0,'03_全链计算'!AF170&gt;0),'03_全链计算'!$AM$86,0))=0</x:f>
        <x:v>1</x:v>
      </x:c>
      <x:c r="AG89" s="9" t="b">
        <x:f>SUM(IF(OR('03_全链计算'!AG7&gt;0,'03_全链计算'!AG136&gt;0),'03_全链计算'!$E$86,0),IF(OR('03_全链计算'!AG8&gt;0,'03_全链计算'!AG137&gt;0),'03_全链计算'!$F$86,0),IF(OR('03_全链计算'!AG9&gt;0,'03_全链计算'!AG138&gt;0),'03_全链计算'!$G$86,0),IF(OR('03_全链计算'!AG10&gt;0,'03_全链计算'!AG139&gt;0),'03_全链计算'!$H$86,0),IF(OR('03_全链计算'!AG11&gt;0,'03_全链计算'!AG140&gt;0),'03_全链计算'!$I$86,0),IF(OR('03_全链计算'!AG12&gt;0,'03_全链计算'!AG141&gt;0),'03_全链计算'!$J$86,0),IF(OR('03_全链计算'!AG13&gt;0,'03_全链计算'!AG142&gt;0),'03_全链计算'!$K$86,0),IF(OR('03_全链计算'!AG14&gt;0,'03_全链计算'!AG143&gt;0),'03_全链计算'!$L$86,0),IF(OR('03_全链计算'!AG15&gt;0,'03_全链计算'!AG144&gt;0),'03_全链计算'!$M$86,0),IF(OR('03_全链计算'!AG16&gt;0,'03_全链计算'!AG145&gt;0),'03_全链计算'!$N$86,0),IF(OR('03_全链计算'!AG17&gt;0,'03_全链计算'!AG146&gt;0),'03_全链计算'!$O$86,0),IF(OR('03_全链计算'!AG18&gt;0,'03_全链计算'!AG147&gt;0),'03_全链计算'!$P$86,0),IF(OR('03_全链计算'!AG19&gt;0,'03_全链计算'!AG148&gt;0),'03_全链计算'!$Q$86,0),IF(OR('03_全链计算'!AG20&gt;0,'03_全链计算'!AG149&gt;0),'03_全链计算'!$R$86,0),IF(OR('03_全链计算'!AG21&gt;0,'03_全链计算'!AG150&gt;0),'03_全链计算'!$S$86,0),IF(OR('03_全链计算'!AG22&gt;0,'03_全链计算'!AG151&gt;0),'03_全链计算'!$T$86,0),IF(OR('03_全链计算'!AG23&gt;0,'03_全链计算'!AG152&gt;0),'03_全链计算'!$U$86,0),IF(OR('03_全链计算'!AG24&gt;0,'03_全链计算'!AG153&gt;0),'03_全链计算'!$V$86,0),IF(OR('03_全链计算'!AG25&gt;0,'03_全链计算'!AG154&gt;0),'03_全链计算'!$W$86,0),IF(OR('03_全链计算'!AG26&gt;0,'03_全链计算'!AG155&gt;0),'03_全链计算'!$X$86,0),IF(OR('03_全链计算'!AG27&gt;0,'03_全链计算'!AG156&gt;0),'03_全链计算'!$Y$86,0),IF(OR('03_全链计算'!AG28&gt;0,'03_全链计算'!AG157&gt;0),'03_全链计算'!$Z$86,0),IF(OR('03_全链计算'!AG29&gt;0,'03_全链计算'!AG158&gt;0),'03_全链计算'!$AA$86,0),IF(OR('03_全链计算'!AG30&gt;0,'03_全链计算'!AG159&gt;0),'03_全链计算'!$AB$86,0),IF(OR('03_全链计算'!AG31&gt;0,'03_全链计算'!AG160&gt;0),'03_全链计算'!$AC$86,0),IF(OR('03_全链计算'!AG32&gt;0,'03_全链计算'!AG161&gt;0),'03_全链计算'!$AD$86,0),IF(OR('03_全链计算'!AG33&gt;0,'03_全链计算'!AG162&gt;0),'03_全链计算'!$AE$86,0),IF(OR('03_全链计算'!AG34&gt;0,'03_全链计算'!AG163&gt;0),'03_全链计算'!$AF$86,0),IF(OR('03_全链计算'!AG35&gt;0,'03_全链计算'!AG164&gt;0),'03_全链计算'!$AG$86,0),IF(OR('03_全链计算'!AG36&gt;0,'03_全链计算'!AG165&gt;0),'03_全链计算'!$AH$86,0),IF(OR('03_全链计算'!AG37&gt;0,'03_全链计算'!AG166&gt;0),'03_全链计算'!$AI$86,0),IF(OR('03_全链计算'!AG38&gt;0,'03_全链计算'!AG167&gt;0),'03_全链计算'!$AJ$86,0),IF(OR('03_全链计算'!AG39&gt;0,'03_全链计算'!AG168&gt;0),'03_全链计算'!$AK$86,0),IF(OR('03_全链计算'!AG40&gt;0,'03_全链计算'!AG169&gt;0),'03_全链计算'!$AL$86,0),IF(OR('03_全链计算'!AG41&gt;0,'03_全链计算'!AG170&gt;0),'03_全链计算'!$AM$86,0))=0</x:f>
        <x:v>1</x:v>
      </x:c>
      <x:c r="AH89" s="9" t="b">
        <x:f>SUM(IF(OR('03_全链计算'!AH7&gt;0,'03_全链计算'!AH136&gt;0),'03_全链计算'!$E$86,0),IF(OR('03_全链计算'!AH8&gt;0,'03_全链计算'!AH137&gt;0),'03_全链计算'!$F$86,0),IF(OR('03_全链计算'!AH9&gt;0,'03_全链计算'!AH138&gt;0),'03_全链计算'!$G$86,0),IF(OR('03_全链计算'!AH10&gt;0,'03_全链计算'!AH139&gt;0),'03_全链计算'!$H$86,0),IF(OR('03_全链计算'!AH11&gt;0,'03_全链计算'!AH140&gt;0),'03_全链计算'!$I$86,0),IF(OR('03_全链计算'!AH12&gt;0,'03_全链计算'!AH141&gt;0),'03_全链计算'!$J$86,0),IF(OR('03_全链计算'!AH13&gt;0,'03_全链计算'!AH142&gt;0),'03_全链计算'!$K$86,0),IF(OR('03_全链计算'!AH14&gt;0,'03_全链计算'!AH143&gt;0),'03_全链计算'!$L$86,0),IF(OR('03_全链计算'!AH15&gt;0,'03_全链计算'!AH144&gt;0),'03_全链计算'!$M$86,0),IF(OR('03_全链计算'!AH16&gt;0,'03_全链计算'!AH145&gt;0),'03_全链计算'!$N$86,0),IF(OR('03_全链计算'!AH17&gt;0,'03_全链计算'!AH146&gt;0),'03_全链计算'!$O$86,0),IF(OR('03_全链计算'!AH18&gt;0,'03_全链计算'!AH147&gt;0),'03_全链计算'!$P$86,0),IF(OR('03_全链计算'!AH19&gt;0,'03_全链计算'!AH148&gt;0),'03_全链计算'!$Q$86,0),IF(OR('03_全链计算'!AH20&gt;0,'03_全链计算'!AH149&gt;0),'03_全链计算'!$R$86,0),IF(OR('03_全链计算'!AH21&gt;0,'03_全链计算'!AH150&gt;0),'03_全链计算'!$S$86,0),IF(OR('03_全链计算'!AH22&gt;0,'03_全链计算'!AH151&gt;0),'03_全链计算'!$T$86,0),IF(OR('03_全链计算'!AH23&gt;0,'03_全链计算'!AH152&gt;0),'03_全链计算'!$U$86,0),IF(OR('03_全链计算'!AH24&gt;0,'03_全链计算'!AH153&gt;0),'03_全链计算'!$V$86,0),IF(OR('03_全链计算'!AH25&gt;0,'03_全链计算'!AH154&gt;0),'03_全链计算'!$W$86,0),IF(OR('03_全链计算'!AH26&gt;0,'03_全链计算'!AH155&gt;0),'03_全链计算'!$X$86,0),IF(OR('03_全链计算'!AH27&gt;0,'03_全链计算'!AH156&gt;0),'03_全链计算'!$Y$86,0),IF(OR('03_全链计算'!AH28&gt;0,'03_全链计算'!AH157&gt;0),'03_全链计算'!$Z$86,0),IF(OR('03_全链计算'!AH29&gt;0,'03_全链计算'!AH158&gt;0),'03_全链计算'!$AA$86,0),IF(OR('03_全链计算'!AH30&gt;0,'03_全链计算'!AH159&gt;0),'03_全链计算'!$AB$86,0),IF(OR('03_全链计算'!AH31&gt;0,'03_全链计算'!AH160&gt;0),'03_全链计算'!$AC$86,0),IF(OR('03_全链计算'!AH32&gt;0,'03_全链计算'!AH161&gt;0),'03_全链计算'!$AD$86,0),IF(OR('03_全链计算'!AH33&gt;0,'03_全链计算'!AH162&gt;0),'03_全链计算'!$AE$86,0),IF(OR('03_全链计算'!AH34&gt;0,'03_全链计算'!AH163&gt;0),'03_全链计算'!$AF$86,0),IF(OR('03_全链计算'!AH35&gt;0,'03_全链计算'!AH164&gt;0),'03_全链计算'!$AG$86,0),IF(OR('03_全链计算'!AH36&gt;0,'03_全链计算'!AH165&gt;0),'03_全链计算'!$AH$86,0),IF(OR('03_全链计算'!AH37&gt;0,'03_全链计算'!AH166&gt;0),'03_全链计算'!$AI$86,0),IF(OR('03_全链计算'!AH38&gt;0,'03_全链计算'!AH167&gt;0),'03_全链计算'!$AJ$86,0),IF(OR('03_全链计算'!AH39&gt;0,'03_全链计算'!AH168&gt;0),'03_全链计算'!$AK$86,0),IF(OR('03_全链计算'!AH40&gt;0,'03_全链计算'!AH169&gt;0),'03_全链计算'!$AL$86,0),IF(OR('03_全链计算'!AH41&gt;0,'03_全链计算'!AH170&gt;0),'03_全链计算'!$AM$86,0))=0</x:f>
        <x:v>1</x:v>
      </x:c>
      <x:c r="AI89" s="9" t="b">
        <x:f>SUM(IF(OR('03_全链计算'!AI7&gt;0,'03_全链计算'!AI136&gt;0),'03_全链计算'!$E$86,0),IF(OR('03_全链计算'!AI8&gt;0,'03_全链计算'!AI137&gt;0),'03_全链计算'!$F$86,0),IF(OR('03_全链计算'!AI9&gt;0,'03_全链计算'!AI138&gt;0),'03_全链计算'!$G$86,0),IF(OR('03_全链计算'!AI10&gt;0,'03_全链计算'!AI139&gt;0),'03_全链计算'!$H$86,0),IF(OR('03_全链计算'!AI11&gt;0,'03_全链计算'!AI140&gt;0),'03_全链计算'!$I$86,0),IF(OR('03_全链计算'!AI12&gt;0,'03_全链计算'!AI141&gt;0),'03_全链计算'!$J$86,0),IF(OR('03_全链计算'!AI13&gt;0,'03_全链计算'!AI142&gt;0),'03_全链计算'!$K$86,0),IF(OR('03_全链计算'!AI14&gt;0,'03_全链计算'!AI143&gt;0),'03_全链计算'!$L$86,0),IF(OR('03_全链计算'!AI15&gt;0,'03_全链计算'!AI144&gt;0),'03_全链计算'!$M$86,0),IF(OR('03_全链计算'!AI16&gt;0,'03_全链计算'!AI145&gt;0),'03_全链计算'!$N$86,0),IF(OR('03_全链计算'!AI17&gt;0,'03_全链计算'!AI146&gt;0),'03_全链计算'!$O$86,0),IF(OR('03_全链计算'!AI18&gt;0,'03_全链计算'!AI147&gt;0),'03_全链计算'!$P$86,0),IF(OR('03_全链计算'!AI19&gt;0,'03_全链计算'!AI148&gt;0),'03_全链计算'!$Q$86,0),IF(OR('03_全链计算'!AI20&gt;0,'03_全链计算'!AI149&gt;0),'03_全链计算'!$R$86,0),IF(OR('03_全链计算'!AI21&gt;0,'03_全链计算'!AI150&gt;0),'03_全链计算'!$S$86,0),IF(OR('03_全链计算'!AI22&gt;0,'03_全链计算'!AI151&gt;0),'03_全链计算'!$T$86,0),IF(OR('03_全链计算'!AI23&gt;0,'03_全链计算'!AI152&gt;0),'03_全链计算'!$U$86,0),IF(OR('03_全链计算'!AI24&gt;0,'03_全链计算'!AI153&gt;0),'03_全链计算'!$V$86,0),IF(OR('03_全链计算'!AI25&gt;0,'03_全链计算'!AI154&gt;0),'03_全链计算'!$W$86,0),IF(OR('03_全链计算'!AI26&gt;0,'03_全链计算'!AI155&gt;0),'03_全链计算'!$X$86,0),IF(OR('03_全链计算'!AI27&gt;0,'03_全链计算'!AI156&gt;0),'03_全链计算'!$Y$86,0),IF(OR('03_全链计算'!AI28&gt;0,'03_全链计算'!AI157&gt;0),'03_全链计算'!$Z$86,0),IF(OR('03_全链计算'!AI29&gt;0,'03_全链计算'!AI158&gt;0),'03_全链计算'!$AA$86,0),IF(OR('03_全链计算'!AI30&gt;0,'03_全链计算'!AI159&gt;0),'03_全链计算'!$AB$86,0),IF(OR('03_全链计算'!AI31&gt;0,'03_全链计算'!AI160&gt;0),'03_全链计算'!$AC$86,0),IF(OR('03_全链计算'!AI32&gt;0,'03_全链计算'!AI161&gt;0),'03_全链计算'!$AD$86,0),IF(OR('03_全链计算'!AI33&gt;0,'03_全链计算'!AI162&gt;0),'03_全链计算'!$AE$86,0),IF(OR('03_全链计算'!AI34&gt;0,'03_全链计算'!AI163&gt;0),'03_全链计算'!$AF$86,0),IF(OR('03_全链计算'!AI35&gt;0,'03_全链计算'!AI164&gt;0),'03_全链计算'!$AG$86,0),IF(OR('03_全链计算'!AI36&gt;0,'03_全链计算'!AI165&gt;0),'03_全链计算'!$AH$86,0),IF(OR('03_全链计算'!AI37&gt;0,'03_全链计算'!AI166&gt;0),'03_全链计算'!$AI$86,0),IF(OR('03_全链计算'!AI38&gt;0,'03_全链计算'!AI167&gt;0),'03_全链计算'!$AJ$86,0),IF(OR('03_全链计算'!AI39&gt;0,'03_全链计算'!AI168&gt;0),'03_全链计算'!$AK$86,0),IF(OR('03_全链计算'!AI40&gt;0,'03_全链计算'!AI169&gt;0),'03_全链计算'!$AL$86,0),IF(OR('03_全链计算'!AI41&gt;0,'03_全链计算'!AI170&gt;0),'03_全链计算'!$AM$86,0))=0</x:f>
        <x:v>1</x:v>
      </x:c>
      <x:c r="AJ89" s="9" t="b">
        <x:f>SUM(IF(OR('03_全链计算'!AJ7&gt;0,'03_全链计算'!AJ136&gt;0),'03_全链计算'!$E$86,0),IF(OR('03_全链计算'!AJ8&gt;0,'03_全链计算'!AJ137&gt;0),'03_全链计算'!$F$86,0),IF(OR('03_全链计算'!AJ9&gt;0,'03_全链计算'!AJ138&gt;0),'03_全链计算'!$G$86,0),IF(OR('03_全链计算'!AJ10&gt;0,'03_全链计算'!AJ139&gt;0),'03_全链计算'!$H$86,0),IF(OR('03_全链计算'!AJ11&gt;0,'03_全链计算'!AJ140&gt;0),'03_全链计算'!$I$86,0),IF(OR('03_全链计算'!AJ12&gt;0,'03_全链计算'!AJ141&gt;0),'03_全链计算'!$J$86,0),IF(OR('03_全链计算'!AJ13&gt;0,'03_全链计算'!AJ142&gt;0),'03_全链计算'!$K$86,0),IF(OR('03_全链计算'!AJ14&gt;0,'03_全链计算'!AJ143&gt;0),'03_全链计算'!$L$86,0),IF(OR('03_全链计算'!AJ15&gt;0,'03_全链计算'!AJ144&gt;0),'03_全链计算'!$M$86,0),IF(OR('03_全链计算'!AJ16&gt;0,'03_全链计算'!AJ145&gt;0),'03_全链计算'!$N$86,0),IF(OR('03_全链计算'!AJ17&gt;0,'03_全链计算'!AJ146&gt;0),'03_全链计算'!$O$86,0),IF(OR('03_全链计算'!AJ18&gt;0,'03_全链计算'!AJ147&gt;0),'03_全链计算'!$P$86,0),IF(OR('03_全链计算'!AJ19&gt;0,'03_全链计算'!AJ148&gt;0),'03_全链计算'!$Q$86,0),IF(OR('03_全链计算'!AJ20&gt;0,'03_全链计算'!AJ149&gt;0),'03_全链计算'!$R$86,0),IF(OR('03_全链计算'!AJ21&gt;0,'03_全链计算'!AJ150&gt;0),'03_全链计算'!$S$86,0),IF(OR('03_全链计算'!AJ22&gt;0,'03_全链计算'!AJ151&gt;0),'03_全链计算'!$T$86,0),IF(OR('03_全链计算'!AJ23&gt;0,'03_全链计算'!AJ152&gt;0),'03_全链计算'!$U$86,0),IF(OR('03_全链计算'!AJ24&gt;0,'03_全链计算'!AJ153&gt;0),'03_全链计算'!$V$86,0),IF(OR('03_全链计算'!AJ25&gt;0,'03_全链计算'!AJ154&gt;0),'03_全链计算'!$W$86,0),IF(OR('03_全链计算'!AJ26&gt;0,'03_全链计算'!AJ155&gt;0),'03_全链计算'!$X$86,0),IF(OR('03_全链计算'!AJ27&gt;0,'03_全链计算'!AJ156&gt;0),'03_全链计算'!$Y$86,0),IF(OR('03_全链计算'!AJ28&gt;0,'03_全链计算'!AJ157&gt;0),'03_全链计算'!$Z$86,0),IF(OR('03_全链计算'!AJ29&gt;0,'03_全链计算'!AJ158&gt;0),'03_全链计算'!$AA$86,0),IF(OR('03_全链计算'!AJ30&gt;0,'03_全链计算'!AJ159&gt;0),'03_全链计算'!$AB$86,0),IF(OR('03_全链计算'!AJ31&gt;0,'03_全链计算'!AJ160&gt;0),'03_全链计算'!$AC$86,0),IF(OR('03_全链计算'!AJ32&gt;0,'03_全链计算'!AJ161&gt;0),'03_全链计算'!$AD$86,0),IF(OR('03_全链计算'!AJ33&gt;0,'03_全链计算'!AJ162&gt;0),'03_全链计算'!$AE$86,0),IF(OR('03_全链计算'!AJ34&gt;0,'03_全链计算'!AJ163&gt;0),'03_全链计算'!$AF$86,0),IF(OR('03_全链计算'!AJ35&gt;0,'03_全链计算'!AJ164&gt;0),'03_全链计算'!$AG$86,0),IF(OR('03_全链计算'!AJ36&gt;0,'03_全链计算'!AJ165&gt;0),'03_全链计算'!$AH$86,0),IF(OR('03_全链计算'!AJ37&gt;0,'03_全链计算'!AJ166&gt;0),'03_全链计算'!$AI$86,0),IF(OR('03_全链计算'!AJ38&gt;0,'03_全链计算'!AJ167&gt;0),'03_全链计算'!$AJ$86,0),IF(OR('03_全链计算'!AJ39&gt;0,'03_全链计算'!AJ168&gt;0),'03_全链计算'!$AK$86,0),IF(OR('03_全链计算'!AJ40&gt;0,'03_全链计算'!AJ169&gt;0),'03_全链计算'!$AL$86,0),IF(OR('03_全链计算'!AJ41&gt;0,'03_全链计算'!AJ170&gt;0),'03_全链计算'!$AM$86,0))=0</x:f>
        <x:v>1</x:v>
      </x:c>
      <x:c r="AK89" s="9" t="b">
        <x:f>SUM(IF(OR('03_全链计算'!AK7&gt;0,'03_全链计算'!AK136&gt;0),'03_全链计算'!$E$86,0),IF(OR('03_全链计算'!AK8&gt;0,'03_全链计算'!AK137&gt;0),'03_全链计算'!$F$86,0),IF(OR('03_全链计算'!AK9&gt;0,'03_全链计算'!AK138&gt;0),'03_全链计算'!$G$86,0),IF(OR('03_全链计算'!AK10&gt;0,'03_全链计算'!AK139&gt;0),'03_全链计算'!$H$86,0),IF(OR('03_全链计算'!AK11&gt;0,'03_全链计算'!AK140&gt;0),'03_全链计算'!$I$86,0),IF(OR('03_全链计算'!AK12&gt;0,'03_全链计算'!AK141&gt;0),'03_全链计算'!$J$86,0),IF(OR('03_全链计算'!AK13&gt;0,'03_全链计算'!AK142&gt;0),'03_全链计算'!$K$86,0),IF(OR('03_全链计算'!AK14&gt;0,'03_全链计算'!AK143&gt;0),'03_全链计算'!$L$86,0),IF(OR('03_全链计算'!AK15&gt;0,'03_全链计算'!AK144&gt;0),'03_全链计算'!$M$86,0),IF(OR('03_全链计算'!AK16&gt;0,'03_全链计算'!AK145&gt;0),'03_全链计算'!$N$86,0),IF(OR('03_全链计算'!AK17&gt;0,'03_全链计算'!AK146&gt;0),'03_全链计算'!$O$86,0),IF(OR('03_全链计算'!AK18&gt;0,'03_全链计算'!AK147&gt;0),'03_全链计算'!$P$86,0),IF(OR('03_全链计算'!AK19&gt;0,'03_全链计算'!AK148&gt;0),'03_全链计算'!$Q$86,0),IF(OR('03_全链计算'!AK20&gt;0,'03_全链计算'!AK149&gt;0),'03_全链计算'!$R$86,0),IF(OR('03_全链计算'!AK21&gt;0,'03_全链计算'!AK150&gt;0),'03_全链计算'!$S$86,0),IF(OR('03_全链计算'!AK22&gt;0,'03_全链计算'!AK151&gt;0),'03_全链计算'!$T$86,0),IF(OR('03_全链计算'!AK23&gt;0,'03_全链计算'!AK152&gt;0),'03_全链计算'!$U$86,0),IF(OR('03_全链计算'!AK24&gt;0,'03_全链计算'!AK153&gt;0),'03_全链计算'!$V$86,0),IF(OR('03_全链计算'!AK25&gt;0,'03_全链计算'!AK154&gt;0),'03_全链计算'!$W$86,0),IF(OR('03_全链计算'!AK26&gt;0,'03_全链计算'!AK155&gt;0),'03_全链计算'!$X$86,0),IF(OR('03_全链计算'!AK27&gt;0,'03_全链计算'!AK156&gt;0),'03_全链计算'!$Y$86,0),IF(OR('03_全链计算'!AK28&gt;0,'03_全链计算'!AK157&gt;0),'03_全链计算'!$Z$86,0),IF(OR('03_全链计算'!AK29&gt;0,'03_全链计算'!AK158&gt;0),'03_全链计算'!$AA$86,0),IF(OR('03_全链计算'!AK30&gt;0,'03_全链计算'!AK159&gt;0),'03_全链计算'!$AB$86,0),IF(OR('03_全链计算'!AK31&gt;0,'03_全链计算'!AK160&gt;0),'03_全链计算'!$AC$86,0),IF(OR('03_全链计算'!AK32&gt;0,'03_全链计算'!AK161&gt;0),'03_全链计算'!$AD$86,0),IF(OR('03_全链计算'!AK33&gt;0,'03_全链计算'!AK162&gt;0),'03_全链计算'!$AE$86,0),IF(OR('03_全链计算'!AK34&gt;0,'03_全链计算'!AK163&gt;0),'03_全链计算'!$AF$86,0),IF(OR('03_全链计算'!AK35&gt;0,'03_全链计算'!AK164&gt;0),'03_全链计算'!$AG$86,0),IF(OR('03_全链计算'!AK36&gt;0,'03_全链计算'!AK165&gt;0),'03_全链计算'!$AH$86,0),IF(OR('03_全链计算'!AK37&gt;0,'03_全链计算'!AK166&gt;0),'03_全链计算'!$AI$86,0),IF(OR('03_全链计算'!AK38&gt;0,'03_全链计算'!AK167&gt;0),'03_全链计算'!$AJ$86,0),IF(OR('03_全链计算'!AK39&gt;0,'03_全链计算'!AK168&gt;0),'03_全链计算'!$AK$86,0),IF(OR('03_全链计算'!AK40&gt;0,'03_全链计算'!AK169&gt;0),'03_全链计算'!$AL$86,0),IF(OR('03_全链计算'!AK41&gt;0,'03_全链计算'!AK170&gt;0),'03_全链计算'!$AM$86,0))=0</x:f>
        <x:v>1</x:v>
      </x:c>
      <x:c r="AL89" s="9" t="b">
        <x:f>SUM(IF(OR('03_全链计算'!AL7&gt;0,'03_全链计算'!AL136&gt;0),'03_全链计算'!$E$86,0),IF(OR('03_全链计算'!AL8&gt;0,'03_全链计算'!AL137&gt;0),'03_全链计算'!$F$86,0),IF(OR('03_全链计算'!AL9&gt;0,'03_全链计算'!AL138&gt;0),'03_全链计算'!$G$86,0),IF(OR('03_全链计算'!AL10&gt;0,'03_全链计算'!AL139&gt;0),'03_全链计算'!$H$86,0),IF(OR('03_全链计算'!AL11&gt;0,'03_全链计算'!AL140&gt;0),'03_全链计算'!$I$86,0),IF(OR('03_全链计算'!AL12&gt;0,'03_全链计算'!AL141&gt;0),'03_全链计算'!$J$86,0),IF(OR('03_全链计算'!AL13&gt;0,'03_全链计算'!AL142&gt;0),'03_全链计算'!$K$86,0),IF(OR('03_全链计算'!AL14&gt;0,'03_全链计算'!AL143&gt;0),'03_全链计算'!$L$86,0),IF(OR('03_全链计算'!AL15&gt;0,'03_全链计算'!AL144&gt;0),'03_全链计算'!$M$86,0),IF(OR('03_全链计算'!AL16&gt;0,'03_全链计算'!AL145&gt;0),'03_全链计算'!$N$86,0),IF(OR('03_全链计算'!AL17&gt;0,'03_全链计算'!AL146&gt;0),'03_全链计算'!$O$86,0),IF(OR('03_全链计算'!AL18&gt;0,'03_全链计算'!AL147&gt;0),'03_全链计算'!$P$86,0),IF(OR('03_全链计算'!AL19&gt;0,'03_全链计算'!AL148&gt;0),'03_全链计算'!$Q$86,0),IF(OR('03_全链计算'!AL20&gt;0,'03_全链计算'!AL149&gt;0),'03_全链计算'!$R$86,0),IF(OR('03_全链计算'!AL21&gt;0,'03_全链计算'!AL150&gt;0),'03_全链计算'!$S$86,0),IF(OR('03_全链计算'!AL22&gt;0,'03_全链计算'!AL151&gt;0),'03_全链计算'!$T$86,0),IF(OR('03_全链计算'!AL23&gt;0,'03_全链计算'!AL152&gt;0),'03_全链计算'!$U$86,0),IF(OR('03_全链计算'!AL24&gt;0,'03_全链计算'!AL153&gt;0),'03_全链计算'!$V$86,0),IF(OR('03_全链计算'!AL25&gt;0,'03_全链计算'!AL154&gt;0),'03_全链计算'!$W$86,0),IF(OR('03_全链计算'!AL26&gt;0,'03_全链计算'!AL155&gt;0),'03_全链计算'!$X$86,0),IF(OR('03_全链计算'!AL27&gt;0,'03_全链计算'!AL156&gt;0),'03_全链计算'!$Y$86,0),IF(OR('03_全链计算'!AL28&gt;0,'03_全链计算'!AL157&gt;0),'03_全链计算'!$Z$86,0),IF(OR('03_全链计算'!AL29&gt;0,'03_全链计算'!AL158&gt;0),'03_全链计算'!$AA$86,0),IF(OR('03_全链计算'!AL30&gt;0,'03_全链计算'!AL159&gt;0),'03_全链计算'!$AB$86,0),IF(OR('03_全链计算'!AL31&gt;0,'03_全链计算'!AL160&gt;0),'03_全链计算'!$AC$86,0),IF(OR('03_全链计算'!AL32&gt;0,'03_全链计算'!AL161&gt;0),'03_全链计算'!$AD$86,0),IF(OR('03_全链计算'!AL33&gt;0,'03_全链计算'!AL162&gt;0),'03_全链计算'!$AE$86,0),IF(OR('03_全链计算'!AL34&gt;0,'03_全链计算'!AL163&gt;0),'03_全链计算'!$AF$86,0),IF(OR('03_全链计算'!AL35&gt;0,'03_全链计算'!AL164&gt;0),'03_全链计算'!$AG$86,0),IF(OR('03_全链计算'!AL36&gt;0,'03_全链计算'!AL165&gt;0),'03_全链计算'!$AH$86,0),IF(OR('03_全链计算'!AL37&gt;0,'03_全链计算'!AL166&gt;0),'03_全链计算'!$AI$86,0),IF(OR('03_全链计算'!AL38&gt;0,'03_全链计算'!AL167&gt;0),'03_全链计算'!$AJ$86,0),IF(OR('03_全链计算'!AL39&gt;0,'03_全链计算'!AL168&gt;0),'03_全链计算'!$AK$86,0),IF(OR('03_全链计算'!AL40&gt;0,'03_全链计算'!AL169&gt;0),'03_全链计算'!$AL$86,0),IF(OR('03_全链计算'!AL41&gt;0,'03_全链计算'!AL170&gt;0),'03_全链计算'!$AM$86,0))=0</x:f>
        <x:v>1</x:v>
      </x:c>
      <x:c r="AM89" s="9" t="b">
        <x:f>SUM(IF(OR('03_全链计算'!AM7&gt;0,'03_全链计算'!AM136&gt;0),'03_全链计算'!$E$86,0),IF(OR('03_全链计算'!AM8&gt;0,'03_全链计算'!AM137&gt;0),'03_全链计算'!$F$86,0),IF(OR('03_全链计算'!AM9&gt;0,'03_全链计算'!AM138&gt;0),'03_全链计算'!$G$86,0),IF(OR('03_全链计算'!AM10&gt;0,'03_全链计算'!AM139&gt;0),'03_全链计算'!$H$86,0),IF(OR('03_全链计算'!AM11&gt;0,'03_全链计算'!AM140&gt;0),'03_全链计算'!$I$86,0),IF(OR('03_全链计算'!AM12&gt;0,'03_全链计算'!AM141&gt;0),'03_全链计算'!$J$86,0),IF(OR('03_全链计算'!AM13&gt;0,'03_全链计算'!AM142&gt;0),'03_全链计算'!$K$86,0),IF(OR('03_全链计算'!AM14&gt;0,'03_全链计算'!AM143&gt;0),'03_全链计算'!$L$86,0),IF(OR('03_全链计算'!AM15&gt;0,'03_全链计算'!AM144&gt;0),'03_全链计算'!$M$86,0),IF(OR('03_全链计算'!AM16&gt;0,'03_全链计算'!AM145&gt;0),'03_全链计算'!$N$86,0),IF(OR('03_全链计算'!AM17&gt;0,'03_全链计算'!AM146&gt;0),'03_全链计算'!$O$86,0),IF(OR('03_全链计算'!AM18&gt;0,'03_全链计算'!AM147&gt;0),'03_全链计算'!$P$86,0),IF(OR('03_全链计算'!AM19&gt;0,'03_全链计算'!AM148&gt;0),'03_全链计算'!$Q$86,0),IF(OR('03_全链计算'!AM20&gt;0,'03_全链计算'!AM149&gt;0),'03_全链计算'!$R$86,0),IF(OR('03_全链计算'!AM21&gt;0,'03_全链计算'!AM150&gt;0),'03_全链计算'!$S$86,0),IF(OR('03_全链计算'!AM22&gt;0,'03_全链计算'!AM151&gt;0),'03_全链计算'!$T$86,0),IF(OR('03_全链计算'!AM23&gt;0,'03_全链计算'!AM152&gt;0),'03_全链计算'!$U$86,0),IF(OR('03_全链计算'!AM24&gt;0,'03_全链计算'!AM153&gt;0),'03_全链计算'!$V$86,0),IF(OR('03_全链计算'!AM25&gt;0,'03_全链计算'!AM154&gt;0),'03_全链计算'!$W$86,0),IF(OR('03_全链计算'!AM26&gt;0,'03_全链计算'!AM155&gt;0),'03_全链计算'!$X$86,0),IF(OR('03_全链计算'!AM27&gt;0,'03_全链计算'!AM156&gt;0),'03_全链计算'!$Y$86,0),IF(OR('03_全链计算'!AM28&gt;0,'03_全链计算'!AM157&gt;0),'03_全链计算'!$Z$86,0),IF(OR('03_全链计算'!AM29&gt;0,'03_全链计算'!AM158&gt;0),'03_全链计算'!$AA$86,0),IF(OR('03_全链计算'!AM30&gt;0,'03_全链计算'!AM159&gt;0),'03_全链计算'!$AB$86,0),IF(OR('03_全链计算'!AM31&gt;0,'03_全链计算'!AM160&gt;0),'03_全链计算'!$AC$86,0),IF(OR('03_全链计算'!AM32&gt;0,'03_全链计算'!AM161&gt;0),'03_全链计算'!$AD$86,0),IF(OR('03_全链计算'!AM33&gt;0,'03_全链计算'!AM162&gt;0),'03_全链计算'!$AE$86,0),IF(OR('03_全链计算'!AM34&gt;0,'03_全链计算'!AM163&gt;0),'03_全链计算'!$AF$86,0),IF(OR('03_全链计算'!AM35&gt;0,'03_全链计算'!AM164&gt;0),'03_全链计算'!$AG$86,0),IF(OR('03_全链计算'!AM36&gt;0,'03_全链计算'!AM165&gt;0),'03_全链计算'!$AH$86,0),IF(OR('03_全链计算'!AM37&gt;0,'03_全链计算'!AM166&gt;0),'03_全链计算'!$AI$86,0),IF(OR('03_全链计算'!AM38&gt;0,'03_全链计算'!AM167&gt;0),'03_全链计算'!$AJ$86,0),IF(OR('03_全链计算'!AM39&gt;0,'03_全链计算'!AM168&gt;0),'03_全链计算'!$AK$86,0),IF(OR('03_全链计算'!AM40&gt;0,'03_全链计算'!AM169&gt;0),'03_全链计算'!$AL$86,0),IF(OR('03_全链计算'!AM41&gt;0,'03_全链计算'!AM170&gt;0),'03_全链计算'!$AM$86,0))=0</x:f>
        <x:v>1</x:v>
      </x:c>
    </x:row>
    <x:row r="90" ht="22" customHeight="1">
      <x:c r="A90" s="9"/>
      <x:c r="B90" s="9"/>
      <x:c r="C90" s="9"/>
      <x:c r="D90" s="9"/>
      <x:c r="E90" s="9"/>
      <x:c r="F90" s="9"/>
      <x:c r="G90" s="9"/>
      <x:c r="H90" s="9"/>
      <x:c r="I90" s="9"/>
      <x:c r="J90" s="9"/>
      <x:c r="K90" s="9"/>
      <x:c r="L90" s="9"/>
      <x:c r="M90" s="9"/>
      <x:c r="N90" s="9"/>
      <x:c r="O90" s="9"/>
      <x:c r="P90" s="9"/>
      <x:c r="Q90" s="9"/>
      <x:c r="R90" s="9"/>
      <x:c r="S90" s="9"/>
      <x:c r="T90" s="9"/>
      <x:c r="U90" s="9"/>
      <x:c r="V90" s="9"/>
      <x:c r="W90" s="9"/>
      <x:c r="X90" s="9"/>
      <x:c r="Y90" s="9"/>
      <x:c r="Z90" s="9"/>
      <x:c r="AA90" s="9"/>
      <x:c r="AB90" s="9"/>
      <x:c r="AC90" s="9"/>
      <x:c r="AD90" s="9"/>
      <x:c r="AE90" s="9"/>
      <x:c r="AF90" s="9"/>
      <x:c r="AG90" s="9"/>
      <x:c r="AH90" s="9"/>
      <x:c r="AI90" s="9"/>
      <x:c r="AJ90" s="9"/>
      <x:c r="AK90" s="9"/>
      <x:c r="AL90" s="9"/>
      <x:c r="AM90" s="9"/>
    </x:row>
    <x:row r="91" ht="22" customHeight="1">
      <x:c r="A91" s="9"/>
      <x:c r="B91" s="9"/>
      <x:c r="C91" s="9"/>
      <x:c r="D91" s="9"/>
      <x:c r="E91" s="9"/>
      <x:c r="F91" s="9"/>
      <x:c r="G91" s="9"/>
      <x:c r="H91" s="9"/>
      <x:c r="I91" s="9"/>
      <x:c r="J91" s="9"/>
      <x:c r="K91" s="9"/>
      <x:c r="L91" s="9"/>
      <x:c r="M91" s="9"/>
      <x:c r="N91" s="9"/>
      <x:c r="O91" s="9"/>
      <x:c r="P91" s="9"/>
      <x:c r="Q91" s="9"/>
      <x:c r="R91" s="9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  <x:c r="AI91" s="9"/>
      <x:c r="AJ91" s="9"/>
      <x:c r="AK91" s="9"/>
      <x:c r="AL91" s="9"/>
      <x:c r="AM91" s="9"/>
    </x:row>
    <x:row r="92" ht="22" customHeight="1">
      <x:c r="A92" s="9" t="str">
        <x:v>排程所用本步时间</x:v>
      </x:c>
      <x:c r="B92" s="9"/>
      <x:c r="C92" s="9"/>
      <x:c r="D92" s="9"/>
      <x:c r="E92" s="9" t="n">
        <x:v>2</x:v>
      </x:c>
      <x:c r="F92" s="9" t="n">
        <x:v>5</x:v>
      </x:c>
      <x:c r="G92" s="9" t="n">
        <x:v>10</x:v>
      </x:c>
      <x:c r="H92" s="9" t="n">
        <x:v>15</x:v>
      </x:c>
      <x:c r="I92" s="9" t="n">
        <x:v>20</x:v>
      </x:c>
      <x:c r="J92" s="9" t="n">
        <x:v>30</x:v>
      </x:c>
      <x:c r="K92" s="9" t="n">
        <x:v>60</x:v>
      </x:c>
      <x:c r="L92" s="9" t="n">
        <x:v>90</x:v>
      </x:c>
      <x:c r="M92" s="9" t="n">
        <x:v>120</x:v>
      </x:c>
      <x:c r="N92" s="9" t="n">
        <x:v>5</x:v>
      </x:c>
      <x:c r="O92" s="9" t="n">
        <x:v>10</x:v>
      </x:c>
      <x:c r="P92" s="9" t="n">
        <x:v>20</x:v>
      </x:c>
      <x:c r="Q92" s="9" t="n">
        <x:v>30</x:v>
      </x:c>
      <x:c r="R92" s="9" t="n">
        <x:v>60</x:v>
      </x:c>
      <x:c r="S92" s="9" t="n">
        <x:v>10</x:v>
      </x:c>
      <x:c r="T92" s="9" t="n">
        <x:v>20</x:v>
      </x:c>
      <x:c r="U92" s="9" t="n">
        <x:v>30</x:v>
      </x:c>
      <x:c r="V92" s="9" t="n">
        <x:v>45</x:v>
      </x:c>
      <x:c r="W92" s="9" t="n">
        <x:v>60</x:v>
      </x:c>
      <x:c r="X92" s="9" t="n">
        <x:v>30</x:v>
      </x:c>
      <x:c r="Y92" s="9" t="n">
        <x:v>45</x:v>
      </x:c>
      <x:c r="Z92" s="9" t="n">
        <x:v>60</x:v>
      </x:c>
      <x:c r="AA92" s="9" t="n">
        <x:v>120</x:v>
      </x:c>
      <x:c r="AB92" s="9" t="n">
        <x:v>150</x:v>
      </x:c>
      <x:c r="AC92" s="9" t="n">
        <x:v>180</x:v>
      </x:c>
      <x:c r="AD92" s="9" t="n">
        <x:v>20</x:v>
      </x:c>
      <x:c r="AE92" s="9" t="n">
        <x:v>45</x:v>
      </x:c>
      <x:c r="AF92" s="9" t="n">
        <x:v>60</x:v>
      </x:c>
      <x:c r="AG92" s="9" t="n">
        <x:v>90</x:v>
      </x:c>
      <x:c r="AH92" s="9" t="n">
        <x:v>45</x:v>
      </x:c>
      <x:c r="AI92" s="9" t="n">
        <x:v>60</x:v>
      </x:c>
      <x:c r="AJ92" s="9" t="n">
        <x:v>90</x:v>
      </x:c>
      <x:c r="AK92" s="9" t="n">
        <x:v>120</x:v>
      </x:c>
      <x:c r="AL92" s="9" t="n">
        <x:v>150</x:v>
      </x:c>
      <x:c r="AM92" s="9" t="n">
        <x:v>180</x:v>
      </x:c>
    </x:row>
    <x:row r="93" ht="22" customHeight="1">
      <x:c r="A93" s="9" t="str">
        <x:v>排程所用原配方</x:v>
      </x:c>
      <x:c r="B93" s="9"/>
      <x:c r="C93" s="9"/>
      <x:c r="D93" s="9"/>
      <x:c r="E93" s="9"/>
      <x:c r="F93" s="9"/>
      <x:c r="G93" s="9"/>
      <x:c r="H93" s="9"/>
      <x:c r="I93" s="9"/>
      <x:c r="J93" s="9"/>
      <x:c r="K93" s="9"/>
      <x:c r="L93" s="9"/>
      <x:c r="M93" s="9"/>
      <x:c r="N93" s="9"/>
      <x:c r="O93" s="9"/>
      <x:c r="P93" s="9"/>
      <x:c r="Q93" s="9"/>
      <x:c r="R93" s="9"/>
      <x:c r="S93" s="9"/>
      <x:c r="T93" s="9"/>
      <x:c r="U93" s="9"/>
      <x:c r="V93" s="9"/>
      <x:c r="W93" s="9"/>
      <x:c r="X93" s="9"/>
      <x:c r="Y93" s="9"/>
      <x:c r="Z93" s="9"/>
      <x:c r="AA93" s="9"/>
      <x:c r="AB93" s="9"/>
      <x:c r="AC93" s="9"/>
      <x:c r="AD93" s="9"/>
      <x:c r="AE93" s="9"/>
      <x:c r="AF93" s="9"/>
      <x:c r="AG93" s="9"/>
      <x:c r="AH93" s="9"/>
      <x:c r="AI93" s="9"/>
      <x:c r="AJ93" s="9"/>
      <x:c r="AK93" s="9"/>
      <x:c r="AL93" s="9"/>
      <x:c r="AM93" s="9"/>
    </x:row>
    <x:row r="94" ht="22" customHeight="1">
      <x:c r="A94" s="9"/>
      <x:c r="B94" s="9"/>
      <x:c r="C94" s="9"/>
      <x:c r="D94" s="9"/>
      <x:c r="E94" s="9" t="n">
        <x:v>1</x:v>
      </x:c>
      <x:c r="F94" s="9" t="n">
        <x:v>0</x:v>
      </x:c>
      <x:c r="G94" s="9" t="n">
        <x:v>0</x:v>
      </x:c>
      <x:c r="H94" s="9" t="n">
        <x:v>0</x:v>
      </x:c>
      <x:c r="I94" s="9" t="n">
        <x:v>0</x:v>
      </x:c>
      <x:c r="J94" s="9" t="n">
        <x:v>0</x:v>
      </x:c>
      <x:c r="K94" s="9" t="n">
        <x:v>0</x:v>
      </x:c>
      <x:c r="L94" s="9" t="n">
        <x:v>0</x:v>
      </x:c>
      <x:c r="M94" s="9" t="n">
        <x:v>0</x:v>
      </x:c>
      <x:c r="N94" s="9" t="n">
        <x:v>-2</x:v>
      </x:c>
      <x:c r="O94" s="9" t="n">
        <x:v>-1</x:v>
      </x:c>
      <x:c r="P94" s="9" t="n">
        <x:v>0</x:v>
      </x:c>
      <x:c r="Q94" s="9" t="n">
        <x:v>0</x:v>
      </x:c>
      <x:c r="R94" s="9" t="n">
        <x:v>-2</x:v>
      </x:c>
      <x:c r="S94" s="9" t="n">
        <x:v>0</x:v>
      </x:c>
      <x:c r="T94" s="9" t="n">
        <x:v>0</x:v>
      </x:c>
      <x:c r="U94" s="9" t="n">
        <x:v>0</x:v>
      </x:c>
      <x:c r="V94" s="9" t="n">
        <x:v>0</x:v>
      </x:c>
      <x:c r="W94" s="9" t="n">
        <x:v>0</x:v>
      </x:c>
      <x:c r="X94" s="9" t="n">
        <x:v>0</x:v>
      </x:c>
      <x:c r="Y94" s="9" t="n">
        <x:v>-2</x:v>
      </x:c>
      <x:c r="Z94" s="9" t="n">
        <x:v>0</x:v>
      </x:c>
      <x:c r="AA94" s="9" t="n">
        <x:v>0</x:v>
      </x:c>
      <x:c r="AB94" s="9" t="n">
        <x:v>0</x:v>
      </x:c>
      <x:c r="AC94" s="9" t="n">
        <x:v>-1</x:v>
      </x:c>
      <x:c r="AD94" s="9" t="n">
        <x:v>0</x:v>
      </x:c>
      <x:c r="AE94" s="9" t="n">
        <x:v>0</x:v>
      </x:c>
      <x:c r="AF94" s="9" t="n">
        <x:v>0</x:v>
      </x:c>
      <x:c r="AG94" s="9" t="n">
        <x:v>0</x:v>
      </x:c>
      <x:c r="AH94" s="9" t="n">
        <x:v>0</x:v>
      </x:c>
      <x:c r="AI94" s="9" t="n">
        <x:v>0</x:v>
      </x:c>
      <x:c r="AJ94" s="9" t="n">
        <x:v>0</x:v>
      </x:c>
      <x:c r="AK94" s="9" t="n">
        <x:v>0</x:v>
      </x:c>
      <x:c r="AL94" s="9" t="n">
        <x:v>0</x:v>
      </x:c>
      <x:c r="AM94" s="9" t="n">
        <x:v>0</x:v>
      </x:c>
    </x:row>
    <x:row r="95" ht="22" customHeight="1">
      <x:c r="A95" s="9"/>
      <x:c r="B95" s="9"/>
      <x:c r="C95" s="9"/>
      <x:c r="D95" s="9"/>
      <x:c r="E95" s="9" t="n">
        <x:v>0</x:v>
      </x:c>
      <x:c r="F95" s="9" t="n">
        <x:v>1</x:v>
      </x:c>
      <x:c r="G95" s="9" t="n">
        <x:v>0</x:v>
      </x:c>
      <x:c r="H95" s="9" t="n">
        <x:v>0</x:v>
      </x:c>
      <x:c r="I95" s="9" t="n">
        <x:v>0</x:v>
      </x:c>
      <x:c r="J95" s="9" t="n">
        <x:v>0</x:v>
      </x:c>
      <x:c r="K95" s="9" t="n">
        <x:v>0</x:v>
      </x:c>
      <x:c r="L95" s="9" t="n">
        <x:v>0</x:v>
      </x:c>
      <x:c r="M95" s="9" t="n">
        <x:v>0</x:v>
      </x:c>
      <x:c r="N95" s="9" t="n">
        <x:v>0</x:v>
      </x:c>
      <x:c r="O95" s="9" t="n">
        <x:v>-1</x:v>
      </x:c>
      <x:c r="P95" s="9" t="n">
        <x:v>0</x:v>
      </x:c>
      <x:c r="Q95" s="9" t="n">
        <x:v>-2</x:v>
      </x:c>
      <x:c r="R95" s="9" t="n">
        <x:v>0</x:v>
      </x:c>
      <x:c r="S95" s="9" t="n">
        <x:v>0</x:v>
      </x:c>
      <x:c r="T95" s="9" t="n">
        <x:v>0</x:v>
      </x:c>
      <x:c r="U95" s="9" t="n">
        <x:v>0</x:v>
      </x:c>
      <x:c r="V95" s="9" t="n">
        <x:v>0</x:v>
      </x:c>
      <x:c r="W95" s="9" t="n">
        <x:v>0</x:v>
      </x:c>
      <x:c r="X95" s="9" t="n">
        <x:v>0</x:v>
      </x:c>
      <x:c r="Y95" s="9" t="n">
        <x:v>0</x:v>
      </x:c>
      <x:c r="Z95" s="9" t="n">
        <x:v>-2</x:v>
      </x:c>
      <x:c r="AA95" s="9" t="n">
        <x:v>0</x:v>
      </x:c>
      <x:c r="AB95" s="9" t="n">
        <x:v>-2</x:v>
      </x:c>
      <x:c r="AC95" s="9" t="n">
        <x:v>0</x:v>
      </x:c>
      <x:c r="AD95" s="9" t="n">
        <x:v>0</x:v>
      </x:c>
      <x:c r="AE95" s="9" t="n">
        <x:v>0</x:v>
      </x:c>
      <x:c r="AF95" s="9" t="n">
        <x:v>0</x:v>
      </x:c>
      <x:c r="AG95" s="9" t="n">
        <x:v>0</x:v>
      </x:c>
      <x:c r="AH95" s="9" t="n">
        <x:v>0</x:v>
      </x:c>
      <x:c r="AI95" s="9" t="n">
        <x:v>0</x:v>
      </x:c>
      <x:c r="AJ95" s="9" t="n">
        <x:v>0</x:v>
      </x:c>
      <x:c r="AK95" s="9" t="n">
        <x:v>0</x:v>
      </x:c>
      <x:c r="AL95" s="9" t="n">
        <x:v>0</x:v>
      </x:c>
      <x:c r="AM95" s="9" t="n">
        <x:v>0</x:v>
      </x:c>
    </x:row>
    <x:row r="96" ht="22" customHeight="1">
      <x:c r="A96" s="9"/>
      <x:c r="B96" s="9"/>
      <x:c r="C96" s="9"/>
      <x:c r="D96" s="9"/>
      <x:c r="E96" s="9" t="n">
        <x:v>0</x:v>
      </x:c>
      <x:c r="F96" s="9" t="n">
        <x:v>0</x:v>
      </x:c>
      <x:c r="G96" s="9" t="n">
        <x:v>1</x:v>
      </x:c>
      <x:c r="H96" s="9" t="n">
        <x:v>0</x:v>
      </x:c>
      <x:c r="I96" s="9" t="n">
        <x:v>0</x:v>
      </x:c>
      <x:c r="J96" s="9" t="n">
        <x:v>0</x:v>
      </x:c>
      <x:c r="K96" s="9" t="n">
        <x:v>0</x:v>
      </x:c>
      <x:c r="L96" s="9" t="n">
        <x:v>0</x:v>
      </x:c>
      <x:c r="M96" s="9" t="n">
        <x:v>0</x:v>
      </x:c>
      <x:c r="N96" s="9" t="n">
        <x:v>0</x:v>
      </x:c>
      <x:c r="O96" s="9" t="n">
        <x:v>0</x:v>
      </x:c>
      <x:c r="P96" s="9" t="n">
        <x:v>0</x:v>
      </x:c>
      <x:c r="Q96" s="9" t="n">
        <x:v>0</x:v>
      </x:c>
      <x:c r="R96" s="9" t="n">
        <x:v>0</x:v>
      </x:c>
      <x:c r="S96" s="9" t="n">
        <x:v>-2</x:v>
      </x:c>
      <x:c r="T96" s="9" t="n">
        <x:v>-3</x:v>
      </x:c>
      <x:c r="U96" s="9" t="n">
        <x:v>-4</x:v>
      </x:c>
      <x:c r="V96" s="9" t="n">
        <x:v>-2</x:v>
      </x:c>
      <x:c r="W96" s="9" t="n">
        <x:v>-1</x:v>
      </x:c>
      <x:c r="X96" s="9" t="n">
        <x:v>0</x:v>
      </x:c>
      <x:c r="Y96" s="9" t="n">
        <x:v>0</x:v>
      </x:c>
      <x:c r="Z96" s="9" t="n">
        <x:v>0</x:v>
      </x:c>
      <x:c r="AA96" s="9" t="n">
        <x:v>0</x:v>
      </x:c>
      <x:c r="AB96" s="9" t="n">
        <x:v>0</x:v>
      </x:c>
      <x:c r="AC96" s="9" t="n">
        <x:v>0</x:v>
      </x:c>
      <x:c r="AD96" s="9" t="n">
        <x:v>0</x:v>
      </x:c>
      <x:c r="AE96" s="9" t="n">
        <x:v>0</x:v>
      </x:c>
      <x:c r="AF96" s="9" t="n">
        <x:v>0</x:v>
      </x:c>
      <x:c r="AG96" s="9" t="n">
        <x:v>0</x:v>
      </x:c>
      <x:c r="AH96" s="9" t="n">
        <x:v>0</x:v>
      </x:c>
      <x:c r="AI96" s="9" t="n">
        <x:v>0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</x:row>
    <x:row r="97" ht="22" customHeight="1">
      <x:c r="A97" s="9"/>
      <x:c r="B97" s="9"/>
      <x:c r="C97" s="9"/>
      <x:c r="D97" s="9"/>
      <x:c r="E97" s="9" t="n">
        <x:v>0</x:v>
      </x:c>
      <x:c r="F97" s="9" t="n">
        <x:v>0</x:v>
      </x:c>
      <x:c r="G97" s="9" t="n">
        <x:v>0</x:v>
      </x:c>
      <x:c r="H97" s="9" t="n">
        <x:v>1</x:v>
      </x:c>
      <x:c r="I97" s="9" t="n">
        <x:v>0</x:v>
      </x:c>
      <x:c r="J97" s="9" t="n">
        <x:v>0</x:v>
      </x:c>
      <x:c r="K97" s="9" t="n">
        <x:v>0</x:v>
      </x:c>
      <x:c r="L97" s="9" t="n">
        <x:v>0</x:v>
      </x:c>
      <x:c r="M97" s="9" t="n">
        <x:v>0</x:v>
      </x:c>
      <x:c r="N97" s="9" t="n">
        <x:v>0</x:v>
      </x:c>
      <x:c r="O97" s="9" t="n">
        <x:v>0</x:v>
      </x:c>
      <x:c r="P97" s="9" t="n">
        <x:v>-2</x:v>
      </x:c>
      <x:c r="Q97" s="9" t="n">
        <x:v>-2</x:v>
      </x:c>
      <x:c r="R97" s="9" t="n">
        <x:v>0</x:v>
      </x:c>
      <x:c r="S97" s="9" t="n">
        <x:v>0</x:v>
      </x:c>
      <x:c r="T97" s="9" t="n">
        <x:v>0</x:v>
      </x:c>
      <x:c r="U97" s="9" t="n">
        <x:v>0</x:v>
      </x:c>
      <x:c r="V97" s="9" t="n">
        <x:v>0</x:v>
      </x:c>
      <x:c r="W97" s="9" t="n">
        <x:v>0</x:v>
      </x:c>
      <x:c r="X97" s="9" t="n">
        <x:v>0</x:v>
      </x:c>
      <x:c r="Y97" s="9" t="n">
        <x:v>0</x:v>
      </x:c>
      <x:c r="Z97" s="9" t="n">
        <x:v>0</x:v>
      </x:c>
      <x:c r="AA97" s="9" t="n">
        <x:v>0</x:v>
      </x:c>
      <x:c r="AB97" s="9" t="n">
        <x:v>0</x:v>
      </x:c>
      <x:c r="AC97" s="9" t="n">
        <x:v>0</x:v>
      </x:c>
      <x:c r="AD97" s="9" t="n">
        <x:v>0</x:v>
      </x:c>
      <x:c r="AE97" s="9" t="n">
        <x:v>0</x:v>
      </x:c>
      <x:c r="AF97" s="9" t="n">
        <x:v>0</x:v>
      </x:c>
      <x:c r="AG97" s="9" t="n">
        <x:v>0</x:v>
      </x:c>
      <x:c r="AH97" s="9" t="n">
        <x:v>0</x:v>
      </x:c>
      <x:c r="AI97" s="9" t="n">
        <x:v>0</x:v>
      </x:c>
      <x:c r="AJ97" s="9" t="n">
        <x:v>0</x:v>
      </x:c>
      <x:c r="AK97" s="9" t="n">
        <x:v>-2</x:v>
      </x:c>
      <x:c r="AL97" s="9" t="n">
        <x:v>0</x:v>
      </x:c>
      <x:c r="AM97" s="9" t="n">
        <x:v>0</x:v>
      </x:c>
    </x:row>
    <x:row r="98" ht="22" customHeight="1">
      <x:c r="A98" s="9"/>
      <x:c r="B98" s="9"/>
      <x:c r="C98" s="9"/>
      <x:c r="D98" s="9"/>
      <x:c r="E98" s="9" t="n">
        <x:v>0</x:v>
      </x:c>
      <x:c r="F98" s="9" t="n">
        <x:v>0</x:v>
      </x:c>
      <x:c r="G98" s="9" t="n">
        <x:v>0</x:v>
      </x:c>
      <x:c r="H98" s="9" t="n">
        <x:v>0</x:v>
      </x:c>
      <x:c r="I98" s="9" t="n">
        <x:v>1</x:v>
      </x:c>
      <x:c r="J98" s="9" t="n">
        <x:v>0</x:v>
      </x:c>
      <x:c r="K98" s="9" t="n">
        <x:v>0</x:v>
      </x:c>
      <x:c r="L98" s="9" t="n">
        <x:v>0</x:v>
      </x:c>
      <x:c r="M98" s="9" t="n">
        <x:v>0</x:v>
      </x:c>
      <x:c r="N98" s="9" t="n">
        <x:v>0</x:v>
      </x:c>
      <x:c r="O98" s="9" t="n">
        <x:v>0</x:v>
      </x:c>
      <x:c r="P98" s="9" t="n">
        <x:v>0</x:v>
      </x:c>
      <x:c r="Q98" s="9" t="n">
        <x:v>0</x:v>
      </x:c>
      <x:c r="R98" s="9" t="n">
        <x:v>0</x:v>
      </x:c>
      <x:c r="S98" s="9" t="n">
        <x:v>0</x:v>
      </x:c>
      <x:c r="T98" s="9" t="n">
        <x:v>0</x:v>
      </x:c>
      <x:c r="U98" s="9" t="n">
        <x:v>0</x:v>
      </x:c>
      <x:c r="V98" s="9" t="n">
        <x:v>0</x:v>
      </x:c>
      <x:c r="W98" s="9" t="n">
        <x:v>0</x:v>
      </x:c>
      <x:c r="X98" s="9" t="n">
        <x:v>0</x:v>
      </x:c>
      <x:c r="Y98" s="9" t="n">
        <x:v>0</x:v>
      </x:c>
      <x:c r="Z98" s="9" t="n">
        <x:v>0</x:v>
      </x:c>
      <x:c r="AA98" s="9" t="n">
        <x:v>0</x:v>
      </x:c>
      <x:c r="AB98" s="9" t="n">
        <x:v>0</x:v>
      </x:c>
      <x:c r="AC98" s="9" t="n">
        <x:v>0</x:v>
      </x:c>
      <x:c r="AD98" s="9" t="n">
        <x:v>-2</x:v>
      </x:c>
      <x:c r="AE98" s="9" t="n">
        <x:v>0</x:v>
      </x:c>
      <x:c r="AF98" s="9" t="n">
        <x:v>0</x:v>
      </x:c>
      <x:c r="AG98" s="9" t="n">
        <x:v>0</x:v>
      </x:c>
      <x:c r="AH98" s="9" t="n">
        <x:v>0</x:v>
      </x:c>
      <x:c r="AI98" s="9" t="n">
        <x:v>0</x:v>
      </x:c>
      <x:c r="AJ98" s="9" t="n">
        <x:v>-2</x:v>
      </x:c>
      <x:c r="AK98" s="9" t="n">
        <x:v>0</x:v>
      </x:c>
      <x:c r="AL98" s="9" t="n">
        <x:v>-2</x:v>
      </x:c>
      <x:c r="AM98" s="9" t="n">
        <x:v>0</x:v>
      </x:c>
    </x:row>
    <x:row r="99" ht="22" customHeight="1">
      <x:c r="A99" s="9"/>
      <x:c r="B99" s="9"/>
      <x:c r="C99" s="9"/>
      <x:c r="D99" s="9"/>
      <x:c r="E99" s="9" t="n">
        <x:v>0</x:v>
      </x:c>
      <x:c r="F99" s="9" t="n">
        <x:v>0</x:v>
      </x:c>
      <x:c r="G99" s="9" t="n">
        <x:v>0</x:v>
      </x:c>
      <x:c r="H99" s="9" t="n">
        <x:v>0</x:v>
      </x:c>
      <x:c r="I99" s="9" t="n">
        <x:v>0</x:v>
      </x:c>
      <x:c r="J99" s="9" t="n">
        <x:v>1</x:v>
      </x:c>
      <x:c r="K99" s="9" t="n">
        <x:v>0</x:v>
      </x:c>
      <x:c r="L99" s="9" t="n">
        <x:v>0</x:v>
      </x:c>
      <x:c r="M99" s="9" t="n">
        <x:v>0</x:v>
      </x:c>
      <x:c r="N99" s="9" t="n">
        <x:v>0</x:v>
      </x:c>
      <x:c r="O99" s="9" t="n">
        <x:v>0</x:v>
      </x:c>
      <x:c r="P99" s="9" t="n">
        <x:v>0</x:v>
      </x:c>
      <x:c r="Q99" s="9" t="n">
        <x:v>0</x:v>
      </x:c>
      <x:c r="R99" s="9" t="n">
        <x:v>0</x:v>
      </x:c>
      <x:c r="S99" s="9" t="n">
        <x:v>0</x:v>
      </x:c>
      <x:c r="T99" s="9" t="n">
        <x:v>0</x:v>
      </x:c>
      <x:c r="U99" s="9" t="n">
        <x:v>0</x:v>
      </x:c>
      <x:c r="V99" s="9" t="n">
        <x:v>-2</x:v>
      </x:c>
      <x:c r="W99" s="9" t="n">
        <x:v>0</x:v>
      </x:c>
      <x:c r="X99" s="9" t="n">
        <x:v>0</x:v>
      </x:c>
      <x:c r="Y99" s="9" t="n">
        <x:v>0</x:v>
      </x:c>
      <x:c r="Z99" s="9" t="n">
        <x:v>0</x:v>
      </x:c>
      <x:c r="AA99" s="9" t="n">
        <x:v>0</x:v>
      </x:c>
      <x:c r="AB99" s="9" t="n">
        <x:v>0</x:v>
      </x:c>
      <x:c r="AC99" s="9" t="n">
        <x:v>0</x:v>
      </x:c>
      <x:c r="AD99" s="9" t="n">
        <x:v>0</x:v>
      </x:c>
      <x:c r="AE99" s="9" t="n">
        <x:v>-3</x:v>
      </x:c>
      <x:c r="AF99" s="9" t="n">
        <x:v>0</x:v>
      </x:c>
      <x:c r="AG99" s="9" t="n">
        <x:v>0</x:v>
      </x:c>
      <x:c r="AH99" s="9" t="n">
        <x:v>0</x:v>
      </x:c>
      <x:c r="AI99" s="9" t="n">
        <x:v>0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</x:row>
    <x:row r="100" ht="22" customHeight="1">
      <x:c r="A100" s="9"/>
      <x:c r="B100" s="9"/>
      <x:c r="C100" s="9"/>
      <x:c r="D100" s="9"/>
      <x:c r="E100" s="9" t="n">
        <x:v>0</x:v>
      </x:c>
      <x:c r="F100" s="9" t="n">
        <x:v>0</x:v>
      </x:c>
      <x:c r="G100" s="9" t="n">
        <x:v>0</x:v>
      </x:c>
      <x:c r="H100" s="9" t="n">
        <x:v>0</x:v>
      </x:c>
      <x:c r="I100" s="9" t="n">
        <x:v>0</x:v>
      </x:c>
      <x:c r="J100" s="9" t="n">
        <x:v>0</x:v>
      </x:c>
      <x:c r="K100" s="9" t="n">
        <x:v>1</x:v>
      </x:c>
      <x:c r="L100" s="9" t="n">
        <x:v>0</x:v>
      </x:c>
      <x:c r="M100" s="9" t="n">
        <x:v>0</x:v>
      </x:c>
      <x:c r="N100" s="9" t="n">
        <x:v>0</x:v>
      </x:c>
      <x:c r="O100" s="9" t="n">
        <x:v>0</x:v>
      </x:c>
      <x:c r="P100" s="9" t="n">
        <x:v>0</x:v>
      </x:c>
      <x:c r="Q100" s="9" t="n">
        <x:v>0</x:v>
      </x:c>
      <x:c r="R100" s="9" t="n">
        <x:v>-2</x:v>
      </x:c>
      <x:c r="S100" s="9" t="n">
        <x:v>0</x:v>
      </x:c>
      <x:c r="T100" s="9" t="n">
        <x:v>0</x:v>
      </x:c>
      <x:c r="U100" s="9" t="n">
        <x:v>0</x:v>
      </x:c>
      <x:c r="V100" s="9" t="n">
        <x:v>0</x:v>
      </x:c>
      <x:c r="W100" s="9" t="n">
        <x:v>0</x:v>
      </x:c>
      <x:c r="X100" s="9" t="n">
        <x:v>0</x:v>
      </x:c>
      <x:c r="Y100" s="9" t="n">
        <x:v>0</x:v>
      </x:c>
      <x:c r="Z100" s="9" t="n">
        <x:v>0</x:v>
      </x:c>
      <x:c r="AA100" s="9" t="n">
        <x:v>0</x:v>
      </x:c>
      <x:c r="AB100" s="9" t="n">
        <x:v>0</x:v>
      </x:c>
      <x:c r="AC100" s="9" t="n">
        <x:v>0</x:v>
      </x:c>
      <x:c r="AD100" s="9" t="n">
        <x:v>0</x:v>
      </x:c>
      <x:c r="AE100" s="9" t="n">
        <x:v>0</x:v>
      </x:c>
      <x:c r="AF100" s="9" t="n">
        <x:v>-3</x:v>
      </x:c>
      <x:c r="AG100" s="9" t="n">
        <x:v>0</x:v>
      </x:c>
      <x:c r="AH100" s="9" t="n">
        <x:v>0</x:v>
      </x:c>
      <x:c r="AI100" s="9" t="n">
        <x:v>0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</x:row>
    <x:row r="101" ht="22" customHeight="1">
      <x:c r="A101" s="9"/>
      <x:c r="B101" s="9"/>
      <x:c r="C101" s="9"/>
      <x:c r="D101" s="9"/>
      <x:c r="E101" s="9" t="n">
        <x:v>0</x:v>
      </x:c>
      <x:c r="F101" s="9" t="n">
        <x:v>0</x:v>
      </x:c>
      <x:c r="G101" s="9" t="n">
        <x:v>0</x:v>
      </x:c>
      <x:c r="H101" s="9" t="n">
        <x:v>0</x:v>
      </x:c>
      <x:c r="I101" s="9" t="n">
        <x:v>0</x:v>
      </x:c>
      <x:c r="J101" s="9" t="n">
        <x:v>0</x:v>
      </x:c>
      <x:c r="K101" s="9" t="n">
        <x:v>0</x:v>
      </x:c>
      <x:c r="L101" s="9" t="n">
        <x:v>1</x:v>
      </x:c>
      <x:c r="M101" s="9" t="n">
        <x:v>0</x:v>
      </x:c>
      <x:c r="N101" s="9" t="n">
        <x:v>0</x:v>
      </x:c>
      <x:c r="O101" s="9" t="n">
        <x:v>0</x:v>
      </x:c>
      <x:c r="P101" s="9" t="n">
        <x:v>0</x:v>
      </x:c>
      <x:c r="Q101" s="9" t="n">
        <x:v>0</x:v>
      </x:c>
      <x:c r="R101" s="9" t="n">
        <x:v>0</x:v>
      </x:c>
      <x:c r="S101" s="9" t="n">
        <x:v>0</x:v>
      </x:c>
      <x:c r="T101" s="9" t="n">
        <x:v>0</x:v>
      </x:c>
      <x:c r="U101" s="9" t="n">
        <x:v>0</x:v>
      </x:c>
      <x:c r="V101" s="9" t="n">
        <x:v>0</x:v>
      </x:c>
      <x:c r="W101" s="9" t="n">
        <x:v>0</x:v>
      </x:c>
      <x:c r="X101" s="9" t="n">
        <x:v>0</x:v>
      </x:c>
      <x:c r="Y101" s="9" t="n">
        <x:v>0</x:v>
      </x:c>
      <x:c r="Z101" s="9" t="n">
        <x:v>0</x:v>
      </x:c>
      <x:c r="AA101" s="9" t="n">
        <x:v>0</x:v>
      </x:c>
      <x:c r="AB101" s="9" t="n">
        <x:v>0</x:v>
      </x:c>
      <x:c r="AC101" s="9" t="n">
        <x:v>0</x:v>
      </x:c>
      <x:c r="AD101" s="9" t="n">
        <x:v>0</x:v>
      </x:c>
      <x:c r="AE101" s="9" t="n">
        <x:v>0</x:v>
      </x:c>
      <x:c r="AF101" s="9" t="n">
        <x:v>0</x:v>
      </x:c>
      <x:c r="AG101" s="9" t="n">
        <x:v>-3</x:v>
      </x:c>
      <x:c r="AH101" s="9" t="n">
        <x:v>0</x:v>
      </x:c>
      <x:c r="AI101" s="9" t="n">
        <x:v>0</x:v>
      </x:c>
      <x:c r="AJ101" s="9" t="n">
        <x:v>0</x:v>
      </x:c>
      <x:c r="AK101" s="9" t="n">
        <x:v>0</x:v>
      </x:c>
      <x:c r="AL101" s="9" t="n">
        <x:v>0</x:v>
      </x:c>
      <x:c r="AM101" s="9" t="n">
        <x:v>-2</x:v>
      </x:c>
    </x:row>
    <x:row r="102" ht="22" customHeight="1">
      <x:c r="A102" s="9"/>
      <x:c r="B102" s="9"/>
      <x:c r="C102" s="9"/>
      <x:c r="D102" s="9"/>
      <x:c r="E102" s="9" t="n">
        <x:v>0</x:v>
      </x:c>
      <x:c r="F102" s="9" t="n">
        <x:v>0</x:v>
      </x:c>
      <x:c r="G102" s="9" t="n">
        <x:v>0</x:v>
      </x:c>
      <x:c r="H102" s="9" t="n">
        <x:v>0</x:v>
      </x:c>
      <x:c r="I102" s="9" t="n">
        <x:v>0</x:v>
      </x:c>
      <x:c r="J102" s="9" t="n">
        <x:v>0</x:v>
      </x:c>
      <x:c r="K102" s="9" t="n">
        <x:v>0</x:v>
      </x:c>
      <x:c r="L102" s="9" t="n">
        <x:v>0</x:v>
      </x:c>
      <x:c r="M102" s="9" t="n">
        <x:v>1</x:v>
      </x:c>
      <x:c r="N102" s="9" t="n">
        <x:v>0</x:v>
      </x:c>
      <x:c r="O102" s="9" t="n">
        <x:v>0</x:v>
      </x:c>
      <x:c r="P102" s="9" t="n">
        <x:v>0</x:v>
      </x:c>
      <x:c r="Q102" s="9" t="n">
        <x:v>0</x:v>
      </x:c>
      <x:c r="R102" s="9" t="n">
        <x:v>0</x:v>
      </x:c>
      <x:c r="S102" s="9" t="n">
        <x:v>0</x:v>
      </x:c>
      <x:c r="T102" s="9" t="n">
        <x:v>0</x:v>
      </x:c>
      <x:c r="U102" s="9" t="n">
        <x:v>0</x:v>
      </x:c>
      <x:c r="V102" s="9" t="n">
        <x:v>0</x:v>
      </x:c>
      <x:c r="W102" s="9" t="n">
        <x:v>-2</x:v>
      </x:c>
      <x:c r="X102" s="9" t="n">
        <x:v>0</x:v>
      </x:c>
      <x:c r="Y102" s="9" t="n">
        <x:v>0</x:v>
      </x:c>
      <x:c r="Z102" s="9" t="n">
        <x:v>0</x:v>
      </x:c>
      <x:c r="AA102" s="9" t="n">
        <x:v>0</x:v>
      </x:c>
      <x:c r="AB102" s="9" t="n">
        <x:v>0</x:v>
      </x:c>
      <x:c r="AC102" s="9" t="n">
        <x:v>0</x:v>
      </x:c>
      <x:c r="AD102" s="9" t="n">
        <x:v>0</x:v>
      </x:c>
      <x:c r="AE102" s="9" t="n">
        <x:v>0</x:v>
      </x:c>
      <x:c r="AF102" s="9" t="n">
        <x:v>0</x:v>
      </x:c>
      <x:c r="AG102" s="9" t="n">
        <x:v>0</x:v>
      </x:c>
      <x:c r="AH102" s="9" t="n">
        <x:v>0</x:v>
      </x:c>
      <x:c r="AI102" s="9" t="n">
        <x:v>0</x:v>
      </x:c>
      <x:c r="AJ102" s="9" t="n">
        <x:v>0</x:v>
      </x:c>
      <x:c r="AK102" s="9" t="n">
        <x:v>0</x:v>
      </x:c>
      <x:c r="AL102" s="9" t="n">
        <x:v>0</x:v>
      </x:c>
      <x:c r="AM102" s="9" t="n">
        <x:v>0</x:v>
      </x:c>
    </x:row>
    <x:row r="103" ht="22" customHeight="1">
      <x:c r="A103" s="9"/>
      <x:c r="B103" s="9"/>
      <x:c r="C103" s="9"/>
      <x:c r="D103" s="9"/>
      <x:c r="E103" s="9" t="n">
        <x:v>0</x:v>
      </x:c>
      <x:c r="F103" s="9" t="n">
        <x:v>0</x:v>
      </x:c>
      <x:c r="G103" s="9" t="n">
        <x:v>0</x:v>
      </x:c>
      <x:c r="H103" s="9" t="n">
        <x:v>0</x:v>
      </x:c>
      <x:c r="I103" s="9" t="n">
        <x:v>0</x:v>
      </x:c>
      <x:c r="J103" s="9" t="n">
        <x:v>0</x:v>
      </x:c>
      <x:c r="K103" s="9" t="n">
        <x:v>0</x:v>
      </x:c>
      <x:c r="L103" s="9" t="n">
        <x:v>0</x:v>
      </x:c>
      <x:c r="M103" s="9" t="n">
        <x:v>0</x:v>
      </x:c>
      <x:c r="N103" s="9" t="n">
        <x:v>1</x:v>
      </x:c>
      <x:c r="O103" s="9" t="n">
        <x:v>0</x:v>
      </x:c>
      <x:c r="P103" s="9" t="n">
        <x:v>0</x:v>
      </x:c>
      <x:c r="Q103" s="9" t="n">
        <x:v>0</x:v>
      </x:c>
      <x:c r="R103" s="9" t="n">
        <x:v>0</x:v>
      </x:c>
      <x:c r="S103" s="9" t="n">
        <x:v>0</x:v>
      </x:c>
      <x:c r="T103" s="9" t="n">
        <x:v>0</x:v>
      </x:c>
      <x:c r="U103" s="9" t="n">
        <x:v>0</x:v>
      </x:c>
      <x:c r="V103" s="9" t="n">
        <x:v>0</x:v>
      </x:c>
      <x:c r="W103" s="9" t="n">
        <x:v>0</x:v>
      </x:c>
      <x:c r="X103" s="9" t="n">
        <x:v>-1</x:v>
      </x:c>
      <x:c r="Y103" s="9" t="n">
        <x:v>0</x:v>
      </x:c>
      <x:c r="Z103" s="9" t="n">
        <x:v>0</x:v>
      </x:c>
      <x:c r="AA103" s="9" t="n">
        <x:v>0</x:v>
      </x:c>
      <x:c r="AB103" s="9" t="n">
        <x:v>-1</x:v>
      </x:c>
      <x:c r="AC103" s="9" t="n">
        <x:v>-1</x:v>
      </x:c>
      <x:c r="AD103" s="9" t="n">
        <x:v>0</x:v>
      </x:c>
      <x:c r="AE103" s="9" t="n">
        <x:v>0</x:v>
      </x:c>
      <x:c r="AF103" s="9" t="n">
        <x:v>0</x:v>
      </x:c>
      <x:c r="AG103" s="9" t="n">
        <x:v>0</x:v>
      </x:c>
      <x:c r="AH103" s="9" t="n">
        <x:v>0</x:v>
      </x:c>
      <x:c r="AI103" s="9" t="n">
        <x:v>0</x:v>
      </x:c>
      <x:c r="AJ103" s="9" t="n">
        <x:v>0</x:v>
      </x:c>
      <x:c r="AK103" s="9" t="n">
        <x:v>0</x:v>
      </x:c>
      <x:c r="AL103" s="9" t="n">
        <x:v>0</x:v>
      </x:c>
      <x:c r="AM103" s="9" t="n">
        <x:v>0</x:v>
      </x:c>
    </x:row>
    <x:row r="104" ht="22" customHeight="1">
      <x:c r="A104" s="9"/>
      <x:c r="B104" s="9"/>
      <x:c r="C104" s="9"/>
      <x:c r="D104" s="9"/>
      <x:c r="E104" s="9" t="n">
        <x:v>0</x:v>
      </x:c>
      <x:c r="F104" s="9" t="n">
        <x:v>0</x:v>
      </x:c>
      <x:c r="G104" s="9" t="n">
        <x:v>0</x:v>
      </x:c>
      <x:c r="H104" s="9" t="n">
        <x:v>0</x:v>
      </x:c>
      <x:c r="I104" s="9" t="n">
        <x:v>0</x:v>
      </x:c>
      <x:c r="J104" s="9" t="n">
        <x:v>0</x:v>
      </x:c>
      <x:c r="K104" s="9" t="n">
        <x:v>0</x:v>
      </x:c>
      <x:c r="L104" s="9" t="n">
        <x:v>0</x:v>
      </x:c>
      <x:c r="M104" s="9" t="n">
        <x:v>0</x:v>
      </x:c>
      <x:c r="N104" s="9" t="n">
        <x:v>0</x:v>
      </x:c>
      <x:c r="O104" s="9" t="n">
        <x:v>1</x:v>
      </x:c>
      <x:c r="P104" s="9" t="n">
        <x:v>0</x:v>
      </x:c>
      <x:c r="Q104" s="9" t="n">
        <x:v>0</x:v>
      </x:c>
      <x:c r="R104" s="9" t="n">
        <x:v>0</x:v>
      </x:c>
      <x:c r="S104" s="9" t="n">
        <x:v>0</x:v>
      </x:c>
      <x:c r="T104" s="9" t="n">
        <x:v>0</x:v>
      </x:c>
      <x:c r="U104" s="9" t="n">
        <x:v>0</x:v>
      </x:c>
      <x:c r="V104" s="9" t="n">
        <x:v>0</x:v>
      </x:c>
      <x:c r="W104" s="9" t="n">
        <x:v>0</x:v>
      </x:c>
      <x:c r="X104" s="9" t="n">
        <x:v>0</x:v>
      </x:c>
      <x:c r="Y104" s="9" t="n">
        <x:v>-1</x:v>
      </x:c>
      <x:c r="Z104" s="9" t="n">
        <x:v>0</x:v>
      </x:c>
      <x:c r="AA104" s="9" t="n">
        <x:v>-1</x:v>
      </x:c>
      <x:c r="AB104" s="9" t="n">
        <x:v>0</x:v>
      </x:c>
      <x:c r="AC104" s="9" t="n">
        <x:v>0</x:v>
      </x:c>
      <x:c r="AD104" s="9" t="n">
        <x:v>0</x:v>
      </x:c>
      <x:c r="AE104" s="9" t="n">
        <x:v>0</x:v>
      </x:c>
      <x:c r="AF104" s="9" t="n">
        <x:v>0</x:v>
      </x:c>
      <x:c r="AG104" s="9" t="n">
        <x:v>0</x:v>
      </x:c>
      <x:c r="AH104" s="9" t="n">
        <x:v>0</x:v>
      </x:c>
      <x:c r="AI104" s="9" t="n">
        <x:v>0</x:v>
      </x:c>
      <x:c r="AJ104" s="9" t="n">
        <x:v>0</x:v>
      </x:c>
      <x:c r="AK104" s="9" t="n">
        <x:v>0</x:v>
      </x:c>
      <x:c r="AL104" s="9" t="n">
        <x:v>0</x:v>
      </x:c>
      <x:c r="AM104" s="9" t="n">
        <x:v>0</x:v>
      </x:c>
    </x:row>
    <x:row r="105" ht="22" customHeight="1">
      <x:c r="A105" s="9"/>
      <x:c r="B105" s="9"/>
      <x:c r="C105" s="9"/>
      <x:c r="D105" s="9"/>
      <x:c r="E105" s="9" t="n">
        <x:v>0</x:v>
      </x:c>
      <x:c r="F105" s="9" t="n">
        <x:v>0</x:v>
      </x:c>
      <x:c r="G105" s="9" t="n">
        <x:v>0</x:v>
      </x:c>
      <x:c r="H105" s="9" t="n">
        <x:v>0</x:v>
      </x:c>
      <x:c r="I105" s="9" t="n">
        <x:v>0</x:v>
      </x:c>
      <x:c r="J105" s="9" t="n">
        <x:v>0</x:v>
      </x:c>
      <x:c r="K105" s="9" t="n">
        <x:v>0</x:v>
      </x:c>
      <x:c r="L105" s="9" t="n">
        <x:v>0</x:v>
      </x:c>
      <x:c r="M105" s="9" t="n">
        <x:v>0</x:v>
      </x:c>
      <x:c r="N105" s="9" t="n">
        <x:v>0</x:v>
      </x:c>
      <x:c r="O105" s="9" t="n">
        <x:v>0</x:v>
      </x:c>
      <x:c r="P105" s="9" t="n">
        <x:v>1</x:v>
      </x:c>
      <x:c r="Q105" s="9" t="n">
        <x:v>0</x:v>
      </x:c>
      <x:c r="R105" s="9" t="n">
        <x:v>0</x:v>
      </x:c>
      <x:c r="S105" s="9" t="n">
        <x:v>0</x:v>
      </x:c>
      <x:c r="T105" s="9" t="n">
        <x:v>0</x:v>
      </x:c>
      <x:c r="U105" s="9" t="n">
        <x:v>0</x:v>
      </x:c>
      <x:c r="V105" s="9" t="n">
        <x:v>0</x:v>
      </x:c>
      <x:c r="W105" s="9" t="n">
        <x:v>0</x:v>
      </x:c>
      <x:c r="X105" s="9" t="n">
        <x:v>0</x:v>
      </x:c>
      <x:c r="Y105" s="9" t="n">
        <x:v>0</x:v>
      </x:c>
      <x:c r="Z105" s="9" t="n">
        <x:v>0</x:v>
      </x:c>
      <x:c r="AA105" s="9" t="n">
        <x:v>0</x:v>
      </x:c>
      <x:c r="AB105" s="9" t="n">
        <x:v>0</x:v>
      </x:c>
      <x:c r="AC105" s="9" t="n">
        <x:v>0</x:v>
      </x:c>
      <x:c r="AD105" s="9" t="n">
        <x:v>0</x:v>
      </x:c>
      <x:c r="AE105" s="9" t="n">
        <x:v>0</x:v>
      </x:c>
      <x:c r="AF105" s="9" t="n">
        <x:v>0</x:v>
      </x:c>
      <x:c r="AG105" s="9" t="n">
        <x:v>0</x:v>
      </x:c>
      <x:c r="AH105" s="9" t="n">
        <x:v>-1</x:v>
      </x:c>
      <x:c r="AI105" s="9" t="n">
        <x:v>-1</x:v>
      </x:c>
      <x:c r="AJ105" s="9" t="n">
        <x:v>0</x:v>
      </x:c>
      <x:c r="AK105" s="9" t="n">
        <x:v>0</x:v>
      </x:c>
      <x:c r="AL105" s="9" t="n">
        <x:v>-1</x:v>
      </x:c>
      <x:c r="AM105" s="9" t="n">
        <x:v>0</x:v>
      </x:c>
    </x:row>
    <x:row r="106" ht="22" customHeight="1">
      <x:c r="A106" s="9"/>
      <x:c r="B106" s="9"/>
      <x:c r="C106" s="9"/>
      <x:c r="D106" s="9"/>
      <x:c r="E106" s="9" t="n">
        <x:v>0</x:v>
      </x:c>
      <x:c r="F106" s="9" t="n">
        <x:v>0</x:v>
      </x:c>
      <x:c r="G106" s="9" t="n">
        <x:v>0</x:v>
      </x:c>
      <x:c r="H106" s="9" t="n">
        <x:v>0</x:v>
      </x:c>
      <x:c r="I106" s="9" t="n">
        <x:v>0</x:v>
      </x:c>
      <x:c r="J106" s="9" t="n">
        <x:v>0</x:v>
      </x:c>
      <x:c r="K106" s="9" t="n">
        <x:v>0</x:v>
      </x:c>
      <x:c r="L106" s="9" t="n">
        <x:v>0</x:v>
      </x:c>
      <x:c r="M106" s="9" t="n">
        <x:v>0</x:v>
      </x:c>
      <x:c r="N106" s="9" t="n">
        <x:v>0</x:v>
      </x:c>
      <x:c r="O106" s="9" t="n">
        <x:v>0</x:v>
      </x:c>
      <x:c r="P106" s="9" t="n">
        <x:v>0</x:v>
      </x:c>
      <x:c r="Q106" s="9" t="n">
        <x:v>1</x:v>
      </x:c>
      <x:c r="R106" s="9" t="n">
        <x:v>0</x:v>
      </x:c>
      <x:c r="S106" s="9" t="n">
        <x:v>0</x:v>
      </x:c>
      <x:c r="T106" s="9" t="n">
        <x:v>0</x:v>
      </x:c>
      <x:c r="U106" s="9" t="n">
        <x:v>0</x:v>
      </x:c>
      <x:c r="V106" s="9" t="n">
        <x:v>0</x:v>
      </x:c>
      <x:c r="W106" s="9" t="n">
        <x:v>0</x:v>
      </x:c>
      <x:c r="X106" s="9" t="n">
        <x:v>0</x:v>
      </x:c>
      <x:c r="Y106" s="9" t="n">
        <x:v>0</x:v>
      </x:c>
      <x:c r="Z106" s="9" t="n">
        <x:v>0</x:v>
      </x:c>
      <x:c r="AA106" s="9" t="n">
        <x:v>0</x:v>
      </x:c>
      <x:c r="AB106" s="9" t="n">
        <x:v>0</x:v>
      </x:c>
      <x:c r="AC106" s="9" t="n">
        <x:v>0</x:v>
      </x:c>
      <x:c r="AD106" s="9" t="n">
        <x:v>0</x:v>
      </x:c>
      <x:c r="AE106" s="9" t="n">
        <x:v>0</x:v>
      </x:c>
      <x:c r="AF106" s="9" t="n">
        <x:v>0</x:v>
      </x:c>
      <x:c r="AG106" s="9" t="n">
        <x:v>0</x:v>
      </x:c>
      <x:c r="AH106" s="9" t="n">
        <x:v>0</x:v>
      </x:c>
      <x:c r="AI106" s="9" t="n">
        <x:v>0</x:v>
      </x:c>
      <x:c r="AJ106" s="9" t="n">
        <x:v>0</x:v>
      </x:c>
      <x:c r="AK106" s="9" t="n">
        <x:v>-1</x:v>
      </x:c>
      <x:c r="AL106" s="9" t="n">
        <x:v>0</x:v>
      </x:c>
      <x:c r="AM106" s="9" t="n">
        <x:v>0</x:v>
      </x:c>
    </x:row>
    <x:row r="107" ht="22" customHeight="1">
      <x:c r="A107" s="9"/>
      <x:c r="B107" s="9"/>
      <x:c r="C107" s="9"/>
      <x:c r="D107" s="9"/>
      <x:c r="E107" s="9" t="n">
        <x:v>0</x:v>
      </x:c>
      <x:c r="F107" s="9" t="n">
        <x:v>0</x:v>
      </x:c>
      <x:c r="G107" s="9" t="n">
        <x:v>0</x:v>
      </x:c>
      <x:c r="H107" s="9" t="n">
        <x:v>0</x:v>
      </x:c>
      <x:c r="I107" s="9" t="n">
        <x:v>0</x:v>
      </x:c>
      <x:c r="J107" s="9" t="n">
        <x:v>0</x:v>
      </x:c>
      <x:c r="K107" s="9" t="n">
        <x:v>0</x:v>
      </x:c>
      <x:c r="L107" s="9" t="n">
        <x:v>0</x:v>
      </x:c>
      <x:c r="M107" s="9" t="n">
        <x:v>0</x:v>
      </x:c>
      <x:c r="N107" s="9" t="n">
        <x:v>0</x:v>
      </x:c>
      <x:c r="O107" s="9" t="n">
        <x:v>0</x:v>
      </x:c>
      <x:c r="P107" s="9" t="n">
        <x:v>0</x:v>
      </x:c>
      <x:c r="Q107" s="9" t="n">
        <x:v>0</x:v>
      </x:c>
      <x:c r="R107" s="9" t="n">
        <x:v>1</x:v>
      </x:c>
      <x:c r="S107" s="9" t="n">
        <x:v>0</x:v>
      </x:c>
      <x:c r="T107" s="9" t="n">
        <x:v>0</x:v>
      </x:c>
      <x:c r="U107" s="9" t="n">
        <x:v>0</x:v>
      </x:c>
      <x:c r="V107" s="9" t="n">
        <x:v>0</x:v>
      </x:c>
      <x:c r="W107" s="9" t="n">
        <x:v>0</x:v>
      </x:c>
      <x:c r="X107" s="9" t="n">
        <x:v>0</x:v>
      </x:c>
      <x:c r="Y107" s="9" t="n">
        <x:v>0</x:v>
      </x:c>
      <x:c r="Z107" s="9" t="n">
        <x:v>0</x:v>
      </x:c>
      <x:c r="AA107" s="9" t="n">
        <x:v>0</x:v>
      </x:c>
      <x:c r="AB107" s="9" t="n">
        <x:v>0</x:v>
      </x:c>
      <x:c r="AC107" s="9" t="n">
        <x:v>0</x:v>
      </x:c>
      <x:c r="AD107" s="9" t="n">
        <x:v>0</x:v>
      </x:c>
      <x:c r="AE107" s="9" t="n">
        <x:v>0</x:v>
      </x:c>
      <x:c r="AF107" s="9" t="n">
        <x:v>0</x:v>
      </x:c>
      <x:c r="AG107" s="9" t="n">
        <x:v>0</x:v>
      </x:c>
      <x:c r="AH107" s="9" t="n">
        <x:v>0</x:v>
      </x:c>
      <x:c r="AI107" s="9" t="n">
        <x:v>0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</x:row>
    <x:row r="108" ht="22" customHeight="1">
      <x:c r="A108" s="9"/>
      <x:c r="B108" s="9"/>
      <x:c r="C108" s="9"/>
      <x:c r="D108" s="9"/>
      <x:c r="E108" s="9" t="n">
        <x:v>0</x:v>
      </x:c>
      <x:c r="F108" s="9" t="n">
        <x:v>0</x:v>
      </x:c>
      <x:c r="G108" s="9" t="n">
        <x:v>0</x:v>
      </x:c>
      <x:c r="H108" s="9" t="n">
        <x:v>0</x:v>
      </x:c>
      <x:c r="I108" s="9" t="n">
        <x:v>0</x:v>
      </x:c>
      <x:c r="J108" s="9" t="n">
        <x:v>0</x:v>
      </x:c>
      <x:c r="K108" s="9" t="n">
        <x:v>0</x:v>
      </x:c>
      <x:c r="L108" s="9" t="n">
        <x:v>0</x:v>
      </x:c>
      <x:c r="M108" s="9" t="n">
        <x:v>0</x:v>
      </x:c>
      <x:c r="N108" s="9" t="n">
        <x:v>0</x:v>
      </x:c>
      <x:c r="O108" s="9" t="n">
        <x:v>0</x:v>
      </x:c>
      <x:c r="P108" s="9" t="n">
        <x:v>0</x:v>
      </x:c>
      <x:c r="Q108" s="9" t="n">
        <x:v>0</x:v>
      </x:c>
      <x:c r="R108" s="9" t="n">
        <x:v>0</x:v>
      </x:c>
      <x:c r="S108" s="9" t="n">
        <x:v>1</x:v>
      </x:c>
      <x:c r="T108" s="9" t="n">
        <x:v>0</x:v>
      </x:c>
      <x:c r="U108" s="9" t="n">
        <x:v>0</x:v>
      </x:c>
      <x:c r="V108" s="9" t="n">
        <x:v>0</x:v>
      </x:c>
      <x:c r="W108" s="9" t="n">
        <x:v>0</x:v>
      </x:c>
      <x:c r="X108" s="9" t="n">
        <x:v>-1</x:v>
      </x:c>
      <x:c r="Y108" s="9" t="n">
        <x:v>0</x:v>
      </x:c>
      <x:c r="Z108" s="9" t="n">
        <x:v>0</x:v>
      </x:c>
      <x:c r="AA108" s="9" t="n">
        <x:v>0</x:v>
      </x:c>
      <x:c r="AB108" s="9" t="n">
        <x:v>0</x:v>
      </x:c>
      <x:c r="AC108" s="9" t="n">
        <x:v>0</x:v>
      </x:c>
      <x:c r="AD108" s="9" t="n">
        <x:v>0</x:v>
      </x:c>
      <x:c r="AE108" s="9" t="n">
        <x:v>0</x:v>
      </x:c>
      <x:c r="AF108" s="9" t="n">
        <x:v>0</x:v>
      </x:c>
      <x:c r="AG108" s="9" t="n">
        <x:v>0</x:v>
      </x:c>
      <x:c r="AH108" s="9" t="n">
        <x:v>-1</x:v>
      </x:c>
      <x:c r="AI108" s="9" t="n">
        <x:v>0</x:v>
      </x:c>
      <x:c r="AJ108" s="9" t="n">
        <x:v>-1</x:v>
      </x:c>
      <x:c r="AK108" s="9" t="n">
        <x:v>0</x:v>
      </x:c>
      <x:c r="AL108" s="9" t="n">
        <x:v>0</x:v>
      </x:c>
      <x:c r="AM108" s="9" t="n">
        <x:v>0</x:v>
      </x:c>
    </x:row>
    <x:row r="109" ht="22" customHeight="1">
      <x:c r="A109" s="9"/>
      <x:c r="B109" s="9"/>
      <x:c r="C109" s="9"/>
      <x:c r="D109" s="9"/>
      <x:c r="E109" s="9" t="n">
        <x:v>0</x:v>
      </x:c>
      <x:c r="F109" s="9" t="n">
        <x:v>0</x:v>
      </x:c>
      <x:c r="G109" s="9" t="n">
        <x:v>0</x:v>
      </x:c>
      <x:c r="H109" s="9" t="n">
        <x:v>0</x:v>
      </x:c>
      <x:c r="I109" s="9" t="n">
        <x:v>0</x:v>
      </x:c>
      <x:c r="J109" s="9" t="n">
        <x:v>0</x:v>
      </x:c>
      <x:c r="K109" s="9" t="n">
        <x:v>0</x:v>
      </x:c>
      <x:c r="L109" s="9" t="n">
        <x:v>0</x:v>
      </x:c>
      <x:c r="M109" s="9" t="n">
        <x:v>0</x:v>
      </x:c>
      <x:c r="N109" s="9" t="n">
        <x:v>0</x:v>
      </x:c>
      <x:c r="O109" s="9" t="n">
        <x:v>0</x:v>
      </x:c>
      <x:c r="P109" s="9" t="n">
        <x:v>0</x:v>
      </x:c>
      <x:c r="Q109" s="9" t="n">
        <x:v>0</x:v>
      </x:c>
      <x:c r="R109" s="9" t="n">
        <x:v>0</x:v>
      </x:c>
      <x:c r="S109" s="9" t="n">
        <x:v>0</x:v>
      </x:c>
      <x:c r="T109" s="9" t="n">
        <x:v>1</x:v>
      </x:c>
      <x:c r="U109" s="9" t="n">
        <x:v>0</x:v>
      </x:c>
      <x:c r="V109" s="9" t="n">
        <x:v>0</x:v>
      </x:c>
      <x:c r="W109" s="9" t="n">
        <x:v>0</x:v>
      </x:c>
      <x:c r="X109" s="9" t="n">
        <x:v>0</x:v>
      </x:c>
      <x:c r="Y109" s="9" t="n">
        <x:v>0</x:v>
      </x:c>
      <x:c r="Z109" s="9" t="n">
        <x:v>-1</x:v>
      </x:c>
      <x:c r="AA109" s="9" t="n">
        <x:v>0</x:v>
      </x:c>
      <x:c r="AB109" s="9" t="n">
        <x:v>-1</x:v>
      </x:c>
      <x:c r="AC109" s="9" t="n">
        <x:v>0</x:v>
      </x:c>
      <x:c r="AD109" s="9" t="n">
        <x:v>0</x:v>
      </x:c>
      <x:c r="AE109" s="9" t="n">
        <x:v>0</x:v>
      </x:c>
      <x:c r="AF109" s="9" t="n">
        <x:v>0</x:v>
      </x:c>
      <x:c r="AG109" s="9" t="n">
        <x:v>0</x:v>
      </x:c>
      <x:c r="AH109" s="9" t="n">
        <x:v>0</x:v>
      </x:c>
      <x:c r="AI109" s="9" t="n">
        <x:v>0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</x:row>
    <x:row r="110" ht="22" customHeight="1">
      <x:c r="A110" s="9"/>
      <x:c r="B110" s="9"/>
      <x:c r="C110" s="9"/>
      <x:c r="D110" s="9"/>
      <x:c r="E110" s="9" t="n">
        <x:v>0</x:v>
      </x:c>
      <x:c r="F110" s="9" t="n">
        <x:v>0</x:v>
      </x:c>
      <x:c r="G110" s="9" t="n">
        <x:v>0</x:v>
      </x:c>
      <x:c r="H110" s="9" t="n">
        <x:v>0</x:v>
      </x:c>
      <x:c r="I110" s="9" t="n">
        <x:v>0</x:v>
      </x:c>
      <x:c r="J110" s="9" t="n">
        <x:v>0</x:v>
      </x:c>
      <x:c r="K110" s="9" t="n">
        <x:v>0</x:v>
      </x:c>
      <x:c r="L110" s="9" t="n">
        <x:v>0</x:v>
      </x:c>
      <x:c r="M110" s="9" t="n">
        <x:v>0</x:v>
      </x:c>
      <x:c r="N110" s="9" t="n">
        <x:v>0</x:v>
      </x:c>
      <x:c r="O110" s="9" t="n">
        <x:v>0</x:v>
      </x:c>
      <x:c r="P110" s="9" t="n">
        <x:v>0</x:v>
      </x:c>
      <x:c r="Q110" s="9" t="n">
        <x:v>0</x:v>
      </x:c>
      <x:c r="R110" s="9" t="n">
        <x:v>0</x:v>
      </x:c>
      <x:c r="S110" s="9" t="n">
        <x:v>0</x:v>
      </x:c>
      <x:c r="T110" s="9" t="n">
        <x:v>0</x:v>
      </x:c>
      <x:c r="U110" s="9" t="n">
        <x:v>1</x:v>
      </x:c>
      <x:c r="V110" s="9" t="n">
        <x:v>0</x:v>
      </x:c>
      <x:c r="W110" s="9" t="n">
        <x:v>0</x:v>
      </x:c>
      <x:c r="X110" s="9" t="n">
        <x:v>0</x:v>
      </x:c>
      <x:c r="Y110" s="9" t="n">
        <x:v>0</x:v>
      </x:c>
      <x:c r="Z110" s="9" t="n">
        <x:v>0</x:v>
      </x:c>
      <x:c r="AA110" s="9" t="n">
        <x:v>-1</x:v>
      </x:c>
      <x:c r="AB110" s="9" t="n">
        <x:v>0</x:v>
      </x:c>
      <x:c r="AC110" s="9" t="n">
        <x:v>0</x:v>
      </x:c>
      <x:c r="AD110" s="9" t="n">
        <x:v>0</x:v>
      </x:c>
      <x:c r="AE110" s="9" t="n">
        <x:v>0</x:v>
      </x:c>
      <x:c r="AF110" s="9" t="n">
        <x:v>0</x:v>
      </x:c>
      <x:c r="AG110" s="9" t="n">
        <x:v>0</x:v>
      </x:c>
      <x:c r="AH110" s="9" t="n">
        <x:v>0</x:v>
      </x:c>
      <x:c r="AI110" s="9" t="n">
        <x:v>0</x:v>
      </x:c>
      <x:c r="AJ110" s="9" t="n">
        <x:v>0</x:v>
      </x:c>
      <x:c r="AK110" s="9" t="n">
        <x:v>0</x:v>
      </x:c>
      <x:c r="AL110" s="9" t="n">
        <x:v>0</x:v>
      </x:c>
      <x:c r="AM110" s="9" t="n">
        <x:v>0</x:v>
      </x:c>
    </x:row>
    <x:row r="111" ht="22" customHeight="1">
      <x:c r="A111" s="9"/>
      <x:c r="B111" s="9"/>
      <x:c r="C111" s="9"/>
      <x:c r="D111" s="9"/>
      <x:c r="E111" s="9" t="n">
        <x:v>0</x:v>
      </x:c>
      <x:c r="F111" s="9" t="n">
        <x:v>0</x:v>
      </x:c>
      <x:c r="G111" s="9" t="n">
        <x:v>0</x:v>
      </x:c>
      <x:c r="H111" s="9" t="n">
        <x:v>0</x:v>
      </x:c>
      <x:c r="I111" s="9" t="n">
        <x:v>0</x:v>
      </x:c>
      <x:c r="J111" s="9" t="n">
        <x:v>0</x:v>
      </x:c>
      <x:c r="K111" s="9" t="n">
        <x:v>0</x:v>
      </x:c>
      <x:c r="L111" s="9" t="n">
        <x:v>0</x:v>
      </x:c>
      <x:c r="M111" s="9" t="n">
        <x:v>0</x:v>
      </x:c>
      <x:c r="N111" s="9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9" t="n">
        <x:v>0</x:v>
      </x:c>
      <x:c r="T111" s="9" t="n">
        <x:v>0</x:v>
      </x:c>
      <x:c r="U111" s="9" t="n">
        <x:v>0</x:v>
      </x:c>
      <x:c r="V111" s="9" t="n">
        <x:v>1</x:v>
      </x:c>
      <x:c r="W111" s="9" t="n">
        <x:v>0</x:v>
      </x:c>
      <x:c r="X111" s="9" t="n">
        <x:v>0</x:v>
      </x:c>
      <x:c r="Y111" s="9" t="n">
        <x:v>0</x:v>
      </x:c>
      <x:c r="Z111" s="9" t="n">
        <x:v>0</x:v>
      </x:c>
      <x:c r="AA111" s="9" t="n">
        <x:v>0</x:v>
      </x:c>
      <x:c r="AB111" s="9" t="n">
        <x:v>0</x:v>
      </x:c>
      <x:c r="AC111" s="9" t="n">
        <x:v>0</x:v>
      </x:c>
      <x:c r="AD111" s="9" t="n">
        <x:v>0</x:v>
      </x:c>
      <x:c r="AE111" s="9" t="n">
        <x:v>0</x:v>
      </x:c>
      <x:c r="AF111" s="9" t="n">
        <x:v>0</x:v>
      </x:c>
      <x:c r="AG111" s="9" t="n">
        <x:v>0</x:v>
      </x:c>
      <x:c r="AH111" s="9" t="n">
        <x:v>0</x:v>
      </x:c>
      <x:c r="AI111" s="9" t="n">
        <x:v>0</x:v>
      </x:c>
      <x:c r="AJ111" s="9" t="n">
        <x:v>0</x:v>
      </x:c>
      <x:c r="AK111" s="9" t="n">
        <x:v>0</x:v>
      </x:c>
      <x:c r="AL111" s="9" t="n">
        <x:v>0</x:v>
      </x:c>
      <x:c r="AM111" s="9" t="n">
        <x:v>-1</x:v>
      </x:c>
    </x:row>
    <x:row r="112" ht="22" customHeight="1">
      <x:c r="A112" s="9"/>
      <x:c r="B112" s="9"/>
      <x:c r="C112" s="9"/>
      <x:c r="D112" s="9"/>
      <x:c r="E112" s="9" t="n">
        <x:v>0</x:v>
      </x:c>
      <x:c r="F112" s="9" t="n">
        <x:v>0</x:v>
      </x:c>
      <x:c r="G112" s="9" t="n">
        <x:v>0</x:v>
      </x:c>
      <x:c r="H112" s="9" t="n">
        <x:v>0</x:v>
      </x:c>
      <x:c r="I112" s="9" t="n">
        <x:v>0</x:v>
      </x:c>
      <x:c r="J112" s="9" t="n">
        <x:v>0</x:v>
      </x:c>
      <x:c r="K112" s="9" t="n">
        <x:v>0</x:v>
      </x:c>
      <x:c r="L112" s="9" t="n">
        <x:v>0</x:v>
      </x:c>
      <x:c r="M112" s="9" t="n">
        <x:v>0</x:v>
      </x:c>
      <x:c r="N112" s="9" t="n">
        <x:v>0</x:v>
      </x:c>
      <x:c r="O112" s="9" t="n">
        <x:v>0</x:v>
      </x:c>
      <x:c r="P112" s="9" t="n">
        <x:v>0</x:v>
      </x:c>
      <x:c r="Q112" s="9" t="n">
        <x:v>0</x:v>
      </x:c>
      <x:c r="R112" s="9" t="n">
        <x:v>0</x:v>
      </x:c>
      <x:c r="S112" s="9" t="n">
        <x:v>0</x:v>
      </x:c>
      <x:c r="T112" s="9" t="n">
        <x:v>0</x:v>
      </x:c>
      <x:c r="U112" s="9" t="n">
        <x:v>0</x:v>
      </x:c>
      <x:c r="V112" s="9" t="n">
        <x:v>0</x:v>
      </x:c>
      <x:c r="W112" s="9" t="n">
        <x:v>1</x:v>
      </x:c>
      <x:c r="X112" s="9" t="n">
        <x:v>0</x:v>
      </x:c>
      <x:c r="Y112" s="9" t="n">
        <x:v>0</x:v>
      </x:c>
      <x:c r="Z112" s="9" t="n">
        <x:v>0</x:v>
      </x:c>
      <x:c r="AA112" s="9" t="n">
        <x:v>0</x:v>
      </x:c>
      <x:c r="AB112" s="9" t="n">
        <x:v>0</x:v>
      </x:c>
      <x:c r="AC112" s="9" t="n">
        <x:v>0</x:v>
      </x:c>
      <x:c r="AD112" s="9" t="n">
        <x:v>0</x:v>
      </x:c>
      <x:c r="AE112" s="9" t="n">
        <x:v>0</x:v>
      </x:c>
      <x:c r="AF112" s="9" t="n">
        <x:v>0</x:v>
      </x:c>
      <x:c r="AG112" s="9" t="n">
        <x:v>0</x:v>
      </x:c>
      <x:c r="AH112" s="9" t="n">
        <x:v>0</x:v>
      </x:c>
      <x:c r="AI112" s="9" t="n">
        <x:v>0</x:v>
      </x:c>
      <x:c r="AJ112" s="9" t="n">
        <x:v>0</x:v>
      </x:c>
      <x:c r="AK112" s="9" t="n">
        <x:v>0</x:v>
      </x:c>
      <x:c r="AL112" s="9" t="n">
        <x:v>0</x:v>
      </x:c>
      <x:c r="AM112" s="9" t="n">
        <x:v>0</x:v>
      </x:c>
    </x:row>
    <x:row r="113" ht="22" customHeight="1">
      <x:c r="A113" s="9"/>
      <x:c r="B113" s="9"/>
      <x:c r="C113" s="9"/>
      <x:c r="D113" s="9"/>
      <x:c r="E113" s="9" t="n">
        <x:v>0</x:v>
      </x:c>
      <x:c r="F113" s="9" t="n">
        <x:v>0</x:v>
      </x:c>
      <x:c r="G113" s="9" t="n">
        <x:v>0</x:v>
      </x:c>
      <x:c r="H113" s="9" t="n">
        <x:v>0</x:v>
      </x:c>
      <x:c r="I113" s="9" t="n">
        <x:v>0</x:v>
      </x:c>
      <x:c r="J113" s="9" t="n">
        <x:v>0</x:v>
      </x:c>
      <x:c r="K113" s="9" t="n">
        <x:v>0</x:v>
      </x:c>
      <x:c r="L113" s="9" t="n">
        <x:v>0</x:v>
      </x:c>
      <x:c r="M113" s="9" t="n">
        <x:v>0</x:v>
      </x:c>
      <x:c r="N113" s="9" t="n">
        <x:v>0</x:v>
      </x:c>
      <x:c r="O113" s="9" t="n">
        <x:v>0</x:v>
      </x:c>
      <x:c r="P113" s="9" t="n">
        <x:v>0</x:v>
      </x:c>
      <x:c r="Q113" s="9" t="n">
        <x:v>0</x:v>
      </x:c>
      <x:c r="R113" s="9" t="n">
        <x:v>0</x:v>
      </x:c>
      <x:c r="S113" s="9" t="n">
        <x:v>0</x:v>
      </x:c>
      <x:c r="T113" s="9" t="n">
        <x:v>0</x:v>
      </x:c>
      <x:c r="U113" s="9" t="n">
        <x:v>0</x:v>
      </x:c>
      <x:c r="V113" s="9" t="n">
        <x:v>0</x:v>
      </x:c>
      <x:c r="W113" s="9" t="n">
        <x:v>0</x:v>
      </x:c>
      <x:c r="X113" s="9" t="n">
        <x:v>1</x:v>
      </x:c>
      <x:c r="Y113" s="9" t="n">
        <x:v>0</x:v>
      </x:c>
      <x:c r="Z113" s="9" t="n">
        <x:v>0</x:v>
      </x:c>
      <x:c r="AA113" s="9" t="n">
        <x:v>0</x:v>
      </x:c>
      <x:c r="AB113" s="9" t="n">
        <x:v>0</x:v>
      </x:c>
      <x:c r="AC113" s="9" t="n">
        <x:v>0</x:v>
      </x:c>
      <x:c r="AD113" s="9" t="n">
        <x:v>0</x:v>
      </x:c>
      <x:c r="AE113" s="9" t="n">
        <x:v>0</x:v>
      </x:c>
      <x:c r="AF113" s="9" t="n">
        <x:v>0</x:v>
      </x:c>
      <x:c r="AG113" s="9" t="n">
        <x:v>0</x:v>
      </x:c>
      <x:c r="AH113" s="9" t="n">
        <x:v>0</x:v>
      </x:c>
      <x:c r="AI113" s="9" t="n">
        <x:v>0</x:v>
      </x:c>
      <x:c r="AJ113" s="9" t="n">
        <x:v>0</x:v>
      </x:c>
      <x:c r="AK113" s="9" t="n">
        <x:v>0</x:v>
      </x:c>
      <x:c r="AL113" s="9" t="n">
        <x:v>-1</x:v>
      </x:c>
      <x:c r="AM113" s="9" t="n">
        <x:v>0</x:v>
      </x:c>
    </x:row>
    <x:row r="114" ht="22" customHeight="1">
      <x:c r="A114" s="9"/>
      <x:c r="B114" s="9"/>
      <x:c r="C114" s="9"/>
      <x:c r="D114" s="9"/>
      <x:c r="E114" s="9" t="n">
        <x:v>0</x:v>
      </x:c>
      <x:c r="F114" s="9" t="n">
        <x:v>0</x:v>
      </x:c>
      <x:c r="G114" s="9" t="n">
        <x:v>0</x:v>
      </x:c>
      <x:c r="H114" s="9" t="n">
        <x:v>0</x:v>
      </x:c>
      <x:c r="I114" s="9" t="n">
        <x:v>0</x:v>
      </x:c>
      <x:c r="J114" s="9" t="n">
        <x:v>0</x:v>
      </x:c>
      <x:c r="K114" s="9" t="n">
        <x:v>0</x:v>
      </x:c>
      <x:c r="L114" s="9" t="n">
        <x:v>0</x:v>
      </x:c>
      <x:c r="M114" s="9" t="n">
        <x:v>0</x:v>
      </x:c>
      <x:c r="N114" s="9" t="n">
        <x:v>0</x:v>
      </x:c>
      <x:c r="O114" s="9" t="n">
        <x:v>0</x:v>
      </x:c>
      <x:c r="P114" s="9" t="n">
        <x:v>0</x:v>
      </x:c>
      <x:c r="Q114" s="9" t="n">
        <x:v>0</x:v>
      </x:c>
      <x:c r="R114" s="9" t="n">
        <x:v>0</x:v>
      </x:c>
      <x:c r="S114" s="9" t="n">
        <x:v>0</x:v>
      </x:c>
      <x:c r="T114" s="9" t="n">
        <x:v>0</x:v>
      </x:c>
      <x:c r="U114" s="9" t="n">
        <x:v>0</x:v>
      </x:c>
      <x:c r="V114" s="9" t="n">
        <x:v>0</x:v>
      </x:c>
      <x:c r="W114" s="9" t="n">
        <x:v>0</x:v>
      </x:c>
      <x:c r="X114" s="9" t="n">
        <x:v>0</x:v>
      </x:c>
      <x:c r="Y114" s="9" t="n">
        <x:v>1</x:v>
      </x:c>
      <x:c r="Z114" s="9" t="n">
        <x:v>0</x:v>
      </x:c>
      <x:c r="AA114" s="9" t="n">
        <x:v>0</x:v>
      </x:c>
      <x:c r="AB114" s="9" t="n">
        <x:v>0</x:v>
      </x:c>
      <x:c r="AC114" s="9" t="n">
        <x:v>0</x:v>
      </x:c>
      <x:c r="AD114" s="9" t="n">
        <x:v>0</x:v>
      </x:c>
      <x:c r="AE114" s="9" t="n">
        <x:v>0</x:v>
      </x:c>
      <x:c r="AF114" s="9" t="n">
        <x:v>0</x:v>
      </x:c>
      <x:c r="AG114" s="9" t="n">
        <x:v>0</x:v>
      </x:c>
      <x:c r="AH114" s="9" t="n">
        <x:v>0</x:v>
      </x:c>
      <x:c r="AI114" s="9" t="n">
        <x:v>0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</x:row>
    <x:row r="115" ht="22" customHeight="1">
      <x:c r="A115" s="9"/>
      <x:c r="B115" s="9"/>
      <x:c r="C115" s="9"/>
      <x:c r="D115" s="9"/>
      <x:c r="E115" s="9" t="n">
        <x:v>0</x:v>
      </x:c>
      <x:c r="F115" s="9" t="n">
        <x:v>0</x:v>
      </x:c>
      <x:c r="G115" s="9" t="n">
        <x:v>0</x:v>
      </x:c>
      <x:c r="H115" s="9" t="n">
        <x:v>0</x:v>
      </x:c>
      <x:c r="I115" s="9" t="n">
        <x:v>0</x:v>
      </x:c>
      <x:c r="J115" s="9" t="n">
        <x:v>0</x:v>
      </x:c>
      <x:c r="K115" s="9" t="n">
        <x:v>0</x:v>
      </x:c>
      <x:c r="L115" s="9" t="n">
        <x:v>0</x:v>
      </x:c>
      <x:c r="M115" s="9" t="n">
        <x:v>0</x:v>
      </x:c>
      <x:c r="N115" s="9" t="n">
        <x:v>0</x:v>
      </x:c>
      <x:c r="O115" s="9" t="n">
        <x:v>0</x:v>
      </x:c>
      <x:c r="P115" s="9" t="n">
        <x:v>0</x:v>
      </x:c>
      <x:c r="Q115" s="9" t="n">
        <x:v>0</x:v>
      </x:c>
      <x:c r="R115" s="9" t="n">
        <x:v>0</x:v>
      </x:c>
      <x:c r="S115" s="9" t="n">
        <x:v>0</x:v>
      </x:c>
      <x:c r="T115" s="9" t="n">
        <x:v>0</x:v>
      </x:c>
      <x:c r="U115" s="9" t="n">
        <x:v>0</x:v>
      </x:c>
      <x:c r="V115" s="9" t="n">
        <x:v>0</x:v>
      </x:c>
      <x:c r="W115" s="9" t="n">
        <x:v>0</x:v>
      </x:c>
      <x:c r="X115" s="9" t="n">
        <x:v>0</x:v>
      </x:c>
      <x:c r="Y115" s="9" t="n">
        <x:v>0</x:v>
      </x:c>
      <x:c r="Z115" s="9" t="n">
        <x:v>1</x:v>
      </x:c>
      <x:c r="AA115" s="9" t="n">
        <x:v>0</x:v>
      </x:c>
      <x:c r="AB115" s="9" t="n">
        <x:v>0</x:v>
      </x:c>
      <x:c r="AC115" s="9" t="n">
        <x:v>0</x:v>
      </x:c>
      <x:c r="AD115" s="9" t="n">
        <x:v>0</x:v>
      </x:c>
      <x:c r="AE115" s="9" t="n">
        <x:v>0</x:v>
      </x:c>
      <x:c r="AF115" s="9" t="n">
        <x:v>0</x:v>
      </x:c>
      <x:c r="AG115" s="9" t="n">
        <x:v>0</x:v>
      </x:c>
      <x:c r="AH115" s="9" t="n">
        <x:v>0</x:v>
      </x:c>
      <x:c r="AI115" s="9" t="n">
        <x:v>0</x:v>
      </x:c>
      <x:c r="AJ115" s="9" t="n">
        <x:v>0</x:v>
      </x:c>
      <x:c r="AK115" s="9" t="n">
        <x:v>0</x:v>
      </x:c>
      <x:c r="AL115" s="9" t="n">
        <x:v>0</x:v>
      </x:c>
      <x:c r="AM115" s="9" t="n">
        <x:v>0</x:v>
      </x:c>
    </x:row>
    <x:row r="116" ht="22" customHeight="1">
      <x:c r="A116" s="9"/>
      <x:c r="B116" s="9"/>
      <x:c r="C116" s="9"/>
      <x:c r="D116" s="9"/>
      <x:c r="E116" s="9" t="n">
        <x:v>0</x:v>
      </x:c>
      <x:c r="F116" s="9" t="n">
        <x:v>0</x:v>
      </x:c>
      <x:c r="G116" s="9" t="n">
        <x:v>0</x:v>
      </x:c>
      <x:c r="H116" s="9" t="n">
        <x:v>0</x:v>
      </x:c>
      <x:c r="I116" s="9" t="n">
        <x:v>0</x:v>
      </x:c>
      <x:c r="J116" s="9" t="n">
        <x:v>0</x:v>
      </x:c>
      <x:c r="K116" s="9" t="n">
        <x:v>0</x:v>
      </x:c>
      <x:c r="L116" s="9" t="n">
        <x:v>0</x:v>
      </x:c>
      <x:c r="M116" s="9" t="n">
        <x:v>0</x:v>
      </x:c>
      <x:c r="N116" s="9" t="n">
        <x:v>0</x:v>
      </x:c>
      <x:c r="O116" s="9" t="n">
        <x:v>0</x:v>
      </x:c>
      <x:c r="P116" s="9" t="n">
        <x:v>0</x:v>
      </x:c>
      <x:c r="Q116" s="9" t="n">
        <x:v>0</x:v>
      </x:c>
      <x:c r="R116" s="9" t="n">
        <x:v>0</x:v>
      </x:c>
      <x:c r="S116" s="9" t="n">
        <x:v>0</x:v>
      </x:c>
      <x:c r="T116" s="9" t="n">
        <x:v>0</x:v>
      </x:c>
      <x:c r="U116" s="9" t="n">
        <x:v>0</x:v>
      </x:c>
      <x:c r="V116" s="9" t="n">
        <x:v>0</x:v>
      </x:c>
      <x:c r="W116" s="9" t="n">
        <x:v>0</x:v>
      </x:c>
      <x:c r="X116" s="9" t="n">
        <x:v>0</x:v>
      </x:c>
      <x:c r="Y116" s="9" t="n">
        <x:v>0</x:v>
      </x:c>
      <x:c r="Z116" s="9" t="n">
        <x:v>0</x:v>
      </x:c>
      <x:c r="AA116" s="9" t="n">
        <x:v>1</x:v>
      </x:c>
      <x:c r="AB116" s="9" t="n">
        <x:v>0</x:v>
      </x:c>
      <x:c r="AC116" s="9" t="n">
        <x:v>0</x:v>
      </x:c>
      <x:c r="AD116" s="9" t="n">
        <x:v>0</x:v>
      </x:c>
      <x:c r="AE116" s="9" t="n">
        <x:v>0</x:v>
      </x:c>
      <x:c r="AF116" s="9" t="n">
        <x:v>0</x:v>
      </x:c>
      <x:c r="AG116" s="9" t="n">
        <x:v>0</x:v>
      </x:c>
      <x:c r="AH116" s="9" t="n">
        <x:v>0</x:v>
      </x:c>
      <x:c r="AI116" s="9" t="n">
        <x:v>0</x:v>
      </x:c>
      <x:c r="AJ116" s="9" t="n">
        <x:v>0</x:v>
      </x:c>
      <x:c r="AK116" s="9" t="n">
        <x:v>0</x:v>
      </x:c>
      <x:c r="AL116" s="9" t="n">
        <x:v>0</x:v>
      </x:c>
      <x:c r="AM116" s="9" t="n">
        <x:v>-1</x:v>
      </x:c>
    </x:row>
    <x:row r="117" ht="22" customHeight="1">
      <x:c r="A117" s="9"/>
      <x:c r="B117" s="9"/>
      <x:c r="C117" s="9"/>
      <x:c r="D117" s="9"/>
      <x:c r="E117" s="9" t="n">
        <x:v>0</x:v>
      </x:c>
      <x:c r="F117" s="9" t="n">
        <x:v>0</x:v>
      </x:c>
      <x:c r="G117" s="9" t="n">
        <x:v>0</x:v>
      </x:c>
      <x:c r="H117" s="9" t="n">
        <x:v>0</x:v>
      </x:c>
      <x:c r="I117" s="9" t="n">
        <x:v>0</x:v>
      </x:c>
      <x:c r="J117" s="9" t="n">
        <x:v>0</x:v>
      </x:c>
      <x:c r="K117" s="9" t="n">
        <x:v>0</x:v>
      </x:c>
      <x:c r="L117" s="9" t="n">
        <x:v>0</x:v>
      </x:c>
      <x:c r="M117" s="9" t="n">
        <x:v>0</x:v>
      </x:c>
      <x:c r="N117" s="9" t="n">
        <x:v>0</x:v>
      </x:c>
      <x:c r="O117" s="9" t="n">
        <x:v>0</x:v>
      </x:c>
      <x:c r="P117" s="9" t="n">
        <x:v>0</x:v>
      </x:c>
      <x:c r="Q117" s="9" t="n">
        <x:v>0</x:v>
      </x:c>
      <x:c r="R117" s="9" t="n">
        <x:v>0</x:v>
      </x:c>
      <x:c r="S117" s="9" t="n">
        <x:v>0</x:v>
      </x:c>
      <x:c r="T117" s="9" t="n">
        <x:v>0</x:v>
      </x:c>
      <x:c r="U117" s="9" t="n">
        <x:v>0</x:v>
      </x:c>
      <x:c r="V117" s="9" t="n">
        <x:v>0</x:v>
      </x:c>
      <x:c r="W117" s="9" t="n">
        <x:v>0</x:v>
      </x:c>
      <x:c r="X117" s="9" t="n">
        <x:v>0</x:v>
      </x:c>
      <x:c r="Y117" s="9" t="n">
        <x:v>0</x:v>
      </x:c>
      <x:c r="Z117" s="9" t="n">
        <x:v>0</x:v>
      </x:c>
      <x:c r="AA117" s="9" t="n">
        <x:v>0</x:v>
      </x:c>
      <x:c r="AB117" s="9" t="n">
        <x:v>1</x:v>
      </x:c>
      <x:c r="AC117" s="9" t="n">
        <x:v>0</x:v>
      </x:c>
      <x:c r="AD117" s="9" t="n">
        <x:v>0</x:v>
      </x:c>
      <x:c r="AE117" s="9" t="n">
        <x:v>0</x:v>
      </x:c>
      <x:c r="AF117" s="9" t="n">
        <x:v>0</x:v>
      </x:c>
      <x:c r="AG117" s="9" t="n">
        <x:v>0</x:v>
      </x:c>
      <x:c r="AH117" s="9" t="n">
        <x:v>0</x:v>
      </x:c>
      <x:c r="AI117" s="9" t="n">
        <x:v>0</x:v>
      </x:c>
      <x:c r="AJ117" s="9" t="n">
        <x:v>0</x:v>
      </x:c>
      <x:c r="AK117" s="9" t="n">
        <x:v>0</x:v>
      </x:c>
      <x:c r="AL117" s="9" t="n">
        <x:v>0</x:v>
      </x:c>
      <x:c r="AM117" s="9" t="n">
        <x:v>0</x:v>
      </x:c>
    </x:row>
    <x:row r="118" ht="22" customHeight="1">
      <x:c r="A118" s="9"/>
      <x:c r="B118" s="9"/>
      <x:c r="C118" s="9"/>
      <x:c r="D118" s="9"/>
      <x:c r="E118" s="9" t="n">
        <x:v>0</x:v>
      </x:c>
      <x:c r="F118" s="9" t="n">
        <x:v>0</x:v>
      </x:c>
      <x:c r="G118" s="9" t="n">
        <x:v>0</x:v>
      </x:c>
      <x:c r="H118" s="9" t="n">
        <x:v>0</x:v>
      </x:c>
      <x:c r="I118" s="9" t="n">
        <x:v>0</x:v>
      </x:c>
      <x:c r="J118" s="9" t="n">
        <x:v>0</x:v>
      </x:c>
      <x:c r="K118" s="9" t="n">
        <x:v>0</x:v>
      </x:c>
      <x:c r="L118" s="9" t="n">
        <x:v>0</x:v>
      </x:c>
      <x:c r="M118" s="9" t="n">
        <x:v>0</x:v>
      </x:c>
      <x:c r="N118" s="9" t="n">
        <x:v>0</x:v>
      </x:c>
      <x:c r="O118" s="9" t="n">
        <x:v>0</x:v>
      </x:c>
      <x:c r="P118" s="9" t="n">
        <x:v>0</x:v>
      </x:c>
      <x:c r="Q118" s="9" t="n">
        <x:v>0</x:v>
      </x:c>
      <x:c r="R118" s="9" t="n">
        <x:v>0</x:v>
      </x:c>
      <x:c r="S118" s="9" t="n">
        <x:v>0</x:v>
      </x:c>
      <x:c r="T118" s="9" t="n">
        <x:v>0</x:v>
      </x:c>
      <x:c r="U118" s="9" t="n">
        <x:v>0</x:v>
      </x:c>
      <x:c r="V118" s="9" t="n">
        <x:v>0</x:v>
      </x:c>
      <x:c r="W118" s="9" t="n">
        <x:v>0</x:v>
      </x:c>
      <x:c r="X118" s="9" t="n">
        <x:v>0</x:v>
      </x:c>
      <x:c r="Y118" s="9" t="n">
        <x:v>0</x:v>
      </x:c>
      <x:c r="Z118" s="9" t="n">
        <x:v>0</x:v>
      </x:c>
      <x:c r="AA118" s="9" t="n">
        <x:v>0</x:v>
      </x:c>
      <x:c r="AB118" s="9" t="n">
        <x:v>0</x:v>
      </x:c>
      <x:c r="AC118" s="9" t="n">
        <x:v>1</x:v>
      </x:c>
      <x:c r="AD118" s="9" t="n">
        <x:v>0</x:v>
      </x:c>
      <x:c r="AE118" s="9" t="n">
        <x:v>0</x:v>
      </x:c>
      <x:c r="AF118" s="9" t="n">
        <x:v>0</x:v>
      </x:c>
      <x:c r="AG118" s="9" t="n">
        <x:v>0</x:v>
      </x:c>
      <x:c r="AH118" s="9" t="n">
        <x:v>0</x:v>
      </x:c>
      <x:c r="AI118" s="9" t="n">
        <x:v>0</x:v>
      </x:c>
      <x:c r="AJ118" s="9" t="n">
        <x:v>0</x:v>
      </x:c>
      <x:c r="AK118" s="9" t="n">
        <x:v>0</x:v>
      </x:c>
      <x:c r="AL118" s="9" t="n">
        <x:v>0</x:v>
      </x:c>
      <x:c r="AM118" s="9" t="n">
        <x:v>0</x:v>
      </x:c>
    </x:row>
    <x:row r="119" ht="22" customHeight="1">
      <x:c r="A119" s="9"/>
      <x:c r="B119" s="9"/>
      <x:c r="C119" s="9"/>
      <x:c r="D119" s="9"/>
      <x:c r="E119" s="9" t="n">
        <x:v>0</x:v>
      </x:c>
      <x:c r="F119" s="9" t="n">
        <x:v>0</x:v>
      </x:c>
      <x:c r="G119" s="9" t="n">
        <x:v>0</x:v>
      </x:c>
      <x:c r="H119" s="9" t="n">
        <x:v>0</x:v>
      </x:c>
      <x:c r="I119" s="9" t="n">
        <x:v>0</x:v>
      </x:c>
      <x:c r="J119" s="9" t="n">
        <x:v>0</x:v>
      </x:c>
      <x:c r="K119" s="9" t="n">
        <x:v>0</x:v>
      </x:c>
      <x:c r="L119" s="9" t="n">
        <x:v>0</x:v>
      </x:c>
      <x:c r="M119" s="9" t="n">
        <x:v>0</x:v>
      </x:c>
      <x:c r="N119" s="9" t="n">
        <x:v>0</x:v>
      </x:c>
      <x:c r="O119" s="9" t="n">
        <x:v>0</x:v>
      </x:c>
      <x:c r="P119" s="9" t="n">
        <x:v>0</x:v>
      </x:c>
      <x:c r="Q119" s="9" t="n">
        <x:v>0</x:v>
      </x:c>
      <x:c r="R119" s="9" t="n">
        <x:v>0</x:v>
      </x:c>
      <x:c r="S119" s="9" t="n">
        <x:v>0</x:v>
      </x:c>
      <x:c r="T119" s="9" t="n">
        <x:v>0</x:v>
      </x:c>
      <x:c r="U119" s="9" t="n">
        <x:v>0</x:v>
      </x:c>
      <x:c r="V119" s="9" t="n">
        <x:v>0</x:v>
      </x:c>
      <x:c r="W119" s="9" t="n">
        <x:v>0</x:v>
      </x:c>
      <x:c r="X119" s="9" t="n">
        <x:v>0</x:v>
      </x:c>
      <x:c r="Y119" s="9" t="n">
        <x:v>0</x:v>
      </x:c>
      <x:c r="Z119" s="9" t="n">
        <x:v>0</x:v>
      </x:c>
      <x:c r="AA119" s="9" t="n">
        <x:v>0</x:v>
      </x:c>
      <x:c r="AB119" s="9" t="n">
        <x:v>0</x:v>
      </x:c>
      <x:c r="AC119" s="9" t="n">
        <x:v>0</x:v>
      </x:c>
      <x:c r="AD119" s="9" t="n">
        <x:v>1</x:v>
      </x:c>
      <x:c r="AE119" s="9" t="n">
        <x:v>0</x:v>
      </x:c>
      <x:c r="AF119" s="9" t="n">
        <x:v>0</x:v>
      </x:c>
      <x:c r="AG119" s="9" t="n">
        <x:v>0</x:v>
      </x:c>
      <x:c r="AH119" s="9" t="n">
        <x:v>0</x:v>
      </x:c>
      <x:c r="AI119" s="9" t="n">
        <x:v>-1</x:v>
      </x:c>
      <x:c r="AJ119" s="9" t="n">
        <x:v>0</x:v>
      </x:c>
      <x:c r="AK119" s="9" t="n">
        <x:v>0</x:v>
      </x:c>
      <x:c r="AL119" s="9" t="n">
        <x:v>0</x:v>
      </x:c>
      <x:c r="AM119" s="9" t="n">
        <x:v>0</x:v>
      </x:c>
    </x:row>
    <x:row r="120" ht="22" customHeight="1">
      <x:c r="A120" s="9"/>
      <x:c r="B120" s="9"/>
      <x:c r="C120" s="9"/>
      <x:c r="D120" s="9"/>
      <x:c r="E120" s="9" t="n">
        <x:v>0</x:v>
      </x:c>
      <x:c r="F120" s="9" t="n">
        <x:v>0</x:v>
      </x:c>
      <x:c r="G120" s="9" t="n">
        <x:v>0</x:v>
      </x:c>
      <x:c r="H120" s="9" t="n">
        <x:v>0</x:v>
      </x:c>
      <x:c r="I120" s="9" t="n">
        <x:v>0</x:v>
      </x:c>
      <x:c r="J120" s="9" t="n">
        <x:v>0</x:v>
      </x:c>
      <x:c r="K120" s="9" t="n">
        <x:v>0</x:v>
      </x:c>
      <x:c r="L120" s="9" t="n">
        <x:v>0</x:v>
      </x:c>
      <x:c r="M120" s="9" t="n">
        <x:v>0</x:v>
      </x:c>
      <x:c r="N120" s="9" t="n">
        <x:v>0</x:v>
      </x:c>
      <x:c r="O120" s="9" t="n">
        <x:v>0</x:v>
      </x:c>
      <x:c r="P120" s="9" t="n">
        <x:v>0</x:v>
      </x:c>
      <x:c r="Q120" s="9" t="n">
        <x:v>0</x:v>
      </x:c>
      <x:c r="R120" s="9" t="n">
        <x:v>0</x:v>
      </x:c>
      <x:c r="S120" s="9" t="n">
        <x:v>0</x:v>
      </x:c>
      <x:c r="T120" s="9" t="n">
        <x:v>0</x:v>
      </x:c>
      <x:c r="U120" s="9" t="n">
        <x:v>0</x:v>
      </x:c>
      <x:c r="V120" s="9" t="n">
        <x:v>0</x:v>
      </x:c>
      <x:c r="W120" s="9" t="n">
        <x:v>0</x:v>
      </x:c>
      <x:c r="X120" s="9" t="n">
        <x:v>0</x:v>
      </x:c>
      <x:c r="Y120" s="9" t="n">
        <x:v>0</x:v>
      </x:c>
      <x:c r="Z120" s="9" t="n">
        <x:v>0</x:v>
      </x:c>
      <x:c r="AA120" s="9" t="n">
        <x:v>0</x:v>
      </x:c>
      <x:c r="AB120" s="9" t="n">
        <x:v>0</x:v>
      </x:c>
      <x:c r="AC120" s="9" t="n">
        <x:v>0</x:v>
      </x:c>
      <x:c r="AD120" s="9" t="n">
        <x:v>0</x:v>
      </x:c>
      <x:c r="AE120" s="9" t="n">
        <x:v>1</x:v>
      </x:c>
      <x:c r="AF120" s="9" t="n">
        <x:v>0</x:v>
      </x:c>
      <x:c r="AG120" s="9" t="n">
        <x:v>0</x:v>
      </x:c>
      <x:c r="AH120" s="9" t="n">
        <x:v>0</x:v>
      </x:c>
      <x:c r="AI120" s="9" t="n">
        <x:v>0</x:v>
      </x:c>
      <x:c r="AJ120" s="9" t="n">
        <x:v>-1</x:v>
      </x:c>
      <x:c r="AK120" s="9" t="n">
        <x:v>0</x:v>
      </x:c>
      <x:c r="AL120" s="9" t="n">
        <x:v>0</x:v>
      </x:c>
      <x:c r="AM120" s="9" t="n">
        <x:v>0</x:v>
      </x:c>
    </x:row>
    <x:row r="121" ht="22" customHeight="1">
      <x:c r="A121" s="9"/>
      <x:c r="B121" s="9"/>
      <x:c r="C121" s="9"/>
      <x:c r="D121" s="9"/>
      <x:c r="E121" s="9" t="n">
        <x:v>0</x:v>
      </x:c>
      <x:c r="F121" s="9" t="n">
        <x:v>0</x:v>
      </x:c>
      <x:c r="G121" s="9" t="n">
        <x:v>0</x:v>
      </x:c>
      <x:c r="H121" s="9" t="n">
        <x:v>0</x:v>
      </x:c>
      <x:c r="I121" s="9" t="n">
        <x:v>0</x:v>
      </x:c>
      <x:c r="J121" s="9" t="n">
        <x:v>0</x:v>
      </x:c>
      <x:c r="K121" s="9" t="n">
        <x:v>0</x:v>
      </x:c>
      <x:c r="L121" s="9" t="n">
        <x:v>0</x:v>
      </x:c>
      <x:c r="M121" s="9" t="n">
        <x:v>0</x:v>
      </x:c>
      <x:c r="N121" s="9" t="n">
        <x:v>0</x:v>
      </x:c>
      <x:c r="O121" s="9" t="n">
        <x:v>0</x:v>
      </x:c>
      <x:c r="P121" s="9" t="n">
        <x:v>0</x:v>
      </x:c>
      <x:c r="Q121" s="9" t="n">
        <x:v>0</x:v>
      </x:c>
      <x:c r="R121" s="9" t="n">
        <x:v>0</x:v>
      </x:c>
      <x:c r="S121" s="9" t="n">
        <x:v>0</x:v>
      </x:c>
      <x:c r="T121" s="9" t="n">
        <x:v>0</x:v>
      </x:c>
      <x:c r="U121" s="9" t="n">
        <x:v>0</x:v>
      </x:c>
      <x:c r="V121" s="9" t="n">
        <x:v>0</x:v>
      </x:c>
      <x:c r="W121" s="9" t="n">
        <x:v>0</x:v>
      </x:c>
      <x:c r="X121" s="9" t="n">
        <x:v>0</x:v>
      </x:c>
      <x:c r="Y121" s="9" t="n">
        <x:v>0</x:v>
      </x:c>
      <x:c r="Z121" s="9" t="n">
        <x:v>0</x:v>
      </x:c>
      <x:c r="AA121" s="9" t="n">
        <x:v>0</x:v>
      </x:c>
      <x:c r="AB121" s="9" t="n">
        <x:v>0</x:v>
      </x:c>
      <x:c r="AC121" s="9" t="n">
        <x:v>0</x:v>
      </x:c>
      <x:c r="AD121" s="9" t="n">
        <x:v>0</x:v>
      </x:c>
      <x:c r="AE121" s="9" t="n">
        <x:v>0</x:v>
      </x:c>
      <x:c r="AF121" s="9" t="n">
        <x:v>1</x:v>
      </x:c>
      <x:c r="AG121" s="9" t="n">
        <x:v>0</x:v>
      </x:c>
      <x:c r="AH121" s="9" t="n">
        <x:v>0</x:v>
      </x:c>
      <x:c r="AI121" s="9" t="n">
        <x:v>0</x:v>
      </x:c>
      <x:c r="AJ121" s="9" t="n">
        <x:v>0</x:v>
      </x:c>
      <x:c r="AK121" s="9" t="n">
        <x:v>-1</x:v>
      </x:c>
      <x:c r="AL121" s="9" t="n">
        <x:v>0</x:v>
      </x:c>
      <x:c r="AM121" s="9" t="n">
        <x:v>0</x:v>
      </x:c>
    </x:row>
    <x:row r="122" ht="22" customHeight="1">
      <x:c r="A122" s="9"/>
      <x:c r="B122" s="9"/>
      <x:c r="C122" s="9"/>
      <x:c r="D122" s="9"/>
      <x:c r="E122" s="9" t="n">
        <x:v>0</x:v>
      </x:c>
      <x:c r="F122" s="9" t="n">
        <x:v>0</x:v>
      </x:c>
      <x:c r="G122" s="9" t="n">
        <x:v>0</x:v>
      </x:c>
      <x:c r="H122" s="9" t="n">
        <x:v>0</x:v>
      </x:c>
      <x:c r="I122" s="9" t="n">
        <x:v>0</x:v>
      </x:c>
      <x:c r="J122" s="9" t="n">
        <x:v>0</x:v>
      </x:c>
      <x:c r="K122" s="9" t="n">
        <x:v>0</x:v>
      </x:c>
      <x:c r="L122" s="9" t="n">
        <x:v>0</x:v>
      </x:c>
      <x:c r="M122" s="9" t="n">
        <x:v>0</x:v>
      </x:c>
      <x:c r="N122" s="9" t="n">
        <x:v>0</x:v>
      </x:c>
      <x:c r="O122" s="9" t="n">
        <x:v>0</x:v>
      </x:c>
      <x:c r="P122" s="9" t="n">
        <x:v>0</x:v>
      </x:c>
      <x:c r="Q122" s="9" t="n">
        <x:v>0</x:v>
      </x:c>
      <x:c r="R122" s="9" t="n">
        <x:v>0</x:v>
      </x:c>
      <x:c r="S122" s="9" t="n">
        <x:v>0</x:v>
      </x:c>
      <x:c r="T122" s="9" t="n">
        <x:v>0</x:v>
      </x:c>
      <x:c r="U122" s="9" t="n">
        <x:v>0</x:v>
      </x:c>
      <x:c r="V122" s="9" t="n">
        <x:v>0</x:v>
      </x:c>
      <x:c r="W122" s="9" t="n">
        <x:v>0</x:v>
      </x:c>
      <x:c r="X122" s="9" t="n">
        <x:v>0</x:v>
      </x:c>
      <x:c r="Y122" s="9" t="n">
        <x:v>0</x:v>
      </x:c>
      <x:c r="Z122" s="9" t="n">
        <x:v>0</x:v>
      </x:c>
      <x:c r="AA122" s="9" t="n">
        <x:v>0</x:v>
      </x:c>
      <x:c r="AB122" s="9" t="n">
        <x:v>0</x:v>
      </x:c>
      <x:c r="AC122" s="9" t="n">
        <x:v>-1</x:v>
      </x:c>
      <x:c r="AD122" s="9" t="n">
        <x:v>0</x:v>
      </x:c>
      <x:c r="AE122" s="9" t="n">
        <x:v>0</x:v>
      </x:c>
      <x:c r="AF122" s="9" t="n">
        <x:v>0</x:v>
      </x:c>
      <x:c r="AG122" s="9" t="n">
        <x:v>1</x:v>
      </x:c>
      <x:c r="AH122" s="9" t="n">
        <x:v>0</x:v>
      </x:c>
      <x:c r="AI122" s="9" t="n">
        <x:v>0</x:v>
      </x:c>
      <x:c r="AJ122" s="9" t="n">
        <x:v>0</x:v>
      </x:c>
      <x:c r="AK122" s="9" t="n">
        <x:v>0</x:v>
      </x:c>
      <x:c r="AL122" s="9" t="n">
        <x:v>0</x:v>
      </x:c>
      <x:c r="AM122" s="9" t="n">
        <x:v>0</x:v>
      </x:c>
    </x:row>
    <x:row r="123" ht="22" customHeight="1">
      <x:c r="A123" s="9"/>
      <x:c r="B123" s="9"/>
      <x:c r="C123" s="9"/>
      <x:c r="D123" s="9"/>
      <x:c r="E123" s="9" t="n">
        <x:v>0</x:v>
      </x:c>
      <x:c r="F123" s="9" t="n">
        <x:v>0</x:v>
      </x:c>
      <x:c r="G123" s="9" t="n">
        <x:v>0</x:v>
      </x:c>
      <x:c r="H123" s="9" t="n">
        <x:v>0</x:v>
      </x:c>
      <x:c r="I123" s="9" t="n">
        <x:v>0</x:v>
      </x:c>
      <x:c r="J123" s="9" t="n">
        <x:v>0</x:v>
      </x:c>
      <x:c r="K123" s="9" t="n">
        <x:v>0</x:v>
      </x:c>
      <x:c r="L123" s="9" t="n">
        <x:v>0</x:v>
      </x:c>
      <x:c r="M123" s="9" t="n">
        <x:v>0</x:v>
      </x:c>
      <x:c r="N123" s="9" t="n">
        <x:v>0</x:v>
      </x:c>
      <x:c r="O123" s="9" t="n">
        <x:v>0</x:v>
      </x:c>
      <x:c r="P123" s="9" t="n">
        <x:v>0</x:v>
      </x:c>
      <x:c r="Q123" s="9" t="n">
        <x:v>0</x:v>
      </x:c>
      <x:c r="R123" s="9" t="n">
        <x:v>0</x:v>
      </x:c>
      <x:c r="S123" s="9" t="n">
        <x:v>0</x:v>
      </x:c>
      <x:c r="T123" s="9" t="n">
        <x:v>0</x:v>
      </x:c>
      <x:c r="U123" s="9" t="n">
        <x:v>0</x:v>
      </x:c>
      <x:c r="V123" s="9" t="n">
        <x:v>0</x:v>
      </x:c>
      <x:c r="W123" s="9" t="n">
        <x:v>0</x:v>
      </x:c>
      <x:c r="X123" s="9" t="n">
        <x:v>0</x:v>
      </x:c>
      <x:c r="Y123" s="9" t="n">
        <x:v>0</x:v>
      </x:c>
      <x:c r="Z123" s="9" t="n">
        <x:v>0</x:v>
      </x:c>
      <x:c r="AA123" s="9" t="n">
        <x:v>0</x:v>
      </x:c>
      <x:c r="AB123" s="9" t="n">
        <x:v>0</x:v>
      </x:c>
      <x:c r="AC123" s="9" t="n">
        <x:v>0</x:v>
      </x:c>
      <x:c r="AD123" s="9" t="n">
        <x:v>0</x:v>
      </x:c>
      <x:c r="AE123" s="9" t="n">
        <x:v>0</x:v>
      </x:c>
      <x:c r="AF123" s="9" t="n">
        <x:v>0</x:v>
      </x:c>
      <x:c r="AG123" s="9" t="n">
        <x:v>0</x:v>
      </x:c>
      <x:c r="AH123" s="9" t="n">
        <x:v>1</x:v>
      </x:c>
      <x:c r="AI123" s="9" t="n">
        <x:v>0</x:v>
      </x:c>
      <x:c r="AJ123" s="9" t="n">
        <x:v>0</x:v>
      </x:c>
      <x:c r="AK123" s="9" t="n">
        <x:v>0</x:v>
      </x:c>
      <x:c r="AL123" s="9" t="n">
        <x:v>0</x:v>
      </x:c>
      <x:c r="AM123" s="9" t="n">
        <x:v>0</x:v>
      </x:c>
    </x:row>
    <x:row r="124" ht="22" customHeight="1">
      <x:c r="A124" s="9"/>
      <x:c r="B124" s="9"/>
      <x:c r="C124" s="9"/>
      <x:c r="D124" s="9"/>
      <x:c r="E124" s="9" t="n">
        <x:v>0</x:v>
      </x:c>
      <x:c r="F124" s="9" t="n">
        <x:v>0</x:v>
      </x:c>
      <x:c r="G124" s="9" t="n">
        <x:v>0</x:v>
      </x:c>
      <x:c r="H124" s="9" t="n">
        <x:v>0</x:v>
      </x:c>
      <x:c r="I124" s="9" t="n">
        <x:v>0</x:v>
      </x:c>
      <x:c r="J124" s="9" t="n">
        <x:v>0</x:v>
      </x:c>
      <x:c r="K124" s="9" t="n">
        <x:v>0</x:v>
      </x:c>
      <x:c r="L124" s="9" t="n">
        <x:v>0</x:v>
      </x:c>
      <x:c r="M124" s="9" t="n">
        <x:v>0</x:v>
      </x:c>
      <x:c r="N124" s="9" t="n">
        <x:v>0</x:v>
      </x:c>
      <x:c r="O124" s="9" t="n">
        <x:v>0</x:v>
      </x:c>
      <x:c r="P124" s="9" t="n">
        <x:v>0</x:v>
      </x:c>
      <x:c r="Q124" s="9" t="n">
        <x:v>0</x:v>
      </x:c>
      <x:c r="R124" s="9" t="n">
        <x:v>0</x:v>
      </x:c>
      <x:c r="S124" s="9" t="n">
        <x:v>0</x:v>
      </x:c>
      <x:c r="T124" s="9" t="n">
        <x:v>0</x:v>
      </x:c>
      <x:c r="U124" s="9" t="n">
        <x:v>0</x:v>
      </x:c>
      <x:c r="V124" s="9" t="n">
        <x:v>0</x:v>
      </x:c>
      <x:c r="W124" s="9" t="n">
        <x:v>0</x:v>
      </x:c>
      <x:c r="X124" s="9" t="n">
        <x:v>0</x:v>
      </x:c>
      <x:c r="Y124" s="9" t="n">
        <x:v>0</x:v>
      </x:c>
      <x:c r="Z124" s="9" t="n">
        <x:v>0</x:v>
      </x:c>
      <x:c r="AA124" s="9" t="n">
        <x:v>0</x:v>
      </x:c>
      <x:c r="AB124" s="9" t="n">
        <x:v>0</x:v>
      </x:c>
      <x:c r="AC124" s="9" t="n">
        <x:v>0</x:v>
      </x:c>
      <x:c r="AD124" s="9" t="n">
        <x:v>0</x:v>
      </x:c>
      <x:c r="AE124" s="9" t="n">
        <x:v>0</x:v>
      </x:c>
      <x:c r="AF124" s="9" t="n">
        <x:v>0</x:v>
      </x:c>
      <x:c r="AG124" s="9" t="n">
        <x:v>0</x:v>
      </x:c>
      <x:c r="AH124" s="9" t="n">
        <x:v>0</x:v>
      </x:c>
      <x:c r="AI124" s="9" t="n">
        <x:v>1</x:v>
      </x:c>
      <x:c r="AJ124" s="9" t="n">
        <x:v>0</x:v>
      </x:c>
      <x:c r="AK124" s="9" t="n">
        <x:v>0</x:v>
      </x:c>
      <x:c r="AL124" s="9" t="n">
        <x:v>0</x:v>
      </x:c>
      <x:c r="AM124" s="9" t="n">
        <x:v>0</x:v>
      </x:c>
    </x:row>
    <x:row r="125" ht="22" customHeight="1">
      <x:c r="A125" s="9"/>
      <x:c r="B125" s="9"/>
      <x:c r="C125" s="9"/>
      <x:c r="D125" s="9"/>
      <x:c r="E125" s="9" t="n">
        <x:v>0</x:v>
      </x:c>
      <x:c r="F125" s="9" t="n">
        <x:v>0</x:v>
      </x:c>
      <x:c r="G125" s="9" t="n">
        <x:v>0</x:v>
      </x:c>
      <x:c r="H125" s="9" t="n">
        <x:v>0</x:v>
      </x:c>
      <x:c r="I125" s="9" t="n">
        <x:v>0</x:v>
      </x:c>
      <x:c r="J125" s="9" t="n">
        <x:v>0</x:v>
      </x:c>
      <x:c r="K125" s="9" t="n">
        <x:v>0</x:v>
      </x:c>
      <x:c r="L125" s="9" t="n">
        <x:v>0</x:v>
      </x:c>
      <x:c r="M125" s="9" t="n">
        <x:v>0</x:v>
      </x:c>
      <x:c r="N125" s="9" t="n">
        <x:v>0</x:v>
      </x:c>
      <x:c r="O125" s="9" t="n">
        <x:v>0</x:v>
      </x:c>
      <x:c r="P125" s="9" t="n">
        <x:v>0</x:v>
      </x:c>
      <x:c r="Q125" s="9" t="n">
        <x:v>0</x:v>
      </x:c>
      <x:c r="R125" s="9" t="n">
        <x:v>0</x:v>
      </x:c>
      <x:c r="S125" s="9" t="n">
        <x:v>0</x:v>
      </x:c>
      <x:c r="T125" s="9" t="n">
        <x:v>0</x:v>
      </x:c>
      <x:c r="U125" s="9" t="n">
        <x:v>0</x:v>
      </x:c>
      <x:c r="V125" s="9" t="n">
        <x:v>0</x:v>
      </x:c>
      <x:c r="W125" s="9" t="n">
        <x:v>0</x:v>
      </x:c>
      <x:c r="X125" s="9" t="n">
        <x:v>0</x:v>
      </x:c>
      <x:c r="Y125" s="9" t="n">
        <x:v>0</x:v>
      </x:c>
      <x:c r="Z125" s="9" t="n">
        <x:v>0</x:v>
      </x:c>
      <x:c r="AA125" s="9" t="n">
        <x:v>0</x:v>
      </x:c>
      <x:c r="AB125" s="9" t="n">
        <x:v>0</x:v>
      </x:c>
      <x:c r="AC125" s="9" t="n">
        <x:v>0</x:v>
      </x:c>
      <x:c r="AD125" s="9" t="n">
        <x:v>0</x:v>
      </x:c>
      <x:c r="AE125" s="9" t="n">
        <x:v>0</x:v>
      </x:c>
      <x:c r="AF125" s="9" t="n">
        <x:v>0</x:v>
      </x:c>
      <x:c r="AG125" s="9" t="n">
        <x:v>0</x:v>
      </x:c>
      <x:c r="AH125" s="9" t="n">
        <x:v>0</x:v>
      </x:c>
      <x:c r="AI125" s="9" t="n">
        <x:v>0</x:v>
      </x:c>
      <x:c r="AJ125" s="9" t="n">
        <x:v>1</x:v>
      </x:c>
      <x:c r="AK125" s="9" t="n">
        <x:v>0</x:v>
      </x:c>
      <x:c r="AL125" s="9" t="n">
        <x:v>0</x:v>
      </x:c>
      <x:c r="AM125" s="9" t="n">
        <x:v>0</x:v>
      </x:c>
    </x:row>
    <x:row r="126" ht="22" customHeight="1">
      <x:c r="A126" s="9"/>
      <x:c r="B126" s="9"/>
      <x:c r="C126" s="9"/>
      <x:c r="D126" s="9"/>
      <x:c r="E126" s="9" t="n">
        <x:v>0</x:v>
      </x:c>
      <x:c r="F126" s="9" t="n">
        <x:v>0</x:v>
      </x:c>
      <x:c r="G126" s="9" t="n">
        <x:v>0</x:v>
      </x:c>
      <x:c r="H126" s="9" t="n">
        <x:v>0</x:v>
      </x:c>
      <x:c r="I126" s="9" t="n">
        <x:v>0</x:v>
      </x:c>
      <x:c r="J126" s="9" t="n">
        <x:v>0</x:v>
      </x:c>
      <x:c r="K126" s="9" t="n">
        <x:v>0</x:v>
      </x:c>
      <x:c r="L126" s="9" t="n">
        <x:v>0</x:v>
      </x:c>
      <x:c r="M126" s="9" t="n">
        <x:v>0</x:v>
      </x:c>
      <x:c r="N126" s="9" t="n">
        <x:v>0</x:v>
      </x:c>
      <x:c r="O126" s="9" t="n">
        <x:v>0</x:v>
      </x:c>
      <x:c r="P126" s="9" t="n">
        <x:v>0</x:v>
      </x:c>
      <x:c r="Q126" s="9" t="n">
        <x:v>0</x:v>
      </x:c>
      <x:c r="R126" s="9" t="n">
        <x:v>0</x:v>
      </x:c>
      <x:c r="S126" s="9" t="n">
        <x:v>0</x:v>
      </x:c>
      <x:c r="T126" s="9" t="n">
        <x:v>0</x:v>
      </x:c>
      <x:c r="U126" s="9" t="n">
        <x:v>0</x:v>
      </x:c>
      <x:c r="V126" s="9" t="n">
        <x:v>0</x:v>
      </x:c>
      <x:c r="W126" s="9" t="n">
        <x:v>0</x:v>
      </x:c>
      <x:c r="X126" s="9" t="n">
        <x:v>0</x:v>
      </x:c>
      <x:c r="Y126" s="9" t="n">
        <x:v>0</x:v>
      </x:c>
      <x:c r="Z126" s="9" t="n">
        <x:v>0</x:v>
      </x:c>
      <x:c r="AA126" s="9" t="n">
        <x:v>0</x:v>
      </x:c>
      <x:c r="AB126" s="9" t="n">
        <x:v>0</x:v>
      </x:c>
      <x:c r="AC126" s="9" t="n">
        <x:v>0</x:v>
      </x:c>
      <x:c r="AD126" s="9" t="n">
        <x:v>0</x:v>
      </x:c>
      <x:c r="AE126" s="9" t="n">
        <x:v>0</x:v>
      </x:c>
      <x:c r="AF126" s="9" t="n">
        <x:v>0</x:v>
      </x:c>
      <x:c r="AG126" s="9" t="n">
        <x:v>0</x:v>
      </x:c>
      <x:c r="AH126" s="9" t="n">
        <x:v>0</x:v>
      </x:c>
      <x:c r="AI126" s="9" t="n">
        <x:v>0</x:v>
      </x:c>
      <x:c r="AJ126" s="9" t="n">
        <x:v>0</x:v>
      </x:c>
      <x:c r="AK126" s="9" t="n">
        <x:v>1</x:v>
      </x:c>
      <x:c r="AL126" s="9" t="n">
        <x:v>0</x:v>
      </x:c>
      <x:c r="AM126" s="9" t="n">
        <x:v>0</x:v>
      </x:c>
    </x:row>
    <x:row r="127" ht="22" customHeight="1">
      <x:c r="A127" s="9"/>
      <x:c r="B127" s="9"/>
      <x:c r="C127" s="9"/>
      <x:c r="D127" s="9"/>
      <x:c r="E127" s="9" t="n">
        <x:v>0</x:v>
      </x:c>
      <x:c r="F127" s="9" t="n">
        <x:v>0</x:v>
      </x:c>
      <x:c r="G127" s="9" t="n">
        <x:v>0</x:v>
      </x:c>
      <x:c r="H127" s="9" t="n">
        <x:v>0</x:v>
      </x:c>
      <x:c r="I127" s="9" t="n">
        <x:v>0</x:v>
      </x:c>
      <x:c r="J127" s="9" t="n">
        <x:v>0</x:v>
      </x:c>
      <x:c r="K127" s="9" t="n">
        <x:v>0</x:v>
      </x:c>
      <x:c r="L127" s="9" t="n">
        <x:v>0</x:v>
      </x:c>
      <x:c r="M127" s="9" t="n">
        <x:v>0</x:v>
      </x:c>
      <x:c r="N127" s="9" t="n">
        <x:v>0</x:v>
      </x:c>
      <x:c r="O127" s="9" t="n">
        <x:v>0</x:v>
      </x:c>
      <x:c r="P127" s="9" t="n">
        <x:v>0</x:v>
      </x:c>
      <x:c r="Q127" s="9" t="n">
        <x:v>0</x:v>
      </x:c>
      <x:c r="R127" s="9" t="n">
        <x:v>0</x:v>
      </x:c>
      <x:c r="S127" s="9" t="n">
        <x:v>0</x:v>
      </x:c>
      <x:c r="T127" s="9" t="n">
        <x:v>0</x:v>
      </x:c>
      <x:c r="U127" s="9" t="n">
        <x:v>0</x:v>
      </x:c>
      <x:c r="V127" s="9" t="n">
        <x:v>0</x:v>
      </x:c>
      <x:c r="W127" s="9" t="n">
        <x:v>0</x:v>
      </x:c>
      <x:c r="X127" s="9" t="n">
        <x:v>0</x:v>
      </x:c>
      <x:c r="Y127" s="9" t="n">
        <x:v>0</x:v>
      </x:c>
      <x:c r="Z127" s="9" t="n">
        <x:v>0</x:v>
      </x:c>
      <x:c r="AA127" s="9" t="n">
        <x:v>0</x:v>
      </x:c>
      <x:c r="AB127" s="9" t="n">
        <x:v>0</x:v>
      </x:c>
      <x:c r="AC127" s="9" t="n">
        <x:v>0</x:v>
      </x:c>
      <x:c r="AD127" s="9" t="n">
        <x:v>0</x:v>
      </x:c>
      <x:c r="AE127" s="9" t="n">
        <x:v>0</x:v>
      </x:c>
      <x:c r="AF127" s="9" t="n">
        <x:v>0</x:v>
      </x:c>
      <x:c r="AG127" s="9" t="n">
        <x:v>0</x:v>
      </x:c>
      <x:c r="AH127" s="9" t="n">
        <x:v>0</x:v>
      </x:c>
      <x:c r="AI127" s="9" t="n">
        <x:v>0</x:v>
      </x:c>
      <x:c r="AJ127" s="9" t="n">
        <x:v>0</x:v>
      </x:c>
      <x:c r="AK127" s="9" t="n">
        <x:v>0</x:v>
      </x:c>
      <x:c r="AL127" s="9" t="n">
        <x:v>1</x:v>
      </x:c>
      <x:c r="AM127" s="9" t="n">
        <x:v>0</x:v>
      </x:c>
    </x:row>
    <x:row r="128" ht="22" customHeight="1">
      <x:c r="A128" s="9"/>
      <x:c r="B128" s="9"/>
      <x:c r="C128" s="9"/>
      <x:c r="D128" s="9"/>
      <x:c r="E128" s="9" t="n">
        <x:v>0</x:v>
      </x:c>
      <x:c r="F128" s="9" t="n">
        <x:v>0</x:v>
      </x:c>
      <x:c r="G128" s="9" t="n">
        <x:v>0</x:v>
      </x:c>
      <x:c r="H128" s="9" t="n">
        <x:v>0</x:v>
      </x:c>
      <x:c r="I128" s="9" t="n">
        <x:v>0</x:v>
      </x:c>
      <x:c r="J128" s="9" t="n">
        <x:v>0</x:v>
      </x:c>
      <x:c r="K128" s="9" t="n">
        <x:v>0</x:v>
      </x:c>
      <x:c r="L128" s="9" t="n">
        <x:v>0</x:v>
      </x:c>
      <x:c r="M128" s="9" t="n">
        <x:v>0</x:v>
      </x:c>
      <x:c r="N128" s="9" t="n">
        <x:v>0</x:v>
      </x:c>
      <x:c r="O128" s="9" t="n">
        <x:v>0</x:v>
      </x:c>
      <x:c r="P128" s="9" t="n">
        <x:v>0</x:v>
      </x:c>
      <x:c r="Q128" s="9" t="n">
        <x:v>0</x:v>
      </x:c>
      <x:c r="R128" s="9" t="n">
        <x:v>0</x:v>
      </x:c>
      <x:c r="S128" s="9" t="n">
        <x:v>0</x:v>
      </x:c>
      <x:c r="T128" s="9" t="n">
        <x:v>0</x:v>
      </x:c>
      <x:c r="U128" s="9" t="n">
        <x:v>0</x:v>
      </x:c>
      <x:c r="V128" s="9" t="n">
        <x:v>0</x:v>
      </x:c>
      <x:c r="W128" s="9" t="n">
        <x:v>0</x:v>
      </x:c>
      <x:c r="X128" s="9" t="n">
        <x:v>0</x:v>
      </x:c>
      <x:c r="Y128" s="9" t="n">
        <x:v>0</x:v>
      </x:c>
      <x:c r="Z128" s="9" t="n">
        <x:v>0</x:v>
      </x:c>
      <x:c r="AA128" s="9" t="n">
        <x:v>0</x:v>
      </x:c>
      <x:c r="AB128" s="9" t="n">
        <x:v>0</x:v>
      </x:c>
      <x:c r="AC128" s="9" t="n">
        <x:v>0</x:v>
      </x:c>
      <x:c r="AD128" s="9" t="n">
        <x:v>0</x:v>
      </x:c>
      <x:c r="AE128" s="9" t="n">
        <x:v>0</x:v>
      </x:c>
      <x:c r="AF128" s="9" t="n">
        <x:v>0</x:v>
      </x:c>
      <x:c r="AG128" s="9" t="n">
        <x:v>0</x:v>
      </x:c>
      <x:c r="AH128" s="9" t="n">
        <x:v>0</x:v>
      </x:c>
      <x:c r="AI128" s="9" t="n">
        <x:v>0</x:v>
      </x:c>
      <x:c r="AJ128" s="9" t="n">
        <x:v>0</x:v>
      </x:c>
      <x:c r="AK128" s="9" t="n">
        <x:v>0</x:v>
      </x:c>
      <x:c r="AL128" s="9" t="n">
        <x:v>0</x:v>
      </x:c>
      <x:c r="AM128" s="9" t="n">
        <x:v>1</x:v>
      </x:c>
    </x:row>
    <x:row r="129" ht="22" customHeight="1">
      <x:c r="A129" s="9"/>
      <x:c r="B129" s="9"/>
      <x:c r="C129" s="9"/>
      <x:c r="D129" s="9"/>
      <x:c r="E129" s="9"/>
      <x:c r="F129" s="9"/>
      <x:c r="G129" s="9"/>
      <x:c r="H129" s="9"/>
      <x:c r="I129" s="9"/>
      <x:c r="J129" s="9"/>
      <x:c r="K129" s="9"/>
      <x:c r="L129" s="9"/>
      <x:c r="M129" s="9"/>
      <x:c r="N129" s="9"/>
      <x:c r="O129" s="9"/>
      <x:c r="P129" s="9"/>
      <x:c r="Q129" s="9"/>
      <x:c r="R129" s="9"/>
      <x:c r="S129" s="9"/>
      <x:c r="T129" s="9"/>
      <x:c r="U129" s="9"/>
      <x:c r="V129" s="9"/>
      <x:c r="W129" s="9"/>
      <x:c r="X129" s="9"/>
      <x:c r="Y129" s="9"/>
      <x:c r="Z129" s="9"/>
      <x:c r="AA129" s="9"/>
      <x:c r="AB129" s="9"/>
      <x:c r="AC129" s="9"/>
      <x:c r="AD129" s="9"/>
      <x:c r="AE129" s="9"/>
      <x:c r="AF129" s="9"/>
      <x:c r="AG129" s="9"/>
      <x:c r="AH129" s="9"/>
      <x:c r="AI129" s="9"/>
      <x:c r="AJ129" s="9"/>
      <x:c r="AK129" s="9"/>
      <x:c r="AL129" s="9"/>
      <x:c r="AM129" s="9"/>
    </x:row>
    <x:row r="130" ht="22" customHeight="1">
      <x:c r="A130" s="9"/>
      <x:c r="B130" s="9"/>
      <x:c r="C130" s="9"/>
      <x:c r="D130" s="9"/>
      <x:c r="E130" s="9"/>
      <x:c r="F130" s="9"/>
      <x:c r="G130" s="9"/>
      <x:c r="H130" s="9"/>
      <x:c r="I130" s="9"/>
      <x:c r="J130" s="9"/>
      <x:c r="K130" s="9"/>
      <x:c r="L130" s="9"/>
      <x:c r="M130" s="9"/>
      <x:c r="N130" s="9"/>
      <x:c r="O130" s="9"/>
      <x:c r="P130" s="9"/>
      <x:c r="Q130" s="9"/>
      <x:c r="R130" s="9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  <x:c r="AI130" s="9"/>
      <x:c r="AJ130" s="9"/>
      <x:c r="AK130" s="9"/>
      <x:c r="AL130" s="9"/>
      <x:c r="AM130" s="9"/>
    </x:row>
    <x:row r="131" ht="22" customHeight="1">
      <x:c r="A131" s="9"/>
      <x:c r="B131" s="9"/>
      <x:c r="C131" s="9"/>
      <x:c r="D131" s="9"/>
      <x:c r="E131" s="9"/>
      <x:c r="F131" s="9"/>
      <x:c r="G131" s="9"/>
      <x:c r="H131" s="9"/>
      <x:c r="I131" s="9"/>
      <x:c r="J131" s="9"/>
      <x:c r="K131" s="9"/>
      <x:c r="L131" s="9"/>
      <x:c r="M131" s="9"/>
      <x:c r="N131" s="9"/>
      <x:c r="O131" s="9"/>
      <x:c r="P131" s="9"/>
      <x:c r="Q131" s="9"/>
      <x:c r="R131" s="9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  <x:c r="AI131" s="9"/>
      <x:c r="AJ131" s="9"/>
      <x:c r="AK131" s="9"/>
      <x:c r="AL131" s="9"/>
      <x:c r="AM131" s="9"/>
    </x:row>
    <x:row r="132" ht="22" customHeight="1">
      <x:c r="A132" s="9"/>
      <x:c r="B132" s="9"/>
      <x:c r="C132" s="9"/>
      <x:c r="D132" s="9"/>
      <x:c r="E132" s="9"/>
      <x:c r="F132" s="9"/>
      <x:c r="G132" s="9"/>
      <x:c r="H132" s="9"/>
      <x:c r="I132" s="9"/>
      <x:c r="J132" s="9"/>
      <x:c r="K132" s="9"/>
      <x:c r="L132" s="9"/>
      <x:c r="M132" s="9"/>
      <x:c r="N132" s="9"/>
      <x:c r="O132" s="9"/>
      <x:c r="P132" s="9"/>
      <x:c r="Q132" s="9"/>
      <x:c r="R132" s="9"/>
      <x:c r="S132" s="9"/>
      <x:c r="T132" s="9"/>
      <x:c r="U132" s="9"/>
      <x:c r="V132" s="9"/>
      <x:c r="W132" s="9"/>
      <x:c r="X132" s="9"/>
      <x:c r="Y132" s="9"/>
      <x:c r="Z132" s="9"/>
      <x:c r="AA132" s="9"/>
      <x:c r="AB132" s="9"/>
      <x:c r="AC132" s="9"/>
      <x:c r="AD132" s="9"/>
      <x:c r="AE132" s="9"/>
      <x:c r="AF132" s="9"/>
      <x:c r="AG132" s="9"/>
      <x:c r="AH132" s="9"/>
      <x:c r="AI132" s="9"/>
      <x:c r="AJ132" s="9"/>
      <x:c r="AK132" s="9"/>
      <x:c r="AL132" s="9"/>
      <x:c r="AM132" s="9"/>
    </x:row>
    <x:row r="133" ht="22" customHeight="1">
      <x:c r="A133" s="9"/>
      <x:c r="B133" s="9"/>
      <x:c r="C133" s="9"/>
      <x:c r="D133" s="9"/>
      <x:c r="E133" s="9"/>
      <x:c r="F133" s="9"/>
      <x:c r="G133" s="9"/>
      <x:c r="H133" s="9"/>
      <x:c r="I133" s="9"/>
      <x:c r="J133" s="9"/>
      <x:c r="K133" s="9"/>
      <x:c r="L133" s="9"/>
      <x:c r="M133" s="9"/>
      <x:c r="N133" s="9"/>
      <x:c r="O133" s="9"/>
      <x:c r="P133" s="9"/>
      <x:c r="Q133" s="9"/>
      <x:c r="R133" s="9"/>
      <x:c r="S133" s="9"/>
      <x:c r="T133" s="9"/>
      <x:c r="U133" s="9"/>
      <x:c r="V133" s="9"/>
      <x:c r="W133" s="9"/>
      <x:c r="X133" s="9"/>
      <x:c r="Y133" s="9"/>
      <x:c r="Z133" s="9"/>
      <x:c r="AA133" s="9"/>
      <x:c r="AB133" s="9"/>
      <x:c r="AC133" s="9"/>
      <x:c r="AD133" s="9"/>
      <x:c r="AE133" s="9"/>
      <x:c r="AF133" s="9"/>
      <x:c r="AG133" s="9"/>
      <x:c r="AH133" s="9"/>
      <x:c r="AI133" s="9"/>
      <x:c r="AJ133" s="9"/>
      <x:c r="AK133" s="9"/>
      <x:c r="AL133" s="9"/>
      <x:c r="AM133" s="9"/>
    </x:row>
    <x:row r="134" ht="22" customHeight="1">
      <x:c r="A134" s="9"/>
      <x:c r="B134" s="9"/>
      <x:c r="C134" s="9"/>
      <x:c r="D134" s="9"/>
      <x:c r="E134" s="9"/>
      <x:c r="F134" s="9"/>
      <x:c r="G134" s="9"/>
      <x:c r="H134" s="9"/>
      <x:c r="I134" s="9"/>
      <x:c r="J134" s="9"/>
      <x:c r="K134" s="9"/>
      <x:c r="L134" s="9"/>
      <x:c r="M134" s="9"/>
      <x:c r="N134" s="9"/>
      <x:c r="O134" s="9"/>
      <x:c r="P134" s="9"/>
      <x:c r="Q134" s="9"/>
      <x:c r="R134" s="9"/>
      <x:c r="S134" s="9"/>
      <x:c r="T134" s="9"/>
      <x:c r="U134" s="9"/>
      <x:c r="V134" s="9"/>
      <x:c r="W134" s="9"/>
      <x:c r="X134" s="9"/>
      <x:c r="Y134" s="9"/>
      <x:c r="Z134" s="9"/>
      <x:c r="AA134" s="9"/>
      <x:c r="AB134" s="9"/>
      <x:c r="AC134" s="9"/>
      <x:c r="AD134" s="9"/>
      <x:c r="AE134" s="9"/>
      <x:c r="AF134" s="9"/>
      <x:c r="AG134" s="9"/>
      <x:c r="AH134" s="9"/>
      <x:c r="AI134" s="9"/>
      <x:c r="AJ134" s="9"/>
      <x:c r="AK134" s="9"/>
      <x:c r="AL134" s="9"/>
      <x:c r="AM134" s="9"/>
    </x:row>
    <x:row r="135" ht="22" customHeight="1">
      <x:c r="A135" s="9" t="str">
        <x:v>排程所用全链数量</x:v>
      </x:c>
      <x:c r="B135" s="9"/>
      <x:c r="C135" s="9"/>
      <x:c r="D135" s="9"/>
      <x:c r="E135" s="9"/>
      <x:c r="F135" s="9"/>
      <x:c r="G135" s="9"/>
      <x:c r="H135" s="9"/>
      <x:c r="I135" s="9"/>
      <x:c r="J135" s="9"/>
      <x:c r="K135" s="9"/>
      <x:c r="L135" s="9"/>
      <x:c r="M135" s="9"/>
      <x:c r="N135" s="9"/>
      <x:c r="O135" s="9"/>
      <x:c r="P135" s="9"/>
      <x:c r="Q135" s="9"/>
      <x:c r="R135" s="9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/>
      <x:c r="AF135" s="9"/>
      <x:c r="AG135" s="9"/>
      <x:c r="AH135" s="9"/>
      <x:c r="AI135" s="9"/>
      <x:c r="AJ135" s="9"/>
      <x:c r="AK135" s="9"/>
      <x:c r="AL135" s="9"/>
      <x:c r="AM135" s="9"/>
    </x:row>
    <x:row r="136" ht="22" customHeight="1">
      <x:c r="A136" s="9"/>
      <x:c r="B136" s="9"/>
      <x:c r="C136" s="9"/>
      <x:c r="D136" s="9"/>
      <x:c r="E136" s="9" t="n">
        <x:v>1</x:v>
      </x:c>
      <x:c r="F136" s="9" t="n">
        <x:v>0</x:v>
      </x:c>
      <x:c r="G136" s="9" t="n">
        <x:v>0</x:v>
      </x:c>
      <x:c r="H136" s="9" t="n">
        <x:v>0</x:v>
      </x:c>
      <x:c r="I136" s="9" t="n">
        <x:v>0</x:v>
      </x:c>
      <x:c r="J136" s="9" t="n">
        <x:v>0</x:v>
      </x:c>
      <x:c r="K136" s="9" t="n">
        <x:v>0</x:v>
      </x:c>
      <x:c r="L136" s="9" t="n">
        <x:v>0</x:v>
      </x:c>
      <x:c r="M136" s="9" t="n">
        <x:v>0</x:v>
      </x:c>
      <x:c r="N136" s="9" t="n">
        <x:v>2</x:v>
      </x:c>
      <x:c r="O136" s="9" t="n">
        <x:v>1</x:v>
      </x:c>
      <x:c r="P136" s="9" t="n">
        <x:v>0</x:v>
      </x:c>
      <x:c r="Q136" s="9" t="n">
        <x:v>0</x:v>
      </x:c>
      <x:c r="R136" s="9" t="n">
        <x:v>2</x:v>
      </x:c>
      <x:c r="S136" s="9" t="n">
        <x:v>0</x:v>
      </x:c>
      <x:c r="T136" s="9" t="n">
        <x:v>0</x:v>
      </x:c>
      <x:c r="U136" s="9" t="n">
        <x:v>0</x:v>
      </x:c>
      <x:c r="V136" s="9" t="n">
        <x:v>0</x:v>
      </x:c>
      <x:c r="W136" s="9" t="n">
        <x:v>0</x:v>
      </x:c>
      <x:c r="X136" s="9" t="n">
        <x:v>2</x:v>
      </x:c>
      <x:c r="Y136" s="9" t="n">
        <x:v>3</x:v>
      </x:c>
      <x:c r="Z136" s="9" t="n">
        <x:v>0</x:v>
      </x:c>
      <x:c r="AA136" s="9" t="n">
        <x:v>1</x:v>
      </x:c>
      <x:c r="AB136" s="9" t="n">
        <x:v>2</x:v>
      </x:c>
      <x:c r="AC136" s="9" t="n">
        <x:v>3</x:v>
      </x:c>
      <x:c r="AD136" s="9" t="n">
        <x:v>0</x:v>
      </x:c>
      <x:c r="AE136" s="9" t="n">
        <x:v>0</x:v>
      </x:c>
      <x:c r="AF136" s="9" t="n">
        <x:v>0</x:v>
      </x:c>
      <x:c r="AG136" s="9" t="n">
        <x:v>0</x:v>
      </x:c>
      <x:c r="AH136" s="9" t="n">
        <x:v>0</x:v>
      </x:c>
      <x:c r="AI136" s="9" t="n">
        <x:v>0</x:v>
      </x:c>
      <x:c r="AJ136" s="9" t="n">
        <x:v>0</x:v>
      </x:c>
      <x:c r="AK136" s="9" t="n">
        <x:v>0</x:v>
      </x:c>
      <x:c r="AL136" s="9" t="n">
        <x:v>2</x:v>
      </x:c>
      <x:c r="AM136" s="9" t="n">
        <x:v>1</x:v>
      </x:c>
    </x:row>
    <x:row r="137" ht="22" customHeight="1">
      <x:c r="A137" s="9"/>
      <x:c r="B137" s="9"/>
      <x:c r="C137" s="9"/>
      <x:c r="D137" s="9"/>
      <x:c r="E137" s="9" t="n">
        <x:v>0</x:v>
      </x:c>
      <x:c r="F137" s="9" t="n">
        <x:v>1</x:v>
      </x:c>
      <x:c r="G137" s="9" t="n">
        <x:v>0</x:v>
      </x:c>
      <x:c r="H137" s="9" t="n">
        <x:v>0</x:v>
      </x:c>
      <x:c r="I137" s="9" t="n">
        <x:v>0</x:v>
      </x:c>
      <x:c r="J137" s="9" t="n">
        <x:v>0</x:v>
      </x:c>
      <x:c r="K137" s="9" t="n">
        <x:v>0</x:v>
      </x:c>
      <x:c r="L137" s="9" t="n">
        <x:v>0</x:v>
      </x:c>
      <x:c r="M137" s="9" t="n">
        <x:v>0</x:v>
      </x:c>
      <x:c r="N137" s="9" t="n">
        <x:v>0</x:v>
      </x:c>
      <x:c r="O137" s="9" t="n">
        <x:v>1</x:v>
      </x:c>
      <x:c r="P137" s="9" t="n">
        <x:v>0</x:v>
      </x:c>
      <x:c r="Q137" s="9" t="n">
        <x:v>2</x:v>
      </x:c>
      <x:c r="R137" s="9" t="n">
        <x:v>0</x:v>
      </x:c>
      <x:c r="S137" s="9" t="n">
        <x:v>0</x:v>
      </x:c>
      <x:c r="T137" s="9" t="n">
        <x:v>0</x:v>
      </x:c>
      <x:c r="U137" s="9" t="n">
        <x:v>0</x:v>
      </x:c>
      <x:c r="V137" s="9" t="n">
        <x:v>0</x:v>
      </x:c>
      <x:c r="W137" s="9" t="n">
        <x:v>0</x:v>
      </x:c>
      <x:c r="X137" s="9" t="n">
        <x:v>0</x:v>
      </x:c>
      <x:c r="Y137" s="9" t="n">
        <x:v>1</x:v>
      </x:c>
      <x:c r="Z137" s="9" t="n">
        <x:v>2</x:v>
      </x:c>
      <x:c r="AA137" s="9" t="n">
        <x:v>1</x:v>
      </x:c>
      <x:c r="AB137" s="9" t="n">
        <x:v>2</x:v>
      </x:c>
      <x:c r="AC137" s="9" t="n">
        <x:v>0</x:v>
      </x:c>
      <x:c r="AD137" s="9" t="n">
        <x:v>0</x:v>
      </x:c>
      <x:c r="AE137" s="9" t="n">
        <x:v>0</x:v>
      </x:c>
      <x:c r="AF137" s="9" t="n">
        <x:v>0</x:v>
      </x:c>
      <x:c r="AG137" s="9" t="n">
        <x:v>0</x:v>
      </x:c>
      <x:c r="AH137" s="9" t="n">
        <x:v>0</x:v>
      </x:c>
      <x:c r="AI137" s="9" t="n">
        <x:v>0</x:v>
      </x:c>
      <x:c r="AJ137" s="9" t="n">
        <x:v>0</x:v>
      </x:c>
      <x:c r="AK137" s="9" t="n">
        <x:v>2</x:v>
      </x:c>
      <x:c r="AL137" s="9" t="n">
        <x:v>0</x:v>
      </x:c>
      <x:c r="AM137" s="9" t="n">
        <x:v>1</x:v>
      </x:c>
    </x:row>
    <x:row r="138" ht="22" customHeight="1">
      <x:c r="A138" s="9"/>
      <x:c r="B138" s="9"/>
      <x:c r="C138" s="9"/>
      <x:c r="D138" s="9"/>
      <x:c r="E138" s="9" t="n">
        <x:v>0</x:v>
      </x:c>
      <x:c r="F138" s="9" t="n">
        <x:v>0</x:v>
      </x:c>
      <x:c r="G138" s="9" t="n">
        <x:v>1</x:v>
      </x:c>
      <x:c r="H138" s="9" t="n">
        <x:v>0</x:v>
      </x:c>
      <x:c r="I138" s="9" t="n">
        <x:v>0</x:v>
      </x:c>
      <x:c r="J138" s="9" t="n">
        <x:v>0</x:v>
      </x:c>
      <x:c r="K138" s="9" t="n">
        <x:v>0</x:v>
      </x:c>
      <x:c r="L138" s="9" t="n">
        <x:v>0</x:v>
      </x:c>
      <x:c r="M138" s="9" t="n">
        <x:v>0</x:v>
      </x:c>
      <x:c r="N138" s="9" t="n">
        <x:v>0</x:v>
      </x:c>
      <x:c r="O138" s="9" t="n">
        <x:v>0</x:v>
      </x:c>
      <x:c r="P138" s="9" t="n">
        <x:v>0</x:v>
      </x:c>
      <x:c r="Q138" s="9" t="n">
        <x:v>0</x:v>
      </x:c>
      <x:c r="R138" s="9" t="n">
        <x:v>0</x:v>
      </x:c>
      <x:c r="S138" s="9" t="n">
        <x:v>2</x:v>
      </x:c>
      <x:c r="T138" s="9" t="n">
        <x:v>3</x:v>
      </x:c>
      <x:c r="U138" s="9" t="n">
        <x:v>4</x:v>
      </x:c>
      <x:c r="V138" s="9" t="n">
        <x:v>2</x:v>
      </x:c>
      <x:c r="W138" s="9" t="n">
        <x:v>1</x:v>
      </x:c>
      <x:c r="X138" s="9" t="n">
        <x:v>2</x:v>
      </x:c>
      <x:c r="Y138" s="9" t="n">
        <x:v>0</x:v>
      </x:c>
      <x:c r="Z138" s="9" t="n">
        <x:v>3</x:v>
      </x:c>
      <x:c r="AA138" s="9" t="n">
        <x:v>4</x:v>
      </x:c>
      <x:c r="AB138" s="9" t="n">
        <x:v>3</x:v>
      </x:c>
      <x:c r="AC138" s="9" t="n">
        <x:v>0</x:v>
      </x:c>
      <x:c r="AD138" s="9" t="n">
        <x:v>0</x:v>
      </x:c>
      <x:c r="AE138" s="9" t="n">
        <x:v>0</x:v>
      </x:c>
      <x:c r="AF138" s="9" t="n">
        <x:v>0</x:v>
      </x:c>
      <x:c r="AG138" s="9" t="n">
        <x:v>0</x:v>
      </x:c>
      <x:c r="AH138" s="9" t="n">
        <x:v>2</x:v>
      </x:c>
      <x:c r="AI138" s="9" t="n">
        <x:v>0</x:v>
      </x:c>
      <x:c r="AJ138" s="9" t="n">
        <x:v>2</x:v>
      </x:c>
      <x:c r="AK138" s="9" t="n">
        <x:v>0</x:v>
      </x:c>
      <x:c r="AL138" s="9" t="n">
        <x:v>2</x:v>
      </x:c>
      <x:c r="AM138" s="9" t="n">
        <x:v>6</x:v>
      </x:c>
    </x:row>
    <x:row r="139" ht="22" customHeight="1">
      <x:c r="A139" s="9"/>
      <x:c r="B139" s="9"/>
      <x:c r="C139" s="9"/>
      <x:c r="D139" s="9"/>
      <x:c r="E139" s="9" t="n">
        <x:v>0</x:v>
      </x:c>
      <x:c r="F139" s="9" t="n">
        <x:v>0</x:v>
      </x:c>
      <x:c r="G139" s="9" t="n">
        <x:v>0</x:v>
      </x:c>
      <x:c r="H139" s="9" t="n">
        <x:v>1</x:v>
      </x:c>
      <x:c r="I139" s="9" t="n">
        <x:v>0</x:v>
      </x:c>
      <x:c r="J139" s="9" t="n">
        <x:v>0</x:v>
      </x:c>
      <x:c r="K139" s="9" t="n">
        <x:v>0</x:v>
      </x:c>
      <x:c r="L139" s="9" t="n">
        <x:v>0</x:v>
      </x:c>
      <x:c r="M139" s="9" t="n">
        <x:v>0</x:v>
      </x:c>
      <x:c r="N139" s="9" t="n">
        <x:v>0</x:v>
      </x:c>
      <x:c r="O139" s="9" t="n">
        <x:v>0</x:v>
      </x:c>
      <x:c r="P139" s="9" t="n">
        <x:v>2</x:v>
      </x:c>
      <x:c r="Q139" s="9" t="n">
        <x:v>2</x:v>
      </x:c>
      <x:c r="R139" s="9" t="n">
        <x:v>0</x:v>
      </x:c>
      <x:c r="S139" s="9" t="n">
        <x:v>0</x:v>
      </x:c>
      <x:c r="T139" s="9" t="n">
        <x:v>0</x:v>
      </x:c>
      <x:c r="U139" s="9" t="n">
        <x:v>0</x:v>
      </x:c>
      <x:c r="V139" s="9" t="n">
        <x:v>0</x:v>
      </x:c>
      <x:c r="W139" s="9" t="n">
        <x:v>0</x:v>
      </x:c>
      <x:c r="X139" s="9" t="n">
        <x:v>0</x:v>
      </x:c>
      <x:c r="Y139" s="9" t="n">
        <x:v>0</x:v>
      </x:c>
      <x:c r="Z139" s="9" t="n">
        <x:v>0</x:v>
      </x:c>
      <x:c r="AA139" s="9" t="n">
        <x:v>0</x:v>
      </x:c>
      <x:c r="AB139" s="9" t="n">
        <x:v>0</x:v>
      </x:c>
      <x:c r="AC139" s="9" t="n">
        <x:v>0</x:v>
      </x:c>
      <x:c r="AD139" s="9" t="n">
        <x:v>0</x:v>
      </x:c>
      <x:c r="AE139" s="9" t="n">
        <x:v>0</x:v>
      </x:c>
      <x:c r="AF139" s="9" t="n">
        <x:v>0</x:v>
      </x:c>
      <x:c r="AG139" s="9" t="n">
        <x:v>0</x:v>
      </x:c>
      <x:c r="AH139" s="9" t="n">
        <x:v>2</x:v>
      </x:c>
      <x:c r="AI139" s="9" t="n">
        <x:v>2</x:v>
      </x:c>
      <x:c r="AJ139" s="9" t="n">
        <x:v>0</x:v>
      </x:c>
      <x:c r="AK139" s="9" t="n">
        <x:v>4</x:v>
      </x:c>
      <x:c r="AL139" s="9" t="n">
        <x:v>2</x:v>
      </x:c>
      <x:c r="AM139" s="9" t="n">
        <x:v>0</x:v>
      </x:c>
    </x:row>
    <x:row r="140" ht="22" customHeight="1">
      <x:c r="A140" s="9"/>
      <x:c r="B140" s="9"/>
      <x:c r="C140" s="9"/>
      <x:c r="D140" s="9"/>
      <x:c r="E140" s="9" t="n">
        <x:v>0</x:v>
      </x:c>
      <x:c r="F140" s="9" t="n">
        <x:v>0</x:v>
      </x:c>
      <x:c r="G140" s="9" t="n">
        <x:v>0</x:v>
      </x:c>
      <x:c r="H140" s="9" t="n">
        <x:v>0</x:v>
      </x:c>
      <x:c r="I140" s="9" t="n">
        <x:v>1</x:v>
      </x:c>
      <x:c r="J140" s="9" t="n">
        <x:v>0</x:v>
      </x:c>
      <x:c r="K140" s="9" t="n">
        <x:v>0</x:v>
      </x:c>
      <x:c r="L140" s="9" t="n">
        <x:v>0</x:v>
      </x:c>
      <x:c r="M140" s="9" t="n">
        <x:v>0</x:v>
      </x:c>
      <x:c r="N140" s="9" t="n">
        <x:v>0</x:v>
      </x:c>
      <x:c r="O140" s="9" t="n">
        <x:v>0</x:v>
      </x:c>
      <x:c r="P140" s="9" t="n">
        <x:v>0</x:v>
      </x:c>
      <x:c r="Q140" s="9" t="n">
        <x:v>0</x:v>
      </x:c>
      <x:c r="R140" s="9" t="n">
        <x:v>0</x:v>
      </x:c>
      <x:c r="S140" s="9" t="n">
        <x:v>0</x:v>
      </x:c>
      <x:c r="T140" s="9" t="n">
        <x:v>0</x:v>
      </x:c>
      <x:c r="U140" s="9" t="n">
        <x:v>0</x:v>
      </x:c>
      <x:c r="V140" s="9" t="n">
        <x:v>0</x:v>
      </x:c>
      <x:c r="W140" s="9" t="n">
        <x:v>0</x:v>
      </x:c>
      <x:c r="X140" s="9" t="n">
        <x:v>0</x:v>
      </x:c>
      <x:c r="Y140" s="9" t="n">
        <x:v>0</x:v>
      </x:c>
      <x:c r="Z140" s="9" t="n">
        <x:v>0</x:v>
      </x:c>
      <x:c r="AA140" s="9" t="n">
        <x:v>0</x:v>
      </x:c>
      <x:c r="AB140" s="9" t="n">
        <x:v>0</x:v>
      </x:c>
      <x:c r="AC140" s="9" t="n">
        <x:v>0</x:v>
      </x:c>
      <x:c r="AD140" s="9" t="n">
        <x:v>2</x:v>
      </x:c>
      <x:c r="AE140" s="9" t="n">
        <x:v>0</x:v>
      </x:c>
      <x:c r="AF140" s="9" t="n">
        <x:v>0</x:v>
      </x:c>
      <x:c r="AG140" s="9" t="n">
        <x:v>0</x:v>
      </x:c>
      <x:c r="AH140" s="9" t="n">
        <x:v>0</x:v>
      </x:c>
      <x:c r="AI140" s="9" t="n">
        <x:v>2</x:v>
      </x:c>
      <x:c r="AJ140" s="9" t="n">
        <x:v>2</x:v>
      </x:c>
      <x:c r="AK140" s="9" t="n">
        <x:v>0</x:v>
      </x:c>
      <x:c r="AL140" s="9" t="n">
        <x:v>2</x:v>
      </x:c>
      <x:c r="AM140" s="9" t="n">
        <x:v>0</x:v>
      </x:c>
    </x:row>
    <x:row r="141" ht="22" customHeight="1">
      <x:c r="A141" s="9"/>
      <x:c r="B141" s="9"/>
      <x:c r="C141" s="9"/>
      <x:c r="D141" s="9"/>
      <x:c r="E141" s="9" t="n">
        <x:v>0</x:v>
      </x:c>
      <x:c r="F141" s="9" t="n">
        <x:v>0</x:v>
      </x:c>
      <x:c r="G141" s="9" t="n">
        <x:v>0</x:v>
      </x:c>
      <x:c r="H141" s="9" t="n">
        <x:v>0</x:v>
      </x:c>
      <x:c r="I141" s="9" t="n">
        <x:v>0</x:v>
      </x:c>
      <x:c r="J141" s="9" t="n">
        <x:v>1</x:v>
      </x:c>
      <x:c r="K141" s="9" t="n">
        <x:v>0</x:v>
      </x:c>
      <x:c r="L141" s="9" t="n">
        <x:v>0</x:v>
      </x:c>
      <x:c r="M141" s="9" t="n">
        <x:v>0</x:v>
      </x:c>
      <x:c r="N141" s="9" t="n">
        <x:v>0</x:v>
      </x:c>
      <x:c r="O141" s="9" t="n">
        <x:v>0</x:v>
      </x:c>
      <x:c r="P141" s="9" t="n">
        <x:v>0</x:v>
      </x:c>
      <x:c r="Q141" s="9" t="n">
        <x:v>0</x:v>
      </x:c>
      <x:c r="R141" s="9" t="n">
        <x:v>0</x:v>
      </x:c>
      <x:c r="S141" s="9" t="n">
        <x:v>0</x:v>
      </x:c>
      <x:c r="T141" s="9" t="n">
        <x:v>0</x:v>
      </x:c>
      <x:c r="U141" s="9" t="n">
        <x:v>0</x:v>
      </x:c>
      <x:c r="V141" s="9" t="n">
        <x:v>2</x:v>
      </x:c>
      <x:c r="W141" s="9" t="n">
        <x:v>0</x:v>
      </x:c>
      <x:c r="X141" s="9" t="n">
        <x:v>0</x:v>
      </x:c>
      <x:c r="Y141" s="9" t="n">
        <x:v>0</x:v>
      </x:c>
      <x:c r="Z141" s="9" t="n">
        <x:v>0</x:v>
      </x:c>
      <x:c r="AA141" s="9" t="n">
        <x:v>0</x:v>
      </x:c>
      <x:c r="AB141" s="9" t="n">
        <x:v>0</x:v>
      </x:c>
      <x:c r="AC141" s="9" t="n">
        <x:v>0</x:v>
      </x:c>
      <x:c r="AD141" s="9" t="n">
        <x:v>0</x:v>
      </x:c>
      <x:c r="AE141" s="9" t="n">
        <x:v>3</x:v>
      </x:c>
      <x:c r="AF141" s="9" t="n">
        <x:v>0</x:v>
      </x:c>
      <x:c r="AG141" s="9" t="n">
        <x:v>0</x:v>
      </x:c>
      <x:c r="AH141" s="9" t="n">
        <x:v>0</x:v>
      </x:c>
      <x:c r="AI141" s="9" t="n">
        <x:v>0</x:v>
      </x:c>
      <x:c r="AJ141" s="9" t="n">
        <x:v>3</x:v>
      </x:c>
      <x:c r="AK141" s="9" t="n">
        <x:v>0</x:v>
      </x:c>
      <x:c r="AL141" s="9" t="n">
        <x:v>0</x:v>
      </x:c>
      <x:c r="AM141" s="9" t="n">
        <x:v>2</x:v>
      </x:c>
    </x:row>
    <x:row r="142" ht="22" customHeight="1">
      <x:c r="A142" s="9"/>
      <x:c r="B142" s="9"/>
      <x:c r="C142" s="9"/>
      <x:c r="D142" s="9"/>
      <x:c r="E142" s="9" t="n">
        <x:v>0</x:v>
      </x:c>
      <x:c r="F142" s="9" t="n">
        <x:v>0</x:v>
      </x:c>
      <x:c r="G142" s="9" t="n">
        <x:v>0</x:v>
      </x:c>
      <x:c r="H142" s="9" t="n">
        <x:v>0</x:v>
      </x:c>
      <x:c r="I142" s="9" t="n">
        <x:v>0</x:v>
      </x:c>
      <x:c r="J142" s="9" t="n">
        <x:v>0</x:v>
      </x:c>
      <x:c r="K142" s="9" t="n">
        <x:v>1</x:v>
      </x:c>
      <x:c r="L142" s="9" t="n">
        <x:v>0</x:v>
      </x:c>
      <x:c r="M142" s="9" t="n">
        <x:v>0</x:v>
      </x:c>
      <x:c r="N142" s="9" t="n">
        <x:v>0</x:v>
      </x:c>
      <x:c r="O142" s="9" t="n">
        <x:v>0</x:v>
      </x:c>
      <x:c r="P142" s="9" t="n">
        <x:v>0</x:v>
      </x:c>
      <x:c r="Q142" s="9" t="n">
        <x:v>0</x:v>
      </x:c>
      <x:c r="R142" s="9" t="n">
        <x:v>2</x:v>
      </x:c>
      <x:c r="S142" s="9" t="n">
        <x:v>0</x:v>
      </x:c>
      <x:c r="T142" s="9" t="n">
        <x:v>0</x:v>
      </x:c>
      <x:c r="U142" s="9" t="n">
        <x:v>0</x:v>
      </x:c>
      <x:c r="V142" s="9" t="n">
        <x:v>0</x:v>
      </x:c>
      <x:c r="W142" s="9" t="n">
        <x:v>0</x:v>
      </x:c>
      <x:c r="X142" s="9" t="n">
        <x:v>0</x:v>
      </x:c>
      <x:c r="Y142" s="9" t="n">
        <x:v>0</x:v>
      </x:c>
      <x:c r="Z142" s="9" t="n">
        <x:v>0</x:v>
      </x:c>
      <x:c r="AA142" s="9" t="n">
        <x:v>0</x:v>
      </x:c>
      <x:c r="AB142" s="9" t="n">
        <x:v>0</x:v>
      </x:c>
      <x:c r="AC142" s="9" t="n">
        <x:v>0</x:v>
      </x:c>
      <x:c r="AD142" s="9" t="n">
        <x:v>0</x:v>
      </x:c>
      <x:c r="AE142" s="9" t="n">
        <x:v>0</x:v>
      </x:c>
      <x:c r="AF142" s="9" t="n">
        <x:v>3</x:v>
      </x:c>
      <x:c r="AG142" s="9" t="n">
        <x:v>0</x:v>
      </x:c>
      <x:c r="AH142" s="9" t="n">
        <x:v>0</x:v>
      </x:c>
      <x:c r="AI142" s="9" t="n">
        <x:v>0</x:v>
      </x:c>
      <x:c r="AJ142" s="9" t="n">
        <x:v>0</x:v>
      </x:c>
      <x:c r="AK142" s="9" t="n">
        <x:v>3</x:v>
      </x:c>
      <x:c r="AL142" s="9" t="n">
        <x:v>0</x:v>
      </x:c>
      <x:c r="AM142" s="9" t="n">
        <x:v>0</x:v>
      </x:c>
    </x:row>
    <x:row r="143" ht="22" customHeight="1">
      <x:c r="A143" s="9"/>
      <x:c r="B143" s="9"/>
      <x:c r="C143" s="9"/>
      <x:c r="D143" s="9"/>
      <x:c r="E143" s="9" t="n">
        <x:v>0</x:v>
      </x:c>
      <x:c r="F143" s="9" t="n">
        <x:v>0</x:v>
      </x:c>
      <x:c r="G143" s="9" t="n">
        <x:v>0</x:v>
      </x:c>
      <x:c r="H143" s="9" t="n">
        <x:v>0</x:v>
      </x:c>
      <x:c r="I143" s="9" t="n">
        <x:v>0</x:v>
      </x:c>
      <x:c r="J143" s="9" t="n">
        <x:v>0</x:v>
      </x:c>
      <x:c r="K143" s="9" t="n">
        <x:v>0</x:v>
      </x:c>
      <x:c r="L143" s="9" t="n">
        <x:v>1</x:v>
      </x:c>
      <x:c r="M143" s="9" t="n">
        <x:v>0</x:v>
      </x:c>
      <x:c r="N143" s="9" t="n">
        <x:v>0</x:v>
      </x:c>
      <x:c r="O143" s="9" t="n">
        <x:v>0</x:v>
      </x:c>
      <x:c r="P143" s="9" t="n">
        <x:v>0</x:v>
      </x:c>
      <x:c r="Q143" s="9" t="n">
        <x:v>0</x:v>
      </x:c>
      <x:c r="R143" s="9" t="n">
        <x:v>0</x:v>
      </x:c>
      <x:c r="S143" s="9" t="n">
        <x:v>0</x:v>
      </x:c>
      <x:c r="T143" s="9" t="n">
        <x:v>0</x:v>
      </x:c>
      <x:c r="U143" s="9" t="n">
        <x:v>0</x:v>
      </x:c>
      <x:c r="V143" s="9" t="n">
        <x:v>0</x:v>
      </x:c>
      <x:c r="W143" s="9" t="n">
        <x:v>0</x:v>
      </x:c>
      <x:c r="X143" s="9" t="n">
        <x:v>0</x:v>
      </x:c>
      <x:c r="Y143" s="9" t="n">
        <x:v>0</x:v>
      </x:c>
      <x:c r="Z143" s="9" t="n">
        <x:v>0</x:v>
      </x:c>
      <x:c r="AA143" s="9" t="n">
        <x:v>0</x:v>
      </x:c>
      <x:c r="AB143" s="9" t="n">
        <x:v>0</x:v>
      </x:c>
      <x:c r="AC143" s="9" t="n">
        <x:v>3</x:v>
      </x:c>
      <x:c r="AD143" s="9" t="n">
        <x:v>0</x:v>
      </x:c>
      <x:c r="AE143" s="9" t="n">
        <x:v>0</x:v>
      </x:c>
      <x:c r="AF143" s="9" t="n">
        <x:v>0</x:v>
      </x:c>
      <x:c r="AG143" s="9" t="n">
        <x:v>3</x:v>
      </x:c>
      <x:c r="AH143" s="9" t="n">
        <x:v>0</x:v>
      </x:c>
      <x:c r="AI143" s="9" t="n">
        <x:v>0</x:v>
      </x:c>
      <x:c r="AJ143" s="9" t="n">
        <x:v>0</x:v>
      </x:c>
      <x:c r="AK143" s="9" t="n">
        <x:v>0</x:v>
      </x:c>
      <x:c r="AL143" s="9" t="n">
        <x:v>0</x:v>
      </x:c>
      <x:c r="AM143" s="9" t="n">
        <x:v>2</x:v>
      </x:c>
    </x:row>
    <x:row r="144" ht="22" customHeight="1">
      <x:c r="A144" s="9"/>
      <x:c r="B144" s="9"/>
      <x:c r="C144" s="9"/>
      <x:c r="D144" s="9"/>
      <x:c r="E144" s="9" t="n">
        <x:v>0</x:v>
      </x:c>
      <x:c r="F144" s="9" t="n">
        <x:v>0</x:v>
      </x:c>
      <x:c r="G144" s="9" t="n">
        <x:v>0</x:v>
      </x:c>
      <x:c r="H144" s="9" t="n">
        <x:v>0</x:v>
      </x:c>
      <x:c r="I144" s="9" t="n">
        <x:v>0</x:v>
      </x:c>
      <x:c r="J144" s="9" t="n">
        <x:v>0</x:v>
      </x:c>
      <x:c r="K144" s="9" t="n">
        <x:v>0</x:v>
      </x:c>
      <x:c r="L144" s="9" t="n">
        <x:v>0</x:v>
      </x:c>
      <x:c r="M144" s="9" t="n">
        <x:v>1</x:v>
      </x:c>
      <x:c r="N144" s="9" t="n">
        <x:v>0</x:v>
      </x:c>
      <x:c r="O144" s="9" t="n">
        <x:v>0</x:v>
      </x:c>
      <x:c r="P144" s="9" t="n">
        <x:v>0</x:v>
      </x:c>
      <x:c r="Q144" s="9" t="n">
        <x:v>0</x:v>
      </x:c>
      <x:c r="R144" s="9" t="n">
        <x:v>0</x:v>
      </x:c>
      <x:c r="S144" s="9" t="n">
        <x:v>0</x:v>
      </x:c>
      <x:c r="T144" s="9" t="n">
        <x:v>0</x:v>
      </x:c>
      <x:c r="U144" s="9" t="n">
        <x:v>0</x:v>
      </x:c>
      <x:c r="V144" s="9" t="n">
        <x:v>0</x:v>
      </x:c>
      <x:c r="W144" s="9" t="n">
        <x:v>2</x:v>
      </x:c>
      <x:c r="X144" s="9" t="n">
        <x:v>0</x:v>
      </x:c>
      <x:c r="Y144" s="9" t="n">
        <x:v>0</x:v>
      </x:c>
      <x:c r="Z144" s="9" t="n">
        <x:v>0</x:v>
      </x:c>
      <x:c r="AA144" s="9" t="n">
        <x:v>0</x:v>
      </x:c>
      <x:c r="AB144" s="9" t="n">
        <x:v>0</x:v>
      </x:c>
      <x:c r="AC144" s="9" t="n">
        <x:v>0</x:v>
      </x:c>
      <x:c r="AD144" s="9" t="n">
        <x:v>0</x:v>
      </x:c>
      <x:c r="AE144" s="9" t="n">
        <x:v>0</x:v>
      </x:c>
      <x:c r="AF144" s="9" t="n">
        <x:v>0</x:v>
      </x:c>
      <x:c r="AG144" s="9" t="n">
        <x:v>0</x:v>
      </x:c>
      <x:c r="AH144" s="9" t="n">
        <x:v>0</x:v>
      </x:c>
      <x:c r="AI144" s="9" t="n">
        <x:v>0</x:v>
      </x:c>
      <x:c r="AJ144" s="9" t="n">
        <x:v>0</x:v>
      </x:c>
      <x:c r="AK144" s="9" t="n">
        <x:v>0</x:v>
      </x:c>
      <x:c r="AL144" s="9" t="n">
        <x:v>0</x:v>
      </x:c>
      <x:c r="AM144" s="9" t="n">
        <x:v>0</x:v>
      </x:c>
    </x:row>
    <x:row r="145" ht="22" customHeight="1">
      <x:c r="A145" s="9"/>
      <x:c r="B145" s="9"/>
      <x:c r="C145" s="9"/>
      <x:c r="D145" s="9"/>
      <x:c r="E145" s="9" t="n">
        <x:v>0</x:v>
      </x:c>
      <x:c r="F145" s="9" t="n">
        <x:v>0</x:v>
      </x:c>
      <x:c r="G145" s="9" t="n">
        <x:v>0</x:v>
      </x:c>
      <x:c r="H145" s="9" t="n">
        <x:v>0</x:v>
      </x:c>
      <x:c r="I145" s="9" t="n">
        <x:v>0</x:v>
      </x:c>
      <x:c r="J145" s="9" t="n">
        <x:v>0</x:v>
      </x:c>
      <x:c r="K145" s="9" t="n">
        <x:v>0</x:v>
      </x:c>
      <x:c r="L145" s="9" t="n">
        <x:v>0</x:v>
      </x:c>
      <x:c r="M145" s="9" t="n">
        <x:v>0</x:v>
      </x:c>
      <x:c r="N145" s="9" t="n">
        <x:v>1</x:v>
      </x:c>
      <x:c r="O145" s="9" t="n">
        <x:v>0</x:v>
      </x:c>
      <x:c r="P145" s="9" t="n">
        <x:v>0</x:v>
      </x:c>
      <x:c r="Q145" s="9" t="n">
        <x:v>0</x:v>
      </x:c>
      <x:c r="R145" s="9" t="n">
        <x:v>0</x:v>
      </x:c>
      <x:c r="S145" s="9" t="n">
        <x:v>0</x:v>
      </x:c>
      <x:c r="T145" s="9" t="n">
        <x:v>0</x:v>
      </x:c>
      <x:c r="U145" s="9" t="n">
        <x:v>0</x:v>
      </x:c>
      <x:c r="V145" s="9" t="n">
        <x:v>0</x:v>
      </x:c>
      <x:c r="W145" s="9" t="n">
        <x:v>0</x:v>
      </x:c>
      <x:c r="X145" s="9" t="n">
        <x:v>1</x:v>
      </x:c>
      <x:c r="Y145" s="9" t="n">
        <x:v>0</x:v>
      </x:c>
      <x:c r="Z145" s="9" t="n">
        <x:v>0</x:v>
      </x:c>
      <x:c r="AA145" s="9" t="n">
        <x:v>0</x:v>
      </x:c>
      <x:c r="AB145" s="9" t="n">
        <x:v>1</x:v>
      </x:c>
      <x:c r="AC145" s="9" t="n">
        <x:v>1</x:v>
      </x:c>
      <x:c r="AD145" s="9" t="n">
        <x:v>0</x:v>
      </x:c>
      <x:c r="AE145" s="9" t="n">
        <x:v>0</x:v>
      </x:c>
      <x:c r="AF145" s="9" t="n">
        <x:v>0</x:v>
      </x:c>
      <x:c r="AG145" s="9" t="n">
        <x:v>0</x:v>
      </x:c>
      <x:c r="AH145" s="9" t="n">
        <x:v>0</x:v>
      </x:c>
      <x:c r="AI145" s="9" t="n">
        <x:v>0</x:v>
      </x:c>
      <x:c r="AJ145" s="9" t="n">
        <x:v>0</x:v>
      </x:c>
      <x:c r="AK145" s="9" t="n">
        <x:v>0</x:v>
      </x:c>
      <x:c r="AL145" s="9" t="n">
        <x:v>1</x:v>
      </x:c>
      <x:c r="AM145" s="9" t="n">
        <x:v>0</x:v>
      </x:c>
    </x:row>
    <x:row r="146" ht="22" customHeight="1">
      <x:c r="A146" s="9"/>
      <x:c r="B146" s="9"/>
      <x:c r="C146" s="9"/>
      <x:c r="D146" s="9"/>
      <x:c r="E146" s="9" t="n">
        <x:v>0</x:v>
      </x:c>
      <x:c r="F146" s="9" t="n">
        <x:v>0</x:v>
      </x:c>
      <x:c r="G146" s="9" t="n">
        <x:v>0</x:v>
      </x:c>
      <x:c r="H146" s="9" t="n">
        <x:v>0</x:v>
      </x:c>
      <x:c r="I146" s="9" t="n">
        <x:v>0</x:v>
      </x:c>
      <x:c r="J146" s="9" t="n">
        <x:v>0</x:v>
      </x:c>
      <x:c r="K146" s="9" t="n">
        <x:v>0</x:v>
      </x:c>
      <x:c r="L146" s="9" t="n">
        <x:v>0</x:v>
      </x:c>
      <x:c r="M146" s="9" t="n">
        <x:v>0</x:v>
      </x:c>
      <x:c r="N146" s="9" t="n">
        <x:v>0</x:v>
      </x:c>
      <x:c r="O146" s="9" t="n">
        <x:v>1</x:v>
      </x:c>
      <x:c r="P146" s="9" t="n">
        <x:v>0</x:v>
      </x:c>
      <x:c r="Q146" s="9" t="n">
        <x:v>0</x:v>
      </x:c>
      <x:c r="R146" s="9" t="n">
        <x:v>0</x:v>
      </x:c>
      <x:c r="S146" s="9" t="n">
        <x:v>0</x:v>
      </x:c>
      <x:c r="T146" s="9" t="n">
        <x:v>0</x:v>
      </x:c>
      <x:c r="U146" s="9" t="n">
        <x:v>0</x:v>
      </x:c>
      <x:c r="V146" s="9" t="n">
        <x:v>0</x:v>
      </x:c>
      <x:c r="W146" s="9" t="n">
        <x:v>0</x:v>
      </x:c>
      <x:c r="X146" s="9" t="n">
        <x:v>0</x:v>
      </x:c>
      <x:c r="Y146" s="9" t="n">
        <x:v>1</x:v>
      </x:c>
      <x:c r="Z146" s="9" t="n">
        <x:v>0</x:v>
      </x:c>
      <x:c r="AA146" s="9" t="n">
        <x:v>1</x:v>
      </x:c>
      <x:c r="AB146" s="9" t="n">
        <x:v>0</x:v>
      </x:c>
      <x:c r="AC146" s="9" t="n">
        <x:v>0</x:v>
      </x:c>
      <x:c r="AD146" s="9" t="n">
        <x:v>0</x:v>
      </x:c>
      <x:c r="AE146" s="9" t="n">
        <x:v>0</x:v>
      </x:c>
      <x:c r="AF146" s="9" t="n">
        <x:v>0</x:v>
      </x:c>
      <x:c r="AG146" s="9" t="n">
        <x:v>0</x:v>
      </x:c>
      <x:c r="AH146" s="9" t="n">
        <x:v>0</x:v>
      </x:c>
      <x:c r="AI146" s="9" t="n">
        <x:v>0</x:v>
      </x:c>
      <x:c r="AJ146" s="9" t="n">
        <x:v>0</x:v>
      </x:c>
      <x:c r="AK146" s="9" t="n">
        <x:v>0</x:v>
      </x:c>
      <x:c r="AL146" s="9" t="n">
        <x:v>0</x:v>
      </x:c>
      <x:c r="AM146" s="9" t="n">
        <x:v>1</x:v>
      </x:c>
    </x:row>
    <x:row r="147" ht="22" customHeight="1">
      <x:c r="A147" s="9"/>
      <x:c r="B147" s="9"/>
      <x:c r="C147" s="9"/>
      <x:c r="D147" s="9"/>
      <x:c r="E147" s="9" t="n">
        <x:v>0</x:v>
      </x:c>
      <x:c r="F147" s="9" t="n">
        <x:v>0</x:v>
      </x:c>
      <x:c r="G147" s="9" t="n">
        <x:v>0</x:v>
      </x:c>
      <x:c r="H147" s="9" t="n">
        <x:v>0</x:v>
      </x:c>
      <x:c r="I147" s="9" t="n">
        <x:v>0</x:v>
      </x:c>
      <x:c r="J147" s="9" t="n">
        <x:v>0</x:v>
      </x:c>
      <x:c r="K147" s="9" t="n">
        <x:v>0</x:v>
      </x:c>
      <x:c r="L147" s="9" t="n">
        <x:v>0</x:v>
      </x:c>
      <x:c r="M147" s="9" t="n">
        <x:v>0</x:v>
      </x:c>
      <x:c r="N147" s="9" t="n">
        <x:v>0</x:v>
      </x:c>
      <x:c r="O147" s="9" t="n">
        <x:v>0</x:v>
      </x:c>
      <x:c r="P147" s="9" t="n">
        <x:v>1</x:v>
      </x:c>
      <x:c r="Q147" s="9" t="n">
        <x:v>0</x:v>
      </x:c>
      <x:c r="R147" s="9" t="n">
        <x:v>0</x:v>
      </x:c>
      <x:c r="S147" s="9" t="n">
        <x:v>0</x:v>
      </x:c>
      <x:c r="T147" s="9" t="n">
        <x:v>0</x:v>
      </x:c>
      <x:c r="U147" s="9" t="n">
        <x:v>0</x:v>
      </x:c>
      <x:c r="V147" s="9" t="n">
        <x:v>0</x:v>
      </x:c>
      <x:c r="W147" s="9" t="n">
        <x:v>0</x:v>
      </x:c>
      <x:c r="X147" s="9" t="n">
        <x:v>0</x:v>
      </x:c>
      <x:c r="Y147" s="9" t="n">
        <x:v>0</x:v>
      </x:c>
      <x:c r="Z147" s="9" t="n">
        <x:v>0</x:v>
      </x:c>
      <x:c r="AA147" s="9" t="n">
        <x:v>0</x:v>
      </x:c>
      <x:c r="AB147" s="9" t="n">
        <x:v>0</x:v>
      </x:c>
      <x:c r="AC147" s="9" t="n">
        <x:v>0</x:v>
      </x:c>
      <x:c r="AD147" s="9" t="n">
        <x:v>0</x:v>
      </x:c>
      <x:c r="AE147" s="9" t="n">
        <x:v>0</x:v>
      </x:c>
      <x:c r="AF147" s="9" t="n">
        <x:v>0</x:v>
      </x:c>
      <x:c r="AG147" s="9" t="n">
        <x:v>0</x:v>
      </x:c>
      <x:c r="AH147" s="9" t="n">
        <x:v>1</x:v>
      </x:c>
      <x:c r="AI147" s="9" t="n">
        <x:v>1</x:v>
      </x:c>
      <x:c r="AJ147" s="9" t="n">
        <x:v>0</x:v>
      </x:c>
      <x:c r="AK147" s="9" t="n">
        <x:v>0</x:v>
      </x:c>
      <x:c r="AL147" s="9" t="n">
        <x:v>1</x:v>
      </x:c>
      <x:c r="AM147" s="9" t="n">
        <x:v>0</x:v>
      </x:c>
    </x:row>
    <x:row r="148" ht="22" customHeight="1">
      <x:c r="A148" s="9"/>
      <x:c r="B148" s="9"/>
      <x:c r="C148" s="9"/>
      <x:c r="D148" s="9"/>
      <x:c r="E148" s="9" t="n">
        <x:v>0</x:v>
      </x:c>
      <x:c r="F148" s="9" t="n">
        <x:v>0</x:v>
      </x:c>
      <x:c r="G148" s="9" t="n">
        <x:v>0</x:v>
      </x:c>
      <x:c r="H148" s="9" t="n">
        <x:v>0</x:v>
      </x:c>
      <x:c r="I148" s="9" t="n">
        <x:v>0</x:v>
      </x:c>
      <x:c r="J148" s="9" t="n">
        <x:v>0</x:v>
      </x:c>
      <x:c r="K148" s="9" t="n">
        <x:v>0</x:v>
      </x:c>
      <x:c r="L148" s="9" t="n">
        <x:v>0</x:v>
      </x:c>
      <x:c r="M148" s="9" t="n">
        <x:v>0</x:v>
      </x:c>
      <x:c r="N148" s="9" t="n">
        <x:v>0</x:v>
      </x:c>
      <x:c r="O148" s="9" t="n">
        <x:v>0</x:v>
      </x:c>
      <x:c r="P148" s="9" t="n">
        <x:v>0</x:v>
      </x:c>
      <x:c r="Q148" s="9" t="n">
        <x:v>1</x:v>
      </x:c>
      <x:c r="R148" s="9" t="n">
        <x:v>0</x:v>
      </x:c>
      <x:c r="S148" s="9" t="n">
        <x:v>0</x:v>
      </x:c>
      <x:c r="T148" s="9" t="n">
        <x:v>0</x:v>
      </x:c>
      <x:c r="U148" s="9" t="n">
        <x:v>0</x:v>
      </x:c>
      <x:c r="V148" s="9" t="n">
        <x:v>0</x:v>
      </x:c>
      <x:c r="W148" s="9" t="n">
        <x:v>0</x:v>
      </x:c>
      <x:c r="X148" s="9" t="n">
        <x:v>0</x:v>
      </x:c>
      <x:c r="Y148" s="9" t="n">
        <x:v>0</x:v>
      </x:c>
      <x:c r="Z148" s="9" t="n">
        <x:v>0</x:v>
      </x:c>
      <x:c r="AA148" s="9" t="n">
        <x:v>0</x:v>
      </x:c>
      <x:c r="AB148" s="9" t="n">
        <x:v>0</x:v>
      </x:c>
      <x:c r="AC148" s="9" t="n">
        <x:v>0</x:v>
      </x:c>
      <x:c r="AD148" s="9" t="n">
        <x:v>0</x:v>
      </x:c>
      <x:c r="AE148" s="9" t="n">
        <x:v>0</x:v>
      </x:c>
      <x:c r="AF148" s="9" t="n">
        <x:v>0</x:v>
      </x:c>
      <x:c r="AG148" s="9" t="n">
        <x:v>0</x:v>
      </x:c>
      <x:c r="AH148" s="9" t="n">
        <x:v>0</x:v>
      </x:c>
      <x:c r="AI148" s="9" t="n">
        <x:v>0</x:v>
      </x:c>
      <x:c r="AJ148" s="9" t="n">
        <x:v>0</x:v>
      </x:c>
      <x:c r="AK148" s="9" t="n">
        <x:v>1</x:v>
      </x:c>
      <x:c r="AL148" s="9" t="n">
        <x:v>0</x:v>
      </x:c>
      <x:c r="AM148" s="9" t="n">
        <x:v>0</x:v>
      </x:c>
    </x:row>
    <x:row r="149" ht="22" customHeight="1">
      <x:c r="A149" s="9"/>
      <x:c r="B149" s="9"/>
      <x:c r="C149" s="9"/>
      <x:c r="D149" s="9"/>
      <x:c r="E149" s="9" t="n">
        <x:v>0</x:v>
      </x:c>
      <x:c r="F149" s="9" t="n">
        <x:v>0</x:v>
      </x:c>
      <x:c r="G149" s="9" t="n">
        <x:v>0</x:v>
      </x:c>
      <x:c r="H149" s="9" t="n">
        <x:v>0</x:v>
      </x:c>
      <x:c r="I149" s="9" t="n">
        <x:v>0</x:v>
      </x:c>
      <x:c r="J149" s="9" t="n">
        <x:v>0</x:v>
      </x:c>
      <x:c r="K149" s="9" t="n">
        <x:v>0</x:v>
      </x:c>
      <x:c r="L149" s="9" t="n">
        <x:v>0</x:v>
      </x:c>
      <x:c r="M149" s="9" t="n">
        <x:v>0</x:v>
      </x:c>
      <x:c r="N149" s="9" t="n">
        <x:v>0</x:v>
      </x:c>
      <x:c r="O149" s="9" t="n">
        <x:v>0</x:v>
      </x:c>
      <x:c r="P149" s="9" t="n">
        <x:v>0</x:v>
      </x:c>
      <x:c r="Q149" s="9" t="n">
        <x:v>0</x:v>
      </x:c>
      <x:c r="R149" s="9" t="n">
        <x:v>1</x:v>
      </x:c>
      <x:c r="S149" s="9" t="n">
        <x:v>0</x:v>
      </x:c>
      <x:c r="T149" s="9" t="n">
        <x:v>0</x:v>
      </x:c>
      <x:c r="U149" s="9" t="n">
        <x:v>0</x:v>
      </x:c>
      <x:c r="V149" s="9" t="n">
        <x:v>0</x:v>
      </x:c>
      <x:c r="W149" s="9" t="n">
        <x:v>0</x:v>
      </x:c>
      <x:c r="X149" s="9" t="n">
        <x:v>0</x:v>
      </x:c>
      <x:c r="Y149" s="9" t="n">
        <x:v>0</x:v>
      </x:c>
      <x:c r="Z149" s="9" t="n">
        <x:v>0</x:v>
      </x:c>
      <x:c r="AA149" s="9" t="n">
        <x:v>0</x:v>
      </x:c>
      <x:c r="AB149" s="9" t="n">
        <x:v>0</x:v>
      </x:c>
      <x:c r="AC149" s="9" t="n">
        <x:v>0</x:v>
      </x:c>
      <x:c r="AD149" s="9" t="n">
        <x:v>0</x:v>
      </x:c>
      <x:c r="AE149" s="9" t="n">
        <x:v>0</x:v>
      </x:c>
      <x:c r="AF149" s="9" t="n">
        <x:v>0</x:v>
      </x:c>
      <x:c r="AG149" s="9" t="n">
        <x:v>0</x:v>
      </x:c>
      <x:c r="AH149" s="9" t="n">
        <x:v>0</x:v>
      </x:c>
      <x:c r="AI149" s="9" t="n">
        <x:v>0</x:v>
      </x:c>
      <x:c r="AJ149" s="9" t="n">
        <x:v>0</x:v>
      </x:c>
      <x:c r="AK149" s="9" t="n">
        <x:v>0</x:v>
      </x:c>
      <x:c r="AL149" s="9" t="n">
        <x:v>0</x:v>
      </x:c>
      <x:c r="AM149" s="9" t="n">
        <x:v>0</x:v>
      </x:c>
    </x:row>
    <x:row r="150" ht="22" customHeight="1">
      <x:c r="A150" s="9"/>
      <x:c r="B150" s="9"/>
      <x:c r="C150" s="9"/>
      <x:c r="D150" s="9"/>
      <x:c r="E150" s="9" t="n">
        <x:v>0</x:v>
      </x:c>
      <x:c r="F150" s="9" t="n">
        <x:v>0</x:v>
      </x:c>
      <x:c r="G150" s="9" t="n">
        <x:v>0</x:v>
      </x:c>
      <x:c r="H150" s="9" t="n">
        <x:v>0</x:v>
      </x:c>
      <x:c r="I150" s="9" t="n">
        <x:v>0</x:v>
      </x:c>
      <x:c r="J150" s="9" t="n">
        <x:v>0</x:v>
      </x:c>
      <x:c r="K150" s="9" t="n">
        <x:v>0</x:v>
      </x:c>
      <x:c r="L150" s="9" t="n">
        <x:v>0</x:v>
      </x:c>
      <x:c r="M150" s="9" t="n">
        <x:v>0</x:v>
      </x:c>
      <x:c r="N150" s="9" t="n">
        <x:v>0</x:v>
      </x:c>
      <x:c r="O150" s="9" t="n">
        <x:v>0</x:v>
      </x:c>
      <x:c r="P150" s="9" t="n">
        <x:v>0</x:v>
      </x:c>
      <x:c r="Q150" s="9" t="n">
        <x:v>0</x:v>
      </x:c>
      <x:c r="R150" s="9" t="n">
        <x:v>0</x:v>
      </x:c>
      <x:c r="S150" s="9" t="n">
        <x:v>1</x:v>
      </x:c>
      <x:c r="T150" s="9" t="n">
        <x:v>0</x:v>
      </x:c>
      <x:c r="U150" s="9" t="n">
        <x:v>0</x:v>
      </x:c>
      <x:c r="V150" s="9" t="n">
        <x:v>0</x:v>
      </x:c>
      <x:c r="W150" s="9" t="n">
        <x:v>0</x:v>
      </x:c>
      <x:c r="X150" s="9" t="n">
        <x:v>1</x:v>
      </x:c>
      <x:c r="Y150" s="9" t="n">
        <x:v>0</x:v>
      </x:c>
      <x:c r="Z150" s="9" t="n">
        <x:v>0</x:v>
      </x:c>
      <x:c r="AA150" s="9" t="n">
        <x:v>0</x:v>
      </x:c>
      <x:c r="AB150" s="9" t="n">
        <x:v>0</x:v>
      </x:c>
      <x:c r="AC150" s="9" t="n">
        <x:v>0</x:v>
      </x:c>
      <x:c r="AD150" s="9" t="n">
        <x:v>0</x:v>
      </x:c>
      <x:c r="AE150" s="9" t="n">
        <x:v>0</x:v>
      </x:c>
      <x:c r="AF150" s="9" t="n">
        <x:v>0</x:v>
      </x:c>
      <x:c r="AG150" s="9" t="n">
        <x:v>0</x:v>
      </x:c>
      <x:c r="AH150" s="9" t="n">
        <x:v>1</x:v>
      </x:c>
      <x:c r="AI150" s="9" t="n">
        <x:v>0</x:v>
      </x:c>
      <x:c r="AJ150" s="9" t="n">
        <x:v>1</x:v>
      </x:c>
      <x:c r="AK150" s="9" t="n">
        <x:v>0</x:v>
      </x:c>
      <x:c r="AL150" s="9" t="n">
        <x:v>1</x:v>
      </x:c>
      <x:c r="AM150" s="9" t="n">
        <x:v>0</x:v>
      </x:c>
    </x:row>
    <x:row r="151" ht="22" customHeight="1">
      <x:c r="A151" s="9"/>
      <x:c r="B151" s="9"/>
      <x:c r="C151" s="9"/>
      <x:c r="D151" s="9"/>
      <x:c r="E151" s="9" t="n">
        <x:v>0</x:v>
      </x:c>
      <x:c r="F151" s="9" t="n">
        <x:v>0</x:v>
      </x:c>
      <x:c r="G151" s="9" t="n">
        <x:v>0</x:v>
      </x:c>
      <x:c r="H151" s="9" t="n">
        <x:v>0</x:v>
      </x:c>
      <x:c r="I151" s="9" t="n">
        <x:v>0</x:v>
      </x:c>
      <x:c r="J151" s="9" t="n">
        <x:v>0</x:v>
      </x:c>
      <x:c r="K151" s="9" t="n">
        <x:v>0</x:v>
      </x:c>
      <x:c r="L151" s="9" t="n">
        <x:v>0</x:v>
      </x:c>
      <x:c r="M151" s="9" t="n">
        <x:v>0</x:v>
      </x:c>
      <x:c r="N151" s="9" t="n">
        <x:v>0</x:v>
      </x:c>
      <x:c r="O151" s="9" t="n">
        <x:v>0</x:v>
      </x:c>
      <x:c r="P151" s="9" t="n">
        <x:v>0</x:v>
      </x:c>
      <x:c r="Q151" s="9" t="n">
        <x:v>0</x:v>
      </x:c>
      <x:c r="R151" s="9" t="n">
        <x:v>0</x:v>
      </x:c>
      <x:c r="S151" s="9" t="n">
        <x:v>0</x:v>
      </x:c>
      <x:c r="T151" s="9" t="n">
        <x:v>1</x:v>
      </x:c>
      <x:c r="U151" s="9" t="n">
        <x:v>0</x:v>
      </x:c>
      <x:c r="V151" s="9" t="n">
        <x:v>0</x:v>
      </x:c>
      <x:c r="W151" s="9" t="n">
        <x:v>0</x:v>
      </x:c>
      <x:c r="X151" s="9" t="n">
        <x:v>0</x:v>
      </x:c>
      <x:c r="Y151" s="9" t="n">
        <x:v>0</x:v>
      </x:c>
      <x:c r="Z151" s="9" t="n">
        <x:v>1</x:v>
      </x:c>
      <x:c r="AA151" s="9" t="n">
        <x:v>0</x:v>
      </x:c>
      <x:c r="AB151" s="9" t="n">
        <x:v>1</x:v>
      </x:c>
      <x:c r="AC151" s="9" t="n">
        <x:v>0</x:v>
      </x:c>
      <x:c r="AD151" s="9" t="n">
        <x:v>0</x:v>
      </x:c>
      <x:c r="AE151" s="9" t="n">
        <x:v>0</x:v>
      </x:c>
      <x:c r="AF151" s="9" t="n">
        <x:v>0</x:v>
      </x:c>
      <x:c r="AG151" s="9" t="n">
        <x:v>0</x:v>
      </x:c>
      <x:c r="AH151" s="9" t="n">
        <x:v>0</x:v>
      </x:c>
      <x:c r="AI151" s="9" t="n">
        <x:v>0</x:v>
      </x:c>
      <x:c r="AJ151" s="9" t="n">
        <x:v>0</x:v>
      </x:c>
      <x:c r="AK151" s="9" t="n">
        <x:v>0</x:v>
      </x:c>
      <x:c r="AL151" s="9" t="n">
        <x:v>0</x:v>
      </x:c>
      <x:c r="AM151" s="9" t="n">
        <x:v>0</x:v>
      </x:c>
    </x:row>
    <x:row r="152" ht="22" customHeight="1">
      <x:c r="A152" s="9"/>
      <x:c r="B152" s="9"/>
      <x:c r="C152" s="9"/>
      <x:c r="D152" s="9"/>
      <x:c r="E152" s="9" t="n">
        <x:v>0</x:v>
      </x:c>
      <x:c r="F152" s="9" t="n">
        <x:v>0</x:v>
      </x:c>
      <x:c r="G152" s="9" t="n">
        <x:v>0</x:v>
      </x:c>
      <x:c r="H152" s="9" t="n">
        <x:v>0</x:v>
      </x:c>
      <x:c r="I152" s="9" t="n">
        <x:v>0</x:v>
      </x:c>
      <x:c r="J152" s="9" t="n">
        <x:v>0</x:v>
      </x:c>
      <x:c r="K152" s="9" t="n">
        <x:v>0</x:v>
      </x:c>
      <x:c r="L152" s="9" t="n">
        <x:v>0</x:v>
      </x:c>
      <x:c r="M152" s="9" t="n">
        <x:v>0</x:v>
      </x:c>
      <x:c r="N152" s="9" t="n">
        <x:v>0</x:v>
      </x:c>
      <x:c r="O152" s="9" t="n">
        <x:v>0</x:v>
      </x:c>
      <x:c r="P152" s="9" t="n">
        <x:v>0</x:v>
      </x:c>
      <x:c r="Q152" s="9" t="n">
        <x:v>0</x:v>
      </x:c>
      <x:c r="R152" s="9" t="n">
        <x:v>0</x:v>
      </x:c>
      <x:c r="S152" s="9" t="n">
        <x:v>0</x:v>
      </x:c>
      <x:c r="T152" s="9" t="n">
        <x:v>0</x:v>
      </x:c>
      <x:c r="U152" s="9" t="n">
        <x:v>1</x:v>
      </x:c>
      <x:c r="V152" s="9" t="n">
        <x:v>0</x:v>
      </x:c>
      <x:c r="W152" s="9" t="n">
        <x:v>0</x:v>
      </x:c>
      <x:c r="X152" s="9" t="n">
        <x:v>0</x:v>
      </x:c>
      <x:c r="Y152" s="9" t="n">
        <x:v>0</x:v>
      </x:c>
      <x:c r="Z152" s="9" t="n">
        <x:v>0</x:v>
      </x:c>
      <x:c r="AA152" s="9" t="n">
        <x:v>1</x:v>
      </x:c>
      <x:c r="AB152" s="9" t="n">
        <x:v>0</x:v>
      </x:c>
      <x:c r="AC152" s="9" t="n">
        <x:v>0</x:v>
      </x:c>
      <x:c r="AD152" s="9" t="n">
        <x:v>0</x:v>
      </x:c>
      <x:c r="AE152" s="9" t="n">
        <x:v>0</x:v>
      </x:c>
      <x:c r="AF152" s="9" t="n">
        <x:v>0</x:v>
      </x:c>
      <x:c r="AG152" s="9" t="n">
        <x:v>0</x:v>
      </x:c>
      <x:c r="AH152" s="9" t="n">
        <x:v>0</x:v>
      </x:c>
      <x:c r="AI152" s="9" t="n">
        <x:v>0</x:v>
      </x:c>
      <x:c r="AJ152" s="9" t="n">
        <x:v>0</x:v>
      </x:c>
      <x:c r="AK152" s="9" t="n">
        <x:v>0</x:v>
      </x:c>
      <x:c r="AL152" s="9" t="n">
        <x:v>0</x:v>
      </x:c>
      <x:c r="AM152" s="9" t="n">
        <x:v>1</x:v>
      </x:c>
    </x:row>
    <x:row r="153" ht="22" customHeight="1">
      <x:c r="A153" s="9"/>
      <x:c r="B153" s="9"/>
      <x:c r="C153" s="9"/>
      <x:c r="D153" s="9"/>
      <x:c r="E153" s="9" t="n">
        <x:v>0</x:v>
      </x:c>
      <x:c r="F153" s="9" t="n">
        <x:v>0</x:v>
      </x:c>
      <x:c r="G153" s="9" t="n">
        <x:v>0</x:v>
      </x:c>
      <x:c r="H153" s="9" t="n">
        <x:v>0</x:v>
      </x:c>
      <x:c r="I153" s="9" t="n">
        <x:v>0</x:v>
      </x:c>
      <x:c r="J153" s="9" t="n">
        <x:v>0</x:v>
      </x:c>
      <x:c r="K153" s="9" t="n">
        <x:v>0</x:v>
      </x:c>
      <x:c r="L153" s="9" t="n">
        <x:v>0</x:v>
      </x:c>
      <x:c r="M153" s="9" t="n">
        <x:v>0</x:v>
      </x:c>
      <x:c r="N153" s="9" t="n">
        <x:v>0</x:v>
      </x:c>
      <x:c r="O153" s="9" t="n">
        <x:v>0</x:v>
      </x:c>
      <x:c r="P153" s="9" t="n">
        <x:v>0</x:v>
      </x:c>
      <x:c r="Q153" s="9" t="n">
        <x:v>0</x:v>
      </x:c>
      <x:c r="R153" s="9" t="n">
        <x:v>0</x:v>
      </x:c>
      <x:c r="S153" s="9" t="n">
        <x:v>0</x:v>
      </x:c>
      <x:c r="T153" s="9" t="n">
        <x:v>0</x:v>
      </x:c>
      <x:c r="U153" s="9" t="n">
        <x:v>0</x:v>
      </x:c>
      <x:c r="V153" s="9" t="n">
        <x:v>1</x:v>
      </x:c>
      <x:c r="W153" s="9" t="n">
        <x:v>0</x:v>
      </x:c>
      <x:c r="X153" s="9" t="n">
        <x:v>0</x:v>
      </x:c>
      <x:c r="Y153" s="9" t="n">
        <x:v>0</x:v>
      </x:c>
      <x:c r="Z153" s="9" t="n">
        <x:v>0</x:v>
      </x:c>
      <x:c r="AA153" s="9" t="n">
        <x:v>0</x:v>
      </x:c>
      <x:c r="AB153" s="9" t="n">
        <x:v>0</x:v>
      </x:c>
      <x:c r="AC153" s="9" t="n">
        <x:v>0</x:v>
      </x:c>
      <x:c r="AD153" s="9" t="n">
        <x:v>0</x:v>
      </x:c>
      <x:c r="AE153" s="9" t="n">
        <x:v>0</x:v>
      </x:c>
      <x:c r="AF153" s="9" t="n">
        <x:v>0</x:v>
      </x:c>
      <x:c r="AG153" s="9" t="n">
        <x:v>0</x:v>
      </x:c>
      <x:c r="AH153" s="9" t="n">
        <x:v>0</x:v>
      </x:c>
      <x:c r="AI153" s="9" t="n">
        <x:v>0</x:v>
      </x:c>
      <x:c r="AJ153" s="9" t="n">
        <x:v>0</x:v>
      </x:c>
      <x:c r="AK153" s="9" t="n">
        <x:v>0</x:v>
      </x:c>
      <x:c r="AL153" s="9" t="n">
        <x:v>0</x:v>
      </x:c>
      <x:c r="AM153" s="9" t="n">
        <x:v>1</x:v>
      </x:c>
    </x:row>
    <x:row r="154" ht="22" customHeight="1">
      <x:c r="A154" s="9"/>
      <x:c r="B154" s="9"/>
      <x:c r="C154" s="9"/>
      <x:c r="D154" s="9"/>
      <x:c r="E154" s="9" t="n">
        <x:v>0</x:v>
      </x:c>
      <x:c r="F154" s="9" t="n">
        <x:v>0</x:v>
      </x:c>
      <x:c r="G154" s="9" t="n">
        <x:v>0</x:v>
      </x:c>
      <x:c r="H154" s="9" t="n">
        <x:v>0</x:v>
      </x:c>
      <x:c r="I154" s="9" t="n">
        <x:v>0</x:v>
      </x:c>
      <x:c r="J154" s="9" t="n">
        <x:v>0</x:v>
      </x:c>
      <x:c r="K154" s="9" t="n">
        <x:v>0</x:v>
      </x:c>
      <x:c r="L154" s="9" t="n">
        <x:v>0</x:v>
      </x:c>
      <x:c r="M154" s="9" t="n">
        <x:v>0</x:v>
      </x:c>
      <x:c r="N154" s="9" t="n">
        <x:v>0</x:v>
      </x:c>
      <x:c r="O154" s="9" t="n">
        <x:v>0</x:v>
      </x:c>
      <x:c r="P154" s="9" t="n">
        <x:v>0</x:v>
      </x:c>
      <x:c r="Q154" s="9" t="n">
        <x:v>0</x:v>
      </x:c>
      <x:c r="R154" s="9" t="n">
        <x:v>0</x:v>
      </x:c>
      <x:c r="S154" s="9" t="n">
        <x:v>0</x:v>
      </x:c>
      <x:c r="T154" s="9" t="n">
        <x:v>0</x:v>
      </x:c>
      <x:c r="U154" s="9" t="n">
        <x:v>0</x:v>
      </x:c>
      <x:c r="V154" s="9" t="n">
        <x:v>0</x:v>
      </x:c>
      <x:c r="W154" s="9" t="n">
        <x:v>1</x:v>
      </x:c>
      <x:c r="X154" s="9" t="n">
        <x:v>0</x:v>
      </x:c>
      <x:c r="Y154" s="9" t="n">
        <x:v>0</x:v>
      </x:c>
      <x:c r="Z154" s="9" t="n">
        <x:v>0</x:v>
      </x:c>
      <x:c r="AA154" s="9" t="n">
        <x:v>0</x:v>
      </x:c>
      <x:c r="AB154" s="9" t="n">
        <x:v>0</x:v>
      </x:c>
      <x:c r="AC154" s="9" t="n">
        <x:v>0</x:v>
      </x:c>
      <x:c r="AD154" s="9" t="n">
        <x:v>0</x:v>
      </x:c>
      <x:c r="AE154" s="9" t="n">
        <x:v>0</x:v>
      </x:c>
      <x:c r="AF154" s="9" t="n">
        <x:v>0</x:v>
      </x:c>
      <x:c r="AG154" s="9" t="n">
        <x:v>0</x:v>
      </x:c>
      <x:c r="AH154" s="9" t="n">
        <x:v>0</x:v>
      </x:c>
      <x:c r="AI154" s="9" t="n">
        <x:v>0</x:v>
      </x:c>
      <x:c r="AJ154" s="9" t="n">
        <x:v>0</x:v>
      </x:c>
      <x:c r="AK154" s="9" t="n">
        <x:v>0</x:v>
      </x:c>
      <x:c r="AL154" s="9" t="n">
        <x:v>0</x:v>
      </x:c>
      <x:c r="AM154" s="9" t="n">
        <x:v>0</x:v>
      </x:c>
    </x:row>
    <x:row r="155" ht="22" customHeight="1">
      <x:c r="A155" s="9"/>
      <x:c r="B155" s="9"/>
      <x:c r="C155" s="9"/>
      <x:c r="D155" s="9"/>
      <x:c r="E155" s="9" t="n">
        <x:v>0</x:v>
      </x:c>
      <x:c r="F155" s="9" t="n">
        <x:v>0</x:v>
      </x:c>
      <x:c r="G155" s="9" t="n">
        <x:v>0</x:v>
      </x:c>
      <x:c r="H155" s="9" t="n">
        <x:v>0</x:v>
      </x:c>
      <x:c r="I155" s="9" t="n">
        <x:v>0</x:v>
      </x:c>
      <x:c r="J155" s="9" t="n">
        <x:v>0</x:v>
      </x:c>
      <x:c r="K155" s="9" t="n">
        <x:v>0</x:v>
      </x:c>
      <x:c r="L155" s="9" t="n">
        <x:v>0</x:v>
      </x:c>
      <x:c r="M155" s="9" t="n">
        <x:v>0</x:v>
      </x:c>
      <x:c r="N155" s="9" t="n">
        <x:v>0</x:v>
      </x:c>
      <x:c r="O155" s="9" t="n">
        <x:v>0</x:v>
      </x:c>
      <x:c r="P155" s="9" t="n">
        <x:v>0</x:v>
      </x:c>
      <x:c r="Q155" s="9" t="n">
        <x:v>0</x:v>
      </x:c>
      <x:c r="R155" s="9" t="n">
        <x:v>0</x:v>
      </x:c>
      <x:c r="S155" s="9" t="n">
        <x:v>0</x:v>
      </x:c>
      <x:c r="T155" s="9" t="n">
        <x:v>0</x:v>
      </x:c>
      <x:c r="U155" s="9" t="n">
        <x:v>0</x:v>
      </x:c>
      <x:c r="V155" s="9" t="n">
        <x:v>0</x:v>
      </x:c>
      <x:c r="W155" s="9" t="n">
        <x:v>0</x:v>
      </x:c>
      <x:c r="X155" s="9" t="n">
        <x:v>1</x:v>
      </x:c>
      <x:c r="Y155" s="9" t="n">
        <x:v>0</x:v>
      </x:c>
      <x:c r="Z155" s="9" t="n">
        <x:v>0</x:v>
      </x:c>
      <x:c r="AA155" s="9" t="n">
        <x:v>0</x:v>
      </x:c>
      <x:c r="AB155" s="9" t="n">
        <x:v>0</x:v>
      </x:c>
      <x:c r="AC155" s="9" t="n">
        <x:v>0</x:v>
      </x:c>
      <x:c r="AD155" s="9" t="n">
        <x:v>0</x:v>
      </x:c>
      <x:c r="AE155" s="9" t="n">
        <x:v>0</x:v>
      </x:c>
      <x:c r="AF155" s="9" t="n">
        <x:v>0</x:v>
      </x:c>
      <x:c r="AG155" s="9" t="n">
        <x:v>0</x:v>
      </x:c>
      <x:c r="AH155" s="9" t="n">
        <x:v>0</x:v>
      </x:c>
      <x:c r="AI155" s="9" t="n">
        <x:v>0</x:v>
      </x:c>
      <x:c r="AJ155" s="9" t="n">
        <x:v>0</x:v>
      </x:c>
      <x:c r="AK155" s="9" t="n">
        <x:v>0</x:v>
      </x:c>
      <x:c r="AL155" s="9" t="n">
        <x:v>1</x:v>
      </x:c>
      <x:c r="AM155" s="9" t="n">
        <x:v>0</x:v>
      </x:c>
    </x:row>
    <x:row r="156" ht="22" customHeight="1">
      <x:c r="A156" s="9"/>
      <x:c r="B156" s="9"/>
      <x:c r="C156" s="9"/>
      <x:c r="D156" s="9"/>
      <x:c r="E156" s="9" t="n">
        <x:v>0</x:v>
      </x:c>
      <x:c r="F156" s="9" t="n">
        <x:v>0</x:v>
      </x:c>
      <x:c r="G156" s="9" t="n">
        <x:v>0</x:v>
      </x:c>
      <x:c r="H156" s="9" t="n">
        <x:v>0</x:v>
      </x:c>
      <x:c r="I156" s="9" t="n">
        <x:v>0</x:v>
      </x:c>
      <x:c r="J156" s="9" t="n">
        <x:v>0</x:v>
      </x:c>
      <x:c r="K156" s="9" t="n">
        <x:v>0</x:v>
      </x:c>
      <x:c r="L156" s="9" t="n">
        <x:v>0</x:v>
      </x:c>
      <x:c r="M156" s="9" t="n">
        <x:v>0</x:v>
      </x:c>
      <x:c r="N156" s="9" t="n">
        <x:v>0</x:v>
      </x:c>
      <x:c r="O156" s="9" t="n">
        <x:v>0</x:v>
      </x:c>
      <x:c r="P156" s="9" t="n">
        <x:v>0</x:v>
      </x:c>
      <x:c r="Q156" s="9" t="n">
        <x:v>0</x:v>
      </x:c>
      <x:c r="R156" s="9" t="n">
        <x:v>0</x:v>
      </x:c>
      <x:c r="S156" s="9" t="n">
        <x:v>0</x:v>
      </x:c>
      <x:c r="T156" s="9" t="n">
        <x:v>0</x:v>
      </x:c>
      <x:c r="U156" s="9" t="n">
        <x:v>0</x:v>
      </x:c>
      <x:c r="V156" s="9" t="n">
        <x:v>0</x:v>
      </x:c>
      <x:c r="W156" s="9" t="n">
        <x:v>0</x:v>
      </x:c>
      <x:c r="X156" s="9" t="n">
        <x:v>0</x:v>
      </x:c>
      <x:c r="Y156" s="9" t="n">
        <x:v>1</x:v>
      </x:c>
      <x:c r="Z156" s="9" t="n">
        <x:v>0</x:v>
      </x:c>
      <x:c r="AA156" s="9" t="n">
        <x:v>0</x:v>
      </x:c>
      <x:c r="AB156" s="9" t="n">
        <x:v>0</x:v>
      </x:c>
      <x:c r="AC156" s="9" t="n">
        <x:v>0</x:v>
      </x:c>
      <x:c r="AD156" s="9" t="n">
        <x:v>0</x:v>
      </x:c>
      <x:c r="AE156" s="9" t="n">
        <x:v>0</x:v>
      </x:c>
      <x:c r="AF156" s="9" t="n">
        <x:v>0</x:v>
      </x:c>
      <x:c r="AG156" s="9" t="n">
        <x:v>0</x:v>
      </x:c>
      <x:c r="AH156" s="9" t="n">
        <x:v>0</x:v>
      </x:c>
      <x:c r="AI156" s="9" t="n">
        <x:v>0</x:v>
      </x:c>
      <x:c r="AJ156" s="9" t="n">
        <x:v>0</x:v>
      </x:c>
      <x:c r="AK156" s="9" t="n">
        <x:v>0</x:v>
      </x:c>
      <x:c r="AL156" s="9" t="n">
        <x:v>0</x:v>
      </x:c>
      <x:c r="AM156" s="9" t="n">
        <x:v>0</x:v>
      </x:c>
    </x:row>
    <x:row r="157" ht="22" customHeight="1">
      <x:c r="A157" s="9"/>
      <x:c r="B157" s="9"/>
      <x:c r="C157" s="9"/>
      <x:c r="D157" s="9"/>
      <x:c r="E157" s="9" t="n">
        <x:v>0</x:v>
      </x:c>
      <x:c r="F157" s="9" t="n">
        <x:v>0</x:v>
      </x:c>
      <x:c r="G157" s="9" t="n">
        <x:v>0</x:v>
      </x:c>
      <x:c r="H157" s="9" t="n">
        <x:v>0</x:v>
      </x:c>
      <x:c r="I157" s="9" t="n">
        <x:v>0</x:v>
      </x:c>
      <x:c r="J157" s="9" t="n">
        <x:v>0</x:v>
      </x:c>
      <x:c r="K157" s="9" t="n">
        <x:v>0</x:v>
      </x:c>
      <x:c r="L157" s="9" t="n">
        <x:v>0</x:v>
      </x:c>
      <x:c r="M157" s="9" t="n">
        <x:v>0</x:v>
      </x:c>
      <x:c r="N157" s="9" t="n">
        <x:v>0</x:v>
      </x:c>
      <x:c r="O157" s="9" t="n">
        <x:v>0</x:v>
      </x:c>
      <x:c r="P157" s="9" t="n">
        <x:v>0</x:v>
      </x:c>
      <x:c r="Q157" s="9" t="n">
        <x:v>0</x:v>
      </x:c>
      <x:c r="R157" s="9" t="n">
        <x:v>0</x:v>
      </x:c>
      <x:c r="S157" s="9" t="n">
        <x:v>0</x:v>
      </x:c>
      <x:c r="T157" s="9" t="n">
        <x:v>0</x:v>
      </x:c>
      <x:c r="U157" s="9" t="n">
        <x:v>0</x:v>
      </x:c>
      <x:c r="V157" s="9" t="n">
        <x:v>0</x:v>
      </x:c>
      <x:c r="W157" s="9" t="n">
        <x:v>0</x:v>
      </x:c>
      <x:c r="X157" s="9" t="n">
        <x:v>0</x:v>
      </x:c>
      <x:c r="Y157" s="9" t="n">
        <x:v>0</x:v>
      </x:c>
      <x:c r="Z157" s="9" t="n">
        <x:v>1</x:v>
      </x:c>
      <x:c r="AA157" s="9" t="n">
        <x:v>0</x:v>
      </x:c>
      <x:c r="AB157" s="9" t="n">
        <x:v>0</x:v>
      </x:c>
      <x:c r="AC157" s="9" t="n">
        <x:v>0</x:v>
      </x:c>
      <x:c r="AD157" s="9" t="n">
        <x:v>0</x:v>
      </x:c>
      <x:c r="AE157" s="9" t="n">
        <x:v>0</x:v>
      </x:c>
      <x:c r="AF157" s="9" t="n">
        <x:v>0</x:v>
      </x:c>
      <x:c r="AG157" s="9" t="n">
        <x:v>0</x:v>
      </x:c>
      <x:c r="AH157" s="9" t="n">
        <x:v>0</x:v>
      </x:c>
      <x:c r="AI157" s="9" t="n">
        <x:v>0</x:v>
      </x:c>
      <x:c r="AJ157" s="9" t="n">
        <x:v>0</x:v>
      </x:c>
      <x:c r="AK157" s="9" t="n">
        <x:v>0</x:v>
      </x:c>
      <x:c r="AL157" s="9" t="n">
        <x:v>0</x:v>
      </x:c>
      <x:c r="AM157" s="9" t="n">
        <x:v>0</x:v>
      </x:c>
    </x:row>
    <x:row r="158" ht="22" customHeight="1">
      <x:c r="A158" s="9"/>
      <x:c r="B158" s="9"/>
      <x:c r="C158" s="9"/>
      <x:c r="D158" s="9"/>
      <x:c r="E158" s="9" t="n">
        <x:v>0</x:v>
      </x:c>
      <x:c r="F158" s="9" t="n">
        <x:v>0</x:v>
      </x:c>
      <x:c r="G158" s="9" t="n">
        <x:v>0</x:v>
      </x:c>
      <x:c r="H158" s="9" t="n">
        <x:v>0</x:v>
      </x:c>
      <x:c r="I158" s="9" t="n">
        <x:v>0</x:v>
      </x:c>
      <x:c r="J158" s="9" t="n">
        <x:v>0</x:v>
      </x:c>
      <x:c r="K158" s="9" t="n">
        <x:v>0</x:v>
      </x:c>
      <x:c r="L158" s="9" t="n">
        <x:v>0</x:v>
      </x:c>
      <x:c r="M158" s="9" t="n">
        <x:v>0</x:v>
      </x:c>
      <x:c r="N158" s="9" t="n">
        <x:v>0</x:v>
      </x:c>
      <x:c r="O158" s="9" t="n">
        <x:v>0</x:v>
      </x:c>
      <x:c r="P158" s="9" t="n">
        <x:v>0</x:v>
      </x:c>
      <x:c r="Q158" s="9" t="n">
        <x:v>0</x:v>
      </x:c>
      <x:c r="R158" s="9" t="n">
        <x:v>0</x:v>
      </x:c>
      <x:c r="S158" s="9" t="n">
        <x:v>0</x:v>
      </x:c>
      <x:c r="T158" s="9" t="n">
        <x:v>0</x:v>
      </x:c>
      <x:c r="U158" s="9" t="n">
        <x:v>0</x:v>
      </x:c>
      <x:c r="V158" s="9" t="n">
        <x:v>0</x:v>
      </x:c>
      <x:c r="W158" s="9" t="n">
        <x:v>0</x:v>
      </x:c>
      <x:c r="X158" s="9" t="n">
        <x:v>0</x:v>
      </x:c>
      <x:c r="Y158" s="9" t="n">
        <x:v>0</x:v>
      </x:c>
      <x:c r="Z158" s="9" t="n">
        <x:v>0</x:v>
      </x:c>
      <x:c r="AA158" s="9" t="n">
        <x:v>1</x:v>
      </x:c>
      <x:c r="AB158" s="9" t="n">
        <x:v>0</x:v>
      </x:c>
      <x:c r="AC158" s="9" t="n">
        <x:v>0</x:v>
      </x:c>
      <x:c r="AD158" s="9" t="n">
        <x:v>0</x:v>
      </x:c>
      <x:c r="AE158" s="9" t="n">
        <x:v>0</x:v>
      </x:c>
      <x:c r="AF158" s="9" t="n">
        <x:v>0</x:v>
      </x:c>
      <x:c r="AG158" s="9" t="n">
        <x:v>0</x:v>
      </x:c>
      <x:c r="AH158" s="9" t="n">
        <x:v>0</x:v>
      </x:c>
      <x:c r="AI158" s="9" t="n">
        <x:v>0</x:v>
      </x:c>
      <x:c r="AJ158" s="9" t="n">
        <x:v>0</x:v>
      </x:c>
      <x:c r="AK158" s="9" t="n">
        <x:v>0</x:v>
      </x:c>
      <x:c r="AL158" s="9" t="n">
        <x:v>0</x:v>
      </x:c>
      <x:c r="AM158" s="9" t="n">
        <x:v>1</x:v>
      </x:c>
    </x:row>
    <x:row r="159" ht="22" customHeight="1">
      <x:c r="A159" s="9"/>
      <x:c r="B159" s="9"/>
      <x:c r="C159" s="9"/>
      <x:c r="D159" s="9"/>
      <x:c r="E159" s="9" t="n">
        <x:v>0</x:v>
      </x:c>
      <x:c r="F159" s="9" t="n">
        <x:v>0</x:v>
      </x:c>
      <x:c r="G159" s="9" t="n">
        <x:v>0</x:v>
      </x:c>
      <x:c r="H159" s="9" t="n">
        <x:v>0</x:v>
      </x:c>
      <x:c r="I159" s="9" t="n">
        <x:v>0</x:v>
      </x:c>
      <x:c r="J159" s="9" t="n">
        <x:v>0</x:v>
      </x:c>
      <x:c r="K159" s="9" t="n">
        <x:v>0</x:v>
      </x:c>
      <x:c r="L159" s="9" t="n">
        <x:v>0</x:v>
      </x:c>
      <x:c r="M159" s="9" t="n">
        <x:v>0</x:v>
      </x:c>
      <x:c r="N159" s="9" t="n">
        <x:v>0</x:v>
      </x:c>
      <x:c r="O159" s="9" t="n">
        <x:v>0</x:v>
      </x:c>
      <x:c r="P159" s="9" t="n">
        <x:v>0</x:v>
      </x:c>
      <x:c r="Q159" s="9" t="n">
        <x:v>0</x:v>
      </x:c>
      <x:c r="R159" s="9" t="n">
        <x:v>0</x:v>
      </x:c>
      <x:c r="S159" s="9" t="n">
        <x:v>0</x:v>
      </x:c>
      <x:c r="T159" s="9" t="n">
        <x:v>0</x:v>
      </x:c>
      <x:c r="U159" s="9" t="n">
        <x:v>0</x:v>
      </x:c>
      <x:c r="V159" s="9" t="n">
        <x:v>0</x:v>
      </x:c>
      <x:c r="W159" s="9" t="n">
        <x:v>0</x:v>
      </x:c>
      <x:c r="X159" s="9" t="n">
        <x:v>0</x:v>
      </x:c>
      <x:c r="Y159" s="9" t="n">
        <x:v>0</x:v>
      </x:c>
      <x:c r="Z159" s="9" t="n">
        <x:v>0</x:v>
      </x:c>
      <x:c r="AA159" s="9" t="n">
        <x:v>0</x:v>
      </x:c>
      <x:c r="AB159" s="9" t="n">
        <x:v>1</x:v>
      </x:c>
      <x:c r="AC159" s="9" t="n">
        <x:v>0</x:v>
      </x:c>
      <x:c r="AD159" s="9" t="n">
        <x:v>0</x:v>
      </x:c>
      <x:c r="AE159" s="9" t="n">
        <x:v>0</x:v>
      </x:c>
      <x:c r="AF159" s="9" t="n">
        <x:v>0</x:v>
      </x:c>
      <x:c r="AG159" s="9" t="n">
        <x:v>0</x:v>
      </x:c>
      <x:c r="AH159" s="9" t="n">
        <x:v>0</x:v>
      </x:c>
      <x:c r="AI159" s="9" t="n">
        <x:v>0</x:v>
      </x:c>
      <x:c r="AJ159" s="9" t="n">
        <x:v>0</x:v>
      </x:c>
      <x:c r="AK159" s="9" t="n">
        <x:v>0</x:v>
      </x:c>
      <x:c r="AL159" s="9" t="n">
        <x:v>0</x:v>
      </x:c>
      <x:c r="AM159" s="9" t="n">
        <x:v>0</x:v>
      </x:c>
    </x:row>
    <x:row r="160" ht="22" customHeight="1">
      <x:c r="A160" s="9"/>
      <x:c r="B160" s="9"/>
      <x:c r="C160" s="9"/>
      <x:c r="D160" s="9"/>
      <x:c r="E160" s="9" t="n">
        <x:v>0</x:v>
      </x:c>
      <x:c r="F160" s="9" t="n">
        <x:v>0</x:v>
      </x:c>
      <x:c r="G160" s="9" t="n">
        <x:v>0</x:v>
      </x:c>
      <x:c r="H160" s="9" t="n">
        <x:v>0</x:v>
      </x:c>
      <x:c r="I160" s="9" t="n">
        <x:v>0</x:v>
      </x:c>
      <x:c r="J160" s="9" t="n">
        <x:v>0</x:v>
      </x:c>
      <x:c r="K160" s="9" t="n">
        <x:v>0</x:v>
      </x:c>
      <x:c r="L160" s="9" t="n">
        <x:v>0</x:v>
      </x:c>
      <x:c r="M160" s="9" t="n">
        <x:v>0</x:v>
      </x:c>
      <x:c r="N160" s="9" t="n">
        <x:v>0</x:v>
      </x:c>
      <x:c r="O160" s="9" t="n">
        <x:v>0</x:v>
      </x:c>
      <x:c r="P160" s="9" t="n">
        <x:v>0</x:v>
      </x:c>
      <x:c r="Q160" s="9" t="n">
        <x:v>0</x:v>
      </x:c>
      <x:c r="R160" s="9" t="n">
        <x:v>0</x:v>
      </x:c>
      <x:c r="S160" s="9" t="n">
        <x:v>0</x:v>
      </x:c>
      <x:c r="T160" s="9" t="n">
        <x:v>0</x:v>
      </x:c>
      <x:c r="U160" s="9" t="n">
        <x:v>0</x:v>
      </x:c>
      <x:c r="V160" s="9" t="n">
        <x:v>0</x:v>
      </x:c>
      <x:c r="W160" s="9" t="n">
        <x:v>0</x:v>
      </x:c>
      <x:c r="X160" s="9" t="n">
        <x:v>0</x:v>
      </x:c>
      <x:c r="Y160" s="9" t="n">
        <x:v>0</x:v>
      </x:c>
      <x:c r="Z160" s="9" t="n">
        <x:v>0</x:v>
      </x:c>
      <x:c r="AA160" s="9" t="n">
        <x:v>0</x:v>
      </x:c>
      <x:c r="AB160" s="9" t="n">
        <x:v>0</x:v>
      </x:c>
      <x:c r="AC160" s="9" t="n">
        <x:v>1</x:v>
      </x:c>
      <x:c r="AD160" s="9" t="n">
        <x:v>0</x:v>
      </x:c>
      <x:c r="AE160" s="9" t="n">
        <x:v>0</x:v>
      </x:c>
      <x:c r="AF160" s="9" t="n">
        <x:v>0</x:v>
      </x:c>
      <x:c r="AG160" s="9" t="n">
        <x:v>0</x:v>
      </x:c>
      <x:c r="AH160" s="9" t="n">
        <x:v>0</x:v>
      </x:c>
      <x:c r="AI160" s="9" t="n">
        <x:v>0</x:v>
      </x:c>
      <x:c r="AJ160" s="9" t="n">
        <x:v>0</x:v>
      </x:c>
      <x:c r="AK160" s="9" t="n">
        <x:v>0</x:v>
      </x:c>
      <x:c r="AL160" s="9" t="n">
        <x:v>0</x:v>
      </x:c>
      <x:c r="AM160" s="9" t="n">
        <x:v>0</x:v>
      </x:c>
    </x:row>
    <x:row r="161" ht="22" customHeight="1">
      <x:c r="A161" s="9"/>
      <x:c r="B161" s="9"/>
      <x:c r="C161" s="9"/>
      <x:c r="D161" s="9"/>
      <x:c r="E161" s="9" t="n">
        <x:v>0</x:v>
      </x:c>
      <x:c r="F161" s="9" t="n">
        <x:v>0</x:v>
      </x:c>
      <x:c r="G161" s="9" t="n">
        <x:v>0</x:v>
      </x:c>
      <x:c r="H161" s="9" t="n">
        <x:v>0</x:v>
      </x:c>
      <x:c r="I161" s="9" t="n">
        <x:v>0</x:v>
      </x:c>
      <x:c r="J161" s="9" t="n">
        <x:v>0</x:v>
      </x:c>
      <x:c r="K161" s="9" t="n">
        <x:v>0</x:v>
      </x:c>
      <x:c r="L161" s="9" t="n">
        <x:v>0</x:v>
      </x:c>
      <x:c r="M161" s="9" t="n">
        <x:v>0</x:v>
      </x:c>
      <x:c r="N161" s="9" t="n">
        <x:v>0</x:v>
      </x:c>
      <x:c r="O161" s="9" t="n">
        <x:v>0</x:v>
      </x:c>
      <x:c r="P161" s="9" t="n">
        <x:v>0</x:v>
      </x:c>
      <x:c r="Q161" s="9" t="n">
        <x:v>0</x:v>
      </x:c>
      <x:c r="R161" s="9" t="n">
        <x:v>0</x:v>
      </x:c>
      <x:c r="S161" s="9" t="n">
        <x:v>0</x:v>
      </x:c>
      <x:c r="T161" s="9" t="n">
        <x:v>0</x:v>
      </x:c>
      <x:c r="U161" s="9" t="n">
        <x:v>0</x:v>
      </x:c>
      <x:c r="V161" s="9" t="n">
        <x:v>0</x:v>
      </x:c>
      <x:c r="W161" s="9" t="n">
        <x:v>0</x:v>
      </x:c>
      <x:c r="X161" s="9" t="n">
        <x:v>0</x:v>
      </x:c>
      <x:c r="Y161" s="9" t="n">
        <x:v>0</x:v>
      </x:c>
      <x:c r="Z161" s="9" t="n">
        <x:v>0</x:v>
      </x:c>
      <x:c r="AA161" s="9" t="n">
        <x:v>0</x:v>
      </x:c>
      <x:c r="AB161" s="9" t="n">
        <x:v>0</x:v>
      </x:c>
      <x:c r="AC161" s="9" t="n">
        <x:v>0</x:v>
      </x:c>
      <x:c r="AD161" s="9" t="n">
        <x:v>1</x:v>
      </x:c>
      <x:c r="AE161" s="9" t="n">
        <x:v>0</x:v>
      </x:c>
      <x:c r="AF161" s="9" t="n">
        <x:v>0</x:v>
      </x:c>
      <x:c r="AG161" s="9" t="n">
        <x:v>0</x:v>
      </x:c>
      <x:c r="AH161" s="9" t="n">
        <x:v>0</x:v>
      </x:c>
      <x:c r="AI161" s="9" t="n">
        <x:v>1</x:v>
      </x:c>
      <x:c r="AJ161" s="9" t="n">
        <x:v>0</x:v>
      </x:c>
      <x:c r="AK161" s="9" t="n">
        <x:v>0</x:v>
      </x:c>
      <x:c r="AL161" s="9" t="n">
        <x:v>0</x:v>
      </x:c>
      <x:c r="AM161" s="9" t="n">
        <x:v>0</x:v>
      </x:c>
    </x:row>
    <x:row r="162" ht="22" customHeight="1">
      <x:c r="A162" s="9"/>
      <x:c r="B162" s="9"/>
      <x:c r="C162" s="9"/>
      <x:c r="D162" s="9"/>
      <x:c r="E162" s="9" t="n">
        <x:v>0</x:v>
      </x:c>
      <x:c r="F162" s="9" t="n">
        <x:v>0</x:v>
      </x:c>
      <x:c r="G162" s="9" t="n">
        <x:v>0</x:v>
      </x:c>
      <x:c r="H162" s="9" t="n">
        <x:v>0</x:v>
      </x:c>
      <x:c r="I162" s="9" t="n">
        <x:v>0</x:v>
      </x:c>
      <x:c r="J162" s="9" t="n">
        <x:v>0</x:v>
      </x:c>
      <x:c r="K162" s="9" t="n">
        <x:v>0</x:v>
      </x:c>
      <x:c r="L162" s="9" t="n">
        <x:v>0</x:v>
      </x:c>
      <x:c r="M162" s="9" t="n">
        <x:v>0</x:v>
      </x:c>
      <x:c r="N162" s="9" t="n">
        <x:v>0</x:v>
      </x:c>
      <x:c r="O162" s="9" t="n">
        <x:v>0</x:v>
      </x:c>
      <x:c r="P162" s="9" t="n">
        <x:v>0</x:v>
      </x:c>
      <x:c r="Q162" s="9" t="n">
        <x:v>0</x:v>
      </x:c>
      <x:c r="R162" s="9" t="n">
        <x:v>0</x:v>
      </x:c>
      <x:c r="S162" s="9" t="n">
        <x:v>0</x:v>
      </x:c>
      <x:c r="T162" s="9" t="n">
        <x:v>0</x:v>
      </x:c>
      <x:c r="U162" s="9" t="n">
        <x:v>0</x:v>
      </x:c>
      <x:c r="V162" s="9" t="n">
        <x:v>0</x:v>
      </x:c>
      <x:c r="W162" s="9" t="n">
        <x:v>0</x:v>
      </x:c>
      <x:c r="X162" s="9" t="n">
        <x:v>0</x:v>
      </x:c>
      <x:c r="Y162" s="9" t="n">
        <x:v>0</x:v>
      </x:c>
      <x:c r="Z162" s="9" t="n">
        <x:v>0</x:v>
      </x:c>
      <x:c r="AA162" s="9" t="n">
        <x:v>0</x:v>
      </x:c>
      <x:c r="AB162" s="9" t="n">
        <x:v>0</x:v>
      </x:c>
      <x:c r="AC162" s="9" t="n">
        <x:v>0</x:v>
      </x:c>
      <x:c r="AD162" s="9" t="n">
        <x:v>0</x:v>
      </x:c>
      <x:c r="AE162" s="9" t="n">
        <x:v>1</x:v>
      </x:c>
      <x:c r="AF162" s="9" t="n">
        <x:v>0</x:v>
      </x:c>
      <x:c r="AG162" s="9" t="n">
        <x:v>0</x:v>
      </x:c>
      <x:c r="AH162" s="9" t="n">
        <x:v>0</x:v>
      </x:c>
      <x:c r="AI162" s="9" t="n">
        <x:v>0</x:v>
      </x:c>
      <x:c r="AJ162" s="9" t="n">
        <x:v>1</x:v>
      </x:c>
      <x:c r="AK162" s="9" t="n">
        <x:v>0</x:v>
      </x:c>
      <x:c r="AL162" s="9" t="n">
        <x:v>0</x:v>
      </x:c>
      <x:c r="AM162" s="9" t="n">
        <x:v>0</x:v>
      </x:c>
    </x:row>
    <x:row r="163" ht="22" customHeight="1">
      <x:c r="A163" s="9"/>
      <x:c r="B163" s="9"/>
      <x:c r="C163" s="9"/>
      <x:c r="D163" s="9"/>
      <x:c r="E163" s="9" t="n">
        <x:v>0</x:v>
      </x:c>
      <x:c r="F163" s="9" t="n">
        <x:v>0</x:v>
      </x:c>
      <x:c r="G163" s="9" t="n">
        <x:v>0</x:v>
      </x:c>
      <x:c r="H163" s="9" t="n">
        <x:v>0</x:v>
      </x:c>
      <x:c r="I163" s="9" t="n">
        <x:v>0</x:v>
      </x:c>
      <x:c r="J163" s="9" t="n">
        <x:v>0</x:v>
      </x:c>
      <x:c r="K163" s="9" t="n">
        <x:v>0</x:v>
      </x:c>
      <x:c r="L163" s="9" t="n">
        <x:v>0</x:v>
      </x:c>
      <x:c r="M163" s="9" t="n">
        <x:v>0</x:v>
      </x:c>
      <x:c r="N163" s="9" t="n">
        <x:v>0</x:v>
      </x:c>
      <x:c r="O163" s="9" t="n">
        <x:v>0</x:v>
      </x:c>
      <x:c r="P163" s="9" t="n">
        <x:v>0</x:v>
      </x:c>
      <x:c r="Q163" s="9" t="n">
        <x:v>0</x:v>
      </x:c>
      <x:c r="R163" s="9" t="n">
        <x:v>0</x:v>
      </x:c>
      <x:c r="S163" s="9" t="n">
        <x:v>0</x:v>
      </x:c>
      <x:c r="T163" s="9" t="n">
        <x:v>0</x:v>
      </x:c>
      <x:c r="U163" s="9" t="n">
        <x:v>0</x:v>
      </x:c>
      <x:c r="V163" s="9" t="n">
        <x:v>0</x:v>
      </x:c>
      <x:c r="W163" s="9" t="n">
        <x:v>0</x:v>
      </x:c>
      <x:c r="X163" s="9" t="n">
        <x:v>0</x:v>
      </x:c>
      <x:c r="Y163" s="9" t="n">
        <x:v>0</x:v>
      </x:c>
      <x:c r="Z163" s="9" t="n">
        <x:v>0</x:v>
      </x:c>
      <x:c r="AA163" s="9" t="n">
        <x:v>0</x:v>
      </x:c>
      <x:c r="AB163" s="9" t="n">
        <x:v>0</x:v>
      </x:c>
      <x:c r="AC163" s="9" t="n">
        <x:v>0</x:v>
      </x:c>
      <x:c r="AD163" s="9" t="n">
        <x:v>0</x:v>
      </x:c>
      <x:c r="AE163" s="9" t="n">
        <x:v>0</x:v>
      </x:c>
      <x:c r="AF163" s="9" t="n">
        <x:v>1</x:v>
      </x:c>
      <x:c r="AG163" s="9" t="n">
        <x:v>0</x:v>
      </x:c>
      <x:c r="AH163" s="9" t="n">
        <x:v>0</x:v>
      </x:c>
      <x:c r="AI163" s="9" t="n">
        <x:v>0</x:v>
      </x:c>
      <x:c r="AJ163" s="9" t="n">
        <x:v>0</x:v>
      </x:c>
      <x:c r="AK163" s="9" t="n">
        <x:v>1</x:v>
      </x:c>
      <x:c r="AL163" s="9" t="n">
        <x:v>0</x:v>
      </x:c>
      <x:c r="AM163" s="9" t="n">
        <x:v>0</x:v>
      </x:c>
    </x:row>
    <x:row r="164" ht="22" customHeight="1">
      <x:c r="A164" s="9"/>
      <x:c r="B164" s="9"/>
      <x:c r="C164" s="9"/>
      <x:c r="D164" s="9"/>
      <x:c r="E164" s="9" t="n">
        <x:v>0</x:v>
      </x:c>
      <x:c r="F164" s="9" t="n">
        <x:v>0</x:v>
      </x:c>
      <x:c r="G164" s="9" t="n">
        <x:v>0</x:v>
      </x:c>
      <x:c r="H164" s="9" t="n">
        <x:v>0</x:v>
      </x:c>
      <x:c r="I164" s="9" t="n">
        <x:v>0</x:v>
      </x:c>
      <x:c r="J164" s="9" t="n">
        <x:v>0</x:v>
      </x:c>
      <x:c r="K164" s="9" t="n">
        <x:v>0</x:v>
      </x:c>
      <x:c r="L164" s="9" t="n">
        <x:v>0</x:v>
      </x:c>
      <x:c r="M164" s="9" t="n">
        <x:v>0</x:v>
      </x:c>
      <x:c r="N164" s="9" t="n">
        <x:v>0</x:v>
      </x:c>
      <x:c r="O164" s="9" t="n">
        <x:v>0</x:v>
      </x:c>
      <x:c r="P164" s="9" t="n">
        <x:v>0</x:v>
      </x:c>
      <x:c r="Q164" s="9" t="n">
        <x:v>0</x:v>
      </x:c>
      <x:c r="R164" s="9" t="n">
        <x:v>0</x:v>
      </x:c>
      <x:c r="S164" s="9" t="n">
        <x:v>0</x:v>
      </x:c>
      <x:c r="T164" s="9" t="n">
        <x:v>0</x:v>
      </x:c>
      <x:c r="U164" s="9" t="n">
        <x:v>0</x:v>
      </x:c>
      <x:c r="V164" s="9" t="n">
        <x:v>0</x:v>
      </x:c>
      <x:c r="W164" s="9" t="n">
        <x:v>0</x:v>
      </x:c>
      <x:c r="X164" s="9" t="n">
        <x:v>0</x:v>
      </x:c>
      <x:c r="Y164" s="9" t="n">
        <x:v>0</x:v>
      </x:c>
      <x:c r="Z164" s="9" t="n">
        <x:v>0</x:v>
      </x:c>
      <x:c r="AA164" s="9" t="n">
        <x:v>0</x:v>
      </x:c>
      <x:c r="AB164" s="9" t="n">
        <x:v>0</x:v>
      </x:c>
      <x:c r="AC164" s="9" t="n">
        <x:v>1</x:v>
      </x:c>
      <x:c r="AD164" s="9" t="n">
        <x:v>0</x:v>
      </x:c>
      <x:c r="AE164" s="9" t="n">
        <x:v>0</x:v>
      </x:c>
      <x:c r="AF164" s="9" t="n">
        <x:v>0</x:v>
      </x:c>
      <x:c r="AG164" s="9" t="n">
        <x:v>1</x:v>
      </x:c>
      <x:c r="AH164" s="9" t="n">
        <x:v>0</x:v>
      </x:c>
      <x:c r="AI164" s="9" t="n">
        <x:v>0</x:v>
      </x:c>
      <x:c r="AJ164" s="9" t="n">
        <x:v>0</x:v>
      </x:c>
      <x:c r="AK164" s="9" t="n">
        <x:v>0</x:v>
      </x:c>
      <x:c r="AL164" s="9" t="n">
        <x:v>0</x:v>
      </x:c>
      <x:c r="AM164" s="9" t="n">
        <x:v>0</x:v>
      </x:c>
    </x:row>
    <x:row r="165" ht="22" customHeight="1">
      <x:c r="A165" s="9"/>
      <x:c r="B165" s="9"/>
      <x:c r="C165" s="9"/>
      <x:c r="D165" s="9"/>
      <x:c r="E165" s="9" t="n">
        <x:v>0</x:v>
      </x:c>
      <x:c r="F165" s="9" t="n">
        <x:v>0</x:v>
      </x:c>
      <x:c r="G165" s="9" t="n">
        <x:v>0</x:v>
      </x:c>
      <x:c r="H165" s="9" t="n">
        <x:v>0</x:v>
      </x:c>
      <x:c r="I165" s="9" t="n">
        <x:v>0</x:v>
      </x:c>
      <x:c r="J165" s="9" t="n">
        <x:v>0</x:v>
      </x:c>
      <x:c r="K165" s="9" t="n">
        <x:v>0</x:v>
      </x:c>
      <x:c r="L165" s="9" t="n">
        <x:v>0</x:v>
      </x:c>
      <x:c r="M165" s="9" t="n">
        <x:v>0</x:v>
      </x:c>
      <x:c r="N165" s="9" t="n">
        <x:v>0</x:v>
      </x:c>
      <x:c r="O165" s="9" t="n">
        <x:v>0</x:v>
      </x:c>
      <x:c r="P165" s="9" t="n">
        <x:v>0</x:v>
      </x:c>
      <x:c r="Q165" s="9" t="n">
        <x:v>0</x:v>
      </x:c>
      <x:c r="R165" s="9" t="n">
        <x:v>0</x:v>
      </x:c>
      <x:c r="S165" s="9" t="n">
        <x:v>0</x:v>
      </x:c>
      <x:c r="T165" s="9" t="n">
        <x:v>0</x:v>
      </x:c>
      <x:c r="U165" s="9" t="n">
        <x:v>0</x:v>
      </x:c>
      <x:c r="V165" s="9" t="n">
        <x:v>0</x:v>
      </x:c>
      <x:c r="W165" s="9" t="n">
        <x:v>0</x:v>
      </x:c>
      <x:c r="X165" s="9" t="n">
        <x:v>0</x:v>
      </x:c>
      <x:c r="Y165" s="9" t="n">
        <x:v>0</x:v>
      </x:c>
      <x:c r="Z165" s="9" t="n">
        <x:v>0</x:v>
      </x:c>
      <x:c r="AA165" s="9" t="n">
        <x:v>0</x:v>
      </x:c>
      <x:c r="AB165" s="9" t="n">
        <x:v>0</x:v>
      </x:c>
      <x:c r="AC165" s="9" t="n">
        <x:v>0</x:v>
      </x:c>
      <x:c r="AD165" s="9" t="n">
        <x:v>0</x:v>
      </x:c>
      <x:c r="AE165" s="9" t="n">
        <x:v>0</x:v>
      </x:c>
      <x:c r="AF165" s="9" t="n">
        <x:v>0</x:v>
      </x:c>
      <x:c r="AG165" s="9" t="n">
        <x:v>0</x:v>
      </x:c>
      <x:c r="AH165" s="9" t="n">
        <x:v>1</x:v>
      </x:c>
      <x:c r="AI165" s="9" t="n">
        <x:v>0</x:v>
      </x:c>
      <x:c r="AJ165" s="9" t="n">
        <x:v>0</x:v>
      </x:c>
      <x:c r="AK165" s="9" t="n">
        <x:v>0</x:v>
      </x:c>
      <x:c r="AL165" s="9" t="n">
        <x:v>0</x:v>
      </x:c>
      <x:c r="AM165" s="9" t="n">
        <x:v>0</x:v>
      </x:c>
    </x:row>
    <x:row r="166" ht="22" customHeight="1">
      <x:c r="A166" s="9"/>
      <x:c r="B166" s="9"/>
      <x:c r="C166" s="9"/>
      <x:c r="D166" s="9"/>
      <x:c r="E166" s="9" t="n">
        <x:v>0</x:v>
      </x:c>
      <x:c r="F166" s="9" t="n">
        <x:v>0</x:v>
      </x:c>
      <x:c r="G166" s="9" t="n">
        <x:v>0</x:v>
      </x:c>
      <x:c r="H166" s="9" t="n">
        <x:v>0</x:v>
      </x:c>
      <x:c r="I166" s="9" t="n">
        <x:v>0</x:v>
      </x:c>
      <x:c r="J166" s="9" t="n">
        <x:v>0</x:v>
      </x:c>
      <x:c r="K166" s="9" t="n">
        <x:v>0</x:v>
      </x:c>
      <x:c r="L166" s="9" t="n">
        <x:v>0</x:v>
      </x:c>
      <x:c r="M166" s="9" t="n">
        <x:v>0</x:v>
      </x:c>
      <x:c r="N166" s="9" t="n">
        <x:v>0</x:v>
      </x:c>
      <x:c r="O166" s="9" t="n">
        <x:v>0</x:v>
      </x:c>
      <x:c r="P166" s="9" t="n">
        <x:v>0</x:v>
      </x:c>
      <x:c r="Q166" s="9" t="n">
        <x:v>0</x:v>
      </x:c>
      <x:c r="R166" s="9" t="n">
        <x:v>0</x:v>
      </x:c>
      <x:c r="S166" s="9" t="n">
        <x:v>0</x:v>
      </x:c>
      <x:c r="T166" s="9" t="n">
        <x:v>0</x:v>
      </x:c>
      <x:c r="U166" s="9" t="n">
        <x:v>0</x:v>
      </x:c>
      <x:c r="V166" s="9" t="n">
        <x:v>0</x:v>
      </x:c>
      <x:c r="W166" s="9" t="n">
        <x:v>0</x:v>
      </x:c>
      <x:c r="X166" s="9" t="n">
        <x:v>0</x:v>
      </x:c>
      <x:c r="Y166" s="9" t="n">
        <x:v>0</x:v>
      </x:c>
      <x:c r="Z166" s="9" t="n">
        <x:v>0</x:v>
      </x:c>
      <x:c r="AA166" s="9" t="n">
        <x:v>0</x:v>
      </x:c>
      <x:c r="AB166" s="9" t="n">
        <x:v>0</x:v>
      </x:c>
      <x:c r="AC166" s="9" t="n">
        <x:v>0</x:v>
      </x:c>
      <x:c r="AD166" s="9" t="n">
        <x:v>0</x:v>
      </x:c>
      <x:c r="AE166" s="9" t="n">
        <x:v>0</x:v>
      </x:c>
      <x:c r="AF166" s="9" t="n">
        <x:v>0</x:v>
      </x:c>
      <x:c r="AG166" s="9" t="n">
        <x:v>0</x:v>
      </x:c>
      <x:c r="AH166" s="9" t="n">
        <x:v>0</x:v>
      </x:c>
      <x:c r="AI166" s="9" t="n">
        <x:v>1</x:v>
      </x:c>
      <x:c r="AJ166" s="9" t="n">
        <x:v>0</x:v>
      </x:c>
      <x:c r="AK166" s="9" t="n">
        <x:v>0</x:v>
      </x:c>
      <x:c r="AL166" s="9" t="n">
        <x:v>0</x:v>
      </x:c>
      <x:c r="AM166" s="9" t="n">
        <x:v>0</x:v>
      </x:c>
    </x:row>
    <x:row r="167" ht="22" customHeight="1">
      <x:c r="A167" s="9"/>
      <x:c r="B167" s="9"/>
      <x:c r="C167" s="9"/>
      <x:c r="D167" s="9"/>
      <x:c r="E167" s="9" t="n">
        <x:v>0</x:v>
      </x:c>
      <x:c r="F167" s="9" t="n">
        <x:v>0</x:v>
      </x:c>
      <x:c r="G167" s="9" t="n">
        <x:v>0</x:v>
      </x:c>
      <x:c r="H167" s="9" t="n">
        <x:v>0</x:v>
      </x:c>
      <x:c r="I167" s="9" t="n">
        <x:v>0</x:v>
      </x:c>
      <x:c r="J167" s="9" t="n">
        <x:v>0</x:v>
      </x:c>
      <x:c r="K167" s="9" t="n">
        <x:v>0</x:v>
      </x:c>
      <x:c r="L167" s="9" t="n">
        <x:v>0</x:v>
      </x:c>
      <x:c r="M167" s="9" t="n">
        <x:v>0</x:v>
      </x:c>
      <x:c r="N167" s="9" t="n">
        <x:v>0</x:v>
      </x:c>
      <x:c r="O167" s="9" t="n">
        <x:v>0</x:v>
      </x:c>
      <x:c r="P167" s="9" t="n">
        <x:v>0</x:v>
      </x:c>
      <x:c r="Q167" s="9" t="n">
        <x:v>0</x:v>
      </x:c>
      <x:c r="R167" s="9" t="n">
        <x:v>0</x:v>
      </x:c>
      <x:c r="S167" s="9" t="n">
        <x:v>0</x:v>
      </x:c>
      <x:c r="T167" s="9" t="n">
        <x:v>0</x:v>
      </x:c>
      <x:c r="U167" s="9" t="n">
        <x:v>0</x:v>
      </x:c>
      <x:c r="V167" s="9" t="n">
        <x:v>0</x:v>
      </x:c>
      <x:c r="W167" s="9" t="n">
        <x:v>0</x:v>
      </x:c>
      <x:c r="X167" s="9" t="n">
        <x:v>0</x:v>
      </x:c>
      <x:c r="Y167" s="9" t="n">
        <x:v>0</x:v>
      </x:c>
      <x:c r="Z167" s="9" t="n">
        <x:v>0</x:v>
      </x:c>
      <x:c r="AA167" s="9" t="n">
        <x:v>0</x:v>
      </x:c>
      <x:c r="AB167" s="9" t="n">
        <x:v>0</x:v>
      </x:c>
      <x:c r="AC167" s="9" t="n">
        <x:v>0</x:v>
      </x:c>
      <x:c r="AD167" s="9" t="n">
        <x:v>0</x:v>
      </x:c>
      <x:c r="AE167" s="9" t="n">
        <x:v>0</x:v>
      </x:c>
      <x:c r="AF167" s="9" t="n">
        <x:v>0</x:v>
      </x:c>
      <x:c r="AG167" s="9" t="n">
        <x:v>0</x:v>
      </x:c>
      <x:c r="AH167" s="9" t="n">
        <x:v>0</x:v>
      </x:c>
      <x:c r="AI167" s="9" t="n">
        <x:v>0</x:v>
      </x:c>
      <x:c r="AJ167" s="9" t="n">
        <x:v>1</x:v>
      </x:c>
      <x:c r="AK167" s="9" t="n">
        <x:v>0</x:v>
      </x:c>
      <x:c r="AL167" s="9" t="n">
        <x:v>0</x:v>
      </x:c>
      <x:c r="AM167" s="9" t="n">
        <x:v>0</x:v>
      </x:c>
    </x:row>
    <x:row r="168" ht="22" customHeight="1">
      <x:c r="A168" s="9"/>
      <x:c r="B168" s="9"/>
      <x:c r="C168" s="9"/>
      <x:c r="D168" s="9"/>
      <x:c r="E168" s="9" t="n">
        <x:v>0</x:v>
      </x:c>
      <x:c r="F168" s="9" t="n">
        <x:v>0</x:v>
      </x:c>
      <x:c r="G168" s="9" t="n">
        <x:v>0</x:v>
      </x:c>
      <x:c r="H168" s="9" t="n">
        <x:v>0</x:v>
      </x:c>
      <x:c r="I168" s="9" t="n">
        <x:v>0</x:v>
      </x:c>
      <x:c r="J168" s="9" t="n">
        <x:v>0</x:v>
      </x:c>
      <x:c r="K168" s="9" t="n">
        <x:v>0</x:v>
      </x:c>
      <x:c r="L168" s="9" t="n">
        <x:v>0</x:v>
      </x:c>
      <x:c r="M168" s="9" t="n">
        <x:v>0</x:v>
      </x:c>
      <x:c r="N168" s="9" t="n">
        <x:v>0</x:v>
      </x:c>
      <x:c r="O168" s="9" t="n">
        <x:v>0</x:v>
      </x:c>
      <x:c r="P168" s="9" t="n">
        <x:v>0</x:v>
      </x:c>
      <x:c r="Q168" s="9" t="n">
        <x:v>0</x:v>
      </x:c>
      <x:c r="R168" s="9" t="n">
        <x:v>0</x:v>
      </x:c>
      <x:c r="S168" s="9" t="n">
        <x:v>0</x:v>
      </x:c>
      <x:c r="T168" s="9" t="n">
        <x:v>0</x:v>
      </x:c>
      <x:c r="U168" s="9" t="n">
        <x:v>0</x:v>
      </x:c>
      <x:c r="V168" s="9" t="n">
        <x:v>0</x:v>
      </x:c>
      <x:c r="W168" s="9" t="n">
        <x:v>0</x:v>
      </x:c>
      <x:c r="X168" s="9" t="n">
        <x:v>0</x:v>
      </x:c>
      <x:c r="Y168" s="9" t="n">
        <x:v>0</x:v>
      </x:c>
      <x:c r="Z168" s="9" t="n">
        <x:v>0</x:v>
      </x:c>
      <x:c r="AA168" s="9" t="n">
        <x:v>0</x:v>
      </x:c>
      <x:c r="AB168" s="9" t="n">
        <x:v>0</x:v>
      </x:c>
      <x:c r="AC168" s="9" t="n">
        <x:v>0</x:v>
      </x:c>
      <x:c r="AD168" s="9" t="n">
        <x:v>0</x:v>
      </x:c>
      <x:c r="AE168" s="9" t="n">
        <x:v>0</x:v>
      </x:c>
      <x:c r="AF168" s="9" t="n">
        <x:v>0</x:v>
      </x:c>
      <x:c r="AG168" s="9" t="n">
        <x:v>0</x:v>
      </x:c>
      <x:c r="AH168" s="9" t="n">
        <x:v>0</x:v>
      </x:c>
      <x:c r="AI168" s="9" t="n">
        <x:v>0</x:v>
      </x:c>
      <x:c r="AJ168" s="9" t="n">
        <x:v>0</x:v>
      </x:c>
      <x:c r="AK168" s="9" t="n">
        <x:v>1</x:v>
      </x:c>
      <x:c r="AL168" s="9" t="n">
        <x:v>0</x:v>
      </x:c>
      <x:c r="AM168" s="9" t="n">
        <x:v>0</x:v>
      </x:c>
    </x:row>
    <x:row r="169" ht="22" customHeight="1">
      <x:c r="A169" s="9"/>
      <x:c r="B169" s="9"/>
      <x:c r="C169" s="9"/>
      <x:c r="D169" s="9"/>
      <x:c r="E169" s="9" t="n">
        <x:v>0</x:v>
      </x:c>
      <x:c r="F169" s="9" t="n">
        <x:v>0</x:v>
      </x:c>
      <x:c r="G169" s="9" t="n">
        <x:v>0</x:v>
      </x:c>
      <x:c r="H169" s="9" t="n">
        <x:v>0</x:v>
      </x:c>
      <x:c r="I169" s="9" t="n">
        <x:v>0</x:v>
      </x:c>
      <x:c r="J169" s="9" t="n">
        <x:v>0</x:v>
      </x:c>
      <x:c r="K169" s="9" t="n">
        <x:v>0</x:v>
      </x:c>
      <x:c r="L169" s="9" t="n">
        <x:v>0</x:v>
      </x:c>
      <x:c r="M169" s="9" t="n">
        <x:v>0</x:v>
      </x:c>
      <x:c r="N169" s="9" t="n">
        <x:v>0</x:v>
      </x:c>
      <x:c r="O169" s="9" t="n">
        <x:v>0</x:v>
      </x:c>
      <x:c r="P169" s="9" t="n">
        <x:v>0</x:v>
      </x:c>
      <x:c r="Q169" s="9" t="n">
        <x:v>0</x:v>
      </x:c>
      <x:c r="R169" s="9" t="n">
        <x:v>0</x:v>
      </x:c>
      <x:c r="S169" s="9" t="n">
        <x:v>0</x:v>
      </x:c>
      <x:c r="T169" s="9" t="n">
        <x:v>0</x:v>
      </x:c>
      <x:c r="U169" s="9" t="n">
        <x:v>0</x:v>
      </x:c>
      <x:c r="V169" s="9" t="n">
        <x:v>0</x:v>
      </x:c>
      <x:c r="W169" s="9" t="n">
        <x:v>0</x:v>
      </x:c>
      <x:c r="X169" s="9" t="n">
        <x:v>0</x:v>
      </x:c>
      <x:c r="Y169" s="9" t="n">
        <x:v>0</x:v>
      </x:c>
      <x:c r="Z169" s="9" t="n">
        <x:v>0</x:v>
      </x:c>
      <x:c r="AA169" s="9" t="n">
        <x:v>0</x:v>
      </x:c>
      <x:c r="AB169" s="9" t="n">
        <x:v>0</x:v>
      </x:c>
      <x:c r="AC169" s="9" t="n">
        <x:v>0</x:v>
      </x:c>
      <x:c r="AD169" s="9" t="n">
        <x:v>0</x:v>
      </x:c>
      <x:c r="AE169" s="9" t="n">
        <x:v>0</x:v>
      </x:c>
      <x:c r="AF169" s="9" t="n">
        <x:v>0</x:v>
      </x:c>
      <x:c r="AG169" s="9" t="n">
        <x:v>0</x:v>
      </x:c>
      <x:c r="AH169" s="9" t="n">
        <x:v>0</x:v>
      </x:c>
      <x:c r="AI169" s="9" t="n">
        <x:v>0</x:v>
      </x:c>
      <x:c r="AJ169" s="9" t="n">
        <x:v>0</x:v>
      </x:c>
      <x:c r="AK169" s="9" t="n">
        <x:v>0</x:v>
      </x:c>
      <x:c r="AL169" s="9" t="n">
        <x:v>1</x:v>
      </x:c>
      <x:c r="AM169" s="9" t="n">
        <x:v>0</x:v>
      </x:c>
    </x:row>
    <x:row r="170" ht="22" customHeight="1">
      <x:c r="A170" s="9"/>
      <x:c r="B170" s="9"/>
      <x:c r="C170" s="9"/>
      <x:c r="D170" s="9"/>
      <x:c r="E170" s="9" t="n">
        <x:v>0</x:v>
      </x:c>
      <x:c r="F170" s="9" t="n">
        <x:v>0</x:v>
      </x:c>
      <x:c r="G170" s="9" t="n">
        <x:v>0</x:v>
      </x:c>
      <x:c r="H170" s="9" t="n">
        <x:v>0</x:v>
      </x:c>
      <x:c r="I170" s="9" t="n">
        <x:v>0</x:v>
      </x:c>
      <x:c r="J170" s="9" t="n">
        <x:v>0</x:v>
      </x:c>
      <x:c r="K170" s="9" t="n">
        <x:v>0</x:v>
      </x:c>
      <x:c r="L170" s="9" t="n">
        <x:v>0</x:v>
      </x:c>
      <x:c r="M170" s="9" t="n">
        <x:v>0</x:v>
      </x:c>
      <x:c r="N170" s="9" t="n">
        <x:v>0</x:v>
      </x:c>
      <x:c r="O170" s="9" t="n">
        <x:v>0</x:v>
      </x:c>
      <x:c r="P170" s="9" t="n">
        <x:v>0</x:v>
      </x:c>
      <x:c r="Q170" s="9" t="n">
        <x:v>0</x:v>
      </x:c>
      <x:c r="R170" s="9" t="n">
        <x:v>0</x:v>
      </x:c>
      <x:c r="S170" s="9" t="n">
        <x:v>0</x:v>
      </x:c>
      <x:c r="T170" s="9" t="n">
        <x:v>0</x:v>
      </x:c>
      <x:c r="U170" s="9" t="n">
        <x:v>0</x:v>
      </x:c>
      <x:c r="V170" s="9" t="n">
        <x:v>0</x:v>
      </x:c>
      <x:c r="W170" s="9" t="n">
        <x:v>0</x:v>
      </x:c>
      <x:c r="X170" s="9" t="n">
        <x:v>0</x:v>
      </x:c>
      <x:c r="Y170" s="9" t="n">
        <x:v>0</x:v>
      </x:c>
      <x:c r="Z170" s="9" t="n">
        <x:v>0</x:v>
      </x:c>
      <x:c r="AA170" s="9" t="n">
        <x:v>0</x:v>
      </x:c>
      <x:c r="AB170" s="9" t="n">
        <x:v>0</x:v>
      </x:c>
      <x:c r="AC170" s="9" t="n">
        <x:v>0</x:v>
      </x:c>
      <x:c r="AD170" s="9" t="n">
        <x:v>0</x:v>
      </x:c>
      <x:c r="AE170" s="9" t="n">
        <x:v>0</x:v>
      </x:c>
      <x:c r="AF170" s="9" t="n">
        <x:v>0</x:v>
      </x:c>
      <x:c r="AG170" s="9" t="n">
        <x:v>0</x:v>
      </x:c>
      <x:c r="AH170" s="9" t="n">
        <x:v>0</x:v>
      </x:c>
      <x:c r="AI170" s="9" t="n">
        <x:v>0</x:v>
      </x:c>
      <x:c r="AJ170" s="9" t="n">
        <x:v>0</x:v>
      </x:c>
      <x:c r="AK170" s="9" t="n">
        <x:v>0</x:v>
      </x:c>
      <x:c r="AL170" s="9" t="n">
        <x:v>0</x:v>
      </x:c>
      <x:c r="AM170" s="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315E48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12" hidden="0" customWidth="1"/>
    <x:col min="4" max="4" width="30" hidden="0" customWidth="1"/>
    <x:col min="5" max="5" width="28" hidden="0" customWidth="1"/>
    <x:col min="6" max="6" width="60" hidden="0" customWidth="1"/>
  </x:cols>
  <x:sheetData>
    <x:row r="1" ht="30" customHeight="1">
      <x:c r="A1" s="11" t="str">
        <x:v>等级解锁规划</x:v>
      </x:c>
      <x:c r="B1" s="9"/>
      <x:c r="C1" s="9"/>
      <x:c r="D1" s="9"/>
      <x:c r="E1" s="9"/>
      <x:c r="F1" s="9"/>
    </x:row>
    <x:row r="2" ht="24" customHeight="1">
      <x:c r="A2" s="12" t="str">
        <x:v>等级、建筑、商品配置来自网页当前方案；累计土地按每级新增量求和。</x:v>
      </x:c>
      <x:c r="B2" s="9"/>
      <x:c r="C2" s="9"/>
      <x:c r="D2" s="9"/>
      <x:c r="E2" s="9"/>
      <x:c r="F2" s="9"/>
    </x:row>
    <x:row r="3" ht="22" customHeight="1">
      <x:c r="A3" s="9"/>
      <x:c r="B3" s="9"/>
      <x:c r="C3" s="9"/>
      <x:c r="D3" s="9"/>
      <x:c r="E3" s="9"/>
      <x:c r="F3" s="9"/>
    </x:row>
    <x:row r="4" ht="22" customHeight="1">
      <x:c r="A4" s="16" t="str">
        <x:v>等级</x:v>
      </x:c>
      <x:c r="B4" s="16" t="str">
        <x:v>新增土地</x:v>
      </x:c>
      <x:c r="C4" s="16" t="str">
        <x:v>累计土地</x:v>
      </x:c>
      <x:c r="D4" s="16" t="str">
        <x:v>新增作物</x:v>
      </x:c>
      <x:c r="E4" s="16" t="str">
        <x:v>新增建筑</x:v>
      </x:c>
      <x:c r="F4" s="16" t="str">
        <x:v>新增物品</x:v>
      </x:c>
    </x:row>
    <x:row r="5" ht="22" customHeight="1">
      <x:c r="A5" s="17" t="n">
        <x:v>1</x:v>
      </x:c>
      <x:c r="B5" s="18" t="n">
        <x:v>6</x:v>
      </x:c>
      <x:c r="C5" s="17" t="n">
        <x:f>SUM(B$5:B5)</x:f>
        <x:v>6</x:v>
      </x:c>
      <x:c r="D5" s="17" t="str">
        <x:v>芦苇草</x:v>
      </x:c>
      <x:c r="E5" s="17" t="str"/>
      <x:c r="F5" s="17" t="str"/>
    </x:row>
    <x:row r="6" ht="22" customHeight="1">
      <x:c r="A6" s="17" t="n">
        <x:v>2</x:v>
      </x:c>
      <x:c r="B6" s="18" t="n">
        <x:v>0</x:v>
      </x:c>
      <x:c r="C6" s="17" t="n">
        <x:f>SUM(B$5:B6)</x:f>
        <x:v>6</x:v>
      </x:c>
      <x:c r="D6" s="17" t="str">
        <x:v>棉花</x:v>
      </x:c>
      <x:c r="E6" s="17" t="str">
        <x:v>研磨机</x:v>
      </x:c>
      <x:c r="F6" s="17" t="str">
        <x:v>芦苇丝</x:v>
      </x:c>
    </x:row>
    <x:row r="7" ht="22" customHeight="1">
      <x:c r="A7" s="17" t="n">
        <x:v>3</x:v>
      </x:c>
      <x:c r="B7" s="18" t="n">
        <x:v>0</x:v>
      </x:c>
      <x:c r="C7" s="17" t="n">
        <x:f>SUM(B$5:B7)</x:f>
        <x:v>6</x:v>
      </x:c>
      <x:c r="D7" s="17" t="str"/>
      <x:c r="E7" s="17" t="str"/>
      <x:c r="F7" s="17" t="str">
        <x:v>棉绒团</x:v>
      </x:c>
    </x:row>
    <x:row r="8" ht="22" customHeight="1">
      <x:c r="A8" s="17" t="n">
        <x:v>4</x:v>
      </x:c>
      <x:c r="B8" s="18" t="n">
        <x:v>6</x:v>
      </x:c>
      <x:c r="C8" s="17" t="n">
        <x:f>SUM(B$5:B8)</x:f>
        <x:v>12</x:v>
      </x:c>
      <x:c r="D8" s="17" t="str">
        <x:v>竹子</x:v>
      </x:c>
      <x:c r="E8" s="17" t="str">
        <x:v>切割机</x:v>
      </x:c>
      <x:c r="F8" s="17" t="str">
        <x:v>竹条</x:v>
      </x:c>
    </x:row>
    <x:row r="9" ht="22" customHeight="1">
      <x:c r="A9" s="17" t="n">
        <x:v>5</x:v>
      </x:c>
      <x:c r="B9" s="18" t="n">
        <x:v>0</x:v>
      </x:c>
      <x:c r="C9" s="17" t="n">
        <x:f>SUM(B$5:B9)</x:f>
        <x:v>12</x:v>
      </x:c>
      <x:c r="D9" s="17" t="str"/>
      <x:c r="E9" s="17" t="str"/>
      <x:c r="F9" s="17" t="str">
        <x:v>薄竹片</x:v>
      </x:c>
    </x:row>
    <x:row r="10" ht="22" customHeight="1">
      <x:c r="A10" s="17" t="n">
        <x:v>6</x:v>
      </x:c>
      <x:c r="B10" s="18" t="n">
        <x:v>0</x:v>
      </x:c>
      <x:c r="C10" s="17" t="n">
        <x:f>SUM(B$5:B10)</x:f>
        <x:v>12</x:v>
      </x:c>
      <x:c r="D10" s="17" t="str"/>
      <x:c r="E10" s="17" t="str">
        <x:v>纺织机</x:v>
      </x:c>
      <x:c r="F10" s="17" t="str">
        <x:v>竹编小垫</x:v>
      </x:c>
    </x:row>
    <x:row r="11" ht="22" customHeight="1">
      <x:c r="A11" s="17" t="n">
        <x:v>7</x:v>
      </x:c>
      <x:c r="B11" s="18" t="n">
        <x:v>6</x:v>
      </x:c>
      <x:c r="C11" s="17" t="n">
        <x:f>SUM(B$5:B11)</x:f>
        <x:v>18</x:v>
      </x:c>
      <x:c r="D11" s="17" t="str">
        <x:v>香绒草</x:v>
      </x:c>
      <x:c r="E11" s="17" t="str"/>
      <x:c r="F11" s="17" t="str">
        <x:v>绒香粉</x:v>
      </x:c>
    </x:row>
    <x:row r="12" ht="22" customHeight="1">
      <x:c r="A12" s="17" t="n">
        <x:v>8</x:v>
      </x:c>
      <x:c r="B12" s="18" t="n">
        <x:v>0</x:v>
      </x:c>
      <x:c r="C12" s="17" t="n">
        <x:f>SUM(B$5:B12)</x:f>
        <x:v>18</x:v>
      </x:c>
      <x:c r="D12" s="17" t="str">
        <x:v>薰衣草</x:v>
      </x:c>
      <x:c r="E12" s="17" t="str">
        <x:v>萃取机</x:v>
      </x:c>
      <x:c r="F12" s="17" t="str">
        <x:v>薰衣草精油</x:v>
      </x:c>
    </x:row>
    <x:row r="13" ht="22" customHeight="1">
      <x:c r="A13" s="17" t="n">
        <x:v>9</x:v>
      </x:c>
      <x:c r="B13" s="18" t="n">
        <x:v>0</x:v>
      </x:c>
      <x:c r="C13" s="17" t="n">
        <x:f>SUM(B$5:B13)</x:f>
        <x:v>18</x:v>
      </x:c>
      <x:c r="D13" s="17" t="str"/>
      <x:c r="E13" s="17" t="str"/>
      <x:c r="F13" s="17" t="str">
        <x:v>软棉布</x:v>
      </x:c>
    </x:row>
    <x:row r="14" ht="22" customHeight="1">
      <x:c r="A14" s="17" t="n">
        <x:v>10</x:v>
      </x:c>
      <x:c r="B14" s="18" t="n">
        <x:v>6</x:v>
      </x:c>
      <x:c r="C14" s="17" t="n">
        <x:f>SUM(B$5:B14)</x:f>
        <x:v>24</x:v>
      </x:c>
      <x:c r="D14" s="17" t="str">
        <x:v>芍药花</x:v>
      </x:c>
      <x:c r="E14" s="17" t="str">
        <x:v>窑炉</x:v>
      </x:c>
      <x:c r="F14" s="17" t="str">
        <x:v>花瓣香水、竹炭画笔</x:v>
      </x:c>
    </x:row>
    <x:row r="15" ht="22" customHeight="1">
      <x:c r="A15" s="17" t="n">
        <x:v>11</x:v>
      </x:c>
      <x:c r="B15" s="18" t="n">
        <x:v>0</x:v>
      </x:c>
      <x:c r="C15" s="17" t="n">
        <x:f>SUM(B$5:B15)</x:f>
        <x:v>24</x:v>
      </x:c>
      <x:c r="D15" s="17" t="str"/>
      <x:c r="E15" s="17" t="str"/>
      <x:c r="F15" s="17" t="str">
        <x:v>小竹框、竹帘</x:v>
      </x:c>
    </x:row>
    <x:row r="16" ht="22" customHeight="1">
      <x:c r="A16" s="17" t="n">
        <x:v>12</x:v>
      </x:c>
      <x:c r="B16" s="18" t="n">
        <x:v>0</x:v>
      </x:c>
      <x:c r="C16" s="17" t="n">
        <x:f>SUM(B$5:B16)</x:f>
        <x:v>24</x:v>
      </x:c>
      <x:c r="D16" s="17" t="str"/>
      <x:c r="E16" s="17" t="str"/>
      <x:c r="F16" s="17" t="str">
        <x:v>薰衣草香棒</x:v>
      </x:c>
    </x:row>
    <x:row r="17" ht="22" customHeight="1">
      <x:c r="A17" s="17" t="n">
        <x:v>13</x:v>
      </x:c>
      <x:c r="B17" s="18" t="n">
        <x:v>0</x:v>
      </x:c>
      <x:c r="C17" s="17" t="n">
        <x:f>SUM(B$5:B17)</x:f>
        <x:v>24</x:v>
      </x:c>
      <x:c r="D17" s="17" t="str">
        <x:v>墨水花</x:v>
      </x:c>
      <x:c r="E17" s="17" t="str"/>
      <x:c r="F17" s="17" t="str">
        <x:v>云朵香粉、墨汁</x:v>
      </x:c>
    </x:row>
    <x:row r="18" ht="22" customHeight="1">
      <x:c r="A18" s="17" t="n">
        <x:v>14</x:v>
      </x:c>
      <x:c r="B18" s="18" t="n">
        <x:v>0</x:v>
      </x:c>
      <x:c r="C18" s="17" t="n">
        <x:f>SUM(B$5:B18)</x:f>
        <x:v>24</x:v>
      </x:c>
      <x:c r="D18" s="17" t="str"/>
      <x:c r="E18" s="17" t="str"/>
      <x:c r="F18" s="17" t="str">
        <x:v>竹制盆景</x:v>
      </x:c>
    </x:row>
    <x:row r="19" ht="22" customHeight="1">
      <x:c r="A19" s="17" t="n">
        <x:v>15</x:v>
      </x:c>
      <x:c r="B19" s="18" t="n">
        <x:v>6</x:v>
      </x:c>
      <x:c r="C19" s="17" t="n">
        <x:f>SUM(B$5:B19)</x:f>
        <x:v>30</x:v>
      </x:c>
      <x:c r="D19" s="17" t="str"/>
      <x:c r="E19" s="17" t="str"/>
      <x:c r="F19" s="17" t="str">
        <x:v>花瓣竹板、绒绒灯罩</x:v>
      </x:c>
    </x:row>
    <x:row r="20" ht="22" customHeight="1">
      <x:c r="A20" s="17" t="n">
        <x:v>16</x:v>
      </x:c>
      <x:c r="B20" s="18" t="n">
        <x:v>0</x:v>
      </x:c>
      <x:c r="C20" s="17" t="n">
        <x:f>SUM(B$5:B20)</x:f>
        <x:v>30</x:v>
      </x:c>
      <x:c r="D20" s="17" t="str">
        <x:v>蜡烛花</x:v>
      </x:c>
      <x:c r="E20" s="17" t="str"/>
      <x:c r="F20" s="17" t="str">
        <x:v>花蜡、圈圈蚊香</x:v>
      </x:c>
    </x:row>
    <x:row r="21" ht="22" customHeight="1">
      <x:c r="A21" s="17" t="n">
        <x:v>17</x:v>
      </x:c>
      <x:c r="B21" s="18" t="n">
        <x:v>0</x:v>
      </x:c>
      <x:c r="C21" s="17" t="n">
        <x:f>SUM(B$5:B21)</x:f>
        <x:v>30</x:v>
      </x:c>
      <x:c r="D21" s="17" t="str"/>
      <x:c r="E21" s="17" t="str"/>
      <x:c r="F21" s="17" t="str">
        <x:v>软边小席</x:v>
      </x:c>
    </x:row>
    <x:row r="22" ht="22" customHeight="1">
      <x:c r="A22" s="17" t="n">
        <x:v>18</x:v>
      </x:c>
      <x:c r="B22" s="18" t="n">
        <x:v>0</x:v>
      </x:c>
      <x:c r="C22" s="17" t="n">
        <x:f>SUM(B$5:B22)</x:f>
        <x:v>30</x:v>
      </x:c>
      <x:c r="D22" s="17" t="str"/>
      <x:c r="E22" s="17" t="str"/>
      <x:c r="F22" s="17" t="str">
        <x:v>乌云绒团、薰衣草软垫</x:v>
      </x:c>
    </x:row>
    <x:row r="23" ht="22" customHeight="1">
      <x:c r="A23" s="17" t="n">
        <x:v>19</x:v>
      </x:c>
      <x:c r="B23" s="18" t="n">
        <x:v>0</x:v>
      </x:c>
      <x:c r="C23" s="17" t="n">
        <x:f>SUM(B$5:B23)</x:f>
        <x:v>30</x:v>
      </x:c>
      <x:c r="D23" s="17" t="str">
        <x:v>浆果珍珠</x:v>
      </x:c>
      <x:c r="E23" s="17" t="str"/>
      <x:c r="F23" s="17" t="str">
        <x:v>珍珠衣帽架、雨滴篮子</x:v>
      </x:c>
    </x:row>
    <x:row r="24" ht="22" customHeight="1">
      <x:c r="A24" s="17" t="n">
        <x:v>20</x:v>
      </x:c>
      <x:c r="B24" s="18" t="n">
        <x:v>0</x:v>
      </x:c>
      <x:c r="C24" s="17" t="n">
        <x:f>SUM(B$5:B24)</x:f>
        <x:v>30</x:v>
      </x:c>
      <x:c r="D24" s="17" t="str"/>
      <x:c r="E24" s="17" t="str"/>
      <x:c r="F24" s="17" t="str">
        <x:v>花瓣小灯</x:v>
      </x:c>
    </x:row>
    <x:row r="25" ht="22" customHeight="1">
      <x:c r="A25" s="9"/>
      <x:c r="B25" s="9"/>
      <x:c r="C25" s="9"/>
      <x:c r="D25" s="9"/>
      <x:c r="E25" s="9"/>
      <x:c r="F25" s="9"/>
    </x:row>
    <x:row r="26" ht="22" customHeight="1">
      <x:c r="A26" s="9"/>
      <x:c r="B26" s="9"/>
      <x:c r="C26" s="9"/>
      <x:c r="D26" s="9"/>
      <x:c r="E26" s="9"/>
      <x:c r="F26" s="9"/>
    </x:row>
    <x:row r="27" ht="22" customHeight="1">
      <x:c r="A27" s="9" t="str">
        <x:v>建筑配置（供重新导入网页识别）</x:v>
      </x:c>
      <x:c r="B27" s="9"/>
      <x:c r="C27" s="9"/>
      <x:c r="D27" s="9"/>
      <x:c r="E27" s="9"/>
      <x:c r="F27" s="9"/>
    </x:row>
    <x:row r="28" ht="22" customHeight="1">
      <x:c r="A28" s="16" t="str">
        <x:v>建筑ID</x:v>
      </x:c>
      <x:c r="B28" s="16" t="str">
        <x:v>建筑名称</x:v>
      </x:c>
      <x:c r="C28" s="16" t="str">
        <x:v>解锁等级</x:v>
      </x:c>
      <x:c r="D28" s="16" t="str">
        <x:v>颜色</x:v>
      </x:c>
      <x:c r="E28" s="9"/>
      <x:c r="F28" s="9"/>
    </x:row>
    <x:row r="29" ht="22" customHeight="1">
      <x:c r="A29" s="17" t="n">
        <x:v>501</x:v>
      </x:c>
      <x:c r="B29" s="17" t="str">
        <x:v>研磨机</x:v>
      </x:c>
      <x:c r="C29" s="17" t="n">
        <x:v>2</x:v>
      </x:c>
      <x:c r="D29" s="17" t="str">
        <x:v>#DDEBF7</x:v>
      </x:c>
      <x:c r="E29" s="9"/>
      <x:c r="F29" s="9"/>
    </x:row>
    <x:row r="30" ht="22" customHeight="1">
      <x:c r="A30" s="17" t="n">
        <x:v>502</x:v>
      </x:c>
      <x:c r="B30" s="17" t="str">
        <x:v>切割机</x:v>
      </x:c>
      <x:c r="C30" s="17" t="n">
        <x:v>4</x:v>
      </x:c>
      <x:c r="D30" s="17" t="str">
        <x:v>#FFF2CC</x:v>
      </x:c>
      <x:c r="E30" s="9"/>
      <x:c r="F30" s="9"/>
    </x:row>
    <x:row r="31" ht="22" customHeight="1">
      <x:c r="A31" s="17" t="n">
        <x:v>503</x:v>
      </x:c>
      <x:c r="B31" s="17" t="str">
        <x:v>纺织机</x:v>
      </x:c>
      <x:c r="C31" s="17" t="n">
        <x:v>6</x:v>
      </x:c>
      <x:c r="D31" s="17" t="str">
        <x:v>#F2DCDB</x:v>
      </x:c>
      <x:c r="E31" s="9"/>
      <x:c r="F31" s="9"/>
    </x:row>
    <x:row r="32" ht="22" customHeight="1">
      <x:c r="A32" s="17" t="n">
        <x:v>504</x:v>
      </x:c>
      <x:c r="B32" s="17" t="str">
        <x:v>萃取机</x:v>
      </x:c>
      <x:c r="C32" s="17" t="n">
        <x:v>8</x:v>
      </x:c>
      <x:c r="D32" s="17" t="str">
        <x:v>#FCE4D6</x:v>
      </x:c>
      <x:c r="E32" s="9"/>
      <x:c r="F32" s="9"/>
    </x:row>
    <x:row r="33" ht="22" customHeight="1">
      <x:c r="A33" s="17" t="n">
        <x:v>505</x:v>
      </x:c>
      <x:c r="B33" s="17" t="str">
        <x:v>窑炉</x:v>
      </x:c>
      <x:c r="C33" s="17" t="n">
        <x:v>10</x:v>
      </x:c>
      <x:c r="D33" s="17" t="str">
        <x:v>#E4DFEC</x:v>
      </x:c>
      <x:c r="E33" s="9"/>
      <x:c r="F33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6E8C7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1" hidden="0" customWidth="1"/>
    <x:col min="2" max="2" width="23" hidden="0" customWidth="1"/>
    <x:col min="3" max="3" width="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</x:cols>
  <x:sheetData>
    <x:row r="1" ht="30" customHeight="1">
      <x:c r="A1" s="11" t="str">
        <x:v>各渠道累计时间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</x:row>
    <x:row r="2" ht="24" customHeight="1">
      <x:c r="A2" s="12" t="str">
        <x:v>从零做1件：全链工序次数×单步时间，按生产建筑汇总，含目标自身。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</x:row>
    <x:row r="3" ht="24" customHeight="1">
      <x:c r="A3" s="12" t="str">
        <x:v>农田按各地块累计分钟，不除土地数；各渠道合计等于01累计时间。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</x:row>
    <x:row r="4" ht="24" customHeight="1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</x:row>
    <x:row r="5" ht="24" customHeight="1">
      <x:c r="A5" s="21" t="str">
        <x:v>渠道ID</x:v>
      </x:c>
      <x:c r="B5" s="21" t="str">
        <x:v>生产渠道</x:v>
      </x:c>
      <x:c r="C5" s="21" t="str"/>
      <x:c r="D5" s="21" t="n">
        <x:v>1</x:v>
      </x:c>
      <x:c r="E5" s="21" t="n">
        <x:v>2</x:v>
      </x:c>
      <x:c r="F5" s="21" t="n">
        <x:v>5</x:v>
      </x:c>
      <x:c r="G5" s="21" t="n">
        <x:v>10</x:v>
      </x:c>
      <x:c r="H5" s="21" t="n">
        <x:v>15</x:v>
      </x:c>
      <x:c r="I5" s="21" t="n">
        <x:v>17</x:v>
      </x:c>
      <x:c r="J5" s="21" t="n">
        <x:v>24</x:v>
      </x:c>
      <x:c r="K5" s="21" t="n">
        <x:v>30</x:v>
      </x:c>
      <x:c r="L5" s="21" t="n">
        <x:v>35</x:v>
      </x:c>
      <x:c r="M5" s="59" t="n">
        <x:v>3</x:v>
      </x:c>
      <x:c r="N5" s="21" t="n">
        <x:v>4</x:v>
      </x:c>
      <x:c r="O5" s="21" t="n">
        <x:v>12</x:v>
      </x:c>
      <x:c r="P5" s="21" t="n">
        <x:v>22</x:v>
      </x:c>
      <x:c r="Q5" s="21" t="n">
        <x:v>33</x:v>
      </x:c>
      <x:c r="R5" s="59" t="n">
        <x:v>6</x:v>
      </x:c>
      <x:c r="S5" s="21" t="n">
        <x:v>7</x:v>
      </x:c>
      <x:c r="T5" s="21" t="n">
        <x:v>20</x:v>
      </x:c>
      <x:c r="U5" s="21" t="n">
        <x:v>28</x:v>
      </x:c>
      <x:c r="V5" s="21" t="n">
        <x:v>36</x:v>
      </x:c>
      <x:c r="W5" s="59" t="n">
        <x:v>14</x:v>
      </x:c>
      <x:c r="X5" s="21" t="n">
        <x:v>16</x:v>
      </x:c>
      <x:c r="Y5" s="21" t="n">
        <x:v>21</x:v>
      </x:c>
      <x:c r="Z5" s="21" t="n">
        <x:v>27</x:v>
      </x:c>
      <x:c r="AA5" s="21" t="n">
        <x:v>32</x:v>
      </x:c>
      <x:c r="AB5" s="21" t="n">
        <x:v>37</x:v>
      </x:c>
      <x:c r="AC5" s="59" t="n">
        <x:v>13</x:v>
      </x:c>
      <x:c r="AD5" s="21" t="n">
        <x:v>18</x:v>
      </x:c>
      <x:c r="AE5" s="21" t="n">
        <x:v>25</x:v>
      </x:c>
      <x:c r="AF5" s="21" t="n">
        <x:v>31</x:v>
      </x:c>
      <x:c r="AG5" s="59" t="n">
        <x:v>19</x:v>
      </x:c>
      <x:c r="AH5" s="21" t="n">
        <x:v>23</x:v>
      </x:c>
      <x:c r="AI5" s="21" t="n">
        <x:v>26</x:v>
      </x:c>
      <x:c r="AJ5" s="21" t="n">
        <x:v>29</x:v>
      </x:c>
      <x:c r="AK5" s="21" t="n">
        <x:v>34</x:v>
      </x:c>
      <x:c r="AL5" s="21" t="n">
        <x:v>38</x:v>
      </x:c>
    </x:row>
    <x:row r="6" ht="24" customHeight="1">
      <x:c r="A6" s="147"/>
      <x:c r="B6" s="147"/>
      <x:c r="C6" s="147"/>
      <x:c r="D6" s="36" t="str">
        <x:f>'01_数值调参'!E6</x:f>
        <x:v>芦苇草</x:v>
      </x:c>
      <x:c r="E6" s="36" t="str">
        <x:f>'01_数值调参'!F6</x:f>
        <x:v>棉花</x:v>
      </x:c>
      <x:c r="F6" s="36" t="str">
        <x:f>'01_数值调参'!G6</x:f>
        <x:v>竹子</x:v>
      </x:c>
      <x:c r="G6" s="36" t="str">
        <x:f>'01_数值调参'!H6</x:f>
        <x:v>香绒草</x:v>
      </x:c>
      <x:c r="H6" s="36" t="str">
        <x:f>'01_数值调参'!I6</x:f>
        <x:v>薰衣草</x:v>
      </x:c>
      <x:c r="I6" s="36" t="str">
        <x:f>'01_数值调参'!J6</x:f>
        <x:v>芍药花</x:v>
      </x:c>
      <x:c r="J6" s="36" t="str">
        <x:f>'01_数值调参'!K6</x:f>
        <x:v>墨水花</x:v>
      </x:c>
      <x:c r="K6" s="36" t="str">
        <x:f>'01_数值调参'!L6</x:f>
        <x:v>蜡烛花</x:v>
      </x:c>
      <x:c r="L6" s="36" t="str">
        <x:f>'01_数值调参'!M6</x:f>
        <x:v>浆果珍珠</x:v>
      </x:c>
      <x:c r="M6" s="49" t="str">
        <x:f>'01_数值调参'!N6</x:f>
        <x:v>芦苇丝</x:v>
      </x:c>
      <x:c r="N6" s="40" t="str">
        <x:f>'01_数值调参'!O6</x:f>
        <x:v>棉绒团</x:v>
      </x:c>
      <x:c r="O6" s="40" t="str">
        <x:f>'01_数值调参'!P6</x:f>
        <x:v>绒香粉</x:v>
      </x:c>
      <x:c r="P6" s="40" t="str">
        <x:f>'01_数值调参'!Q6</x:f>
        <x:v>云朵香粉</x:v>
      </x:c>
      <x:c r="Q6" s="40" t="str">
        <x:f>'01_数值调参'!R6</x:f>
        <x:v>乌云绒团</x:v>
      </x:c>
      <x:c r="R6" s="69" t="str">
        <x:f>'01_数值调参'!S6</x:f>
        <x:v>竹条</x:v>
      </x:c>
      <x:c r="S6" s="63" t="str">
        <x:f>'01_数值调参'!T6</x:f>
        <x:v>薄竹片</x:v>
      </x:c>
      <x:c r="T6" s="63" t="str">
        <x:f>'01_数值调参'!U6</x:f>
        <x:v>小竹框</x:v>
      </x:c>
      <x:c r="U6" s="63" t="str">
        <x:f>'01_数值调参'!V6</x:f>
        <x:v>花瓣竹板</x:v>
      </x:c>
      <x:c r="V6" s="63" t="str">
        <x:f>'01_数值调参'!W6</x:f>
        <x:v>珍珠衣帽架</x:v>
      </x:c>
      <x:c r="W6" s="78" t="str">
        <x:f>'01_数值调参'!X6</x:f>
        <x:v>竹编小垫</x:v>
      </x:c>
      <x:c r="X6" s="73" t="str">
        <x:f>'01_数值调参'!Y6</x:f>
        <x:v>软棉布</x:v>
      </x:c>
      <x:c r="Y6" s="73" t="str">
        <x:f>'01_数值调参'!Z6</x:f>
        <x:v>竹帘</x:v>
      </x:c>
      <x:c r="Z6" s="73" t="str">
        <x:f>'01_数值调参'!AA6</x:f>
        <x:v>绒绒灯罩</x:v>
      </x:c>
      <x:c r="AA6" s="73" t="str">
        <x:f>'01_数值调参'!AB6</x:f>
        <x:v>软边小席</x:v>
      </x:c>
      <x:c r="AB6" s="73" t="str">
        <x:f>'01_数值调参'!AC6</x:f>
        <x:v>雨滴篮子</x:v>
      </x:c>
      <x:c r="AC6" s="86" t="str">
        <x:f>'01_数值调参'!AD6</x:f>
        <x:v>薰衣草精油</x:v>
      </x:c>
      <x:c r="AD6" s="81" t="str">
        <x:f>'01_数值调参'!AE6</x:f>
        <x:v>花瓣香水</x:v>
      </x:c>
      <x:c r="AE6" s="81" t="str">
        <x:f>'01_数值调参'!AF6</x:f>
        <x:v>墨汁</x:v>
      </x:c>
      <x:c r="AF6" s="81" t="str">
        <x:f>'01_数值调参'!AG6</x:f>
        <x:v>花蜡</x:v>
      </x:c>
      <x:c r="AG6" s="94" t="str">
        <x:f>'01_数值调参'!AH6</x:f>
        <x:v>竹炭画笔</x:v>
      </x:c>
      <x:c r="AH6" s="89" t="str">
        <x:f>'01_数值调参'!AI6</x:f>
        <x:v>薰衣草香棒</x:v>
      </x:c>
      <x:c r="AI6" s="89" t="str">
        <x:f>'01_数值调参'!AJ6</x:f>
        <x:v>竹制盆景</x:v>
      </x:c>
      <x:c r="AJ6" s="89" t="str">
        <x:f>'01_数值调参'!AK6</x:f>
        <x:v>圈圈蚊香</x:v>
      </x:c>
      <x:c r="AK6" s="89" t="str">
        <x:f>'01_数值调参'!AL6</x:f>
        <x:v>薰衣草软垫</x:v>
      </x:c>
      <x:c r="AL6" s="89" t="str">
        <x:f>'01_数值调参'!AM6</x:f>
        <x:v>花瓣小灯</x:v>
      </x:c>
    </x:row>
    <x:row r="7" ht="24" customHeight="1">
      <x:c r="A7" s="147" t="str">
        <x:v>解锁等级</x:v>
      </x:c>
      <x:c r="B7" s="147" t="str">
        <x:v>单位：min</x:v>
      </x:c>
      <x:c r="C7" s="147"/>
      <x:c r="D7" s="147" t="n">
        <x:f>'01_数值调参'!E7</x:f>
        <x:v>1</x:v>
      </x:c>
      <x:c r="E7" s="147" t="n">
        <x:f>'01_数值调参'!F7</x:f>
        <x:v>2</x:v>
      </x:c>
      <x:c r="F7" s="147" t="n">
        <x:f>'01_数值调参'!G7</x:f>
        <x:v>4</x:v>
      </x:c>
      <x:c r="G7" s="147" t="n">
        <x:f>'01_数值调参'!H7</x:f>
        <x:v>7</x:v>
      </x:c>
      <x:c r="H7" s="147" t="n">
        <x:f>'01_数值调参'!I7</x:f>
        <x:v>8</x:v>
      </x:c>
      <x:c r="I7" s="147" t="n">
        <x:f>'01_数值调参'!J7</x:f>
        <x:v>10</x:v>
      </x:c>
      <x:c r="J7" s="147" t="n">
        <x:f>'01_数值调参'!K7</x:f>
        <x:v>13</x:v>
      </x:c>
      <x:c r="K7" s="147" t="n">
        <x:f>'01_数值调参'!L7</x:f>
        <x:v>16</x:v>
      </x:c>
      <x:c r="L7" s="147" t="n">
        <x:f>'01_数值调参'!M7</x:f>
        <x:v>19</x:v>
      </x:c>
      <x:c r="M7" s="157" t="n">
        <x:f>'01_数值调参'!N7</x:f>
        <x:v>2</x:v>
      </x:c>
      <x:c r="N7" s="147" t="n">
        <x:f>'01_数值调参'!O7</x:f>
        <x:v>3</x:v>
      </x:c>
      <x:c r="O7" s="147" t="n">
        <x:f>'01_数值调参'!P7</x:f>
        <x:v>7</x:v>
      </x:c>
      <x:c r="P7" s="147" t="n">
        <x:f>'01_数值调参'!Q7</x:f>
        <x:v>13</x:v>
      </x:c>
      <x:c r="Q7" s="147" t="n">
        <x:f>'01_数值调参'!R7</x:f>
        <x:v>18</x:v>
      </x:c>
      <x:c r="R7" s="157" t="n">
        <x:f>'01_数值调参'!S7</x:f>
        <x:v>4</x:v>
      </x:c>
      <x:c r="S7" s="147" t="n">
        <x:f>'01_数值调参'!T7</x:f>
        <x:v>5</x:v>
      </x:c>
      <x:c r="T7" s="147" t="n">
        <x:f>'01_数值调参'!U7</x:f>
        <x:v>11</x:v>
      </x:c>
      <x:c r="U7" s="147" t="n">
        <x:f>'01_数值调参'!V7</x:f>
        <x:v>15</x:v>
      </x:c>
      <x:c r="V7" s="147" t="n">
        <x:f>'01_数值调参'!W7</x:f>
        <x:v>19</x:v>
      </x:c>
      <x:c r="W7" s="157" t="n">
        <x:f>'01_数值调参'!X7</x:f>
        <x:v>6</x:v>
      </x:c>
      <x:c r="X7" s="147" t="n">
        <x:f>'01_数值调参'!Y7</x:f>
        <x:v>9</x:v>
      </x:c>
      <x:c r="Y7" s="147" t="n">
        <x:f>'01_数值调参'!Z7</x:f>
        <x:v>11</x:v>
      </x:c>
      <x:c r="Z7" s="147" t="n">
        <x:f>'01_数值调参'!AA7</x:f>
        <x:v>15</x:v>
      </x:c>
      <x:c r="AA7" s="147" t="n">
        <x:f>'01_数值调参'!AB7</x:f>
        <x:v>17</x:v>
      </x:c>
      <x:c r="AB7" s="147" t="n">
        <x:f>'01_数值调参'!AC7</x:f>
        <x:v>19</x:v>
      </x:c>
      <x:c r="AC7" s="157" t="n">
        <x:f>'01_数值调参'!AD7</x:f>
        <x:v>8</x:v>
      </x:c>
      <x:c r="AD7" s="147" t="n">
        <x:f>'01_数值调参'!AE7</x:f>
        <x:v>10</x:v>
      </x:c>
      <x:c r="AE7" s="147" t="n">
        <x:f>'01_数值调参'!AF7</x:f>
        <x:v>13</x:v>
      </x:c>
      <x:c r="AF7" s="147" t="n">
        <x:f>'01_数值调参'!AG7</x:f>
        <x:v>16</x:v>
      </x:c>
      <x:c r="AG7" s="157" t="n">
        <x:f>'01_数值调参'!AH7</x:f>
        <x:v>10</x:v>
      </x:c>
      <x:c r="AH7" s="147" t="n">
        <x:f>'01_数值调参'!AI7</x:f>
        <x:v>12</x:v>
      </x:c>
      <x:c r="AI7" s="147" t="n">
        <x:f>'01_数值调参'!AJ7</x:f>
        <x:v>14</x:v>
      </x:c>
      <x:c r="AJ7" s="147" t="n">
        <x:f>'01_数值调参'!AK7</x:f>
        <x:v>16</x:v>
      </x:c>
      <x:c r="AK7" s="147" t="n">
        <x:f>'01_数值调参'!AL7</x:f>
        <x:v>18</x:v>
      </x:c>
      <x:c r="AL7" s="147" t="n">
        <x:f>'01_数值调参'!AM7</x:f>
        <x:v>20</x:v>
      </x:c>
    </x:row>
    <x:row r="8" ht="24" customHeight="1">
      <x:c r="A8" s="146" t="n">
        <x:v>0</x:v>
      </x:c>
      <x:c r="B8" s="146" t="str">
        <x:v>农田</x:v>
      </x:c>
      <x:c r="C8" s="58"/>
      <x:c r="D8" s="150" t="n">
        <x:f>IF('01_数值调参'!$D$3="配方有效",SUM('03_全链计算'!E7*'03_全链计算'!$D$7,'03_全链计算'!E8*'03_全链计算'!$D$8,'03_全链计算'!E9*'03_全链计算'!$D$9,'03_全链计算'!E10*'03_全链计算'!$D$10,'03_全链计算'!E11*'03_全链计算'!$D$11,'03_全链计算'!E12*'03_全链计算'!$D$12,'03_全链计算'!E13*'03_全链计算'!$D$13,'03_全链计算'!E14*'03_全链计算'!$D$14,'03_全链计算'!E15*'03_全链计算'!$D$15),"待修正")</x:f>
        <x:v>2</x:v>
      </x:c>
      <x:c r="E8" s="150" t="n">
        <x:f>IF('01_数值调参'!$D$3="配方有效",SUM('03_全链计算'!F7*'03_全链计算'!$D$7,'03_全链计算'!F8*'03_全链计算'!$D$8,'03_全链计算'!F9*'03_全链计算'!$D$9,'03_全链计算'!F10*'03_全链计算'!$D$10,'03_全链计算'!F11*'03_全链计算'!$D$11,'03_全链计算'!F12*'03_全链计算'!$D$12,'03_全链计算'!F13*'03_全链计算'!$D$13,'03_全链计算'!F14*'03_全链计算'!$D$14,'03_全链计算'!F15*'03_全链计算'!$D$15),"待修正")</x:f>
        <x:v>5</x:v>
      </x:c>
      <x:c r="F8" s="150" t="n">
        <x:f>IF('01_数值调参'!$D$3="配方有效",SUM('03_全链计算'!G7*'03_全链计算'!$D$7,'03_全链计算'!G8*'03_全链计算'!$D$8,'03_全链计算'!G9*'03_全链计算'!$D$9,'03_全链计算'!G10*'03_全链计算'!$D$10,'03_全链计算'!G11*'03_全链计算'!$D$11,'03_全链计算'!G12*'03_全链计算'!$D$12,'03_全链计算'!G13*'03_全链计算'!$D$13,'03_全链计算'!G14*'03_全链计算'!$D$14,'03_全链计算'!G15*'03_全链计算'!$D$15),"待修正")</x:f>
        <x:v>10</x:v>
      </x:c>
      <x:c r="G8" s="150" t="n">
        <x:f>IF('01_数值调参'!$D$3="配方有效",SUM('03_全链计算'!H7*'03_全链计算'!$D$7,'03_全链计算'!H8*'03_全链计算'!$D$8,'03_全链计算'!H9*'03_全链计算'!$D$9,'03_全链计算'!H10*'03_全链计算'!$D$10,'03_全链计算'!H11*'03_全链计算'!$D$11,'03_全链计算'!H12*'03_全链计算'!$D$12,'03_全链计算'!H13*'03_全链计算'!$D$13,'03_全链计算'!H14*'03_全链计算'!$D$14,'03_全链计算'!H15*'03_全链计算'!$D$15),"待修正")</x:f>
        <x:v>15</x:v>
      </x:c>
      <x:c r="H8" s="150" t="n">
        <x:f>IF('01_数值调参'!$D$3="配方有效",SUM('03_全链计算'!I7*'03_全链计算'!$D$7,'03_全链计算'!I8*'03_全链计算'!$D$8,'03_全链计算'!I9*'03_全链计算'!$D$9,'03_全链计算'!I10*'03_全链计算'!$D$10,'03_全链计算'!I11*'03_全链计算'!$D$11,'03_全链计算'!I12*'03_全链计算'!$D$12,'03_全链计算'!I13*'03_全链计算'!$D$13,'03_全链计算'!I14*'03_全链计算'!$D$14,'03_全链计算'!I15*'03_全链计算'!$D$15),"待修正")</x:f>
        <x:v>20</x:v>
      </x:c>
      <x:c r="I8" s="150" t="n">
        <x:f>IF('01_数值调参'!$D$3="配方有效",SUM('03_全链计算'!J7*'03_全链计算'!$D$7,'03_全链计算'!J8*'03_全链计算'!$D$8,'03_全链计算'!J9*'03_全链计算'!$D$9,'03_全链计算'!J10*'03_全链计算'!$D$10,'03_全链计算'!J11*'03_全链计算'!$D$11,'03_全链计算'!J12*'03_全链计算'!$D$12,'03_全链计算'!J13*'03_全链计算'!$D$13,'03_全链计算'!J14*'03_全链计算'!$D$14,'03_全链计算'!J15*'03_全链计算'!$D$15),"待修正")</x:f>
        <x:v>30</x:v>
      </x:c>
      <x:c r="J8" s="150" t="n">
        <x:f>IF('01_数值调参'!$D$3="配方有效",SUM('03_全链计算'!K7*'03_全链计算'!$D$7,'03_全链计算'!K8*'03_全链计算'!$D$8,'03_全链计算'!K9*'03_全链计算'!$D$9,'03_全链计算'!K10*'03_全链计算'!$D$10,'03_全链计算'!K11*'03_全链计算'!$D$11,'03_全链计算'!K12*'03_全链计算'!$D$12,'03_全链计算'!K13*'03_全链计算'!$D$13,'03_全链计算'!K14*'03_全链计算'!$D$14,'03_全链计算'!K15*'03_全链计算'!$D$15),"待修正")</x:f>
        <x:v>60</x:v>
      </x:c>
      <x:c r="K8" s="150" t="n">
        <x:f>IF('01_数值调参'!$D$3="配方有效",SUM('03_全链计算'!L7*'03_全链计算'!$D$7,'03_全链计算'!L8*'03_全链计算'!$D$8,'03_全链计算'!L9*'03_全链计算'!$D$9,'03_全链计算'!L10*'03_全链计算'!$D$10,'03_全链计算'!L11*'03_全链计算'!$D$11,'03_全链计算'!L12*'03_全链计算'!$D$12,'03_全链计算'!L13*'03_全链计算'!$D$13,'03_全链计算'!L14*'03_全链计算'!$D$14,'03_全链计算'!L15*'03_全链计算'!$D$15),"待修正")</x:f>
        <x:v>90</x:v>
      </x:c>
      <x:c r="L8" s="150" t="n">
        <x:f>IF('01_数值调参'!$D$3="配方有效",SUM('03_全链计算'!M7*'03_全链计算'!$D$7,'03_全链计算'!M8*'03_全链计算'!$D$8,'03_全链计算'!M9*'03_全链计算'!$D$9,'03_全链计算'!M10*'03_全链计算'!$D$10,'03_全链计算'!M11*'03_全链计算'!$D$11,'03_全链计算'!M12*'03_全链计算'!$D$12,'03_全链计算'!M13*'03_全链计算'!$D$13,'03_全链计算'!M14*'03_全链计算'!$D$14,'03_全链计算'!M15*'03_全链计算'!$D$15),"待修正")</x:f>
        <x:v>120</x:v>
      </x:c>
      <x:c r="M8" s="158" t="n">
        <x:f>IF('01_数值调参'!$D$3="配方有效",SUM('03_全链计算'!N7*'03_全链计算'!$D$7,'03_全链计算'!N8*'03_全链计算'!$D$8,'03_全链计算'!N9*'03_全链计算'!$D$9,'03_全链计算'!N10*'03_全链计算'!$D$10,'03_全链计算'!N11*'03_全链计算'!$D$11,'03_全链计算'!N12*'03_全链计算'!$D$12,'03_全链计算'!N13*'03_全链计算'!$D$13,'03_全链计算'!N14*'03_全链计算'!$D$14,'03_全链计算'!N15*'03_全链计算'!$D$15),"待修正")</x:f>
        <x:v>4</x:v>
      </x:c>
      <x:c r="N8" s="150" t="n">
        <x:f>IF('01_数值调参'!$D$3="配方有效",SUM('03_全链计算'!O7*'03_全链计算'!$D$7,'03_全链计算'!O8*'03_全链计算'!$D$8,'03_全链计算'!O9*'03_全链计算'!$D$9,'03_全链计算'!O10*'03_全链计算'!$D$10,'03_全链计算'!O11*'03_全链计算'!$D$11,'03_全链计算'!O12*'03_全链计算'!$D$12,'03_全链计算'!O13*'03_全链计算'!$D$13,'03_全链计算'!O14*'03_全链计算'!$D$14,'03_全链计算'!O15*'03_全链计算'!$D$15),"待修正")</x:f>
        <x:v>7</x:v>
      </x:c>
      <x:c r="O8" s="150" t="n">
        <x:f>IF('01_数值调参'!$D$3="配方有效",SUM('03_全链计算'!P7*'03_全链计算'!$D$7,'03_全链计算'!P8*'03_全链计算'!$D$8,'03_全链计算'!P9*'03_全链计算'!$D$9,'03_全链计算'!P10*'03_全链计算'!$D$10,'03_全链计算'!P11*'03_全链计算'!$D$11,'03_全链计算'!P12*'03_全链计算'!$D$12,'03_全链计算'!P13*'03_全链计算'!$D$13,'03_全链计算'!P14*'03_全链计算'!$D$14,'03_全链计算'!P15*'03_全链计算'!$D$15),"待修正")</x:f>
        <x:v>30</x:v>
      </x:c>
      <x:c r="P8" s="150" t="n">
        <x:f>IF('01_数值调参'!$D$3="配方有效",SUM('03_全链计算'!Q7*'03_全链计算'!$D$7,'03_全链计算'!Q8*'03_全链计算'!$D$8,'03_全链计算'!Q9*'03_全链计算'!$D$9,'03_全链计算'!Q10*'03_全链计算'!$D$10,'03_全链计算'!Q11*'03_全链计算'!$D$11,'03_全链计算'!Q12*'03_全链计算'!$D$12,'03_全链计算'!Q13*'03_全链计算'!$D$13,'03_全链计算'!Q14*'03_全链计算'!$D$14,'03_全链计算'!Q15*'03_全链计算'!$D$15),"待修正")</x:f>
        <x:v>40</x:v>
      </x:c>
      <x:c r="Q8" s="150" t="n">
        <x:f>IF('01_数值调参'!$D$3="配方有效",SUM('03_全链计算'!R7*'03_全链计算'!$D$7,'03_全链计算'!R8*'03_全链计算'!$D$8,'03_全链计算'!R9*'03_全链计算'!$D$9,'03_全链计算'!R10*'03_全链计算'!$D$10,'03_全链计算'!R11*'03_全链计算'!$D$11,'03_全链计算'!R12*'03_全链计算'!$D$12,'03_全链计算'!R13*'03_全链计算'!$D$13,'03_全链计算'!R14*'03_全链计算'!$D$14,'03_全链计算'!R15*'03_全链计算'!$D$15),"待修正")</x:f>
        <x:v>124</x:v>
      </x:c>
      <x:c r="R8" s="158" t="n">
        <x:f>IF('01_数值调参'!$D$3="配方有效",SUM('03_全链计算'!S7*'03_全链计算'!$D$7,'03_全链计算'!S8*'03_全链计算'!$D$8,'03_全链计算'!S9*'03_全链计算'!$D$9,'03_全链计算'!S10*'03_全链计算'!$D$10,'03_全链计算'!S11*'03_全链计算'!$D$11,'03_全链计算'!S12*'03_全链计算'!$D$12,'03_全链计算'!S13*'03_全链计算'!$D$13,'03_全链计算'!S14*'03_全链计算'!$D$14,'03_全链计算'!S15*'03_全链计算'!$D$15),"待修正")</x:f>
        <x:v>20</x:v>
      </x:c>
      <x:c r="S8" s="150" t="n">
        <x:f>IF('01_数值调参'!$D$3="配方有效",SUM('03_全链计算'!T7*'03_全链计算'!$D$7,'03_全链计算'!T8*'03_全链计算'!$D$8,'03_全链计算'!T9*'03_全链计算'!$D$9,'03_全链计算'!T10*'03_全链计算'!$D$10,'03_全链计算'!T11*'03_全链计算'!$D$11,'03_全链计算'!T12*'03_全链计算'!$D$12,'03_全链计算'!T13*'03_全链计算'!$D$13,'03_全链计算'!T14*'03_全链计算'!$D$14,'03_全链计算'!T15*'03_全链计算'!$D$15),"待修正")</x:f>
        <x:v>30</x:v>
      </x:c>
      <x:c r="T8" s="150" t="n">
        <x:f>IF('01_数值调参'!$D$3="配方有效",SUM('03_全链计算'!U7*'03_全链计算'!$D$7,'03_全链计算'!U8*'03_全链计算'!$D$8,'03_全链计算'!U9*'03_全链计算'!$D$9,'03_全链计算'!U10*'03_全链计算'!$D$10,'03_全链计算'!U11*'03_全链计算'!$D$11,'03_全链计算'!U12*'03_全链计算'!$D$12,'03_全链计算'!U13*'03_全链计算'!$D$13,'03_全链计算'!U14*'03_全链计算'!$D$14,'03_全链计算'!U15*'03_全链计算'!$D$15),"待修正")</x:f>
        <x:v>40</x:v>
      </x:c>
      <x:c r="U8" s="150" t="n">
        <x:f>IF('01_数值调参'!$D$3="配方有效",SUM('03_全链计算'!V7*'03_全链计算'!$D$7,'03_全链计算'!V8*'03_全链计算'!$D$8,'03_全链计算'!V9*'03_全链计算'!$D$9,'03_全链计算'!V10*'03_全链计算'!$D$10,'03_全链计算'!V11*'03_全链计算'!$D$11,'03_全链计算'!V12*'03_全链计算'!$D$12,'03_全链计算'!V13*'03_全链计算'!$D$13,'03_全链计算'!V14*'03_全链计算'!$D$14,'03_全链计算'!V15*'03_全链计算'!$D$15),"待修正")</x:f>
        <x:v>80</x:v>
      </x:c>
      <x:c r="V8" s="150" t="n">
        <x:f>IF('01_数值调参'!$D$3="配方有效",SUM('03_全链计算'!W7*'03_全链计算'!$D$7,'03_全链计算'!W8*'03_全链计算'!$D$8,'03_全链计算'!W9*'03_全链计算'!$D$9,'03_全链计算'!W10*'03_全链计算'!$D$10,'03_全链计算'!W11*'03_全链计算'!$D$11,'03_全链计算'!W12*'03_全链计算'!$D$12,'03_全链计算'!W13*'03_全链计算'!$D$13,'03_全链计算'!W14*'03_全链计算'!$D$14,'03_全链计算'!W15*'03_全链计算'!$D$15),"待修正")</x:f>
        <x:v>250</x:v>
      </x:c>
      <x:c r="W8" s="158" t="n">
        <x:f>IF('01_数值调参'!$D$3="配方有效",SUM('03_全链计算'!X7*'03_全链计算'!$D$7,'03_全链计算'!X8*'03_全链计算'!$D$8,'03_全链计算'!X9*'03_全链计算'!$D$9,'03_全链计算'!X10*'03_全链计算'!$D$10,'03_全链计算'!X11*'03_全链计算'!$D$11,'03_全链计算'!X12*'03_全链计算'!$D$12,'03_全链计算'!X13*'03_全链计算'!$D$13,'03_全链计算'!X14*'03_全链计算'!$D$14,'03_全链计算'!X15*'03_全链计算'!$D$15),"待修正")</x:f>
        <x:v>24</x:v>
      </x:c>
      <x:c r="X8" s="150" t="n">
        <x:f>IF('01_数值调参'!$D$3="配方有效",SUM('03_全链计算'!Y7*'03_全链计算'!$D$7,'03_全链计算'!Y8*'03_全链计算'!$D$8,'03_全链计算'!Y9*'03_全链计算'!$D$9,'03_全链计算'!Y10*'03_全链计算'!$D$10,'03_全链计算'!Y11*'03_全链计算'!$D$11,'03_全链计算'!Y12*'03_全链计算'!$D$12,'03_全链计算'!Y13*'03_全链计算'!$D$13,'03_全链计算'!Y14*'03_全链计算'!$D$14,'03_全链计算'!Y15*'03_全链计算'!$D$15),"待修正")</x:f>
        <x:v>11</x:v>
      </x:c>
      <x:c r="Y8" s="150" t="n">
        <x:f>IF('01_数值调参'!$D$3="配方有效",SUM('03_全链计算'!Z7*'03_全链计算'!$D$7,'03_全链计算'!Z8*'03_全链计算'!$D$8,'03_全链计算'!Z9*'03_全链计算'!$D$9,'03_全链计算'!Z10*'03_全链计算'!$D$10,'03_全链计算'!Z11*'03_全链计算'!$D$11,'03_全链计算'!Z12*'03_全链计算'!$D$12,'03_全链计算'!Z13*'03_全链计算'!$D$13,'03_全链计算'!Z14*'03_全链计算'!$D$14,'03_全链计算'!Z15*'03_全链计算'!$D$15),"待修正")</x:f>
        <x:v>40</x:v>
      </x:c>
      <x:c r="Z8" s="150" t="n">
        <x:f>IF('01_数值调参'!$D$3="配方有效",SUM('03_全链计算'!AA7*'03_全链计算'!$D$7,'03_全链计算'!AA8*'03_全链计算'!$D$8,'03_全链计算'!AA9*'03_全链计算'!$D$9,'03_全链计算'!AA10*'03_全链计算'!$D$10,'03_全链计算'!AA11*'03_全链计算'!$D$11,'03_全链计算'!AA12*'03_全链计算'!$D$12,'03_全链计算'!AA13*'03_全链计算'!$D$13,'03_全链计算'!AA14*'03_全链计算'!$D$14,'03_全链计算'!AA15*'03_全链计算'!$D$15),"待修正")</x:f>
        <x:v>47</x:v>
      </x:c>
      <x:c r="AA8" s="150" t="n">
        <x:f>IF('01_数值调参'!$D$3="配方有效",SUM('03_全链计算'!AB7*'03_全链计算'!$D$7,'03_全链计算'!AB8*'03_全链计算'!$D$8,'03_全链计算'!AB9*'03_全链计算'!$D$9,'03_全链计算'!AB10*'03_全链计算'!$D$10,'03_全链计算'!AB11*'03_全链计算'!$D$11,'03_全链计算'!AB12*'03_全链计算'!$D$12,'03_全链计算'!AB13*'03_全链计算'!$D$13,'03_全链计算'!AB14*'03_全链计算'!$D$14,'03_全链计算'!AB15*'03_全链计算'!$D$15),"待修正")</x:f>
        <x:v>44</x:v>
      </x:c>
      <x:c r="AB8" s="150" t="n">
        <x:f>IF('01_数值调参'!$D$3="配方有效",SUM('03_全链计算'!AC7*'03_全链计算'!$D$7,'03_全链计算'!AC8*'03_全链计算'!$D$8,'03_全链计算'!AC9*'03_全链计算'!$D$9,'03_全链计算'!AC10*'03_全链计算'!$D$10,'03_全链计算'!AC11*'03_全链计算'!$D$11,'03_全链计算'!AC12*'03_全链计算'!$D$12,'03_全链计算'!AC13*'03_全链计算'!$D$13,'03_全链计算'!AC14*'03_全链计算'!$D$14,'03_全链计算'!AC15*'03_全链计算'!$D$15),"待修正")</x:f>
        <x:v>276</x:v>
      </x:c>
      <x:c r="AC8" s="158" t="n">
        <x:f>IF('01_数值调参'!$D$3="配方有效",SUM('03_全链计算'!AD7*'03_全链计算'!$D$7,'03_全链计算'!AD8*'03_全链计算'!$D$8,'03_全链计算'!AD9*'03_全链计算'!$D$9,'03_全链计算'!AD10*'03_全链计算'!$D$10,'03_全链计算'!AD11*'03_全链计算'!$D$11,'03_全链计算'!AD12*'03_全链计算'!$D$12,'03_全链计算'!AD13*'03_全链计算'!$D$13,'03_全链计算'!AD14*'03_全链计算'!$D$14,'03_全链计算'!AD15*'03_全链计算'!$D$15),"待修正")</x:f>
        <x:v>40</x:v>
      </x:c>
      <x:c r="AD8" s="150" t="n">
        <x:f>IF('01_数值调参'!$D$3="配方有效",SUM('03_全链计算'!AE7*'03_全链计算'!$D$7,'03_全链计算'!AE8*'03_全链计算'!$D$8,'03_全链计算'!AE9*'03_全链计算'!$D$9,'03_全链计算'!AE10*'03_全链计算'!$D$10,'03_全链计算'!AE11*'03_全链计算'!$D$11,'03_全链计算'!AE12*'03_全链计算'!$D$12,'03_全链计算'!AE13*'03_全链计算'!$D$13,'03_全链计算'!AE14*'03_全链计算'!$D$14,'03_全链计算'!AE15*'03_全链计算'!$D$15),"待修正")</x:f>
        <x:v>90</x:v>
      </x:c>
      <x:c r="AE8" s="150" t="n">
        <x:f>IF('01_数值调参'!$D$3="配方有效",SUM('03_全链计算'!AF7*'03_全链计算'!$D$7,'03_全链计算'!AF8*'03_全链计算'!$D$8,'03_全链计算'!AF9*'03_全链计算'!$D$9,'03_全链计算'!AF10*'03_全链计算'!$D$10,'03_全链计算'!AF11*'03_全链计算'!$D$11,'03_全链计算'!AF12*'03_全链计算'!$D$12,'03_全链计算'!AF13*'03_全链计算'!$D$13,'03_全链计算'!AF14*'03_全链计算'!$D$14,'03_全链计算'!AF15*'03_全链计算'!$D$15),"待修正")</x:f>
        <x:v>180</x:v>
      </x:c>
      <x:c r="AF8" s="150" t="n">
        <x:f>IF('01_数值调参'!$D$3="配方有效",SUM('03_全链计算'!AG7*'03_全链计算'!$D$7,'03_全链计算'!AG8*'03_全链计算'!$D$8,'03_全链计算'!AG9*'03_全链计算'!$D$9,'03_全链计算'!AG10*'03_全链计算'!$D$10,'03_全链计算'!AG11*'03_全链计算'!$D$11,'03_全链计算'!AG12*'03_全链计算'!$D$12,'03_全链计算'!AG13*'03_全链计算'!$D$13,'03_全链计算'!AG14*'03_全链计算'!$D$14,'03_全链计算'!AG15*'03_全链计算'!$D$15),"待修正")</x:f>
        <x:v>270</x:v>
      </x:c>
      <x:c r="AG8" s="158" t="n">
        <x:f>IF('01_数值调参'!$D$3="配方有效",SUM('03_全链计算'!AH7*'03_全链计算'!$D$7,'03_全链计算'!AH8*'03_全链计算'!$D$8,'03_全链计算'!AH9*'03_全链计算'!$D$9,'03_全链计算'!AH10*'03_全链计算'!$D$10,'03_全链计算'!AH11*'03_全链计算'!$D$11,'03_全链计算'!AH12*'03_全链计算'!$D$12,'03_全链计算'!AH13*'03_全链计算'!$D$13,'03_全链计算'!AH14*'03_全链计算'!$D$14,'03_全链计算'!AH15*'03_全链计算'!$D$15),"待修正")</x:f>
        <x:v>50</x:v>
      </x:c>
      <x:c r="AH8" s="150" t="n">
        <x:f>IF('01_数值调参'!$D$3="配方有效",SUM('03_全链计算'!AI7*'03_全链计算'!$D$7,'03_全链计算'!AI8*'03_全链计算'!$D$8,'03_全链计算'!AI9*'03_全链计算'!$D$9,'03_全链计算'!AI10*'03_全链计算'!$D$10,'03_全链计算'!AI11*'03_全链计算'!$D$11,'03_全链计算'!AI12*'03_全链计算'!$D$12,'03_全链计算'!AI13*'03_全链计算'!$D$13,'03_全链计算'!AI14*'03_全链计算'!$D$14,'03_全链计算'!AI15*'03_全链计算'!$D$15),"待修正")</x:f>
        <x:v>70</x:v>
      </x:c>
      <x:c r="AI8" s="150" t="n">
        <x:f>IF('01_数值调参'!$D$3="配方有效",SUM('03_全链计算'!AJ7*'03_全链计算'!$D$7,'03_全链计算'!AJ8*'03_全链计算'!$D$8,'03_全链计算'!AJ9*'03_全链计算'!$D$9,'03_全链计算'!AJ10*'03_全链计算'!$D$10,'03_全链计算'!AJ11*'03_全链计算'!$D$11,'03_全链计算'!AJ12*'03_全链计算'!$D$12,'03_全链计算'!AJ13*'03_全链计算'!$D$13,'03_全链计算'!AJ14*'03_全链计算'!$D$14,'03_全链计算'!AJ15*'03_全链计算'!$D$15),"待修正")</x:f>
        <x:v>150</x:v>
      </x:c>
      <x:c r="AJ8" s="150" t="n">
        <x:f>IF('01_数值调参'!$D$3="配方有效",SUM('03_全链计算'!AK7*'03_全链计算'!$D$7,'03_全链计算'!AK8*'03_全链计算'!$D$8,'03_全链计算'!AK9*'03_全链计算'!$D$9,'03_全链计算'!AK10*'03_全链计算'!$D$10,'03_全链计算'!AK11*'03_全链计算'!$D$11,'03_全链计算'!AK12*'03_全链计算'!$D$12,'03_全链计算'!AK13*'03_全链计算'!$D$13,'03_全链计算'!AK14*'03_全链计算'!$D$14,'03_全链计算'!AK15*'03_全链计算'!$D$15),"待修正")</x:f>
        <x:v>250</x:v>
      </x:c>
      <x:c r="AK8" s="150" t="n">
        <x:f>IF('01_数值调参'!$D$3="配方有效",SUM('03_全链计算'!AL7*'03_全链计算'!$D$7,'03_全链计算'!AL8*'03_全链计算'!$D$8,'03_全链计算'!AL9*'03_全链计算'!$D$9,'03_全链计算'!AL10*'03_全链计算'!$D$10,'03_全链计算'!AL11*'03_全链计算'!$D$11,'03_全链计算'!AL12*'03_全链计算'!$D$12,'03_全链计算'!AL13*'03_全链计算'!$D$13,'03_全链计算'!AL14*'03_全链计算'!$D$14,'03_全链计算'!AL15*'03_全链计算'!$D$15),"待修正")</x:f>
        <x:v>94</x:v>
      </x:c>
      <x:c r="AL8" s="150" t="n">
        <x:f>IF('01_数值调参'!$D$3="配方有效",SUM('03_全链计算'!AM7*'03_全链计算'!$D$7,'03_全链计算'!AM8*'03_全链计算'!$D$8,'03_全链计算'!AM9*'03_全链计算'!$D$9,'03_全链计算'!AM10*'03_全链计算'!$D$10,'03_全链计算'!AM11*'03_全链计算'!$D$11,'03_全链计算'!AM12*'03_全链计算'!$D$12,'03_全链计算'!AM13*'03_全链计算'!$D$13,'03_全链计算'!AM14*'03_全链计算'!$D$14,'03_全链计算'!AM15*'03_全链计算'!$D$15),"待修正")</x:f>
        <x:v>307</x:v>
      </x:c>
    </x:row>
    <x:row r="9" ht="24" customHeight="1">
      <x:c r="A9" s="44" t="n">
        <x:v>501</x:v>
      </x:c>
      <x:c r="B9" s="44" t="str">
        <x:v>研磨机</x:v>
      </x:c>
      <x:c r="C9" s="58"/>
      <x:c r="D9" s="150" t="n">
        <x:f>IF('01_数值调参'!$D$3="配方有效",SUM('03_全链计算'!E16*'03_全链计算'!$D$16,'03_全链计算'!E17*'03_全链计算'!$D$17,'03_全链计算'!E18*'03_全链计算'!$D$18,'03_全链计算'!E19*'03_全链计算'!$D$19,'03_全链计算'!E20*'03_全链计算'!$D$20),"待修正")</x:f>
        <x:v>0</x:v>
      </x:c>
      <x:c r="E9" s="150" t="n">
        <x:f>IF('01_数值调参'!$D$3="配方有效",SUM('03_全链计算'!F16*'03_全链计算'!$D$16,'03_全链计算'!F17*'03_全链计算'!$D$17,'03_全链计算'!F18*'03_全链计算'!$D$18,'03_全链计算'!F19*'03_全链计算'!$D$19,'03_全链计算'!F20*'03_全链计算'!$D$20),"待修正")</x:f>
        <x:v>0</x:v>
      </x:c>
      <x:c r="F9" s="150" t="n">
        <x:f>IF('01_数值调参'!$D$3="配方有效",SUM('03_全链计算'!G16*'03_全链计算'!$D$16,'03_全链计算'!G17*'03_全链计算'!$D$17,'03_全链计算'!G18*'03_全链计算'!$D$18,'03_全链计算'!G19*'03_全链计算'!$D$19,'03_全链计算'!G20*'03_全链计算'!$D$20),"待修正")</x:f>
        <x:v>0</x:v>
      </x:c>
      <x:c r="G9" s="150" t="n">
        <x:f>IF('01_数值调参'!$D$3="配方有效",SUM('03_全链计算'!H16*'03_全链计算'!$D$16,'03_全链计算'!H17*'03_全链计算'!$D$17,'03_全链计算'!H18*'03_全链计算'!$D$18,'03_全链计算'!H19*'03_全链计算'!$D$19,'03_全链计算'!H20*'03_全链计算'!$D$20),"待修正")</x:f>
        <x:v>0</x:v>
      </x:c>
      <x:c r="H9" s="150" t="n">
        <x:f>IF('01_数值调参'!$D$3="配方有效",SUM('03_全链计算'!I16*'03_全链计算'!$D$16,'03_全链计算'!I17*'03_全链计算'!$D$17,'03_全链计算'!I18*'03_全链计算'!$D$18,'03_全链计算'!I19*'03_全链计算'!$D$19,'03_全链计算'!I20*'03_全链计算'!$D$20),"待修正")</x:f>
        <x:v>0</x:v>
      </x:c>
      <x:c r="I9" s="150" t="n">
        <x:f>IF('01_数值调参'!$D$3="配方有效",SUM('03_全链计算'!J16*'03_全链计算'!$D$16,'03_全链计算'!J17*'03_全链计算'!$D$17,'03_全链计算'!J18*'03_全链计算'!$D$18,'03_全链计算'!J19*'03_全链计算'!$D$19,'03_全链计算'!J20*'03_全链计算'!$D$20),"待修正")</x:f>
        <x:v>0</x:v>
      </x:c>
      <x:c r="J9" s="150" t="n">
        <x:f>IF('01_数值调参'!$D$3="配方有效",SUM('03_全链计算'!K16*'03_全链计算'!$D$16,'03_全链计算'!K17*'03_全链计算'!$D$17,'03_全链计算'!K18*'03_全链计算'!$D$18,'03_全链计算'!K19*'03_全链计算'!$D$19,'03_全链计算'!K20*'03_全链计算'!$D$20),"待修正")</x:f>
        <x:v>0</x:v>
      </x:c>
      <x:c r="K9" s="150" t="n">
        <x:f>IF('01_数值调参'!$D$3="配方有效",SUM('03_全链计算'!L16*'03_全链计算'!$D$16,'03_全链计算'!L17*'03_全链计算'!$D$17,'03_全链计算'!L18*'03_全链计算'!$D$18,'03_全链计算'!L19*'03_全链计算'!$D$19,'03_全链计算'!L20*'03_全链计算'!$D$20),"待修正")</x:f>
        <x:v>0</x:v>
      </x:c>
      <x:c r="L9" s="150" t="n">
        <x:f>IF('01_数值调参'!$D$3="配方有效",SUM('03_全链计算'!M16*'03_全链计算'!$D$16,'03_全链计算'!M17*'03_全链计算'!$D$17,'03_全链计算'!M18*'03_全链计算'!$D$18,'03_全链计算'!M19*'03_全链计算'!$D$19,'03_全链计算'!M20*'03_全链计算'!$D$20),"待修正")</x:f>
        <x:v>0</x:v>
      </x:c>
      <x:c r="M9" s="158" t="n">
        <x:f>IF('01_数值调参'!$D$3="配方有效",SUM('03_全链计算'!N16*'03_全链计算'!$D$16,'03_全链计算'!N17*'03_全链计算'!$D$17,'03_全链计算'!N18*'03_全链计算'!$D$18,'03_全链计算'!N19*'03_全链计算'!$D$19,'03_全链计算'!N20*'03_全链计算'!$D$20),"待修正")</x:f>
        <x:v>5</x:v>
      </x:c>
      <x:c r="N9" s="150" t="n">
        <x:f>IF('01_数值调参'!$D$3="配方有效",SUM('03_全链计算'!O16*'03_全链计算'!$D$16,'03_全链计算'!O17*'03_全链计算'!$D$17,'03_全链计算'!O18*'03_全链计算'!$D$18,'03_全链计算'!O19*'03_全链计算'!$D$19,'03_全链计算'!O20*'03_全链计算'!$D$20),"待修正")</x:f>
        <x:v>10</x:v>
      </x:c>
      <x:c r="O9" s="150" t="n">
        <x:f>IF('01_数值调参'!$D$3="配方有效",SUM('03_全链计算'!P16*'03_全链计算'!$D$16,'03_全链计算'!P17*'03_全链计算'!$D$17,'03_全链计算'!P18*'03_全链计算'!$D$18,'03_全链计算'!P19*'03_全链计算'!$D$19,'03_全链计算'!P20*'03_全链计算'!$D$20),"待修正")</x:f>
        <x:v>20</x:v>
      </x:c>
      <x:c r="P9" s="150" t="n">
        <x:f>IF('01_数值调参'!$D$3="配方有效",SUM('03_全链计算'!Q16*'03_全链计算'!$D$16,'03_全链计算'!Q17*'03_全链计算'!$D$17,'03_全链计算'!Q18*'03_全链计算'!$D$18,'03_全链计算'!Q19*'03_全链计算'!$D$19,'03_全链计算'!Q20*'03_全链计算'!$D$20),"待修正")</x:f>
        <x:v>30</x:v>
      </x:c>
      <x:c r="Q9" s="150" t="n">
        <x:f>IF('01_数值调参'!$D$3="配方有效",SUM('03_全链计算'!R16*'03_全链计算'!$D$16,'03_全链计算'!R17*'03_全链计算'!$D$17,'03_全链计算'!R18*'03_全链计算'!$D$18,'03_全链计算'!R19*'03_全链计算'!$D$19,'03_全链计算'!R20*'03_全链计算'!$D$20),"待修正")</x:f>
        <x:v>60</x:v>
      </x:c>
      <x:c r="R9" s="158" t="n">
        <x:f>IF('01_数值调参'!$D$3="配方有效",SUM('03_全链计算'!S16*'03_全链计算'!$D$16,'03_全链计算'!S17*'03_全链计算'!$D$17,'03_全链计算'!S18*'03_全链计算'!$D$18,'03_全链计算'!S19*'03_全链计算'!$D$19,'03_全链计算'!S20*'03_全链计算'!$D$20),"待修正")</x:f>
        <x:v>0</x:v>
      </x:c>
      <x:c r="S9" s="150" t="n">
        <x:f>IF('01_数值调参'!$D$3="配方有效",SUM('03_全链计算'!T16*'03_全链计算'!$D$16,'03_全链计算'!T17*'03_全链计算'!$D$17,'03_全链计算'!T18*'03_全链计算'!$D$18,'03_全链计算'!T19*'03_全链计算'!$D$19,'03_全链计算'!T20*'03_全链计算'!$D$20),"待修正")</x:f>
        <x:v>0</x:v>
      </x:c>
      <x:c r="T9" s="150" t="n">
        <x:f>IF('01_数值调参'!$D$3="配方有效",SUM('03_全链计算'!U16*'03_全链计算'!$D$16,'03_全链计算'!U17*'03_全链计算'!$D$17,'03_全链计算'!U18*'03_全链计算'!$D$18,'03_全链计算'!U19*'03_全链计算'!$D$19,'03_全链计算'!U20*'03_全链计算'!$D$20),"待修正")</x:f>
        <x:v>0</x:v>
      </x:c>
      <x:c r="U9" s="150" t="n">
        <x:f>IF('01_数值调参'!$D$3="配方有效",SUM('03_全链计算'!V16*'03_全链计算'!$D$16,'03_全链计算'!V17*'03_全链计算'!$D$17,'03_全链计算'!V18*'03_全链计算'!$D$18,'03_全链计算'!V19*'03_全链计算'!$D$19,'03_全链计算'!V20*'03_全链计算'!$D$20),"待修正")</x:f>
        <x:v>0</x:v>
      </x:c>
      <x:c r="V9" s="150" t="n">
        <x:f>IF('01_数值调参'!$D$3="配方有效",SUM('03_全链计算'!W16*'03_全链计算'!$D$16,'03_全链计算'!W17*'03_全链计算'!$D$17,'03_全链计算'!W18*'03_全链计算'!$D$18,'03_全链计算'!W19*'03_全链计算'!$D$19,'03_全链计算'!W20*'03_全链计算'!$D$20),"待修正")</x:f>
        <x:v>0</x:v>
      </x:c>
      <x:c r="W9" s="158" t="n">
        <x:f>IF('01_数值调参'!$D$3="配方有效",SUM('03_全链计算'!X16*'03_全链计算'!$D$16,'03_全链计算'!X17*'03_全链计算'!$D$17,'03_全链计算'!X18*'03_全链计算'!$D$18,'03_全链计算'!X19*'03_全链计算'!$D$19,'03_全链计算'!X20*'03_全链计算'!$D$20),"待修正")</x:f>
        <x:v>5</x:v>
      </x:c>
      <x:c r="X9" s="150" t="n">
        <x:f>IF('01_数值调参'!$D$3="配方有效",SUM('03_全链计算'!Y16*'03_全链计算'!$D$16,'03_全链计算'!Y17*'03_全链计算'!$D$17,'03_全链计算'!Y18*'03_全链计算'!$D$18,'03_全链计算'!Y19*'03_全链计算'!$D$19,'03_全链计算'!Y20*'03_全链计算'!$D$20),"待修正")</x:f>
        <x:v>10</x:v>
      </x:c>
      <x:c r="Y9" s="150" t="n">
        <x:f>IF('01_数值调参'!$D$3="配方有效",SUM('03_全链计算'!Z16*'03_全链计算'!$D$16,'03_全链计算'!Z17*'03_全链计算'!$D$17,'03_全链计算'!Z18*'03_全链计算'!$D$18,'03_全链计算'!Z19*'03_全链计算'!$D$19,'03_全链计算'!Z20*'03_全链计算'!$D$20),"待修正")</x:f>
        <x:v>0</x:v>
      </x:c>
      <x:c r="Z9" s="150" t="n">
        <x:f>IF('01_数值调参'!$D$3="配方有效",SUM('03_全链计算'!AA16*'03_全链计算'!$D$16,'03_全链计算'!AA17*'03_全链计算'!$D$17,'03_全链计算'!AA18*'03_全链计算'!$D$18,'03_全链计算'!AA19*'03_全链计算'!$D$19,'03_全链计算'!AA20*'03_全链计算'!$D$20),"待修正")</x:f>
        <x:v>10</x:v>
      </x:c>
      <x:c r="AA9" s="150" t="n">
        <x:f>IF('01_数值调参'!$D$3="配方有效",SUM('03_全链计算'!AB16*'03_全链计算'!$D$16,'03_全链计算'!AB17*'03_全链计算'!$D$17,'03_全链计算'!AB18*'03_全链计算'!$D$18,'03_全链计算'!AB19*'03_全链计算'!$D$19,'03_全链计算'!AB20*'03_全链计算'!$D$20),"待修正")</x:f>
        <x:v>5</x:v>
      </x:c>
      <x:c r="AB9" s="150" t="n">
        <x:f>IF('01_数值调参'!$D$3="配方有效",SUM('03_全链计算'!AC16*'03_全链计算'!$D$16,'03_全链计算'!AC17*'03_全链计算'!$D$17,'03_全链计算'!AC18*'03_全链计算'!$D$18,'03_全链计算'!AC19*'03_全链计算'!$D$19,'03_全链计算'!AC20*'03_全链计算'!$D$20),"待修正")</x:f>
        <x:v>5</x:v>
      </x:c>
      <x:c r="AC9" s="158" t="n">
        <x:f>IF('01_数值调参'!$D$3="配方有效",SUM('03_全链计算'!AD16*'03_全链计算'!$D$16,'03_全链计算'!AD17*'03_全链计算'!$D$17,'03_全链计算'!AD18*'03_全链计算'!$D$18,'03_全链计算'!AD19*'03_全链计算'!$D$19,'03_全链计算'!AD20*'03_全链计算'!$D$20),"待修正")</x:f>
        <x:v>0</x:v>
      </x:c>
      <x:c r="AD9" s="150" t="n">
        <x:f>IF('01_数值调参'!$D$3="配方有效",SUM('03_全链计算'!AE16*'03_全链计算'!$D$16,'03_全链计算'!AE17*'03_全链计算'!$D$17,'03_全链计算'!AE18*'03_全链计算'!$D$18,'03_全链计算'!AE19*'03_全链计算'!$D$19,'03_全链计算'!AE20*'03_全链计算'!$D$20),"待修正")</x:f>
        <x:v>0</x:v>
      </x:c>
      <x:c r="AE9" s="150" t="n">
        <x:f>IF('01_数值调参'!$D$3="配方有效",SUM('03_全链计算'!AF16*'03_全链计算'!$D$16,'03_全链计算'!AF17*'03_全链计算'!$D$17,'03_全链计算'!AF18*'03_全链计算'!$D$18,'03_全链计算'!AF19*'03_全链计算'!$D$19,'03_全链计算'!AF20*'03_全链计算'!$D$20),"待修正")</x:f>
        <x:v>0</x:v>
      </x:c>
      <x:c r="AF9" s="150" t="n">
        <x:f>IF('01_数值调参'!$D$3="配方有效",SUM('03_全链计算'!AG16*'03_全链计算'!$D$16,'03_全链计算'!AG17*'03_全链计算'!$D$17,'03_全链计算'!AG18*'03_全链计算'!$D$18,'03_全链计算'!AG19*'03_全链计算'!$D$19,'03_全链计算'!AG20*'03_全链计算'!$D$20),"待修正")</x:f>
        <x:v>0</x:v>
      </x:c>
      <x:c r="AG9" s="158" t="n">
        <x:f>IF('01_数值调参'!$D$3="配方有效",SUM('03_全链计算'!AH16*'03_全链计算'!$D$16,'03_全链计算'!AH17*'03_全链计算'!$D$17,'03_全链计算'!AH18*'03_全链计算'!$D$18,'03_全链计算'!AH19*'03_全链计算'!$D$19,'03_全链计算'!AH20*'03_全链计算'!$D$20),"待修正")</x:f>
        <x:v>20</x:v>
      </x:c>
      <x:c r="AH9" s="150" t="n">
        <x:f>IF('01_数值调参'!$D$3="配方有效",SUM('03_全链计算'!AI16*'03_全链计算'!$D$16,'03_全链计算'!AI17*'03_全链计算'!$D$17,'03_全链计算'!AI18*'03_全链计算'!$D$18,'03_全链计算'!AI19*'03_全链计算'!$D$19,'03_全链计算'!AI20*'03_全链计算'!$D$20),"待修正")</x:f>
        <x:v>20</x:v>
      </x:c>
      <x:c r="AI9" s="150" t="n">
        <x:f>IF('01_数值调参'!$D$3="配方有效",SUM('03_全链计算'!AJ16*'03_全链计算'!$D$16,'03_全链计算'!AJ17*'03_全链计算'!$D$17,'03_全链计算'!AJ18*'03_全链计算'!$D$18,'03_全链计算'!AJ19*'03_全链计算'!$D$19,'03_全链计算'!AJ20*'03_全链计算'!$D$20),"待修正")</x:f>
        <x:v>0</x:v>
      </x:c>
      <x:c r="AJ9" s="150" t="n">
        <x:f>IF('01_数值调参'!$D$3="配方有效",SUM('03_全链计算'!AK16*'03_全链计算'!$D$16,'03_全链计算'!AK17*'03_全链计算'!$D$17,'03_全链计算'!AK18*'03_全链计算'!$D$18,'03_全链计算'!AK19*'03_全链计算'!$D$19,'03_全链计算'!AK20*'03_全链计算'!$D$20),"待修正")</x:f>
        <x:v>30</x:v>
      </x:c>
      <x:c r="AK9" s="150" t="n">
        <x:f>IF('01_数值调参'!$D$3="配方有效",SUM('03_全链计算'!AL16*'03_全链计算'!$D$16,'03_全链计算'!AL17*'03_全链计算'!$D$17,'03_全链计算'!AL18*'03_全链计算'!$D$18,'03_全链计算'!AL19*'03_全链计算'!$D$19,'03_全链计算'!AL20*'03_全链计算'!$D$20),"待修正")</x:f>
        <x:v>25</x:v>
      </x:c>
      <x:c r="AL9" s="150" t="n">
        <x:f>IF('01_数值调参'!$D$3="配方有效",SUM('03_全链计算'!AM16*'03_全链计算'!$D$16,'03_全链计算'!AM17*'03_全链计算'!$D$17,'03_全链计算'!AM18*'03_全链计算'!$D$18,'03_全链计算'!AM19*'03_全链计算'!$D$19,'03_全链计算'!AM20*'03_全链计算'!$D$20),"待修正")</x:f>
        <x:v>10</x:v>
      </x:c>
    </x:row>
    <x:row r="10" ht="24" customHeight="1">
      <x:c r="A10" s="67" t="n">
        <x:v>502</x:v>
      </x:c>
      <x:c r="B10" s="67" t="str">
        <x:v>切割机</x:v>
      </x:c>
      <x:c r="C10" s="58"/>
      <x:c r="D10" s="150" t="n">
        <x:f>IF('01_数值调参'!$D$3="配方有效",SUM('03_全链计算'!E21*'03_全链计算'!$D$21,'03_全链计算'!E22*'03_全链计算'!$D$22,'03_全链计算'!E23*'03_全链计算'!$D$23,'03_全链计算'!E24*'03_全链计算'!$D$24,'03_全链计算'!E25*'03_全链计算'!$D$25),"待修正")</x:f>
        <x:v>0</x:v>
      </x:c>
      <x:c r="E10" s="150" t="n">
        <x:f>IF('01_数值调参'!$D$3="配方有效",SUM('03_全链计算'!F21*'03_全链计算'!$D$21,'03_全链计算'!F22*'03_全链计算'!$D$22,'03_全链计算'!F23*'03_全链计算'!$D$23,'03_全链计算'!F24*'03_全链计算'!$D$24,'03_全链计算'!F25*'03_全链计算'!$D$25),"待修正")</x:f>
        <x:v>0</x:v>
      </x:c>
      <x:c r="F10" s="150" t="n">
        <x:f>IF('01_数值调参'!$D$3="配方有效",SUM('03_全链计算'!G21*'03_全链计算'!$D$21,'03_全链计算'!G22*'03_全链计算'!$D$22,'03_全链计算'!G23*'03_全链计算'!$D$23,'03_全链计算'!G24*'03_全链计算'!$D$24,'03_全链计算'!G25*'03_全链计算'!$D$25),"待修正")</x:f>
        <x:v>0</x:v>
      </x:c>
      <x:c r="G10" s="150" t="n">
        <x:f>IF('01_数值调参'!$D$3="配方有效",SUM('03_全链计算'!H21*'03_全链计算'!$D$21,'03_全链计算'!H22*'03_全链计算'!$D$22,'03_全链计算'!H23*'03_全链计算'!$D$23,'03_全链计算'!H24*'03_全链计算'!$D$24,'03_全链计算'!H25*'03_全链计算'!$D$25),"待修正")</x:f>
        <x:v>0</x:v>
      </x:c>
      <x:c r="H10" s="150" t="n">
        <x:f>IF('01_数值调参'!$D$3="配方有效",SUM('03_全链计算'!I21*'03_全链计算'!$D$21,'03_全链计算'!I22*'03_全链计算'!$D$22,'03_全链计算'!I23*'03_全链计算'!$D$23,'03_全链计算'!I24*'03_全链计算'!$D$24,'03_全链计算'!I25*'03_全链计算'!$D$25),"待修正")</x:f>
        <x:v>0</x:v>
      </x:c>
      <x:c r="I10" s="150" t="n">
        <x:f>IF('01_数值调参'!$D$3="配方有效",SUM('03_全链计算'!J21*'03_全链计算'!$D$21,'03_全链计算'!J22*'03_全链计算'!$D$22,'03_全链计算'!J23*'03_全链计算'!$D$23,'03_全链计算'!J24*'03_全链计算'!$D$24,'03_全链计算'!J25*'03_全链计算'!$D$25),"待修正")</x:f>
        <x:v>0</x:v>
      </x:c>
      <x:c r="J10" s="150" t="n">
        <x:f>IF('01_数值调参'!$D$3="配方有效",SUM('03_全链计算'!K21*'03_全链计算'!$D$21,'03_全链计算'!K22*'03_全链计算'!$D$22,'03_全链计算'!K23*'03_全链计算'!$D$23,'03_全链计算'!K24*'03_全链计算'!$D$24,'03_全链计算'!K25*'03_全链计算'!$D$25),"待修正")</x:f>
        <x:v>0</x:v>
      </x:c>
      <x:c r="K10" s="150" t="n">
        <x:f>IF('01_数值调参'!$D$3="配方有效",SUM('03_全链计算'!L21*'03_全链计算'!$D$21,'03_全链计算'!L22*'03_全链计算'!$D$22,'03_全链计算'!L23*'03_全链计算'!$D$23,'03_全链计算'!L24*'03_全链计算'!$D$24,'03_全链计算'!L25*'03_全链计算'!$D$25),"待修正")</x:f>
        <x:v>0</x:v>
      </x:c>
      <x:c r="L10" s="150" t="n">
        <x:f>IF('01_数值调参'!$D$3="配方有效",SUM('03_全链计算'!M21*'03_全链计算'!$D$21,'03_全链计算'!M22*'03_全链计算'!$D$22,'03_全链计算'!M23*'03_全链计算'!$D$23,'03_全链计算'!M24*'03_全链计算'!$D$24,'03_全链计算'!M25*'03_全链计算'!$D$25),"待修正")</x:f>
        <x:v>0</x:v>
      </x:c>
      <x:c r="M10" s="158" t="n">
        <x:f>IF('01_数值调参'!$D$3="配方有效",SUM('03_全链计算'!N21*'03_全链计算'!$D$21,'03_全链计算'!N22*'03_全链计算'!$D$22,'03_全链计算'!N23*'03_全链计算'!$D$23,'03_全链计算'!N24*'03_全链计算'!$D$24,'03_全链计算'!N25*'03_全链计算'!$D$25),"待修正")</x:f>
        <x:v>0</x:v>
      </x:c>
      <x:c r="N10" s="150" t="n">
        <x:f>IF('01_数值调参'!$D$3="配方有效",SUM('03_全链计算'!O21*'03_全链计算'!$D$21,'03_全链计算'!O22*'03_全链计算'!$D$22,'03_全链计算'!O23*'03_全链计算'!$D$23,'03_全链计算'!O24*'03_全链计算'!$D$24,'03_全链计算'!O25*'03_全链计算'!$D$25),"待修正")</x:f>
        <x:v>0</x:v>
      </x:c>
      <x:c r="O10" s="150" t="n">
        <x:f>IF('01_数值调参'!$D$3="配方有效",SUM('03_全链计算'!P21*'03_全链计算'!$D$21,'03_全链计算'!P22*'03_全链计算'!$D$22,'03_全链计算'!P23*'03_全链计算'!$D$23,'03_全链计算'!P24*'03_全链计算'!$D$24,'03_全链计算'!P25*'03_全链计算'!$D$25),"待修正")</x:f>
        <x:v>0</x:v>
      </x:c>
      <x:c r="P10" s="150" t="n">
        <x:f>IF('01_数值调参'!$D$3="配方有效",SUM('03_全链计算'!Q21*'03_全链计算'!$D$21,'03_全链计算'!Q22*'03_全链计算'!$D$22,'03_全链计算'!Q23*'03_全链计算'!$D$23,'03_全链计算'!Q24*'03_全链计算'!$D$24,'03_全链计算'!Q25*'03_全链计算'!$D$25),"待修正")</x:f>
        <x:v>0</x:v>
      </x:c>
      <x:c r="Q10" s="150" t="n">
        <x:f>IF('01_数值调参'!$D$3="配方有效",SUM('03_全链计算'!R21*'03_全链计算'!$D$21,'03_全链计算'!R22*'03_全链计算'!$D$22,'03_全链计算'!R23*'03_全链计算'!$D$23,'03_全链计算'!R24*'03_全链计算'!$D$24,'03_全链计算'!R25*'03_全链计算'!$D$25),"待修正")</x:f>
        <x:v>0</x:v>
      </x:c>
      <x:c r="R10" s="158" t="n">
        <x:f>IF('01_数值调参'!$D$3="配方有效",SUM('03_全链计算'!S21*'03_全链计算'!$D$21,'03_全链计算'!S22*'03_全链计算'!$D$22,'03_全链计算'!S23*'03_全链计算'!$D$23,'03_全链计算'!S24*'03_全链计算'!$D$24,'03_全链计算'!S25*'03_全链计算'!$D$25),"待修正")</x:f>
        <x:v>10</x:v>
      </x:c>
      <x:c r="S10" s="150" t="n">
        <x:f>IF('01_数值调参'!$D$3="配方有效",SUM('03_全链计算'!T21*'03_全链计算'!$D$21,'03_全链计算'!T22*'03_全链计算'!$D$22,'03_全链计算'!T23*'03_全链计算'!$D$23,'03_全链计算'!T24*'03_全链计算'!$D$24,'03_全链计算'!T25*'03_全链计算'!$D$25),"待修正")</x:f>
        <x:v>20</x:v>
      </x:c>
      <x:c r="T10" s="150" t="n">
        <x:f>IF('01_数值调参'!$D$3="配方有效",SUM('03_全链计算'!U21*'03_全链计算'!$D$21,'03_全链计算'!U22*'03_全链计算'!$D$22,'03_全链计算'!U23*'03_全链计算'!$D$23,'03_全链计算'!U24*'03_全链计算'!$D$24,'03_全链计算'!U25*'03_全链计算'!$D$25),"待修正")</x:f>
        <x:v>30</x:v>
      </x:c>
      <x:c r="U10" s="150" t="n">
        <x:f>IF('01_数值调参'!$D$3="配方有效",SUM('03_全链计算'!V21*'03_全链计算'!$D$21,'03_全链计算'!V22*'03_全链计算'!$D$22,'03_全链计算'!V23*'03_全链计算'!$D$23,'03_全链计算'!V24*'03_全链计算'!$D$24,'03_全链计算'!V25*'03_全链计算'!$D$25),"待修正")</x:f>
        <x:v>45</x:v>
      </x:c>
      <x:c r="V10" s="150" t="n">
        <x:f>IF('01_数值调参'!$D$3="配方有效",SUM('03_全链计算'!W21*'03_全链计算'!$D$21,'03_全链计算'!W22*'03_全链计算'!$D$22,'03_全链计算'!W23*'03_全链计算'!$D$23,'03_全链计算'!W24*'03_全链计算'!$D$24,'03_全链计算'!W25*'03_全链计算'!$D$25),"待修正")</x:f>
        <x:v>60</x:v>
      </x:c>
      <x:c r="W10" s="158" t="n">
        <x:f>IF('01_数值调参'!$D$3="配方有效",SUM('03_全链计算'!X21*'03_全链计算'!$D$21,'03_全链计算'!X22*'03_全链计算'!$D$22,'03_全链计算'!X23*'03_全链计算'!$D$23,'03_全链计算'!X24*'03_全链计算'!$D$24,'03_全链计算'!X25*'03_全链计算'!$D$25),"待修正")</x:f>
        <x:v>10</x:v>
      </x:c>
      <x:c r="X10" s="150" t="n">
        <x:f>IF('01_数值调参'!$D$3="配方有效",SUM('03_全链计算'!Y21*'03_全链计算'!$D$21,'03_全链计算'!Y22*'03_全链计算'!$D$22,'03_全链计算'!Y23*'03_全链计算'!$D$23,'03_全链计算'!Y24*'03_全链计算'!$D$24,'03_全链计算'!Y25*'03_全链计算'!$D$25),"待修正")</x:f>
        <x:v>0</x:v>
      </x:c>
      <x:c r="Y10" s="150" t="n">
        <x:f>IF('01_数值调参'!$D$3="配方有效",SUM('03_全链计算'!Z21*'03_全链计算'!$D$21,'03_全链计算'!Z22*'03_全链计算'!$D$22,'03_全链计算'!Z23*'03_全链计算'!$D$23,'03_全链计算'!Z24*'03_全链计算'!$D$24,'03_全链计算'!Z25*'03_全链计算'!$D$25),"待修正")</x:f>
        <x:v>20</x:v>
      </x:c>
      <x:c r="Z10" s="150" t="n">
        <x:f>IF('01_数值调参'!$D$3="配方有效",SUM('03_全链计算'!AA21*'03_全链计算'!$D$21,'03_全链计算'!AA22*'03_全链计算'!$D$22,'03_全链计算'!AA23*'03_全链计算'!$D$23,'03_全链计算'!AA24*'03_全链计算'!$D$24,'03_全链计算'!AA25*'03_全链计算'!$D$25),"待修正")</x:f>
        <x:v>30</x:v>
      </x:c>
      <x:c r="AA10" s="150" t="n">
        <x:f>IF('01_数值调参'!$D$3="配方有效",SUM('03_全链计算'!AB21*'03_全链计算'!$D$21,'03_全链计算'!AB22*'03_全链计算'!$D$22,'03_全链计算'!AB23*'03_全链计算'!$D$23,'03_全链计算'!AB24*'03_全链计算'!$D$24,'03_全链计算'!AB25*'03_全链计算'!$D$25),"待修正")</x:f>
        <x:v>20</x:v>
      </x:c>
      <x:c r="AB10" s="150" t="n">
        <x:f>IF('01_数值调参'!$D$3="配方有效",SUM('03_全链计算'!AC21*'03_全链计算'!$D$21,'03_全链计算'!AC22*'03_全链计算'!$D$22,'03_全链计算'!AC23*'03_全链计算'!$D$23,'03_全链计算'!AC24*'03_全链计算'!$D$24,'03_全链计算'!AC25*'03_全链计算'!$D$25),"待修正")</x:f>
        <x:v>0</x:v>
      </x:c>
      <x:c r="AC10" s="158" t="n">
        <x:f>IF('01_数值调参'!$D$3="配方有效",SUM('03_全链计算'!AD21*'03_全链计算'!$D$21,'03_全链计算'!AD22*'03_全链计算'!$D$22,'03_全链计算'!AD23*'03_全链计算'!$D$23,'03_全链计算'!AD24*'03_全链计算'!$D$24,'03_全链计算'!AD25*'03_全链计算'!$D$25),"待修正")</x:f>
        <x:v>0</x:v>
      </x:c>
      <x:c r="AD10" s="150" t="n">
        <x:f>IF('01_数值调参'!$D$3="配方有效",SUM('03_全链计算'!AE21*'03_全链计算'!$D$21,'03_全链计算'!AE22*'03_全链计算'!$D$22,'03_全链计算'!AE23*'03_全链计算'!$D$23,'03_全链计算'!AE24*'03_全链计算'!$D$24,'03_全链计算'!AE25*'03_全链计算'!$D$25),"待修正")</x:f>
        <x:v>0</x:v>
      </x:c>
      <x:c r="AE10" s="150" t="n">
        <x:f>IF('01_数值调参'!$D$3="配方有效",SUM('03_全链计算'!AF21*'03_全链计算'!$D$21,'03_全链计算'!AF22*'03_全链计算'!$D$22,'03_全链计算'!AF23*'03_全链计算'!$D$23,'03_全链计算'!AF24*'03_全链计算'!$D$24,'03_全链计算'!AF25*'03_全链计算'!$D$25),"待修正")</x:f>
        <x:v>0</x:v>
      </x:c>
      <x:c r="AF10" s="150" t="n">
        <x:f>IF('01_数值调参'!$D$3="配方有效",SUM('03_全链计算'!AG21*'03_全链计算'!$D$21,'03_全链计算'!AG22*'03_全链计算'!$D$22,'03_全链计算'!AG23*'03_全链计算'!$D$23,'03_全链计算'!AG24*'03_全链计算'!$D$24,'03_全链计算'!AG25*'03_全链计算'!$D$25),"待修正")</x:f>
        <x:v>0</x:v>
      </x:c>
      <x:c r="AG10" s="158" t="n">
        <x:f>IF('01_数值调参'!$D$3="配方有效",SUM('03_全链计算'!AH21*'03_全链计算'!$D$21,'03_全链计算'!AH22*'03_全链计算'!$D$22,'03_全链计算'!AH23*'03_全链计算'!$D$23,'03_全链计算'!AH24*'03_全链计算'!$D$24,'03_全链计算'!AH25*'03_全链计算'!$D$25),"待修正")</x:f>
        <x:v>10</x:v>
      </x:c>
      <x:c r="AH10" s="150" t="n">
        <x:f>IF('01_数值调参'!$D$3="配方有效",SUM('03_全链计算'!AI21*'03_全链计算'!$D$21,'03_全链计算'!AI22*'03_全链计算'!$D$22,'03_全链计算'!AI23*'03_全链计算'!$D$23,'03_全链计算'!AI24*'03_全链计算'!$D$24,'03_全链计算'!AI25*'03_全链计算'!$D$25),"待修正")</x:f>
        <x:v>0</x:v>
      </x:c>
      <x:c r="AI10" s="150" t="n">
        <x:f>IF('01_数值调参'!$D$3="配方有效",SUM('03_全链计算'!AJ21*'03_全链计算'!$D$21,'03_全链计算'!AJ22*'03_全链计算'!$D$22,'03_全链计算'!AJ23*'03_全链计算'!$D$23,'03_全链计算'!AJ24*'03_全链计算'!$D$24,'03_全链计算'!AJ25*'03_全链计算'!$D$25),"待修正")</x:f>
        <x:v>10</x:v>
      </x:c>
      <x:c r="AJ10" s="150" t="n">
        <x:f>IF('01_数值调参'!$D$3="配方有效",SUM('03_全链计算'!AK21*'03_全链计算'!$D$21,'03_全链计算'!AK22*'03_全链计算'!$D$22,'03_全链计算'!AK23*'03_全链计算'!$D$23,'03_全链计算'!AK24*'03_全链计算'!$D$24,'03_全链计算'!AK25*'03_全链计算'!$D$25),"待修正")</x:f>
        <x:v>0</x:v>
      </x:c>
      <x:c r="AK10" s="150" t="n">
        <x:f>IF('01_数值调参'!$D$3="配方有效",SUM('03_全链计算'!AL21*'03_全链计算'!$D$21,'03_全链计算'!AL22*'03_全链计算'!$D$22,'03_全链计算'!AL23*'03_全链计算'!$D$23,'03_全链计算'!AL24*'03_全链计算'!$D$24,'03_全链计算'!AL25*'03_全链计算'!$D$25),"待修正")</x:f>
        <x:v>10</x:v>
      </x:c>
      <x:c r="AL10" s="150" t="n">
        <x:f>IF('01_数值调参'!$D$3="配方有效",SUM('03_全链计算'!AM21*'03_全链计算'!$D$21,'03_全链计算'!AM22*'03_全链计算'!$D$22,'03_全链计算'!AM23*'03_全链计算'!$D$23,'03_全链计算'!AM24*'03_全链计算'!$D$24,'03_全链计算'!AM25*'03_全链计算'!$D$25),"待修正")</x:f>
        <x:v>75</x:v>
      </x:c>
    </x:row>
    <x:row r="11" ht="24" customHeight="1">
      <x:c r="A11" s="77" t="n">
        <x:v>503</x:v>
      </x:c>
      <x:c r="B11" s="77" t="str">
        <x:v>纺织机</x:v>
      </x:c>
      <x:c r="C11" s="58"/>
      <x:c r="D11" s="150" t="n">
        <x:f>IF('01_数值调参'!$D$3="配方有效",SUM('03_全链计算'!E26*'03_全链计算'!$D$26,'03_全链计算'!E27*'03_全链计算'!$D$27,'03_全链计算'!E28*'03_全链计算'!$D$28,'03_全链计算'!E29*'03_全链计算'!$D$29,'03_全链计算'!E30*'03_全链计算'!$D$30,'03_全链计算'!E31*'03_全链计算'!$D$31),"待修正")</x:f>
        <x:v>0</x:v>
      </x:c>
      <x:c r="E11" s="150" t="n">
        <x:f>IF('01_数值调参'!$D$3="配方有效",SUM('03_全链计算'!F26*'03_全链计算'!$D$26,'03_全链计算'!F27*'03_全链计算'!$D$27,'03_全链计算'!F28*'03_全链计算'!$D$28,'03_全链计算'!F29*'03_全链计算'!$D$29,'03_全链计算'!F30*'03_全链计算'!$D$30,'03_全链计算'!F31*'03_全链计算'!$D$31),"待修正")</x:f>
        <x:v>0</x:v>
      </x:c>
      <x:c r="F11" s="150" t="n">
        <x:f>IF('01_数值调参'!$D$3="配方有效",SUM('03_全链计算'!G26*'03_全链计算'!$D$26,'03_全链计算'!G27*'03_全链计算'!$D$27,'03_全链计算'!G28*'03_全链计算'!$D$28,'03_全链计算'!G29*'03_全链计算'!$D$29,'03_全链计算'!G30*'03_全链计算'!$D$30,'03_全链计算'!G31*'03_全链计算'!$D$31),"待修正")</x:f>
        <x:v>0</x:v>
      </x:c>
      <x:c r="G11" s="150" t="n">
        <x:f>IF('01_数值调参'!$D$3="配方有效",SUM('03_全链计算'!H26*'03_全链计算'!$D$26,'03_全链计算'!H27*'03_全链计算'!$D$27,'03_全链计算'!H28*'03_全链计算'!$D$28,'03_全链计算'!H29*'03_全链计算'!$D$29,'03_全链计算'!H30*'03_全链计算'!$D$30,'03_全链计算'!H31*'03_全链计算'!$D$31),"待修正")</x:f>
        <x:v>0</x:v>
      </x:c>
      <x:c r="H11" s="150" t="n">
        <x:f>IF('01_数值调参'!$D$3="配方有效",SUM('03_全链计算'!I26*'03_全链计算'!$D$26,'03_全链计算'!I27*'03_全链计算'!$D$27,'03_全链计算'!I28*'03_全链计算'!$D$28,'03_全链计算'!I29*'03_全链计算'!$D$29,'03_全链计算'!I30*'03_全链计算'!$D$30,'03_全链计算'!I31*'03_全链计算'!$D$31),"待修正")</x:f>
        <x:v>0</x:v>
      </x:c>
      <x:c r="I11" s="150" t="n">
        <x:f>IF('01_数值调参'!$D$3="配方有效",SUM('03_全链计算'!J26*'03_全链计算'!$D$26,'03_全链计算'!J27*'03_全链计算'!$D$27,'03_全链计算'!J28*'03_全链计算'!$D$28,'03_全链计算'!J29*'03_全链计算'!$D$29,'03_全链计算'!J30*'03_全链计算'!$D$30,'03_全链计算'!J31*'03_全链计算'!$D$31),"待修正")</x:f>
        <x:v>0</x:v>
      </x:c>
      <x:c r="J11" s="150" t="n">
        <x:f>IF('01_数值调参'!$D$3="配方有效",SUM('03_全链计算'!K26*'03_全链计算'!$D$26,'03_全链计算'!K27*'03_全链计算'!$D$27,'03_全链计算'!K28*'03_全链计算'!$D$28,'03_全链计算'!K29*'03_全链计算'!$D$29,'03_全链计算'!K30*'03_全链计算'!$D$30,'03_全链计算'!K31*'03_全链计算'!$D$31),"待修正")</x:f>
        <x:v>0</x:v>
      </x:c>
      <x:c r="K11" s="150" t="n">
        <x:f>IF('01_数值调参'!$D$3="配方有效",SUM('03_全链计算'!L26*'03_全链计算'!$D$26,'03_全链计算'!L27*'03_全链计算'!$D$27,'03_全链计算'!L28*'03_全链计算'!$D$28,'03_全链计算'!L29*'03_全链计算'!$D$29,'03_全链计算'!L30*'03_全链计算'!$D$30,'03_全链计算'!L31*'03_全链计算'!$D$31),"待修正")</x:f>
        <x:v>0</x:v>
      </x:c>
      <x:c r="L11" s="150" t="n">
        <x:f>IF('01_数值调参'!$D$3="配方有效",SUM('03_全链计算'!M26*'03_全链计算'!$D$26,'03_全链计算'!M27*'03_全链计算'!$D$27,'03_全链计算'!M28*'03_全链计算'!$D$28,'03_全链计算'!M29*'03_全链计算'!$D$29,'03_全链计算'!M30*'03_全链计算'!$D$30,'03_全链计算'!M31*'03_全链计算'!$D$31),"待修正")</x:f>
        <x:v>0</x:v>
      </x:c>
      <x:c r="M11" s="158" t="n">
        <x:f>IF('01_数值调参'!$D$3="配方有效",SUM('03_全链计算'!N26*'03_全链计算'!$D$26,'03_全链计算'!N27*'03_全链计算'!$D$27,'03_全链计算'!N28*'03_全链计算'!$D$28,'03_全链计算'!N29*'03_全链计算'!$D$29,'03_全链计算'!N30*'03_全链计算'!$D$30,'03_全链计算'!N31*'03_全链计算'!$D$31),"待修正")</x:f>
        <x:v>0</x:v>
      </x:c>
      <x:c r="N11" s="150" t="n">
        <x:f>IF('01_数值调参'!$D$3="配方有效",SUM('03_全链计算'!O26*'03_全链计算'!$D$26,'03_全链计算'!O27*'03_全链计算'!$D$27,'03_全链计算'!O28*'03_全链计算'!$D$28,'03_全链计算'!O29*'03_全链计算'!$D$29,'03_全链计算'!O30*'03_全链计算'!$D$30,'03_全链计算'!O31*'03_全链计算'!$D$31),"待修正")</x:f>
        <x:v>0</x:v>
      </x:c>
      <x:c r="O11" s="150" t="n">
        <x:f>IF('01_数值调参'!$D$3="配方有效",SUM('03_全链计算'!P26*'03_全链计算'!$D$26,'03_全链计算'!P27*'03_全链计算'!$D$27,'03_全链计算'!P28*'03_全链计算'!$D$28,'03_全链计算'!P29*'03_全链计算'!$D$29,'03_全链计算'!P30*'03_全链计算'!$D$30,'03_全链计算'!P31*'03_全链计算'!$D$31),"待修正")</x:f>
        <x:v>0</x:v>
      </x:c>
      <x:c r="P11" s="150" t="n">
        <x:f>IF('01_数值调参'!$D$3="配方有效",SUM('03_全链计算'!Q26*'03_全链计算'!$D$26,'03_全链计算'!Q27*'03_全链计算'!$D$27,'03_全链计算'!Q28*'03_全链计算'!$D$28,'03_全链计算'!Q29*'03_全链计算'!$D$29,'03_全链计算'!Q30*'03_全链计算'!$D$30,'03_全链计算'!Q31*'03_全链计算'!$D$31),"待修正")</x:f>
        <x:v>0</x:v>
      </x:c>
      <x:c r="Q11" s="150" t="n">
        <x:f>IF('01_数值调参'!$D$3="配方有效",SUM('03_全链计算'!R26*'03_全链计算'!$D$26,'03_全链计算'!R27*'03_全链计算'!$D$27,'03_全链计算'!R28*'03_全链计算'!$D$28,'03_全链计算'!R29*'03_全链计算'!$D$29,'03_全链计算'!R30*'03_全链计算'!$D$30,'03_全链计算'!R31*'03_全链计算'!$D$31),"待修正")</x:f>
        <x:v>0</x:v>
      </x:c>
      <x:c r="R11" s="158" t="n">
        <x:f>IF('01_数值调参'!$D$3="配方有效",SUM('03_全链计算'!S26*'03_全链计算'!$D$26,'03_全链计算'!S27*'03_全链计算'!$D$27,'03_全链计算'!S28*'03_全链计算'!$D$28,'03_全链计算'!S29*'03_全链计算'!$D$29,'03_全链计算'!S30*'03_全链计算'!$D$30,'03_全链计算'!S31*'03_全链计算'!$D$31),"待修正")</x:f>
        <x:v>0</x:v>
      </x:c>
      <x:c r="S11" s="150" t="n">
        <x:f>IF('01_数值调参'!$D$3="配方有效",SUM('03_全链计算'!T26*'03_全链计算'!$D$26,'03_全链计算'!T27*'03_全链计算'!$D$27,'03_全链计算'!T28*'03_全链计算'!$D$28,'03_全链计算'!T29*'03_全链计算'!$D$29,'03_全链计算'!T30*'03_全链计算'!$D$30,'03_全链计算'!T31*'03_全链计算'!$D$31),"待修正")</x:f>
        <x:v>0</x:v>
      </x:c>
      <x:c r="T11" s="150" t="n">
        <x:f>IF('01_数值调参'!$D$3="配方有效",SUM('03_全链计算'!U26*'03_全链计算'!$D$26,'03_全链计算'!U27*'03_全链计算'!$D$27,'03_全链计算'!U28*'03_全链计算'!$D$28,'03_全链计算'!U29*'03_全链计算'!$D$29,'03_全链计算'!U30*'03_全链计算'!$D$30,'03_全链计算'!U31*'03_全链计算'!$D$31),"待修正")</x:f>
        <x:v>0</x:v>
      </x:c>
      <x:c r="U11" s="150" t="n">
        <x:f>IF('01_数值调参'!$D$3="配方有效",SUM('03_全链计算'!V26*'03_全链计算'!$D$26,'03_全链计算'!V27*'03_全链计算'!$D$27,'03_全链计算'!V28*'03_全链计算'!$D$28,'03_全链计算'!V29*'03_全链计算'!$D$29,'03_全链计算'!V30*'03_全链计算'!$D$30,'03_全链计算'!V31*'03_全链计算'!$D$31),"待修正")</x:f>
        <x:v>0</x:v>
      </x:c>
      <x:c r="V11" s="150" t="n">
        <x:f>IF('01_数值调参'!$D$3="配方有效",SUM('03_全链计算'!W26*'03_全链计算'!$D$26,'03_全链计算'!W27*'03_全链计算'!$D$27,'03_全链计算'!W28*'03_全链计算'!$D$28,'03_全链计算'!W29*'03_全链计算'!$D$29,'03_全链计算'!W30*'03_全链计算'!$D$30,'03_全链计算'!W31*'03_全链计算'!$D$31),"待修正")</x:f>
        <x:v>0</x:v>
      </x:c>
      <x:c r="W11" s="158" t="n">
        <x:f>IF('01_数值调参'!$D$3="配方有效",SUM('03_全链计算'!X26*'03_全链计算'!$D$26,'03_全链计算'!X27*'03_全链计算'!$D$27,'03_全链计算'!X28*'03_全链计算'!$D$28,'03_全链计算'!X29*'03_全链计算'!$D$29,'03_全链计算'!X30*'03_全链计算'!$D$30,'03_全链计算'!X31*'03_全链计算'!$D$31),"待修正")</x:f>
        <x:v>30</x:v>
      </x:c>
      <x:c r="X11" s="150" t="n">
        <x:f>IF('01_数值调参'!$D$3="配方有效",SUM('03_全链计算'!Y26*'03_全链计算'!$D$26,'03_全链计算'!Y27*'03_全链计算'!$D$27,'03_全链计算'!Y28*'03_全链计算'!$D$28,'03_全链计算'!Y29*'03_全链计算'!$D$29,'03_全链计算'!Y30*'03_全链计算'!$D$30,'03_全链计算'!Y31*'03_全链计算'!$D$31),"待修正")</x:f>
        <x:v>45</x:v>
      </x:c>
      <x:c r="Y11" s="150" t="n">
        <x:f>IF('01_数值调参'!$D$3="配方有效",SUM('03_全链计算'!Z26*'03_全链计算'!$D$26,'03_全链计算'!Z27*'03_全链计算'!$D$27,'03_全链计算'!Z28*'03_全链计算'!$D$28,'03_全链计算'!Z29*'03_全链计算'!$D$29,'03_全链计算'!Z30*'03_全链计算'!$D$30,'03_全链计算'!Z31*'03_全链计算'!$D$31),"待修正")</x:f>
        <x:v>60</x:v>
      </x:c>
      <x:c r="Z11" s="150" t="n">
        <x:f>IF('01_数值调参'!$D$3="配方有效",SUM('03_全链计算'!AA26*'03_全链计算'!$D$26,'03_全链计算'!AA27*'03_全链计算'!$D$27,'03_全链计算'!AA28*'03_全链计算'!$D$28,'03_全链计算'!AA29*'03_全链计算'!$D$29,'03_全链计算'!AA30*'03_全链计算'!$D$30,'03_全链计算'!AA31*'03_全链计算'!$D$31),"待修正")</x:f>
        <x:v>120</x:v>
      </x:c>
      <x:c r="AA11" s="150" t="n">
        <x:f>IF('01_数值调参'!$D$3="配方有效",SUM('03_全链计算'!AB26*'03_全链计算'!$D$26,'03_全链计算'!AB27*'03_全链计算'!$D$27,'03_全链计算'!AB28*'03_全链计算'!$D$28,'03_全链计算'!AB29*'03_全链计算'!$D$29,'03_全链计算'!AB30*'03_全链计算'!$D$30,'03_全链计算'!AB31*'03_全链计算'!$D$31),"待修正")</x:f>
        <x:v>150</x:v>
      </x:c>
      <x:c r="AB11" s="150" t="n">
        <x:f>IF('01_数值调参'!$D$3="配方有效",SUM('03_全链计算'!AC26*'03_全链计算'!$D$26,'03_全链计算'!AC27*'03_全链计算'!$D$27,'03_全链计算'!AC28*'03_全链计算'!$D$28,'03_全链计算'!AC29*'03_全链计算'!$D$29,'03_全链计算'!AC30*'03_全链计算'!$D$30,'03_全链计算'!AC31*'03_全链计算'!$D$31),"待修正")</x:f>
        <x:v>180</x:v>
      </x:c>
      <x:c r="AC11" s="158" t="n">
        <x:f>IF('01_数值调参'!$D$3="配方有效",SUM('03_全链计算'!AD26*'03_全链计算'!$D$26,'03_全链计算'!AD27*'03_全链计算'!$D$27,'03_全链计算'!AD28*'03_全链计算'!$D$28,'03_全链计算'!AD29*'03_全链计算'!$D$29,'03_全链计算'!AD30*'03_全链计算'!$D$30,'03_全链计算'!AD31*'03_全链计算'!$D$31),"待修正")</x:f>
        <x:v>0</x:v>
      </x:c>
      <x:c r="AD11" s="150" t="n">
        <x:f>IF('01_数值调参'!$D$3="配方有效",SUM('03_全链计算'!AE26*'03_全链计算'!$D$26,'03_全链计算'!AE27*'03_全链计算'!$D$27,'03_全链计算'!AE28*'03_全链计算'!$D$28,'03_全链计算'!AE29*'03_全链计算'!$D$29,'03_全链计算'!AE30*'03_全链计算'!$D$30,'03_全链计算'!AE31*'03_全链计算'!$D$31),"待修正")</x:f>
        <x:v>0</x:v>
      </x:c>
      <x:c r="AE11" s="150" t="n">
        <x:f>IF('01_数值调参'!$D$3="配方有效",SUM('03_全链计算'!AF26*'03_全链计算'!$D$26,'03_全链计算'!AF27*'03_全链计算'!$D$27,'03_全链计算'!AF28*'03_全链计算'!$D$28,'03_全链计算'!AF29*'03_全链计算'!$D$29,'03_全链计算'!AF30*'03_全链计算'!$D$30,'03_全链计算'!AF31*'03_全链计算'!$D$31),"待修正")</x:f>
        <x:v>0</x:v>
      </x:c>
      <x:c r="AF11" s="150" t="n">
        <x:f>IF('01_数值调参'!$D$3="配方有效",SUM('03_全链计算'!AG26*'03_全链计算'!$D$26,'03_全链计算'!AG27*'03_全链计算'!$D$27,'03_全链计算'!AG28*'03_全链计算'!$D$28,'03_全链计算'!AG29*'03_全链计算'!$D$29,'03_全链计算'!AG30*'03_全链计算'!$D$30,'03_全链计算'!AG31*'03_全链计算'!$D$31),"待修正")</x:f>
        <x:v>0</x:v>
      </x:c>
      <x:c r="AG11" s="158" t="n">
        <x:f>IF('01_数值调参'!$D$3="配方有效",SUM('03_全链计算'!AH26*'03_全链计算'!$D$26,'03_全链计算'!AH27*'03_全链计算'!$D$27,'03_全链计算'!AH28*'03_全链计算'!$D$28,'03_全链计算'!AH29*'03_全链计算'!$D$29,'03_全链计算'!AH30*'03_全链计算'!$D$30,'03_全链计算'!AH31*'03_全链计算'!$D$31),"待修正")</x:f>
        <x:v>0</x:v>
      </x:c>
      <x:c r="AH11" s="150" t="n">
        <x:f>IF('01_数值调参'!$D$3="配方有效",SUM('03_全链计算'!AI26*'03_全链计算'!$D$26,'03_全链计算'!AI27*'03_全链计算'!$D$27,'03_全链计算'!AI28*'03_全链计算'!$D$28,'03_全链计算'!AI29*'03_全链计算'!$D$29,'03_全链计算'!AI30*'03_全链计算'!$D$30,'03_全链计算'!AI31*'03_全链计算'!$D$31),"待修正")</x:f>
        <x:v>0</x:v>
      </x:c>
      <x:c r="AI11" s="150" t="n">
        <x:f>IF('01_数值调参'!$D$3="配方有效",SUM('03_全链计算'!AJ26*'03_全链计算'!$D$26,'03_全链计算'!AJ27*'03_全链计算'!$D$27,'03_全链计算'!AJ28*'03_全链计算'!$D$28,'03_全链计算'!AJ29*'03_全链计算'!$D$29,'03_全链计算'!AJ30*'03_全链计算'!$D$30,'03_全链计算'!AJ31*'03_全链计算'!$D$31),"待修正")</x:f>
        <x:v>0</x:v>
      </x:c>
      <x:c r="AJ11" s="150" t="n">
        <x:f>IF('01_数值调参'!$D$3="配方有效",SUM('03_全链计算'!AK26*'03_全链计算'!$D$26,'03_全链计算'!AK27*'03_全链计算'!$D$27,'03_全链计算'!AK28*'03_全链计算'!$D$28,'03_全链计算'!AK29*'03_全链计算'!$D$29,'03_全链计算'!AK30*'03_全链计算'!$D$30,'03_全链计算'!AK31*'03_全链计算'!$D$31),"待修正")</x:f>
        <x:v>0</x:v>
      </x:c>
      <x:c r="AK11" s="150" t="n">
        <x:f>IF('01_数值调参'!$D$3="配方有效",SUM('03_全链计算'!AL26*'03_全链计算'!$D$26,'03_全链计算'!AL27*'03_全链计算'!$D$27,'03_全链计算'!AL28*'03_全链计算'!$D$28,'03_全链计算'!AL29*'03_全链计算'!$D$29,'03_全链计算'!AL30*'03_全链计算'!$D$30,'03_全链计算'!AL31*'03_全链计算'!$D$31),"待修正")</x:f>
        <x:v>30</x:v>
      </x:c>
      <x:c r="AL11" s="150" t="n">
        <x:f>IF('01_数值调参'!$D$3="配方有效",SUM('03_全链计算'!AM26*'03_全链计算'!$D$26,'03_全链计算'!AM27*'03_全链计算'!$D$27,'03_全链计算'!AM28*'03_全链计算'!$D$28,'03_全链计算'!AM29*'03_全链计算'!$D$29,'03_全链计算'!AM30*'03_全链计算'!$D$30,'03_全链计算'!AM31*'03_全链计算'!$D$31),"待修正")</x:f>
        <x:v>120</x:v>
      </x:c>
    </x:row>
    <x:row r="12" ht="24" customHeight="1">
      <x:c r="A12" s="85" t="n">
        <x:v>504</x:v>
      </x:c>
      <x:c r="B12" s="85" t="str">
        <x:v>萃取机</x:v>
      </x:c>
      <x:c r="C12" s="58"/>
      <x:c r="D12" s="150" t="n">
        <x:f>IF('01_数值调参'!$D$3="配方有效",SUM('03_全链计算'!E32*'03_全链计算'!$D$32,'03_全链计算'!E33*'03_全链计算'!$D$33,'03_全链计算'!E34*'03_全链计算'!$D$34,'03_全链计算'!E35*'03_全链计算'!$D$35),"待修正")</x:f>
        <x:v>0</x:v>
      </x:c>
      <x:c r="E12" s="150" t="n">
        <x:f>IF('01_数值调参'!$D$3="配方有效",SUM('03_全链计算'!F32*'03_全链计算'!$D$32,'03_全链计算'!F33*'03_全链计算'!$D$33,'03_全链计算'!F34*'03_全链计算'!$D$34,'03_全链计算'!F35*'03_全链计算'!$D$35),"待修正")</x:f>
        <x:v>0</x:v>
      </x:c>
      <x:c r="F12" s="150" t="n">
        <x:f>IF('01_数值调参'!$D$3="配方有效",SUM('03_全链计算'!G32*'03_全链计算'!$D$32,'03_全链计算'!G33*'03_全链计算'!$D$33,'03_全链计算'!G34*'03_全链计算'!$D$34,'03_全链计算'!G35*'03_全链计算'!$D$35),"待修正")</x:f>
        <x:v>0</x:v>
      </x:c>
      <x:c r="G12" s="150" t="n">
        <x:f>IF('01_数值调参'!$D$3="配方有效",SUM('03_全链计算'!H32*'03_全链计算'!$D$32,'03_全链计算'!H33*'03_全链计算'!$D$33,'03_全链计算'!H34*'03_全链计算'!$D$34,'03_全链计算'!H35*'03_全链计算'!$D$35),"待修正")</x:f>
        <x:v>0</x:v>
      </x:c>
      <x:c r="H12" s="150" t="n">
        <x:f>IF('01_数值调参'!$D$3="配方有效",SUM('03_全链计算'!I32*'03_全链计算'!$D$32,'03_全链计算'!I33*'03_全链计算'!$D$33,'03_全链计算'!I34*'03_全链计算'!$D$34,'03_全链计算'!I35*'03_全链计算'!$D$35),"待修正")</x:f>
        <x:v>0</x:v>
      </x:c>
      <x:c r="I12" s="150" t="n">
        <x:f>IF('01_数值调参'!$D$3="配方有效",SUM('03_全链计算'!J32*'03_全链计算'!$D$32,'03_全链计算'!J33*'03_全链计算'!$D$33,'03_全链计算'!J34*'03_全链计算'!$D$34,'03_全链计算'!J35*'03_全链计算'!$D$35),"待修正")</x:f>
        <x:v>0</x:v>
      </x:c>
      <x:c r="J12" s="150" t="n">
        <x:f>IF('01_数值调参'!$D$3="配方有效",SUM('03_全链计算'!K32*'03_全链计算'!$D$32,'03_全链计算'!K33*'03_全链计算'!$D$33,'03_全链计算'!K34*'03_全链计算'!$D$34,'03_全链计算'!K35*'03_全链计算'!$D$35),"待修正")</x:f>
        <x:v>0</x:v>
      </x:c>
      <x:c r="K12" s="150" t="n">
        <x:f>IF('01_数值调参'!$D$3="配方有效",SUM('03_全链计算'!L32*'03_全链计算'!$D$32,'03_全链计算'!L33*'03_全链计算'!$D$33,'03_全链计算'!L34*'03_全链计算'!$D$34,'03_全链计算'!L35*'03_全链计算'!$D$35),"待修正")</x:f>
        <x:v>0</x:v>
      </x:c>
      <x:c r="L12" s="150" t="n">
        <x:f>IF('01_数值调参'!$D$3="配方有效",SUM('03_全链计算'!M32*'03_全链计算'!$D$32,'03_全链计算'!M33*'03_全链计算'!$D$33,'03_全链计算'!M34*'03_全链计算'!$D$34,'03_全链计算'!M35*'03_全链计算'!$D$35),"待修正")</x:f>
        <x:v>0</x:v>
      </x:c>
      <x:c r="M12" s="158" t="n">
        <x:f>IF('01_数值调参'!$D$3="配方有效",SUM('03_全链计算'!N32*'03_全链计算'!$D$32,'03_全链计算'!N33*'03_全链计算'!$D$33,'03_全链计算'!N34*'03_全链计算'!$D$34,'03_全链计算'!N35*'03_全链计算'!$D$35),"待修正")</x:f>
        <x:v>0</x:v>
      </x:c>
      <x:c r="N12" s="150" t="n">
        <x:f>IF('01_数值调参'!$D$3="配方有效",SUM('03_全链计算'!O32*'03_全链计算'!$D$32,'03_全链计算'!O33*'03_全链计算'!$D$33,'03_全链计算'!O34*'03_全链计算'!$D$34,'03_全链计算'!O35*'03_全链计算'!$D$35),"待修正")</x:f>
        <x:v>0</x:v>
      </x:c>
      <x:c r="O12" s="150" t="n">
        <x:f>IF('01_数值调参'!$D$3="配方有效",SUM('03_全链计算'!P32*'03_全链计算'!$D$32,'03_全链计算'!P33*'03_全链计算'!$D$33,'03_全链计算'!P34*'03_全链计算'!$D$34,'03_全链计算'!P35*'03_全链计算'!$D$35),"待修正")</x:f>
        <x:v>0</x:v>
      </x:c>
      <x:c r="P12" s="150" t="n">
        <x:f>IF('01_数值调参'!$D$3="配方有效",SUM('03_全链计算'!Q32*'03_全链计算'!$D$32,'03_全链计算'!Q33*'03_全链计算'!$D$33,'03_全链计算'!Q34*'03_全链计算'!$D$34,'03_全链计算'!Q35*'03_全链计算'!$D$35),"待修正")</x:f>
        <x:v>0</x:v>
      </x:c>
      <x:c r="Q12" s="150" t="n">
        <x:f>IF('01_数值调参'!$D$3="配方有效",SUM('03_全链计算'!R32*'03_全链计算'!$D$32,'03_全链计算'!R33*'03_全链计算'!$D$33,'03_全链计算'!R34*'03_全链计算'!$D$34,'03_全链计算'!R35*'03_全链计算'!$D$35),"待修正")</x:f>
        <x:v>0</x:v>
      </x:c>
      <x:c r="R12" s="158" t="n">
        <x:f>IF('01_数值调参'!$D$3="配方有效",SUM('03_全链计算'!S32*'03_全链计算'!$D$32,'03_全链计算'!S33*'03_全链计算'!$D$33,'03_全链计算'!S34*'03_全链计算'!$D$34,'03_全链计算'!S35*'03_全链计算'!$D$35),"待修正")</x:f>
        <x:v>0</x:v>
      </x:c>
      <x:c r="S12" s="150" t="n">
        <x:f>IF('01_数值调参'!$D$3="配方有效",SUM('03_全链计算'!T32*'03_全链计算'!$D$32,'03_全链计算'!T33*'03_全链计算'!$D$33,'03_全链计算'!T34*'03_全链计算'!$D$34,'03_全链计算'!T35*'03_全链计算'!$D$35),"待修正")</x:f>
        <x:v>0</x:v>
      </x:c>
      <x:c r="T12" s="150" t="n">
        <x:f>IF('01_数值调参'!$D$3="配方有效",SUM('03_全链计算'!U32*'03_全链计算'!$D$32,'03_全链计算'!U33*'03_全链计算'!$D$33,'03_全链计算'!U34*'03_全链计算'!$D$34,'03_全链计算'!U35*'03_全链计算'!$D$35),"待修正")</x:f>
        <x:v>0</x:v>
      </x:c>
      <x:c r="U12" s="150" t="n">
        <x:f>IF('01_数值调参'!$D$3="配方有效",SUM('03_全链计算'!V32*'03_全链计算'!$D$32,'03_全链计算'!V33*'03_全链计算'!$D$33,'03_全链计算'!V34*'03_全链计算'!$D$34,'03_全链计算'!V35*'03_全链计算'!$D$35),"待修正")</x:f>
        <x:v>0</x:v>
      </x:c>
      <x:c r="V12" s="150" t="n">
        <x:f>IF('01_数值调参'!$D$3="配方有效",SUM('03_全链计算'!W32*'03_全链计算'!$D$32,'03_全链计算'!W33*'03_全链计算'!$D$33,'03_全链计算'!W34*'03_全链计算'!$D$34,'03_全链计算'!W35*'03_全链计算'!$D$35),"待修正")</x:f>
        <x:v>0</x:v>
      </x:c>
      <x:c r="W12" s="158" t="n">
        <x:f>IF('01_数值调参'!$D$3="配方有效",SUM('03_全链计算'!X32*'03_全链计算'!$D$32,'03_全链计算'!X33*'03_全链计算'!$D$33,'03_全链计算'!X34*'03_全链计算'!$D$34,'03_全链计算'!X35*'03_全链计算'!$D$35),"待修正")</x:f>
        <x:v>0</x:v>
      </x:c>
      <x:c r="X12" s="150" t="n">
        <x:f>IF('01_数值调参'!$D$3="配方有效",SUM('03_全链计算'!Y32*'03_全链计算'!$D$32,'03_全链计算'!Y33*'03_全链计算'!$D$33,'03_全链计算'!Y34*'03_全链计算'!$D$34,'03_全链计算'!Y35*'03_全链计算'!$D$35),"待修正")</x:f>
        <x:v>0</x:v>
      </x:c>
      <x:c r="Y12" s="150" t="n">
        <x:f>IF('01_数值调参'!$D$3="配方有效",SUM('03_全链计算'!Z32*'03_全链计算'!$D$32,'03_全链计算'!Z33*'03_全链计算'!$D$33,'03_全链计算'!Z34*'03_全链计算'!$D$34,'03_全链计算'!Z35*'03_全链计算'!$D$35),"待修正")</x:f>
        <x:v>0</x:v>
      </x:c>
      <x:c r="Z12" s="150" t="n">
        <x:f>IF('01_数值调参'!$D$3="配方有效",SUM('03_全链计算'!AA32*'03_全链计算'!$D$32,'03_全链计算'!AA33*'03_全链计算'!$D$33,'03_全链计算'!AA34*'03_全链计算'!$D$34,'03_全链计算'!AA35*'03_全链计算'!$D$35),"待修正")</x:f>
        <x:v>0</x:v>
      </x:c>
      <x:c r="AA12" s="150" t="n">
        <x:f>IF('01_数值调参'!$D$3="配方有效",SUM('03_全链计算'!AB32*'03_全链计算'!$D$32,'03_全链计算'!AB33*'03_全链计算'!$D$33,'03_全链计算'!AB34*'03_全链计算'!$D$34,'03_全链计算'!AB35*'03_全链计算'!$D$35),"待修正")</x:f>
        <x:v>0</x:v>
      </x:c>
      <x:c r="AB12" s="150" t="n">
        <x:f>IF('01_数值调参'!$D$3="配方有效",SUM('03_全链计算'!AC32*'03_全链计算'!$D$32,'03_全链计算'!AC33*'03_全链计算'!$D$33,'03_全链计算'!AC34*'03_全链计算'!$D$34,'03_全链计算'!AC35*'03_全链计算'!$D$35),"待修正")</x:f>
        <x:v>90</x:v>
      </x:c>
      <x:c r="AC12" s="158" t="n">
        <x:f>IF('01_数值调参'!$D$3="配方有效",SUM('03_全链计算'!AD32*'03_全链计算'!$D$32,'03_全链计算'!AD33*'03_全链计算'!$D$33,'03_全链计算'!AD34*'03_全链计算'!$D$34,'03_全链计算'!AD35*'03_全链计算'!$D$35),"待修正")</x:f>
        <x:v>20</x:v>
      </x:c>
      <x:c r="AD12" s="150" t="n">
        <x:f>IF('01_数值调参'!$D$3="配方有效",SUM('03_全链计算'!AE32*'03_全链计算'!$D$32,'03_全链计算'!AE33*'03_全链计算'!$D$33,'03_全链计算'!AE34*'03_全链计算'!$D$34,'03_全链计算'!AE35*'03_全链计算'!$D$35),"待修正")</x:f>
        <x:v>45</x:v>
      </x:c>
      <x:c r="AE12" s="150" t="n">
        <x:f>IF('01_数值调参'!$D$3="配方有效",SUM('03_全链计算'!AF32*'03_全链计算'!$D$32,'03_全链计算'!AF33*'03_全链计算'!$D$33,'03_全链计算'!AF34*'03_全链计算'!$D$34,'03_全链计算'!AF35*'03_全链计算'!$D$35),"待修正")</x:f>
        <x:v>60</x:v>
      </x:c>
      <x:c r="AF12" s="150" t="n">
        <x:f>IF('01_数值调参'!$D$3="配方有效",SUM('03_全链计算'!AG32*'03_全链计算'!$D$32,'03_全链计算'!AG33*'03_全链计算'!$D$33,'03_全链计算'!AG34*'03_全链计算'!$D$34,'03_全链计算'!AG35*'03_全链计算'!$D$35),"待修正")</x:f>
        <x:v>90</x:v>
      </x:c>
      <x:c r="AG12" s="158" t="n">
        <x:f>IF('01_数值调参'!$D$3="配方有效",SUM('03_全链计算'!AH32*'03_全链计算'!$D$32,'03_全链计算'!AH33*'03_全链计算'!$D$33,'03_全链计算'!AH34*'03_全链计算'!$D$34,'03_全链计算'!AH35*'03_全链计算'!$D$35),"待修正")</x:f>
        <x:v>0</x:v>
      </x:c>
      <x:c r="AH12" s="150" t="n">
        <x:f>IF('01_数值调参'!$D$3="配方有效",SUM('03_全链计算'!AI32*'03_全链计算'!$D$32,'03_全链计算'!AI33*'03_全链计算'!$D$33,'03_全链计算'!AI34*'03_全链计算'!$D$34,'03_全链计算'!AI35*'03_全链计算'!$D$35),"待修正")</x:f>
        <x:v>20</x:v>
      </x:c>
      <x:c r="AI12" s="150" t="n">
        <x:f>IF('01_数值调参'!$D$3="配方有效",SUM('03_全链计算'!AJ32*'03_全链计算'!$D$32,'03_全链计算'!AJ33*'03_全链计算'!$D$33,'03_全链计算'!AJ34*'03_全链计算'!$D$34,'03_全链计算'!AJ35*'03_全链计算'!$D$35),"待修正")</x:f>
        <x:v>45</x:v>
      </x:c>
      <x:c r="AJ12" s="150" t="n">
        <x:f>IF('01_数值调参'!$D$3="配方有效",SUM('03_全链计算'!AK32*'03_全链计算'!$D$32,'03_全链计算'!AK33*'03_全链计算'!$D$33,'03_全链计算'!AK34*'03_全链计算'!$D$34,'03_全链计算'!AK35*'03_全链计算'!$D$35),"待修正")</x:f>
        <x:v>60</x:v>
      </x:c>
      <x:c r="AK12" s="150" t="n">
        <x:f>IF('01_数值调参'!$D$3="配方有效",SUM('03_全链计算'!AL32*'03_全链计算'!$D$32,'03_全链计算'!AL33*'03_全链计算'!$D$33,'03_全链计算'!AL34*'03_全链计算'!$D$34,'03_全链计算'!AL35*'03_全链计算'!$D$35),"待修正")</x:f>
        <x:v>0</x:v>
      </x:c>
      <x:c r="AL12" s="150" t="n">
        <x:f>IF('01_数值调参'!$D$3="配方有效",SUM('03_全链计算'!AM32*'03_全链计算'!$D$32,'03_全链计算'!AM33*'03_全链计算'!$D$33,'03_全链计算'!AM34*'03_全链计算'!$D$34,'03_全链计算'!AM35*'03_全链计算'!$D$35),"待修正")</x:f>
        <x:v>0</x:v>
      </x:c>
    </x:row>
    <x:row r="13" ht="24" customHeight="1">
      <x:c r="A13" s="93" t="n">
        <x:v>505</x:v>
      </x:c>
      <x:c r="B13" s="93" t="str">
        <x:v>窑炉</x:v>
      </x:c>
      <x:c r="C13" s="58"/>
      <x:c r="D13" s="150" t="n">
        <x:f>IF('01_数值调参'!$D$3="配方有效",SUM('03_全链计算'!E36*'03_全链计算'!$D$36,'03_全链计算'!E37*'03_全链计算'!$D$37,'03_全链计算'!E38*'03_全链计算'!$D$38,'03_全链计算'!E39*'03_全链计算'!$D$39,'03_全链计算'!E40*'03_全链计算'!$D$40,'03_全链计算'!E41*'03_全链计算'!$D$41),"待修正")</x:f>
        <x:v>0</x:v>
      </x:c>
      <x:c r="E13" s="150" t="n">
        <x:f>IF('01_数值调参'!$D$3="配方有效",SUM('03_全链计算'!F36*'03_全链计算'!$D$36,'03_全链计算'!F37*'03_全链计算'!$D$37,'03_全链计算'!F38*'03_全链计算'!$D$38,'03_全链计算'!F39*'03_全链计算'!$D$39,'03_全链计算'!F40*'03_全链计算'!$D$40,'03_全链计算'!F41*'03_全链计算'!$D$41),"待修正")</x:f>
        <x:v>0</x:v>
      </x:c>
      <x:c r="F13" s="150" t="n">
        <x:f>IF('01_数值调参'!$D$3="配方有效",SUM('03_全链计算'!G36*'03_全链计算'!$D$36,'03_全链计算'!G37*'03_全链计算'!$D$37,'03_全链计算'!G38*'03_全链计算'!$D$38,'03_全链计算'!G39*'03_全链计算'!$D$39,'03_全链计算'!G40*'03_全链计算'!$D$40,'03_全链计算'!G41*'03_全链计算'!$D$41),"待修正")</x:f>
        <x:v>0</x:v>
      </x:c>
      <x:c r="G13" s="150" t="n">
        <x:f>IF('01_数值调参'!$D$3="配方有效",SUM('03_全链计算'!H36*'03_全链计算'!$D$36,'03_全链计算'!H37*'03_全链计算'!$D$37,'03_全链计算'!H38*'03_全链计算'!$D$38,'03_全链计算'!H39*'03_全链计算'!$D$39,'03_全链计算'!H40*'03_全链计算'!$D$40,'03_全链计算'!H41*'03_全链计算'!$D$41),"待修正")</x:f>
        <x:v>0</x:v>
      </x:c>
      <x:c r="H13" s="150" t="n">
        <x:f>IF('01_数值调参'!$D$3="配方有效",SUM('03_全链计算'!I36*'03_全链计算'!$D$36,'03_全链计算'!I37*'03_全链计算'!$D$37,'03_全链计算'!I38*'03_全链计算'!$D$38,'03_全链计算'!I39*'03_全链计算'!$D$39,'03_全链计算'!I40*'03_全链计算'!$D$40,'03_全链计算'!I41*'03_全链计算'!$D$41),"待修正")</x:f>
        <x:v>0</x:v>
      </x:c>
      <x:c r="I13" s="150" t="n">
        <x:f>IF('01_数值调参'!$D$3="配方有效",SUM('03_全链计算'!J36*'03_全链计算'!$D$36,'03_全链计算'!J37*'03_全链计算'!$D$37,'03_全链计算'!J38*'03_全链计算'!$D$38,'03_全链计算'!J39*'03_全链计算'!$D$39,'03_全链计算'!J40*'03_全链计算'!$D$40,'03_全链计算'!J41*'03_全链计算'!$D$41),"待修正")</x:f>
        <x:v>0</x:v>
      </x:c>
      <x:c r="J13" s="150" t="n">
        <x:f>IF('01_数值调参'!$D$3="配方有效",SUM('03_全链计算'!K36*'03_全链计算'!$D$36,'03_全链计算'!K37*'03_全链计算'!$D$37,'03_全链计算'!K38*'03_全链计算'!$D$38,'03_全链计算'!K39*'03_全链计算'!$D$39,'03_全链计算'!K40*'03_全链计算'!$D$40,'03_全链计算'!K41*'03_全链计算'!$D$41),"待修正")</x:f>
        <x:v>0</x:v>
      </x:c>
      <x:c r="K13" s="150" t="n">
        <x:f>IF('01_数值调参'!$D$3="配方有效",SUM('03_全链计算'!L36*'03_全链计算'!$D$36,'03_全链计算'!L37*'03_全链计算'!$D$37,'03_全链计算'!L38*'03_全链计算'!$D$38,'03_全链计算'!L39*'03_全链计算'!$D$39,'03_全链计算'!L40*'03_全链计算'!$D$40,'03_全链计算'!L41*'03_全链计算'!$D$41),"待修正")</x:f>
        <x:v>0</x:v>
      </x:c>
      <x:c r="L13" s="150" t="n">
        <x:f>IF('01_数值调参'!$D$3="配方有效",SUM('03_全链计算'!M36*'03_全链计算'!$D$36,'03_全链计算'!M37*'03_全链计算'!$D$37,'03_全链计算'!M38*'03_全链计算'!$D$38,'03_全链计算'!M39*'03_全链计算'!$D$39,'03_全链计算'!M40*'03_全链计算'!$D$40,'03_全链计算'!M41*'03_全链计算'!$D$41),"待修正")</x:f>
        <x:v>0</x:v>
      </x:c>
      <x:c r="M13" s="158" t="n">
        <x:f>IF('01_数值调参'!$D$3="配方有效",SUM('03_全链计算'!N36*'03_全链计算'!$D$36,'03_全链计算'!N37*'03_全链计算'!$D$37,'03_全链计算'!N38*'03_全链计算'!$D$38,'03_全链计算'!N39*'03_全链计算'!$D$39,'03_全链计算'!N40*'03_全链计算'!$D$40,'03_全链计算'!N41*'03_全链计算'!$D$41),"待修正")</x:f>
        <x:v>0</x:v>
      </x:c>
      <x:c r="N13" s="150" t="n">
        <x:f>IF('01_数值调参'!$D$3="配方有效",SUM('03_全链计算'!O36*'03_全链计算'!$D$36,'03_全链计算'!O37*'03_全链计算'!$D$37,'03_全链计算'!O38*'03_全链计算'!$D$38,'03_全链计算'!O39*'03_全链计算'!$D$39,'03_全链计算'!O40*'03_全链计算'!$D$40,'03_全链计算'!O41*'03_全链计算'!$D$41),"待修正")</x:f>
        <x:v>0</x:v>
      </x:c>
      <x:c r="O13" s="150" t="n">
        <x:f>IF('01_数值调参'!$D$3="配方有效",SUM('03_全链计算'!P36*'03_全链计算'!$D$36,'03_全链计算'!P37*'03_全链计算'!$D$37,'03_全链计算'!P38*'03_全链计算'!$D$38,'03_全链计算'!P39*'03_全链计算'!$D$39,'03_全链计算'!P40*'03_全链计算'!$D$40,'03_全链计算'!P41*'03_全链计算'!$D$41),"待修正")</x:f>
        <x:v>0</x:v>
      </x:c>
      <x:c r="P13" s="150" t="n">
        <x:f>IF('01_数值调参'!$D$3="配方有效",SUM('03_全链计算'!Q36*'03_全链计算'!$D$36,'03_全链计算'!Q37*'03_全链计算'!$D$37,'03_全链计算'!Q38*'03_全链计算'!$D$38,'03_全链计算'!Q39*'03_全链计算'!$D$39,'03_全链计算'!Q40*'03_全链计算'!$D$40,'03_全链计算'!Q41*'03_全链计算'!$D$41),"待修正")</x:f>
        <x:v>0</x:v>
      </x:c>
      <x:c r="Q13" s="150" t="n">
        <x:f>IF('01_数值调参'!$D$3="配方有效",SUM('03_全链计算'!R36*'03_全链计算'!$D$36,'03_全链计算'!R37*'03_全链计算'!$D$37,'03_全链计算'!R38*'03_全链计算'!$D$38,'03_全链计算'!R39*'03_全链计算'!$D$39,'03_全链计算'!R40*'03_全链计算'!$D$40,'03_全链计算'!R41*'03_全链计算'!$D$41),"待修正")</x:f>
        <x:v>0</x:v>
      </x:c>
      <x:c r="R13" s="158" t="n">
        <x:f>IF('01_数值调参'!$D$3="配方有效",SUM('03_全链计算'!S36*'03_全链计算'!$D$36,'03_全链计算'!S37*'03_全链计算'!$D$37,'03_全链计算'!S38*'03_全链计算'!$D$38,'03_全链计算'!S39*'03_全链计算'!$D$39,'03_全链计算'!S40*'03_全链计算'!$D$40,'03_全链计算'!S41*'03_全链计算'!$D$41),"待修正")</x:f>
        <x:v>0</x:v>
      </x:c>
      <x:c r="S13" s="150" t="n">
        <x:f>IF('01_数值调参'!$D$3="配方有效",SUM('03_全链计算'!T36*'03_全链计算'!$D$36,'03_全链计算'!T37*'03_全链计算'!$D$37,'03_全链计算'!T38*'03_全链计算'!$D$38,'03_全链计算'!T39*'03_全链计算'!$D$39,'03_全链计算'!T40*'03_全链计算'!$D$40,'03_全链计算'!T41*'03_全链计算'!$D$41),"待修正")</x:f>
        <x:v>0</x:v>
      </x:c>
      <x:c r="T13" s="150" t="n">
        <x:f>IF('01_数值调参'!$D$3="配方有效",SUM('03_全链计算'!U36*'03_全链计算'!$D$36,'03_全链计算'!U37*'03_全链计算'!$D$37,'03_全链计算'!U38*'03_全链计算'!$D$38,'03_全链计算'!U39*'03_全链计算'!$D$39,'03_全链计算'!U40*'03_全链计算'!$D$40,'03_全链计算'!U41*'03_全链计算'!$D$41),"待修正")</x:f>
        <x:v>0</x:v>
      </x:c>
      <x:c r="U13" s="150" t="n">
        <x:f>IF('01_数值调参'!$D$3="配方有效",SUM('03_全链计算'!V36*'03_全链计算'!$D$36,'03_全链计算'!V37*'03_全链计算'!$D$37,'03_全链计算'!V38*'03_全链计算'!$D$38,'03_全链计算'!V39*'03_全链计算'!$D$39,'03_全链计算'!V40*'03_全链计算'!$D$40,'03_全链计算'!V41*'03_全链计算'!$D$41),"待修正")</x:f>
        <x:v>0</x:v>
      </x:c>
      <x:c r="V13" s="150" t="n">
        <x:f>IF('01_数值调参'!$D$3="配方有效",SUM('03_全链计算'!W36*'03_全链计算'!$D$36,'03_全链计算'!W37*'03_全链计算'!$D$37,'03_全链计算'!W38*'03_全链计算'!$D$38,'03_全链计算'!W39*'03_全链计算'!$D$39,'03_全链计算'!W40*'03_全链计算'!$D$40,'03_全链计算'!W41*'03_全链计算'!$D$41),"待修正")</x:f>
        <x:v>0</x:v>
      </x:c>
      <x:c r="W13" s="158" t="n">
        <x:f>IF('01_数值调参'!$D$3="配方有效",SUM('03_全链计算'!X36*'03_全链计算'!$D$36,'03_全链计算'!X37*'03_全链计算'!$D$37,'03_全链计算'!X38*'03_全链计算'!$D$38,'03_全链计算'!X39*'03_全链计算'!$D$39,'03_全链计算'!X40*'03_全链计算'!$D$40,'03_全链计算'!X41*'03_全链计算'!$D$41),"待修正")</x:f>
        <x:v>0</x:v>
      </x:c>
      <x:c r="X13" s="150" t="n">
        <x:f>IF('01_数值调参'!$D$3="配方有效",SUM('03_全链计算'!Y36*'03_全链计算'!$D$36,'03_全链计算'!Y37*'03_全链计算'!$D$37,'03_全链计算'!Y38*'03_全链计算'!$D$38,'03_全链计算'!Y39*'03_全链计算'!$D$39,'03_全链计算'!Y40*'03_全链计算'!$D$40,'03_全链计算'!Y41*'03_全链计算'!$D$41),"待修正")</x:f>
        <x:v>0</x:v>
      </x:c>
      <x:c r="Y13" s="150" t="n">
        <x:f>IF('01_数值调参'!$D$3="配方有效",SUM('03_全链计算'!Z36*'03_全链计算'!$D$36,'03_全链计算'!Z37*'03_全链计算'!$D$37,'03_全链计算'!Z38*'03_全链计算'!$D$38,'03_全链计算'!Z39*'03_全链计算'!$D$39,'03_全链计算'!Z40*'03_全链计算'!$D$40,'03_全链计算'!Z41*'03_全链计算'!$D$41),"待修正")</x:f>
        <x:v>0</x:v>
      </x:c>
      <x:c r="Z13" s="150" t="n">
        <x:f>IF('01_数值调参'!$D$3="配方有效",SUM('03_全链计算'!AA36*'03_全链计算'!$D$36,'03_全链计算'!AA37*'03_全链计算'!$D$37,'03_全链计算'!AA38*'03_全链计算'!$D$38,'03_全链计算'!AA39*'03_全链计算'!$D$39,'03_全链计算'!AA40*'03_全链计算'!$D$40,'03_全链计算'!AA41*'03_全链计算'!$D$41),"待修正")</x:f>
        <x:v>0</x:v>
      </x:c>
      <x:c r="AA13" s="150" t="n">
        <x:f>IF('01_数值调参'!$D$3="配方有效",SUM('03_全链计算'!AB36*'03_全链计算'!$D$36,'03_全链计算'!AB37*'03_全链计算'!$D$37,'03_全链计算'!AB38*'03_全链计算'!$D$38,'03_全链计算'!AB39*'03_全链计算'!$D$39,'03_全链计算'!AB40*'03_全链计算'!$D$40,'03_全链计算'!AB41*'03_全链计算'!$D$41),"待修正")</x:f>
        <x:v>0</x:v>
      </x:c>
      <x:c r="AB13" s="150" t="n">
        <x:f>IF('01_数值调参'!$D$3="配方有效",SUM('03_全链计算'!AC36*'03_全链计算'!$D$36,'03_全链计算'!AC37*'03_全链计算'!$D$37,'03_全链计算'!AC38*'03_全链计算'!$D$38,'03_全链计算'!AC39*'03_全链计算'!$D$39,'03_全链计算'!AC40*'03_全链计算'!$D$40,'03_全链计算'!AC41*'03_全链计算'!$D$41),"待修正")</x:f>
        <x:v>0</x:v>
      </x:c>
      <x:c r="AC13" s="158" t="n">
        <x:f>IF('01_数值调参'!$D$3="配方有效",SUM('03_全链计算'!AD36*'03_全链计算'!$D$36,'03_全链计算'!AD37*'03_全链计算'!$D$37,'03_全链计算'!AD38*'03_全链计算'!$D$38,'03_全链计算'!AD39*'03_全链计算'!$D$39,'03_全链计算'!AD40*'03_全链计算'!$D$40,'03_全链计算'!AD41*'03_全链计算'!$D$41),"待修正")</x:f>
        <x:v>0</x:v>
      </x:c>
      <x:c r="AD13" s="150" t="n">
        <x:f>IF('01_数值调参'!$D$3="配方有效",SUM('03_全链计算'!AE36*'03_全链计算'!$D$36,'03_全链计算'!AE37*'03_全链计算'!$D$37,'03_全链计算'!AE38*'03_全链计算'!$D$38,'03_全链计算'!AE39*'03_全链计算'!$D$39,'03_全链计算'!AE40*'03_全链计算'!$D$40,'03_全链计算'!AE41*'03_全链计算'!$D$41),"待修正")</x:f>
        <x:v>0</x:v>
      </x:c>
      <x:c r="AE13" s="150" t="n">
        <x:f>IF('01_数值调参'!$D$3="配方有效",SUM('03_全链计算'!AF36*'03_全链计算'!$D$36,'03_全链计算'!AF37*'03_全链计算'!$D$37,'03_全链计算'!AF38*'03_全链计算'!$D$38,'03_全链计算'!AF39*'03_全链计算'!$D$39,'03_全链计算'!AF40*'03_全链计算'!$D$40,'03_全链计算'!AF41*'03_全链计算'!$D$41),"待修正")</x:f>
        <x:v>0</x:v>
      </x:c>
      <x:c r="AF13" s="150" t="n">
        <x:f>IF('01_数值调参'!$D$3="配方有效",SUM('03_全链计算'!AG36*'03_全链计算'!$D$36,'03_全链计算'!AG37*'03_全链计算'!$D$37,'03_全链计算'!AG38*'03_全链计算'!$D$38,'03_全链计算'!AG39*'03_全链计算'!$D$39,'03_全链计算'!AG40*'03_全链计算'!$D$40,'03_全链计算'!AG41*'03_全链计算'!$D$41),"待修正")</x:f>
        <x:v>0</x:v>
      </x:c>
      <x:c r="AG13" s="158" t="n">
        <x:f>IF('01_数值调参'!$D$3="配方有效",SUM('03_全链计算'!AH36*'03_全链计算'!$D$36,'03_全链计算'!AH37*'03_全链计算'!$D$37,'03_全链计算'!AH38*'03_全链计算'!$D$38,'03_全链计算'!AH39*'03_全链计算'!$D$39,'03_全链计算'!AH40*'03_全链计算'!$D$40,'03_全链计算'!AH41*'03_全链计算'!$D$41),"待修正")</x:f>
        <x:v>45</x:v>
      </x:c>
      <x:c r="AH13" s="150" t="n">
        <x:f>IF('01_数值调参'!$D$3="配方有效",SUM('03_全链计算'!AI36*'03_全链计算'!$D$36,'03_全链计算'!AI37*'03_全链计算'!$D$37,'03_全链计算'!AI38*'03_全链计算'!$D$38,'03_全链计算'!AI39*'03_全链计算'!$D$39,'03_全链计算'!AI40*'03_全链计算'!$D$40,'03_全链计算'!AI41*'03_全链计算'!$D$41),"待修正")</x:f>
        <x:v>60</x:v>
      </x:c>
      <x:c r="AI13" s="150" t="n">
        <x:f>IF('01_数值调参'!$D$3="配方有效",SUM('03_全链计算'!AJ36*'03_全链计算'!$D$36,'03_全链计算'!AJ37*'03_全链计算'!$D$37,'03_全链计算'!AJ38*'03_全链计算'!$D$38,'03_全链计算'!AJ39*'03_全链计算'!$D$39,'03_全链计算'!AJ40*'03_全链计算'!$D$40,'03_全链计算'!AJ41*'03_全链计算'!$D$41),"待修正")</x:f>
        <x:v>90</x:v>
      </x:c>
      <x:c r="AJ13" s="150" t="n">
        <x:f>IF('01_数值调参'!$D$3="配方有效",SUM('03_全链计算'!AK36*'03_全链计算'!$D$36,'03_全链计算'!AK37*'03_全链计算'!$D$37,'03_全链计算'!AK38*'03_全链计算'!$D$38,'03_全链计算'!AK39*'03_全链计算'!$D$39,'03_全链计算'!AK40*'03_全链计算'!$D$40,'03_全链计算'!AK41*'03_全链计算'!$D$41),"待修正")</x:f>
        <x:v>120</x:v>
      </x:c>
      <x:c r="AK13" s="150" t="n">
        <x:f>IF('01_数值调参'!$D$3="配方有效",SUM('03_全链计算'!AL36*'03_全链计算'!$D$36,'03_全链计算'!AL37*'03_全链计算'!$D$37,'03_全链计算'!AL38*'03_全链计算'!$D$38,'03_全链计算'!AL39*'03_全链计算'!$D$39,'03_全链计算'!AL40*'03_全链计算'!$D$40,'03_全链计算'!AL41*'03_全链计算'!$D$41),"待修正")</x:f>
        <x:v>150</x:v>
      </x:c>
      <x:c r="AL13" s="150" t="n">
        <x:f>IF('01_数值调参'!$D$3="配方有效",SUM('03_全链计算'!AM36*'03_全链计算'!$D$36,'03_全链计算'!AM37*'03_全链计算'!$D$37,'03_全链计算'!AM38*'03_全链计算'!$D$38,'03_全链计算'!AM39*'03_全链计算'!$D$39,'03_全链计算'!AM40*'03_全链计算'!$D$40,'03_全链计算'!AM41*'03_全链计算'!$D$41),"待修正")</x:f>
        <x:v>180</x:v>
      </x:c>
    </x:row>
    <x:row r="14" ht="24" customHeight="1">
      <x:c r="A14" s="155"/>
      <x:c r="B14" s="155" t="str">
        <x:v>合计</x:v>
      </x:c>
      <x:c r="C14" s="155"/>
      <x:c r="D14" s="156" t="n">
        <x:f>IF('01_数值调参'!$D$3="配方有效",SUM(D8:D13),"待修正")</x:f>
        <x:v>2</x:v>
      </x:c>
      <x:c r="E14" s="156" t="n">
        <x:f>IF('01_数值调参'!$D$3="配方有效",SUM(E8:E13),"待修正")</x:f>
        <x:v>5</x:v>
      </x:c>
      <x:c r="F14" s="156" t="n">
        <x:f>IF('01_数值调参'!$D$3="配方有效",SUM(F8:F13),"待修正")</x:f>
        <x:v>10</x:v>
      </x:c>
      <x:c r="G14" s="156" t="n">
        <x:f>IF('01_数值调参'!$D$3="配方有效",SUM(G8:G13),"待修正")</x:f>
        <x:v>15</x:v>
      </x:c>
      <x:c r="H14" s="156" t="n">
        <x:f>IF('01_数值调参'!$D$3="配方有效",SUM(H8:H13),"待修正")</x:f>
        <x:v>20</x:v>
      </x:c>
      <x:c r="I14" s="156" t="n">
        <x:f>IF('01_数值调参'!$D$3="配方有效",SUM(I8:I13),"待修正")</x:f>
        <x:v>30</x:v>
      </x:c>
      <x:c r="J14" s="156" t="n">
        <x:f>IF('01_数值调参'!$D$3="配方有效",SUM(J8:J13),"待修正")</x:f>
        <x:v>60</x:v>
      </x:c>
      <x:c r="K14" s="156" t="n">
        <x:f>IF('01_数值调参'!$D$3="配方有效",SUM(K8:K13),"待修正")</x:f>
        <x:v>90</x:v>
      </x:c>
      <x:c r="L14" s="156" t="n">
        <x:f>IF('01_数值调参'!$D$3="配方有效",SUM(L8:L13),"待修正")</x:f>
        <x:v>120</x:v>
      </x:c>
      <x:c r="M14" s="159" t="n">
        <x:f>IF('01_数值调参'!$D$3="配方有效",SUM(M8:M13),"待修正")</x:f>
        <x:v>9</x:v>
      </x:c>
      <x:c r="N14" s="156" t="n">
        <x:f>IF('01_数值调参'!$D$3="配方有效",SUM(N8:N13),"待修正")</x:f>
        <x:v>17</x:v>
      </x:c>
      <x:c r="O14" s="156" t="n">
        <x:f>IF('01_数值调参'!$D$3="配方有效",SUM(O8:O13),"待修正")</x:f>
        <x:v>50</x:v>
      </x:c>
      <x:c r="P14" s="156" t="n">
        <x:f>IF('01_数值调参'!$D$3="配方有效",SUM(P8:P13),"待修正")</x:f>
        <x:v>70</x:v>
      </x:c>
      <x:c r="Q14" s="156" t="n">
        <x:f>IF('01_数值调参'!$D$3="配方有效",SUM(Q8:Q13),"待修正")</x:f>
        <x:v>184</x:v>
      </x:c>
      <x:c r="R14" s="159" t="n">
        <x:f>IF('01_数值调参'!$D$3="配方有效",SUM(R8:R13),"待修正")</x:f>
        <x:v>30</x:v>
      </x:c>
      <x:c r="S14" s="156" t="n">
        <x:f>IF('01_数值调参'!$D$3="配方有效",SUM(S8:S13),"待修正")</x:f>
        <x:v>50</x:v>
      </x:c>
      <x:c r="T14" s="156" t="n">
        <x:f>IF('01_数值调参'!$D$3="配方有效",SUM(T8:T13),"待修正")</x:f>
        <x:v>70</x:v>
      </x:c>
      <x:c r="U14" s="156" t="n">
        <x:f>IF('01_数值调参'!$D$3="配方有效",SUM(U8:U13),"待修正")</x:f>
        <x:v>125</x:v>
      </x:c>
      <x:c r="V14" s="156" t="n">
        <x:f>IF('01_数值调参'!$D$3="配方有效",SUM(V8:V13),"待修正")</x:f>
        <x:v>310</x:v>
      </x:c>
      <x:c r="W14" s="159" t="n">
        <x:f>IF('01_数值调参'!$D$3="配方有效",SUM(W8:W13),"待修正")</x:f>
        <x:v>69</x:v>
      </x:c>
      <x:c r="X14" s="156" t="n">
        <x:f>IF('01_数值调参'!$D$3="配方有效",SUM(X8:X13),"待修正")</x:f>
        <x:v>66</x:v>
      </x:c>
      <x:c r="Y14" s="156" t="n">
        <x:f>IF('01_数值调参'!$D$3="配方有效",SUM(Y8:Y13),"待修正")</x:f>
        <x:v>120</x:v>
      </x:c>
      <x:c r="Z14" s="156" t="n">
        <x:f>IF('01_数值调参'!$D$3="配方有效",SUM(Z8:Z13),"待修正")</x:f>
        <x:v>207</x:v>
      </x:c>
      <x:c r="AA14" s="156" t="n">
        <x:f>IF('01_数值调参'!$D$3="配方有效",SUM(AA8:AA13),"待修正")</x:f>
        <x:v>219</x:v>
      </x:c>
      <x:c r="AB14" s="156" t="n">
        <x:f>IF('01_数值调参'!$D$3="配方有效",SUM(AB8:AB13),"待修正")</x:f>
        <x:v>551</x:v>
      </x:c>
      <x:c r="AC14" s="159" t="n">
        <x:f>IF('01_数值调参'!$D$3="配方有效",SUM(AC8:AC13),"待修正")</x:f>
        <x:v>60</x:v>
      </x:c>
      <x:c r="AD14" s="156" t="n">
        <x:f>IF('01_数值调参'!$D$3="配方有效",SUM(AD8:AD13),"待修正")</x:f>
        <x:v>135</x:v>
      </x:c>
      <x:c r="AE14" s="156" t="n">
        <x:f>IF('01_数值调参'!$D$3="配方有效",SUM(AE8:AE13),"待修正")</x:f>
        <x:v>240</x:v>
      </x:c>
      <x:c r="AF14" s="156" t="n">
        <x:f>IF('01_数值调参'!$D$3="配方有效",SUM(AF8:AF13),"待修正")</x:f>
        <x:v>360</x:v>
      </x:c>
      <x:c r="AG14" s="159" t="n">
        <x:f>IF('01_数值调参'!$D$3="配方有效",SUM(AG8:AG13),"待修正")</x:f>
        <x:v>125</x:v>
      </x:c>
      <x:c r="AH14" s="156" t="n">
        <x:f>IF('01_数值调参'!$D$3="配方有效",SUM(AH8:AH13),"待修正")</x:f>
        <x:v>170</x:v>
      </x:c>
      <x:c r="AI14" s="156" t="n">
        <x:f>IF('01_数值调参'!$D$3="配方有效",SUM(AI8:AI13),"待修正")</x:f>
        <x:v>295</x:v>
      </x:c>
      <x:c r="AJ14" s="156" t="n">
        <x:f>IF('01_数值调参'!$D$3="配方有效",SUM(AJ8:AJ13),"待修正")</x:f>
        <x:v>460</x:v>
      </x:c>
      <x:c r="AK14" s="156" t="n">
        <x:f>IF('01_数值调参'!$D$3="配方有效",SUM(AK8:AK13),"待修正")</x:f>
        <x:v>309</x:v>
      </x:c>
      <x:c r="AL14" s="156" t="n">
        <x:f>IF('01_数值调参'!$D$3="配方有效",SUM(AL8:AL13),"待修正")</x:f>
        <x:v>692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6E8C7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</x:cols>
  <x:sheetData>
    <x:row r="1" ht="30" customHeight="1">
      <x:c r="A1" s="11" t="str">
        <x:v>各等级商品周转容量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  <x:c r="AN1" s="9"/>
      <x:c r="AO1" s="9"/>
      <x:c r="AP1" s="9"/>
    </x:row>
    <x:row r="2" ht="25" customHeight="1">
      <x:c r="A2" s="9" t="str">
        <x:v>各商品独立最大值不能相加。全仓上限按各建筑总投料最大配方计算。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</x:row>
    <x:row r="3" ht="25" customHeight="1">
      <x:c r="A3" s="9" t="str">
        <x:v>另计在产位（0/1）</x:v>
      </x:c>
      <x:c r="B3" s="9"/>
      <x:c r="C3" s="162" t="n">
        <x:v>1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</x:row>
    <x:row r="4" ht="25" customHeight="1">
      <x:c r="A4" s="9" t="str">
        <x:v>黄色为等待长度。网页修改会覆盖后续等级；Excel各级输入独立。仅计直接加工投料。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</x:row>
    <x:row r="5" ht="38" customHeight="1">
      <x:c r="A5" s="160" t="str">
        <x:v>等级</x:v>
      </x:c>
      <x:c r="B5" s="160" t="str">
        <x:v>全仓投料上限/件</x:v>
      </x:c>
      <x:c r="C5" s="160" t="str">
        <x:v>研磨机等待长度</x:v>
      </x:c>
      <x:c r="D5" s="160" t="str">
        <x:v>切割机等待长度</x:v>
      </x:c>
      <x:c r="E5" s="160" t="str">
        <x:v>纺织机等待长度</x:v>
      </x:c>
      <x:c r="F5" s="160" t="str">
        <x:v>萃取机等待长度</x:v>
      </x:c>
      <x:c r="G5" s="160" t="str">
        <x:v>窑炉等待长度</x:v>
      </x:c>
      <x:c r="H5" s="188" t="str">
        <x:v>芦苇草</x:v>
      </x:c>
      <x:c r="I5" s="187" t="str">
        <x:v>棉花</x:v>
      </x:c>
      <x:c r="J5" s="187" t="str">
        <x:v>竹子</x:v>
      </x:c>
      <x:c r="K5" s="187" t="str">
        <x:v>香绒草</x:v>
      </x:c>
      <x:c r="L5" s="187" t="str">
        <x:v>薰衣草</x:v>
      </x:c>
      <x:c r="M5" s="187" t="str">
        <x:v>芍药花</x:v>
      </x:c>
      <x:c r="N5" s="187" t="str">
        <x:v>墨水花</x:v>
      </x:c>
      <x:c r="O5" s="187" t="str">
        <x:v>蜡烛花</x:v>
      </x:c>
      <x:c r="P5" s="187" t="str">
        <x:v>浆果珍珠</x:v>
      </x:c>
      <x:c r="Q5" s="195" t="str">
        <x:v>芦苇丝</x:v>
      </x:c>
      <x:c r="R5" s="194" t="str">
        <x:v>棉绒团</x:v>
      </x:c>
      <x:c r="S5" s="194" t="str">
        <x:v>绒香粉</x:v>
      </x:c>
      <x:c r="T5" s="194" t="str">
        <x:v>云朵香粉</x:v>
      </x:c>
      <x:c r="U5" s="194" t="str">
        <x:v>乌云绒团</x:v>
      </x:c>
      <x:c r="V5" s="199" t="str">
        <x:v>竹条</x:v>
      </x:c>
      <x:c r="W5" s="198" t="str">
        <x:v>薄竹片</x:v>
      </x:c>
      <x:c r="X5" s="198" t="str">
        <x:v>小竹框</x:v>
      </x:c>
      <x:c r="Y5" s="198" t="str">
        <x:v>花瓣竹板</x:v>
      </x:c>
      <x:c r="Z5" s="198" t="str">
        <x:v>珍珠衣帽架</x:v>
      </x:c>
      <x:c r="AA5" s="203" t="str">
        <x:v>竹编小垫</x:v>
      </x:c>
      <x:c r="AB5" s="202" t="str">
        <x:v>软棉布</x:v>
      </x:c>
      <x:c r="AC5" s="202" t="str">
        <x:v>竹帘</x:v>
      </x:c>
      <x:c r="AD5" s="202" t="str">
        <x:v>绒绒灯罩</x:v>
      </x:c>
      <x:c r="AE5" s="202" t="str">
        <x:v>软边小席</x:v>
      </x:c>
      <x:c r="AF5" s="202" t="str">
        <x:v>雨滴篮子</x:v>
      </x:c>
      <x:c r="AG5" s="207" t="str">
        <x:v>薰衣草精油</x:v>
      </x:c>
      <x:c r="AH5" s="206" t="str">
        <x:v>花瓣香水</x:v>
      </x:c>
      <x:c r="AI5" s="206" t="str">
        <x:v>墨汁</x:v>
      </x:c>
      <x:c r="AJ5" s="206" t="str">
        <x:v>花蜡</x:v>
      </x:c>
      <x:c r="AK5" s="211" t="str">
        <x:v>竹炭画笔</x:v>
      </x:c>
      <x:c r="AL5" s="210" t="str">
        <x:v>薰衣草香棒</x:v>
      </x:c>
      <x:c r="AM5" s="210" t="str">
        <x:v>竹制盆景</x:v>
      </x:c>
      <x:c r="AN5" s="210" t="str">
        <x:v>圈圈蚊香</x:v>
      </x:c>
      <x:c r="AO5" s="210" t="str">
        <x:v>薰衣草软垫</x:v>
      </x:c>
      <x:c r="AP5" s="210" t="str">
        <x:v>花瓣小灯</x:v>
      </x:c>
    </x:row>
    <x:row r="6" ht="25" customHeight="1">
      <x:c r="A6" s="9" t="str">
        <x:v>商品/建筑ID</x:v>
      </x:c>
      <x:c r="B6" s="9"/>
      <x:c r="C6" s="9" t="str">
        <x:v>建筑:501</x:v>
      </x:c>
      <x:c r="D6" s="9" t="str">
        <x:v>建筑:502</x:v>
      </x:c>
      <x:c r="E6" s="9" t="str">
        <x:v>建筑:503</x:v>
      </x:c>
      <x:c r="F6" s="9" t="str">
        <x:v>建筑:504</x:v>
      </x:c>
      <x:c r="G6" s="9" t="str">
        <x:v>建筑:505</x:v>
      </x:c>
      <x:c r="H6" s="189" t="n">
        <x:v>1</x:v>
      </x:c>
      <x:c r="I6" s="133" t="n">
        <x:v>2</x:v>
      </x:c>
      <x:c r="J6" s="133" t="n">
        <x:v>5</x:v>
      </x:c>
      <x:c r="K6" s="133" t="n">
        <x:v>10</x:v>
      </x:c>
      <x:c r="L6" s="133" t="n">
        <x:v>15</x:v>
      </x:c>
      <x:c r="M6" s="133" t="n">
        <x:v>17</x:v>
      </x:c>
      <x:c r="N6" s="133" t="n">
        <x:v>24</x:v>
      </x:c>
      <x:c r="O6" s="133" t="n">
        <x:v>30</x:v>
      </x:c>
      <x:c r="P6" s="133" t="n">
        <x:v>35</x:v>
      </x:c>
      <x:c r="Q6" s="196" t="n">
        <x:v>3</x:v>
      </x:c>
      <x:c r="R6" s="134" t="n">
        <x:v>4</x:v>
      </x:c>
      <x:c r="S6" s="134" t="n">
        <x:v>12</x:v>
      </x:c>
      <x:c r="T6" s="134" t="n">
        <x:v>22</x:v>
      </x:c>
      <x:c r="U6" s="134" t="n">
        <x:v>33</x:v>
      </x:c>
      <x:c r="V6" s="200" t="n">
        <x:v>6</x:v>
      </x:c>
      <x:c r="W6" s="135" t="n">
        <x:v>7</x:v>
      </x:c>
      <x:c r="X6" s="135" t="n">
        <x:v>20</x:v>
      </x:c>
      <x:c r="Y6" s="135" t="n">
        <x:v>28</x:v>
      </x:c>
      <x:c r="Z6" s="135" t="n">
        <x:v>36</x:v>
      </x:c>
      <x:c r="AA6" s="204" t="n">
        <x:v>14</x:v>
      </x:c>
      <x:c r="AB6" s="136" t="n">
        <x:v>16</x:v>
      </x:c>
      <x:c r="AC6" s="136" t="n">
        <x:v>21</x:v>
      </x:c>
      <x:c r="AD6" s="136" t="n">
        <x:v>27</x:v>
      </x:c>
      <x:c r="AE6" s="136" t="n">
        <x:v>32</x:v>
      </x:c>
      <x:c r="AF6" s="136" t="n">
        <x:v>37</x:v>
      </x:c>
      <x:c r="AG6" s="208" t="n">
        <x:v>13</x:v>
      </x:c>
      <x:c r="AH6" s="137" t="n">
        <x:v>18</x:v>
      </x:c>
      <x:c r="AI6" s="137" t="n">
        <x:v>25</x:v>
      </x:c>
      <x:c r="AJ6" s="137" t="n">
        <x:v>31</x:v>
      </x:c>
      <x:c r="AK6" s="212" t="n">
        <x:v>19</x:v>
      </x:c>
      <x:c r="AL6" s="138" t="n">
        <x:v>23</x:v>
      </x:c>
      <x:c r="AM6" s="138" t="n">
        <x:v>26</x:v>
      </x:c>
      <x:c r="AN6" s="138" t="n">
        <x:v>29</x:v>
      </x:c>
      <x:c r="AO6" s="138" t="n">
        <x:v>34</x:v>
      </x:c>
      <x:c r="AP6" s="138" t="n">
        <x:v>38</x:v>
      </x:c>
    </x:row>
    <x:row r="7" ht="25" customHeight="1">
      <x:c r="A7" s="213" t="n">
        <x:v>1</x:v>
      </x:c>
      <x:c r="B7" s="214" t="n">
        <x:f>IF('01_数值调参'!$D$3&lt;&gt;"配方有效","待修正",IF(AND(OR($C$3=0,$C$3=1),ISNUMBER(C7),C7&gt;=0,MOD(C7,1)=0,ISNUMBER(D7),D7&gt;=0,MOD(D7,1)=0,ISNUMBER(E7),E7&gt;=0,MOD(E7,1)=0,ISNUMBER(F7),F7&gt;=0,MOD(F7,1)=0,ISNUMBER(G7),G7&gt;=0,MOD(G7,1)=0,TRUE),SUM(IF($A7&gt;=2,(C7+$C$3)*MAX(0,IF('01_数值调参'!$N$7&lt;=$A7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7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7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7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7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7&gt;=4,(D7+$C$3)*MAX(0,IF('01_数值调参'!$S$7&lt;=$A7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7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7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7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7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7&gt;=6,(E7+$C$3)*MAX(0,IF('01_数值调参'!$X$7&lt;=$A7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7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7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7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7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7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7&gt;=8,(F7+$C$3)*MAX(0,IF('01_数值调参'!$AD$7&lt;=$A7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7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7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7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7&gt;=10,(G7+$C$3)*MAX(0,IF('01_数值调参'!$AH$7&lt;=$A7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7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7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7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7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7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0</x:v>
      </x:c>
      <x:c r="C7" s="215" t="n">
        <x:v>2</x:v>
      </x:c>
      <x:c r="D7" s="215" t="n">
        <x:v>2</x:v>
      </x:c>
      <x:c r="E7" s="215" t="n">
        <x:v>2</x:v>
      </x:c>
      <x:c r="F7" s="215" t="n">
        <x:v>2</x:v>
      </x:c>
      <x:c r="G7" s="215" t="n">
        <x:v>2</x:v>
      </x:c>
      <x:c r="H7" s="216" t="n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E$7,"—",SUM(IF($A7&gt;=2,(C7+$C$3)*MAX(0,IF('01_数值调参'!$N$7&lt;=$A7,-'01_数值调参'!$N$18,0),IF('01_数值调参'!$O$7&lt;=$A7,-'01_数值调参'!$O$18,0),IF('01_数值调参'!$P$7&lt;=$A7,-'01_数值调参'!$P$18,0),IF('01_数值调参'!$Q$7&lt;=$A7,-'01_数值调参'!$Q$18,0),IF('01_数值调参'!$R$7&lt;=$A7,-'01_数值调参'!$R$18,0)),0),IF($A7&gt;=4,(D7+$C$3)*MAX(0,IF('01_数值调参'!$S$7&lt;=$A7,-'01_数值调参'!$S$18,0),IF('01_数值调参'!$T$7&lt;=$A7,-'01_数值调参'!$T$18,0),IF('01_数值调参'!$U$7&lt;=$A7,-'01_数值调参'!$U$18,0),IF('01_数值调参'!$V$7&lt;=$A7,-'01_数值调参'!$V$18,0),IF('01_数值调参'!$W$7&lt;=$A7,-'01_数值调参'!$W$18,0)),0),IF($A7&gt;=6,(E7+$C$3)*MAX(0,IF('01_数值调参'!$X$7&lt;=$A7,-'01_数值调参'!$X$18,0),IF('01_数值调参'!$Y$7&lt;=$A7,-'01_数值调参'!$Y$18,0),IF('01_数值调参'!$Z$7&lt;=$A7,-'01_数值调参'!$Z$18,0),IF('01_数值调参'!$AA$7&lt;=$A7,-'01_数值调参'!$AA$18,0),IF('01_数值调参'!$AB$7&lt;=$A7,-'01_数值调参'!$AB$18,0),IF('01_数值调参'!$AC$7&lt;=$A7,-'01_数值调参'!$AC$18,0)),0),IF($A7&gt;=8,(F7+$C$3)*MAX(0,IF('01_数值调参'!$AD$7&lt;=$A7,-'01_数值调参'!$AD$18,0),IF('01_数值调参'!$AE$7&lt;=$A7,-'01_数值调参'!$AE$18,0),IF('01_数值调参'!$AF$7&lt;=$A7,-'01_数值调参'!$AF$18,0),IF('01_数值调参'!$AG$7&lt;=$A7,-'01_数值调参'!$AG$18,0)),0),IF($A7&gt;=10,(G7+$C$3)*MAX(0,IF('01_数值调参'!$AH$7&lt;=$A7,-'01_数值调参'!$AH$18,0),IF('01_数值调参'!$AI$7&lt;=$A7,-'01_数值调参'!$AI$18,0),IF('01_数值调参'!$AJ$7&lt;=$A7,-'01_数值调参'!$AJ$18,0),IF('01_数值调参'!$AK$7&lt;=$A7,-'01_数值调参'!$AK$18,0),IF('01_数值调参'!$AL$7&lt;=$A7,-'01_数值调参'!$AL$18,0),IF('01_数值调参'!$AM$7&lt;=$A7,-'01_数值调参'!$AM$18,0)),0),0)),"队列待修正"))</x:f>
        <x:v>0</x:v>
      </x:c>
      <x:c r="I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F$7,"—",SUM(IF($A7&gt;=2,(C7+$C$3)*MAX(0,IF('01_数值调参'!$N$7&lt;=$A7,-'01_数值调参'!$N$19,0),IF('01_数值调参'!$O$7&lt;=$A7,-'01_数值调参'!$O$19,0),IF('01_数值调参'!$P$7&lt;=$A7,-'01_数值调参'!$P$19,0),IF('01_数值调参'!$Q$7&lt;=$A7,-'01_数值调参'!$Q$19,0),IF('01_数值调参'!$R$7&lt;=$A7,-'01_数值调参'!$R$19,0)),0),IF($A7&gt;=4,(D7+$C$3)*MAX(0,IF('01_数值调参'!$S$7&lt;=$A7,-'01_数值调参'!$S$19,0),IF('01_数值调参'!$T$7&lt;=$A7,-'01_数值调参'!$T$19,0),IF('01_数值调参'!$U$7&lt;=$A7,-'01_数值调参'!$U$19,0),IF('01_数值调参'!$V$7&lt;=$A7,-'01_数值调参'!$V$19,0),IF('01_数值调参'!$W$7&lt;=$A7,-'01_数值调参'!$W$19,0)),0),IF($A7&gt;=6,(E7+$C$3)*MAX(0,IF('01_数值调参'!$X$7&lt;=$A7,-'01_数值调参'!$X$19,0),IF('01_数值调参'!$Y$7&lt;=$A7,-'01_数值调参'!$Y$19,0),IF('01_数值调参'!$Z$7&lt;=$A7,-'01_数值调参'!$Z$19,0),IF('01_数值调参'!$AA$7&lt;=$A7,-'01_数值调参'!$AA$19,0),IF('01_数值调参'!$AB$7&lt;=$A7,-'01_数值调参'!$AB$19,0),IF('01_数值调参'!$AC$7&lt;=$A7,-'01_数值调参'!$AC$19,0)),0),IF($A7&gt;=8,(F7+$C$3)*MAX(0,IF('01_数值调参'!$AD$7&lt;=$A7,-'01_数值调参'!$AD$19,0),IF('01_数值调参'!$AE$7&lt;=$A7,-'01_数值调参'!$AE$19,0),IF('01_数值调参'!$AF$7&lt;=$A7,-'01_数值调参'!$AF$19,0),IF('01_数值调参'!$AG$7&lt;=$A7,-'01_数值调参'!$AG$19,0)),0),IF($A7&gt;=10,(G7+$C$3)*MAX(0,IF('01_数值调参'!$AH$7&lt;=$A7,-'01_数值调参'!$AH$19,0),IF('01_数值调参'!$AI$7&lt;=$A7,-'01_数值调参'!$AI$19,0),IF('01_数值调参'!$AJ$7&lt;=$A7,-'01_数值调参'!$AJ$19,0),IF('01_数值调参'!$AK$7&lt;=$A7,-'01_数值调参'!$AK$19,0),IF('01_数值调参'!$AL$7&lt;=$A7,-'01_数值调参'!$AL$19,0),IF('01_数值调参'!$AM$7&lt;=$A7,-'01_数值调参'!$AM$19,0)),0),0)),"队列待修正"))</x:f>
        <x:v>—</x:v>
      </x:c>
      <x:c r="J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G$7,"—",SUM(IF($A7&gt;=2,(C7+$C$3)*MAX(0,IF('01_数值调参'!$N$7&lt;=$A7,-'01_数值调参'!$N$20,0),IF('01_数值调参'!$O$7&lt;=$A7,-'01_数值调参'!$O$20,0),IF('01_数值调参'!$P$7&lt;=$A7,-'01_数值调参'!$P$20,0),IF('01_数值调参'!$Q$7&lt;=$A7,-'01_数值调参'!$Q$20,0),IF('01_数值调参'!$R$7&lt;=$A7,-'01_数值调参'!$R$20,0)),0),IF($A7&gt;=4,(D7+$C$3)*MAX(0,IF('01_数值调参'!$S$7&lt;=$A7,-'01_数值调参'!$S$20,0),IF('01_数值调参'!$T$7&lt;=$A7,-'01_数值调参'!$T$20,0),IF('01_数值调参'!$U$7&lt;=$A7,-'01_数值调参'!$U$20,0),IF('01_数值调参'!$V$7&lt;=$A7,-'01_数值调参'!$V$20,0),IF('01_数值调参'!$W$7&lt;=$A7,-'01_数值调参'!$W$20,0)),0),IF($A7&gt;=6,(E7+$C$3)*MAX(0,IF('01_数值调参'!$X$7&lt;=$A7,-'01_数值调参'!$X$20,0),IF('01_数值调参'!$Y$7&lt;=$A7,-'01_数值调参'!$Y$20,0),IF('01_数值调参'!$Z$7&lt;=$A7,-'01_数值调参'!$Z$20,0),IF('01_数值调参'!$AA$7&lt;=$A7,-'01_数值调参'!$AA$20,0),IF('01_数值调参'!$AB$7&lt;=$A7,-'01_数值调参'!$AB$20,0),IF('01_数值调参'!$AC$7&lt;=$A7,-'01_数值调参'!$AC$20,0)),0),IF($A7&gt;=8,(F7+$C$3)*MAX(0,IF('01_数值调参'!$AD$7&lt;=$A7,-'01_数值调参'!$AD$20,0),IF('01_数值调参'!$AE$7&lt;=$A7,-'01_数值调参'!$AE$20,0),IF('01_数值调参'!$AF$7&lt;=$A7,-'01_数值调参'!$AF$20,0),IF('01_数值调参'!$AG$7&lt;=$A7,-'01_数值调参'!$AG$20,0)),0),IF($A7&gt;=10,(G7+$C$3)*MAX(0,IF('01_数值调参'!$AH$7&lt;=$A7,-'01_数值调参'!$AH$20,0),IF('01_数值调参'!$AI$7&lt;=$A7,-'01_数值调参'!$AI$20,0),IF('01_数值调参'!$AJ$7&lt;=$A7,-'01_数值调参'!$AJ$20,0),IF('01_数值调参'!$AK$7&lt;=$A7,-'01_数值调参'!$AK$20,0),IF('01_数值调参'!$AL$7&lt;=$A7,-'01_数值调参'!$AL$20,0),IF('01_数值调参'!$AM$7&lt;=$A7,-'01_数值调参'!$AM$20,0)),0),0)),"队列待修正"))</x:f>
        <x:v>—</x:v>
      </x:c>
      <x:c r="K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H$7,"—",SUM(IF($A7&gt;=2,(C7+$C$3)*MAX(0,IF('01_数值调参'!$N$7&lt;=$A7,-'01_数值调参'!$N$21,0),IF('01_数值调参'!$O$7&lt;=$A7,-'01_数值调参'!$O$21,0),IF('01_数值调参'!$P$7&lt;=$A7,-'01_数值调参'!$P$21,0),IF('01_数值调参'!$Q$7&lt;=$A7,-'01_数值调参'!$Q$21,0),IF('01_数值调参'!$R$7&lt;=$A7,-'01_数值调参'!$R$21,0)),0),IF($A7&gt;=4,(D7+$C$3)*MAX(0,IF('01_数值调参'!$S$7&lt;=$A7,-'01_数值调参'!$S$21,0),IF('01_数值调参'!$T$7&lt;=$A7,-'01_数值调参'!$T$21,0),IF('01_数值调参'!$U$7&lt;=$A7,-'01_数值调参'!$U$21,0),IF('01_数值调参'!$V$7&lt;=$A7,-'01_数值调参'!$V$21,0),IF('01_数值调参'!$W$7&lt;=$A7,-'01_数值调参'!$W$21,0)),0),IF($A7&gt;=6,(E7+$C$3)*MAX(0,IF('01_数值调参'!$X$7&lt;=$A7,-'01_数值调参'!$X$21,0),IF('01_数值调参'!$Y$7&lt;=$A7,-'01_数值调参'!$Y$21,0),IF('01_数值调参'!$Z$7&lt;=$A7,-'01_数值调参'!$Z$21,0),IF('01_数值调参'!$AA$7&lt;=$A7,-'01_数值调参'!$AA$21,0),IF('01_数值调参'!$AB$7&lt;=$A7,-'01_数值调参'!$AB$21,0),IF('01_数值调参'!$AC$7&lt;=$A7,-'01_数值调参'!$AC$21,0)),0),IF($A7&gt;=8,(F7+$C$3)*MAX(0,IF('01_数值调参'!$AD$7&lt;=$A7,-'01_数值调参'!$AD$21,0),IF('01_数值调参'!$AE$7&lt;=$A7,-'01_数值调参'!$AE$21,0),IF('01_数值调参'!$AF$7&lt;=$A7,-'01_数值调参'!$AF$21,0),IF('01_数值调参'!$AG$7&lt;=$A7,-'01_数值调参'!$AG$21,0)),0),IF($A7&gt;=10,(G7+$C$3)*MAX(0,IF('01_数值调参'!$AH$7&lt;=$A7,-'01_数值调参'!$AH$21,0),IF('01_数值调参'!$AI$7&lt;=$A7,-'01_数值调参'!$AI$21,0),IF('01_数值调参'!$AJ$7&lt;=$A7,-'01_数值调参'!$AJ$21,0),IF('01_数值调参'!$AK$7&lt;=$A7,-'01_数值调参'!$AK$21,0),IF('01_数值调参'!$AL$7&lt;=$A7,-'01_数值调参'!$AL$21,0),IF('01_数值调参'!$AM$7&lt;=$A7,-'01_数值调参'!$AM$21,0)),0),0)),"队列待修正"))</x:f>
        <x:v>—</x:v>
      </x:c>
      <x:c r="L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I$7,"—",SUM(IF($A7&gt;=2,(C7+$C$3)*MAX(0,IF('01_数值调参'!$N$7&lt;=$A7,-'01_数值调参'!$N$22,0),IF('01_数值调参'!$O$7&lt;=$A7,-'01_数值调参'!$O$22,0),IF('01_数值调参'!$P$7&lt;=$A7,-'01_数值调参'!$P$22,0),IF('01_数值调参'!$Q$7&lt;=$A7,-'01_数值调参'!$Q$22,0),IF('01_数值调参'!$R$7&lt;=$A7,-'01_数值调参'!$R$22,0)),0),IF($A7&gt;=4,(D7+$C$3)*MAX(0,IF('01_数值调参'!$S$7&lt;=$A7,-'01_数值调参'!$S$22,0),IF('01_数值调参'!$T$7&lt;=$A7,-'01_数值调参'!$T$22,0),IF('01_数值调参'!$U$7&lt;=$A7,-'01_数值调参'!$U$22,0),IF('01_数值调参'!$V$7&lt;=$A7,-'01_数值调参'!$V$22,0),IF('01_数值调参'!$W$7&lt;=$A7,-'01_数值调参'!$W$22,0)),0),IF($A7&gt;=6,(E7+$C$3)*MAX(0,IF('01_数值调参'!$X$7&lt;=$A7,-'01_数值调参'!$X$22,0),IF('01_数值调参'!$Y$7&lt;=$A7,-'01_数值调参'!$Y$22,0),IF('01_数值调参'!$Z$7&lt;=$A7,-'01_数值调参'!$Z$22,0),IF('01_数值调参'!$AA$7&lt;=$A7,-'01_数值调参'!$AA$22,0),IF('01_数值调参'!$AB$7&lt;=$A7,-'01_数值调参'!$AB$22,0),IF('01_数值调参'!$AC$7&lt;=$A7,-'01_数值调参'!$AC$22,0)),0),IF($A7&gt;=8,(F7+$C$3)*MAX(0,IF('01_数值调参'!$AD$7&lt;=$A7,-'01_数值调参'!$AD$22,0),IF('01_数值调参'!$AE$7&lt;=$A7,-'01_数值调参'!$AE$22,0),IF('01_数值调参'!$AF$7&lt;=$A7,-'01_数值调参'!$AF$22,0),IF('01_数值调参'!$AG$7&lt;=$A7,-'01_数值调参'!$AG$22,0)),0),IF($A7&gt;=10,(G7+$C$3)*MAX(0,IF('01_数值调参'!$AH$7&lt;=$A7,-'01_数值调参'!$AH$22,0),IF('01_数值调参'!$AI$7&lt;=$A7,-'01_数值调参'!$AI$22,0),IF('01_数值调参'!$AJ$7&lt;=$A7,-'01_数值调参'!$AJ$22,0),IF('01_数值调参'!$AK$7&lt;=$A7,-'01_数值调参'!$AK$22,0),IF('01_数值调参'!$AL$7&lt;=$A7,-'01_数值调参'!$AL$22,0),IF('01_数值调参'!$AM$7&lt;=$A7,-'01_数值调参'!$AM$22,0)),0),0)),"队列待修正"))</x:f>
        <x:v>—</x:v>
      </x:c>
      <x:c r="M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J$7,"—",SUM(IF($A7&gt;=2,(C7+$C$3)*MAX(0,IF('01_数值调参'!$N$7&lt;=$A7,-'01_数值调参'!$N$23,0),IF('01_数值调参'!$O$7&lt;=$A7,-'01_数值调参'!$O$23,0),IF('01_数值调参'!$P$7&lt;=$A7,-'01_数值调参'!$P$23,0),IF('01_数值调参'!$Q$7&lt;=$A7,-'01_数值调参'!$Q$23,0),IF('01_数值调参'!$R$7&lt;=$A7,-'01_数值调参'!$R$23,0)),0),IF($A7&gt;=4,(D7+$C$3)*MAX(0,IF('01_数值调参'!$S$7&lt;=$A7,-'01_数值调参'!$S$23,0),IF('01_数值调参'!$T$7&lt;=$A7,-'01_数值调参'!$T$23,0),IF('01_数值调参'!$U$7&lt;=$A7,-'01_数值调参'!$U$23,0),IF('01_数值调参'!$V$7&lt;=$A7,-'01_数值调参'!$V$23,0),IF('01_数值调参'!$W$7&lt;=$A7,-'01_数值调参'!$W$23,0)),0),IF($A7&gt;=6,(E7+$C$3)*MAX(0,IF('01_数值调参'!$X$7&lt;=$A7,-'01_数值调参'!$X$23,0),IF('01_数值调参'!$Y$7&lt;=$A7,-'01_数值调参'!$Y$23,0),IF('01_数值调参'!$Z$7&lt;=$A7,-'01_数值调参'!$Z$23,0),IF('01_数值调参'!$AA$7&lt;=$A7,-'01_数值调参'!$AA$23,0),IF('01_数值调参'!$AB$7&lt;=$A7,-'01_数值调参'!$AB$23,0),IF('01_数值调参'!$AC$7&lt;=$A7,-'01_数值调参'!$AC$23,0)),0),IF($A7&gt;=8,(F7+$C$3)*MAX(0,IF('01_数值调参'!$AD$7&lt;=$A7,-'01_数值调参'!$AD$23,0),IF('01_数值调参'!$AE$7&lt;=$A7,-'01_数值调参'!$AE$23,0),IF('01_数值调参'!$AF$7&lt;=$A7,-'01_数值调参'!$AF$23,0),IF('01_数值调参'!$AG$7&lt;=$A7,-'01_数值调参'!$AG$23,0)),0),IF($A7&gt;=10,(G7+$C$3)*MAX(0,IF('01_数值调参'!$AH$7&lt;=$A7,-'01_数值调参'!$AH$23,0),IF('01_数值调参'!$AI$7&lt;=$A7,-'01_数值调参'!$AI$23,0),IF('01_数值调参'!$AJ$7&lt;=$A7,-'01_数值调参'!$AJ$23,0),IF('01_数值调参'!$AK$7&lt;=$A7,-'01_数值调参'!$AK$23,0),IF('01_数值调参'!$AL$7&lt;=$A7,-'01_数值调参'!$AL$23,0),IF('01_数值调参'!$AM$7&lt;=$A7,-'01_数值调参'!$AM$23,0)),0),0)),"队列待修正"))</x:f>
        <x:v>—</x:v>
      </x:c>
      <x:c r="N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K$7,"—",SUM(IF($A7&gt;=2,(C7+$C$3)*MAX(0,IF('01_数值调参'!$N$7&lt;=$A7,-'01_数值调参'!$N$24,0),IF('01_数值调参'!$O$7&lt;=$A7,-'01_数值调参'!$O$24,0),IF('01_数值调参'!$P$7&lt;=$A7,-'01_数值调参'!$P$24,0),IF('01_数值调参'!$Q$7&lt;=$A7,-'01_数值调参'!$Q$24,0),IF('01_数值调参'!$R$7&lt;=$A7,-'01_数值调参'!$R$24,0)),0),IF($A7&gt;=4,(D7+$C$3)*MAX(0,IF('01_数值调参'!$S$7&lt;=$A7,-'01_数值调参'!$S$24,0),IF('01_数值调参'!$T$7&lt;=$A7,-'01_数值调参'!$T$24,0),IF('01_数值调参'!$U$7&lt;=$A7,-'01_数值调参'!$U$24,0),IF('01_数值调参'!$V$7&lt;=$A7,-'01_数值调参'!$V$24,0),IF('01_数值调参'!$W$7&lt;=$A7,-'01_数值调参'!$W$24,0)),0),IF($A7&gt;=6,(E7+$C$3)*MAX(0,IF('01_数值调参'!$X$7&lt;=$A7,-'01_数值调参'!$X$24,0),IF('01_数值调参'!$Y$7&lt;=$A7,-'01_数值调参'!$Y$24,0),IF('01_数值调参'!$Z$7&lt;=$A7,-'01_数值调参'!$Z$24,0),IF('01_数值调参'!$AA$7&lt;=$A7,-'01_数值调参'!$AA$24,0),IF('01_数值调参'!$AB$7&lt;=$A7,-'01_数值调参'!$AB$24,0),IF('01_数值调参'!$AC$7&lt;=$A7,-'01_数值调参'!$AC$24,0)),0),IF($A7&gt;=8,(F7+$C$3)*MAX(0,IF('01_数值调参'!$AD$7&lt;=$A7,-'01_数值调参'!$AD$24,0),IF('01_数值调参'!$AE$7&lt;=$A7,-'01_数值调参'!$AE$24,0),IF('01_数值调参'!$AF$7&lt;=$A7,-'01_数值调参'!$AF$24,0),IF('01_数值调参'!$AG$7&lt;=$A7,-'01_数值调参'!$AG$24,0)),0),IF($A7&gt;=10,(G7+$C$3)*MAX(0,IF('01_数值调参'!$AH$7&lt;=$A7,-'01_数值调参'!$AH$24,0),IF('01_数值调参'!$AI$7&lt;=$A7,-'01_数值调参'!$AI$24,0),IF('01_数值调参'!$AJ$7&lt;=$A7,-'01_数值调参'!$AJ$24,0),IF('01_数值调参'!$AK$7&lt;=$A7,-'01_数值调参'!$AK$24,0),IF('01_数值调参'!$AL$7&lt;=$A7,-'01_数值调参'!$AL$24,0),IF('01_数值调参'!$AM$7&lt;=$A7,-'01_数值调参'!$AM$24,0)),0),0)),"队列待修正"))</x:f>
        <x:v>—</x:v>
      </x:c>
      <x:c r="O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L$7,"—",SUM(IF($A7&gt;=2,(C7+$C$3)*MAX(0,IF('01_数值调参'!$N$7&lt;=$A7,-'01_数值调参'!$N$25,0),IF('01_数值调参'!$O$7&lt;=$A7,-'01_数值调参'!$O$25,0),IF('01_数值调参'!$P$7&lt;=$A7,-'01_数值调参'!$P$25,0),IF('01_数值调参'!$Q$7&lt;=$A7,-'01_数值调参'!$Q$25,0),IF('01_数值调参'!$R$7&lt;=$A7,-'01_数值调参'!$R$25,0)),0),IF($A7&gt;=4,(D7+$C$3)*MAX(0,IF('01_数值调参'!$S$7&lt;=$A7,-'01_数值调参'!$S$25,0),IF('01_数值调参'!$T$7&lt;=$A7,-'01_数值调参'!$T$25,0),IF('01_数值调参'!$U$7&lt;=$A7,-'01_数值调参'!$U$25,0),IF('01_数值调参'!$V$7&lt;=$A7,-'01_数值调参'!$V$25,0),IF('01_数值调参'!$W$7&lt;=$A7,-'01_数值调参'!$W$25,0)),0),IF($A7&gt;=6,(E7+$C$3)*MAX(0,IF('01_数值调参'!$X$7&lt;=$A7,-'01_数值调参'!$X$25,0),IF('01_数值调参'!$Y$7&lt;=$A7,-'01_数值调参'!$Y$25,0),IF('01_数值调参'!$Z$7&lt;=$A7,-'01_数值调参'!$Z$25,0),IF('01_数值调参'!$AA$7&lt;=$A7,-'01_数值调参'!$AA$25,0),IF('01_数值调参'!$AB$7&lt;=$A7,-'01_数值调参'!$AB$25,0),IF('01_数值调参'!$AC$7&lt;=$A7,-'01_数值调参'!$AC$25,0)),0),IF($A7&gt;=8,(F7+$C$3)*MAX(0,IF('01_数值调参'!$AD$7&lt;=$A7,-'01_数值调参'!$AD$25,0),IF('01_数值调参'!$AE$7&lt;=$A7,-'01_数值调参'!$AE$25,0),IF('01_数值调参'!$AF$7&lt;=$A7,-'01_数值调参'!$AF$25,0),IF('01_数值调参'!$AG$7&lt;=$A7,-'01_数值调参'!$AG$25,0)),0),IF($A7&gt;=10,(G7+$C$3)*MAX(0,IF('01_数值调参'!$AH$7&lt;=$A7,-'01_数值调参'!$AH$25,0),IF('01_数值调参'!$AI$7&lt;=$A7,-'01_数值调参'!$AI$25,0),IF('01_数值调参'!$AJ$7&lt;=$A7,-'01_数值调参'!$AJ$25,0),IF('01_数值调参'!$AK$7&lt;=$A7,-'01_数值调参'!$AK$25,0),IF('01_数值调参'!$AL$7&lt;=$A7,-'01_数值调参'!$AL$25,0),IF('01_数值调参'!$AM$7&lt;=$A7,-'01_数值调参'!$AM$25,0)),0),0)),"队列待修正"))</x:f>
        <x:v>—</x:v>
      </x:c>
      <x:c r="P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M$7,"—",SUM(IF($A7&gt;=2,(C7+$C$3)*MAX(0,IF('01_数值调参'!$N$7&lt;=$A7,-'01_数值调参'!$N$26,0),IF('01_数值调参'!$O$7&lt;=$A7,-'01_数值调参'!$O$26,0),IF('01_数值调参'!$P$7&lt;=$A7,-'01_数值调参'!$P$26,0),IF('01_数值调参'!$Q$7&lt;=$A7,-'01_数值调参'!$Q$26,0),IF('01_数值调参'!$R$7&lt;=$A7,-'01_数值调参'!$R$26,0)),0),IF($A7&gt;=4,(D7+$C$3)*MAX(0,IF('01_数值调参'!$S$7&lt;=$A7,-'01_数值调参'!$S$26,0),IF('01_数值调参'!$T$7&lt;=$A7,-'01_数值调参'!$T$26,0),IF('01_数值调参'!$U$7&lt;=$A7,-'01_数值调参'!$U$26,0),IF('01_数值调参'!$V$7&lt;=$A7,-'01_数值调参'!$V$26,0),IF('01_数值调参'!$W$7&lt;=$A7,-'01_数值调参'!$W$26,0)),0),IF($A7&gt;=6,(E7+$C$3)*MAX(0,IF('01_数值调参'!$X$7&lt;=$A7,-'01_数值调参'!$X$26,0),IF('01_数值调参'!$Y$7&lt;=$A7,-'01_数值调参'!$Y$26,0),IF('01_数值调参'!$Z$7&lt;=$A7,-'01_数值调参'!$Z$26,0),IF('01_数值调参'!$AA$7&lt;=$A7,-'01_数值调参'!$AA$26,0),IF('01_数值调参'!$AB$7&lt;=$A7,-'01_数值调参'!$AB$26,0),IF('01_数值调参'!$AC$7&lt;=$A7,-'01_数值调参'!$AC$26,0)),0),IF($A7&gt;=8,(F7+$C$3)*MAX(0,IF('01_数值调参'!$AD$7&lt;=$A7,-'01_数值调参'!$AD$26,0),IF('01_数值调参'!$AE$7&lt;=$A7,-'01_数值调参'!$AE$26,0),IF('01_数值调参'!$AF$7&lt;=$A7,-'01_数值调参'!$AF$26,0),IF('01_数值调参'!$AG$7&lt;=$A7,-'01_数值调参'!$AG$26,0)),0),IF($A7&gt;=10,(G7+$C$3)*MAX(0,IF('01_数值调参'!$AH$7&lt;=$A7,-'01_数值调参'!$AH$26,0),IF('01_数值调参'!$AI$7&lt;=$A7,-'01_数值调参'!$AI$26,0),IF('01_数值调参'!$AJ$7&lt;=$A7,-'01_数值调参'!$AJ$26,0),IF('01_数值调参'!$AK$7&lt;=$A7,-'01_数值调参'!$AK$26,0),IF('01_数值调参'!$AL$7&lt;=$A7,-'01_数值调参'!$AL$26,0),IF('01_数值调参'!$AM$7&lt;=$A7,-'01_数值调参'!$AM$26,0)),0),0)),"队列待修正"))</x:f>
        <x:v>—</x:v>
      </x:c>
      <x:c r="Q7" s="216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N$7,"—",SUM(IF($A7&gt;=2,(C7+$C$3)*MAX(0,IF('01_数值调参'!$N$7&lt;=$A7,0,0),IF('01_数值调参'!$O$7&lt;=$A7,-'01_数值调参'!$O$27,0),IF('01_数值调参'!$P$7&lt;=$A7,-'01_数值调参'!$P$27,0),IF('01_数值调参'!$Q$7&lt;=$A7,-'01_数值调参'!$Q$27,0),IF('01_数值调参'!$R$7&lt;=$A7,-'01_数值调参'!$R$27,0)),0),IF($A7&gt;=4,(D7+$C$3)*MAX(0,IF('01_数值调参'!$S$7&lt;=$A7,-'01_数值调参'!$S$27,0),IF('01_数值调参'!$T$7&lt;=$A7,-'01_数值调参'!$T$27,0),IF('01_数值调参'!$U$7&lt;=$A7,-'01_数值调参'!$U$27,0),IF('01_数值调参'!$V$7&lt;=$A7,-'01_数值调参'!$V$27,0),IF('01_数值调参'!$W$7&lt;=$A7,-'01_数值调参'!$W$27,0)),0),IF($A7&gt;=6,(E7+$C$3)*MAX(0,IF('01_数值调参'!$X$7&lt;=$A7,-'01_数值调参'!$X$27,0),IF('01_数值调参'!$Y$7&lt;=$A7,-'01_数值调参'!$Y$27,0),IF('01_数值调参'!$Z$7&lt;=$A7,-'01_数值调参'!$Z$27,0),IF('01_数值调参'!$AA$7&lt;=$A7,-'01_数值调参'!$AA$27,0),IF('01_数值调参'!$AB$7&lt;=$A7,-'01_数值调参'!$AB$27,0),IF('01_数值调参'!$AC$7&lt;=$A7,-'01_数值调参'!$AC$27,0)),0),IF($A7&gt;=8,(F7+$C$3)*MAX(0,IF('01_数值调参'!$AD$7&lt;=$A7,-'01_数值调参'!$AD$27,0),IF('01_数值调参'!$AE$7&lt;=$A7,-'01_数值调参'!$AE$27,0),IF('01_数值调参'!$AF$7&lt;=$A7,-'01_数值调参'!$AF$27,0),IF('01_数值调参'!$AG$7&lt;=$A7,-'01_数值调参'!$AG$27,0)),0),IF($A7&gt;=10,(G7+$C$3)*MAX(0,IF('01_数值调参'!$AH$7&lt;=$A7,-'01_数值调参'!$AH$27,0),IF('01_数值调参'!$AI$7&lt;=$A7,-'01_数值调参'!$AI$27,0),IF('01_数值调参'!$AJ$7&lt;=$A7,-'01_数值调参'!$AJ$27,0),IF('01_数值调参'!$AK$7&lt;=$A7,-'01_数值调参'!$AK$27,0),IF('01_数值调参'!$AL$7&lt;=$A7,-'01_数值调参'!$AL$27,0),IF('01_数值调参'!$AM$7&lt;=$A7,-'01_数值调参'!$AM$27,0)),0),0)),"队列待修正"))</x:f>
        <x:v>—</x:v>
      </x:c>
      <x:c r="R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O$7,"—",SUM(IF($A7&gt;=2,(C7+$C$3)*MAX(0,IF('01_数值调参'!$N$7&lt;=$A7,-'01_数值调参'!$N$28,0),IF('01_数值调参'!$O$7&lt;=$A7,0,0),IF('01_数值调参'!$P$7&lt;=$A7,-'01_数值调参'!$P$28,0),IF('01_数值调参'!$Q$7&lt;=$A7,-'01_数值调参'!$Q$28,0),IF('01_数值调参'!$R$7&lt;=$A7,-'01_数值调参'!$R$28,0)),0),IF($A7&gt;=4,(D7+$C$3)*MAX(0,IF('01_数值调参'!$S$7&lt;=$A7,-'01_数值调参'!$S$28,0),IF('01_数值调参'!$T$7&lt;=$A7,-'01_数值调参'!$T$28,0),IF('01_数值调参'!$U$7&lt;=$A7,-'01_数值调参'!$U$28,0),IF('01_数值调参'!$V$7&lt;=$A7,-'01_数值调参'!$V$28,0),IF('01_数值调参'!$W$7&lt;=$A7,-'01_数值调参'!$W$28,0)),0),IF($A7&gt;=6,(E7+$C$3)*MAX(0,IF('01_数值调参'!$X$7&lt;=$A7,-'01_数值调参'!$X$28,0),IF('01_数值调参'!$Y$7&lt;=$A7,-'01_数值调参'!$Y$28,0),IF('01_数值调参'!$Z$7&lt;=$A7,-'01_数值调参'!$Z$28,0),IF('01_数值调参'!$AA$7&lt;=$A7,-'01_数值调参'!$AA$28,0),IF('01_数值调参'!$AB$7&lt;=$A7,-'01_数值调参'!$AB$28,0),IF('01_数值调参'!$AC$7&lt;=$A7,-'01_数值调参'!$AC$28,0)),0),IF($A7&gt;=8,(F7+$C$3)*MAX(0,IF('01_数值调参'!$AD$7&lt;=$A7,-'01_数值调参'!$AD$28,0),IF('01_数值调参'!$AE$7&lt;=$A7,-'01_数值调参'!$AE$28,0),IF('01_数值调参'!$AF$7&lt;=$A7,-'01_数值调参'!$AF$28,0),IF('01_数值调参'!$AG$7&lt;=$A7,-'01_数值调参'!$AG$28,0)),0),IF($A7&gt;=10,(G7+$C$3)*MAX(0,IF('01_数值调参'!$AH$7&lt;=$A7,-'01_数值调参'!$AH$28,0),IF('01_数值调参'!$AI$7&lt;=$A7,-'01_数值调参'!$AI$28,0),IF('01_数值调参'!$AJ$7&lt;=$A7,-'01_数值调参'!$AJ$28,0),IF('01_数值调参'!$AK$7&lt;=$A7,-'01_数值调参'!$AK$28,0),IF('01_数值调参'!$AL$7&lt;=$A7,-'01_数值调参'!$AL$28,0),IF('01_数值调参'!$AM$7&lt;=$A7,-'01_数值调参'!$AM$28,0)),0),0)),"队列待修正"))</x:f>
        <x:v>—</x:v>
      </x:c>
      <x:c r="S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P$7,"—",SUM(IF($A7&gt;=2,(C7+$C$3)*MAX(0,IF('01_数值调参'!$N$7&lt;=$A7,-'01_数值调参'!$N$29,0),IF('01_数值调参'!$O$7&lt;=$A7,-'01_数值调参'!$O$29,0),IF('01_数值调参'!$P$7&lt;=$A7,0,0),IF('01_数值调参'!$Q$7&lt;=$A7,-'01_数值调参'!$Q$29,0),IF('01_数值调参'!$R$7&lt;=$A7,-'01_数值调参'!$R$29,0)),0),IF($A7&gt;=4,(D7+$C$3)*MAX(0,IF('01_数值调参'!$S$7&lt;=$A7,-'01_数值调参'!$S$29,0),IF('01_数值调参'!$T$7&lt;=$A7,-'01_数值调参'!$T$29,0),IF('01_数值调参'!$U$7&lt;=$A7,-'01_数值调参'!$U$29,0),IF('01_数值调参'!$V$7&lt;=$A7,-'01_数值调参'!$V$29,0),IF('01_数值调参'!$W$7&lt;=$A7,-'01_数值调参'!$W$29,0)),0),IF($A7&gt;=6,(E7+$C$3)*MAX(0,IF('01_数值调参'!$X$7&lt;=$A7,-'01_数值调参'!$X$29,0),IF('01_数值调参'!$Y$7&lt;=$A7,-'01_数值调参'!$Y$29,0),IF('01_数值调参'!$Z$7&lt;=$A7,-'01_数值调参'!$Z$29,0),IF('01_数值调参'!$AA$7&lt;=$A7,-'01_数值调参'!$AA$29,0),IF('01_数值调参'!$AB$7&lt;=$A7,-'01_数值调参'!$AB$29,0),IF('01_数值调参'!$AC$7&lt;=$A7,-'01_数值调参'!$AC$29,0)),0),IF($A7&gt;=8,(F7+$C$3)*MAX(0,IF('01_数值调参'!$AD$7&lt;=$A7,-'01_数值调参'!$AD$29,0),IF('01_数值调参'!$AE$7&lt;=$A7,-'01_数值调参'!$AE$29,0),IF('01_数值调参'!$AF$7&lt;=$A7,-'01_数值调参'!$AF$29,0),IF('01_数值调参'!$AG$7&lt;=$A7,-'01_数值调参'!$AG$29,0)),0),IF($A7&gt;=10,(G7+$C$3)*MAX(0,IF('01_数值调参'!$AH$7&lt;=$A7,-'01_数值调参'!$AH$29,0),IF('01_数值调参'!$AI$7&lt;=$A7,-'01_数值调参'!$AI$29,0),IF('01_数值调参'!$AJ$7&lt;=$A7,-'01_数值调参'!$AJ$29,0),IF('01_数值调参'!$AK$7&lt;=$A7,-'01_数值调参'!$AK$29,0),IF('01_数值调参'!$AL$7&lt;=$A7,-'01_数值调参'!$AL$29,0),IF('01_数值调参'!$AM$7&lt;=$A7,-'01_数值调参'!$AM$29,0)),0),0)),"队列待修正"))</x:f>
        <x:v>—</x:v>
      </x:c>
      <x:c r="T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Q$7,"—",SUM(IF($A7&gt;=2,(C7+$C$3)*MAX(0,IF('01_数值调参'!$N$7&lt;=$A7,-'01_数值调参'!$N$30,0),IF('01_数值调参'!$O$7&lt;=$A7,-'01_数值调参'!$O$30,0),IF('01_数值调参'!$P$7&lt;=$A7,-'01_数值调参'!$P$30,0),IF('01_数值调参'!$Q$7&lt;=$A7,0,0),IF('01_数值调参'!$R$7&lt;=$A7,-'01_数值调参'!$R$30,0)),0),IF($A7&gt;=4,(D7+$C$3)*MAX(0,IF('01_数值调参'!$S$7&lt;=$A7,-'01_数值调参'!$S$30,0),IF('01_数值调参'!$T$7&lt;=$A7,-'01_数值调参'!$T$30,0),IF('01_数值调参'!$U$7&lt;=$A7,-'01_数值调参'!$U$30,0),IF('01_数值调参'!$V$7&lt;=$A7,-'01_数值调参'!$V$30,0),IF('01_数值调参'!$W$7&lt;=$A7,-'01_数值调参'!$W$30,0)),0),IF($A7&gt;=6,(E7+$C$3)*MAX(0,IF('01_数值调参'!$X$7&lt;=$A7,-'01_数值调参'!$X$30,0),IF('01_数值调参'!$Y$7&lt;=$A7,-'01_数值调参'!$Y$30,0),IF('01_数值调参'!$Z$7&lt;=$A7,-'01_数值调参'!$Z$30,0),IF('01_数值调参'!$AA$7&lt;=$A7,-'01_数值调参'!$AA$30,0),IF('01_数值调参'!$AB$7&lt;=$A7,-'01_数值调参'!$AB$30,0),IF('01_数值调参'!$AC$7&lt;=$A7,-'01_数值调参'!$AC$30,0)),0),IF($A7&gt;=8,(F7+$C$3)*MAX(0,IF('01_数值调参'!$AD$7&lt;=$A7,-'01_数值调参'!$AD$30,0),IF('01_数值调参'!$AE$7&lt;=$A7,-'01_数值调参'!$AE$30,0),IF('01_数值调参'!$AF$7&lt;=$A7,-'01_数值调参'!$AF$30,0),IF('01_数值调参'!$AG$7&lt;=$A7,-'01_数值调参'!$AG$30,0)),0),IF($A7&gt;=10,(G7+$C$3)*MAX(0,IF('01_数值调参'!$AH$7&lt;=$A7,-'01_数值调参'!$AH$30,0),IF('01_数值调参'!$AI$7&lt;=$A7,-'01_数值调参'!$AI$30,0),IF('01_数值调参'!$AJ$7&lt;=$A7,-'01_数值调参'!$AJ$30,0),IF('01_数值调参'!$AK$7&lt;=$A7,-'01_数值调参'!$AK$30,0),IF('01_数值调参'!$AL$7&lt;=$A7,-'01_数值调参'!$AL$30,0),IF('01_数值调参'!$AM$7&lt;=$A7,-'01_数值调参'!$AM$30,0)),0),0)),"队列待修正"))</x:f>
        <x:v>—</x:v>
      </x:c>
      <x:c r="U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R$7,"—",SUM(IF($A7&gt;=2,(C7+$C$3)*MAX(0,IF('01_数值调参'!$N$7&lt;=$A7,-'01_数值调参'!$N$31,0),IF('01_数值调参'!$O$7&lt;=$A7,-'01_数值调参'!$O$31,0),IF('01_数值调参'!$P$7&lt;=$A7,-'01_数值调参'!$P$31,0),IF('01_数值调参'!$Q$7&lt;=$A7,-'01_数值调参'!$Q$31,0),IF('01_数值调参'!$R$7&lt;=$A7,0,0)),0),IF($A7&gt;=4,(D7+$C$3)*MAX(0,IF('01_数值调参'!$S$7&lt;=$A7,-'01_数值调参'!$S$31,0),IF('01_数值调参'!$T$7&lt;=$A7,-'01_数值调参'!$T$31,0),IF('01_数值调参'!$U$7&lt;=$A7,-'01_数值调参'!$U$31,0),IF('01_数值调参'!$V$7&lt;=$A7,-'01_数值调参'!$V$31,0),IF('01_数值调参'!$W$7&lt;=$A7,-'01_数值调参'!$W$31,0)),0),IF($A7&gt;=6,(E7+$C$3)*MAX(0,IF('01_数值调参'!$X$7&lt;=$A7,-'01_数值调参'!$X$31,0),IF('01_数值调参'!$Y$7&lt;=$A7,-'01_数值调参'!$Y$31,0),IF('01_数值调参'!$Z$7&lt;=$A7,-'01_数值调参'!$Z$31,0),IF('01_数值调参'!$AA$7&lt;=$A7,-'01_数值调参'!$AA$31,0),IF('01_数值调参'!$AB$7&lt;=$A7,-'01_数值调参'!$AB$31,0),IF('01_数值调参'!$AC$7&lt;=$A7,-'01_数值调参'!$AC$31,0)),0),IF($A7&gt;=8,(F7+$C$3)*MAX(0,IF('01_数值调参'!$AD$7&lt;=$A7,-'01_数值调参'!$AD$31,0),IF('01_数值调参'!$AE$7&lt;=$A7,-'01_数值调参'!$AE$31,0),IF('01_数值调参'!$AF$7&lt;=$A7,-'01_数值调参'!$AF$31,0),IF('01_数值调参'!$AG$7&lt;=$A7,-'01_数值调参'!$AG$31,0)),0),IF($A7&gt;=10,(G7+$C$3)*MAX(0,IF('01_数值调参'!$AH$7&lt;=$A7,-'01_数值调参'!$AH$31,0),IF('01_数值调参'!$AI$7&lt;=$A7,-'01_数值调参'!$AI$31,0),IF('01_数值调参'!$AJ$7&lt;=$A7,-'01_数值调参'!$AJ$31,0),IF('01_数值调参'!$AK$7&lt;=$A7,-'01_数值调参'!$AK$31,0),IF('01_数值调参'!$AL$7&lt;=$A7,-'01_数值调参'!$AL$31,0),IF('01_数值调参'!$AM$7&lt;=$A7,-'01_数值调参'!$AM$31,0)),0),0)),"队列待修正"))</x:f>
        <x:v>—</x:v>
      </x:c>
      <x:c r="V7" s="216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S$7,"—",SUM(IF($A7&gt;=2,(C7+$C$3)*MAX(0,IF('01_数值调参'!$N$7&lt;=$A7,-'01_数值调参'!$N$32,0),IF('01_数值调参'!$O$7&lt;=$A7,-'01_数值调参'!$O$32,0),IF('01_数值调参'!$P$7&lt;=$A7,-'01_数值调参'!$P$32,0),IF('01_数值调参'!$Q$7&lt;=$A7,-'01_数值调参'!$Q$32,0),IF('01_数值调参'!$R$7&lt;=$A7,-'01_数值调参'!$R$32,0)),0),IF($A7&gt;=4,(D7+$C$3)*MAX(0,IF('01_数值调参'!$S$7&lt;=$A7,0,0),IF('01_数值调参'!$T$7&lt;=$A7,-'01_数值调参'!$T$32,0),IF('01_数值调参'!$U$7&lt;=$A7,-'01_数值调参'!$U$32,0),IF('01_数值调参'!$V$7&lt;=$A7,-'01_数值调参'!$V$32,0),IF('01_数值调参'!$W$7&lt;=$A7,-'01_数值调参'!$W$32,0)),0),IF($A7&gt;=6,(E7+$C$3)*MAX(0,IF('01_数值调参'!$X$7&lt;=$A7,-'01_数值调参'!$X$32,0),IF('01_数值调参'!$Y$7&lt;=$A7,-'01_数值调参'!$Y$32,0),IF('01_数值调参'!$Z$7&lt;=$A7,-'01_数值调参'!$Z$32,0),IF('01_数值调参'!$AA$7&lt;=$A7,-'01_数值调参'!$AA$32,0),IF('01_数值调参'!$AB$7&lt;=$A7,-'01_数值调参'!$AB$32,0),IF('01_数值调参'!$AC$7&lt;=$A7,-'01_数值调参'!$AC$32,0)),0),IF($A7&gt;=8,(F7+$C$3)*MAX(0,IF('01_数值调参'!$AD$7&lt;=$A7,-'01_数值调参'!$AD$32,0),IF('01_数值调参'!$AE$7&lt;=$A7,-'01_数值调参'!$AE$32,0),IF('01_数值调参'!$AF$7&lt;=$A7,-'01_数值调参'!$AF$32,0),IF('01_数值调参'!$AG$7&lt;=$A7,-'01_数值调参'!$AG$32,0)),0),IF($A7&gt;=10,(G7+$C$3)*MAX(0,IF('01_数值调参'!$AH$7&lt;=$A7,-'01_数值调参'!$AH$32,0),IF('01_数值调参'!$AI$7&lt;=$A7,-'01_数值调参'!$AI$32,0),IF('01_数值调参'!$AJ$7&lt;=$A7,-'01_数值调参'!$AJ$32,0),IF('01_数值调参'!$AK$7&lt;=$A7,-'01_数值调参'!$AK$32,0),IF('01_数值调参'!$AL$7&lt;=$A7,-'01_数值调参'!$AL$32,0),IF('01_数值调参'!$AM$7&lt;=$A7,-'01_数值调参'!$AM$32,0)),0),0)),"队列待修正"))</x:f>
        <x:v>—</x:v>
      </x:c>
      <x:c r="W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T$7,"—",SUM(IF($A7&gt;=2,(C7+$C$3)*MAX(0,IF('01_数值调参'!$N$7&lt;=$A7,-'01_数值调参'!$N$33,0),IF('01_数值调参'!$O$7&lt;=$A7,-'01_数值调参'!$O$33,0),IF('01_数值调参'!$P$7&lt;=$A7,-'01_数值调参'!$P$33,0),IF('01_数值调参'!$Q$7&lt;=$A7,-'01_数值调参'!$Q$33,0),IF('01_数值调参'!$R$7&lt;=$A7,-'01_数值调参'!$R$33,0)),0),IF($A7&gt;=4,(D7+$C$3)*MAX(0,IF('01_数值调参'!$S$7&lt;=$A7,-'01_数值调参'!$S$33,0),IF('01_数值调参'!$T$7&lt;=$A7,0,0),IF('01_数值调参'!$U$7&lt;=$A7,-'01_数值调参'!$U$33,0),IF('01_数值调参'!$V$7&lt;=$A7,-'01_数值调参'!$V$33,0),IF('01_数值调参'!$W$7&lt;=$A7,-'01_数值调参'!$W$33,0)),0),IF($A7&gt;=6,(E7+$C$3)*MAX(0,IF('01_数值调参'!$X$7&lt;=$A7,-'01_数值调参'!$X$33,0),IF('01_数值调参'!$Y$7&lt;=$A7,-'01_数值调参'!$Y$33,0),IF('01_数值调参'!$Z$7&lt;=$A7,-'01_数值调参'!$Z$33,0),IF('01_数值调参'!$AA$7&lt;=$A7,-'01_数值调参'!$AA$33,0),IF('01_数值调参'!$AB$7&lt;=$A7,-'01_数值调参'!$AB$33,0),IF('01_数值调参'!$AC$7&lt;=$A7,-'01_数值调参'!$AC$33,0)),0),IF($A7&gt;=8,(F7+$C$3)*MAX(0,IF('01_数值调参'!$AD$7&lt;=$A7,-'01_数值调参'!$AD$33,0),IF('01_数值调参'!$AE$7&lt;=$A7,-'01_数值调参'!$AE$33,0),IF('01_数值调参'!$AF$7&lt;=$A7,-'01_数值调参'!$AF$33,0),IF('01_数值调参'!$AG$7&lt;=$A7,-'01_数值调参'!$AG$33,0)),0),IF($A7&gt;=10,(G7+$C$3)*MAX(0,IF('01_数值调参'!$AH$7&lt;=$A7,-'01_数值调参'!$AH$33,0),IF('01_数值调参'!$AI$7&lt;=$A7,-'01_数值调参'!$AI$33,0),IF('01_数值调参'!$AJ$7&lt;=$A7,-'01_数值调参'!$AJ$33,0),IF('01_数值调参'!$AK$7&lt;=$A7,-'01_数值调参'!$AK$33,0),IF('01_数值调参'!$AL$7&lt;=$A7,-'01_数值调参'!$AL$33,0),IF('01_数值调参'!$AM$7&lt;=$A7,-'01_数值调参'!$AM$33,0)),0),0)),"队列待修正"))</x:f>
        <x:v>—</x:v>
      </x:c>
      <x:c r="X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U$7,"—",SUM(IF($A7&gt;=2,(C7+$C$3)*MAX(0,IF('01_数值调参'!$N$7&lt;=$A7,-'01_数值调参'!$N$34,0),IF('01_数值调参'!$O$7&lt;=$A7,-'01_数值调参'!$O$34,0),IF('01_数值调参'!$P$7&lt;=$A7,-'01_数值调参'!$P$34,0),IF('01_数值调参'!$Q$7&lt;=$A7,-'01_数值调参'!$Q$34,0),IF('01_数值调参'!$R$7&lt;=$A7,-'01_数值调参'!$R$34,0)),0),IF($A7&gt;=4,(D7+$C$3)*MAX(0,IF('01_数值调参'!$S$7&lt;=$A7,-'01_数值调参'!$S$34,0),IF('01_数值调参'!$T$7&lt;=$A7,-'01_数值调参'!$T$34,0),IF('01_数值调参'!$U$7&lt;=$A7,0,0),IF('01_数值调参'!$V$7&lt;=$A7,-'01_数值调参'!$V$34,0),IF('01_数值调参'!$W$7&lt;=$A7,-'01_数值调参'!$W$34,0)),0),IF($A7&gt;=6,(E7+$C$3)*MAX(0,IF('01_数值调参'!$X$7&lt;=$A7,-'01_数值调参'!$X$34,0),IF('01_数值调参'!$Y$7&lt;=$A7,-'01_数值调参'!$Y$34,0),IF('01_数值调参'!$Z$7&lt;=$A7,-'01_数值调参'!$Z$34,0),IF('01_数值调参'!$AA$7&lt;=$A7,-'01_数值调参'!$AA$34,0),IF('01_数值调参'!$AB$7&lt;=$A7,-'01_数值调参'!$AB$34,0),IF('01_数值调参'!$AC$7&lt;=$A7,-'01_数值调参'!$AC$34,0)),0),IF($A7&gt;=8,(F7+$C$3)*MAX(0,IF('01_数值调参'!$AD$7&lt;=$A7,-'01_数值调参'!$AD$34,0),IF('01_数值调参'!$AE$7&lt;=$A7,-'01_数值调参'!$AE$34,0),IF('01_数值调参'!$AF$7&lt;=$A7,-'01_数值调参'!$AF$34,0),IF('01_数值调参'!$AG$7&lt;=$A7,-'01_数值调参'!$AG$34,0)),0),IF($A7&gt;=10,(G7+$C$3)*MAX(0,IF('01_数值调参'!$AH$7&lt;=$A7,-'01_数值调参'!$AH$34,0),IF('01_数值调参'!$AI$7&lt;=$A7,-'01_数值调参'!$AI$34,0),IF('01_数值调参'!$AJ$7&lt;=$A7,-'01_数值调参'!$AJ$34,0),IF('01_数值调参'!$AK$7&lt;=$A7,-'01_数值调参'!$AK$34,0),IF('01_数值调参'!$AL$7&lt;=$A7,-'01_数值调参'!$AL$34,0),IF('01_数值调参'!$AM$7&lt;=$A7,-'01_数值调参'!$AM$34,0)),0),0)),"队列待修正"))</x:f>
        <x:v>—</x:v>
      </x:c>
      <x:c r="Y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V$7,"—",SUM(IF($A7&gt;=2,(C7+$C$3)*MAX(0,IF('01_数值调参'!$N$7&lt;=$A7,-'01_数值调参'!$N$35,0),IF('01_数值调参'!$O$7&lt;=$A7,-'01_数值调参'!$O$35,0),IF('01_数值调参'!$P$7&lt;=$A7,-'01_数值调参'!$P$35,0),IF('01_数值调参'!$Q$7&lt;=$A7,-'01_数值调参'!$Q$35,0),IF('01_数值调参'!$R$7&lt;=$A7,-'01_数值调参'!$R$35,0)),0),IF($A7&gt;=4,(D7+$C$3)*MAX(0,IF('01_数值调参'!$S$7&lt;=$A7,-'01_数值调参'!$S$35,0),IF('01_数值调参'!$T$7&lt;=$A7,-'01_数值调参'!$T$35,0),IF('01_数值调参'!$U$7&lt;=$A7,-'01_数值调参'!$U$35,0),IF('01_数值调参'!$V$7&lt;=$A7,0,0),IF('01_数值调参'!$W$7&lt;=$A7,-'01_数值调参'!$W$35,0)),0),IF($A7&gt;=6,(E7+$C$3)*MAX(0,IF('01_数值调参'!$X$7&lt;=$A7,-'01_数值调参'!$X$35,0),IF('01_数值调参'!$Y$7&lt;=$A7,-'01_数值调参'!$Y$35,0),IF('01_数值调参'!$Z$7&lt;=$A7,-'01_数值调参'!$Z$35,0),IF('01_数值调参'!$AA$7&lt;=$A7,-'01_数值调参'!$AA$35,0),IF('01_数值调参'!$AB$7&lt;=$A7,-'01_数值调参'!$AB$35,0),IF('01_数值调参'!$AC$7&lt;=$A7,-'01_数值调参'!$AC$35,0)),0),IF($A7&gt;=8,(F7+$C$3)*MAX(0,IF('01_数值调参'!$AD$7&lt;=$A7,-'01_数值调参'!$AD$35,0),IF('01_数值调参'!$AE$7&lt;=$A7,-'01_数值调参'!$AE$35,0),IF('01_数值调参'!$AF$7&lt;=$A7,-'01_数值调参'!$AF$35,0),IF('01_数值调参'!$AG$7&lt;=$A7,-'01_数值调参'!$AG$35,0)),0),IF($A7&gt;=10,(G7+$C$3)*MAX(0,IF('01_数值调参'!$AH$7&lt;=$A7,-'01_数值调参'!$AH$35,0),IF('01_数值调参'!$AI$7&lt;=$A7,-'01_数值调参'!$AI$35,0),IF('01_数值调参'!$AJ$7&lt;=$A7,-'01_数值调参'!$AJ$35,0),IF('01_数值调参'!$AK$7&lt;=$A7,-'01_数值调参'!$AK$35,0),IF('01_数值调参'!$AL$7&lt;=$A7,-'01_数值调参'!$AL$35,0),IF('01_数值调参'!$AM$7&lt;=$A7,-'01_数值调参'!$AM$35,0)),0),0)),"队列待修正"))</x:f>
        <x:v>—</x:v>
      </x:c>
      <x:c r="Z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W$7,"—",SUM(IF($A7&gt;=2,(C7+$C$3)*MAX(0,IF('01_数值调参'!$N$7&lt;=$A7,-'01_数值调参'!$N$36,0),IF('01_数值调参'!$O$7&lt;=$A7,-'01_数值调参'!$O$36,0),IF('01_数值调参'!$P$7&lt;=$A7,-'01_数值调参'!$P$36,0),IF('01_数值调参'!$Q$7&lt;=$A7,-'01_数值调参'!$Q$36,0),IF('01_数值调参'!$R$7&lt;=$A7,-'01_数值调参'!$R$36,0)),0),IF($A7&gt;=4,(D7+$C$3)*MAX(0,IF('01_数值调参'!$S$7&lt;=$A7,-'01_数值调参'!$S$36,0),IF('01_数值调参'!$T$7&lt;=$A7,-'01_数值调参'!$T$36,0),IF('01_数值调参'!$U$7&lt;=$A7,-'01_数值调参'!$U$36,0),IF('01_数值调参'!$V$7&lt;=$A7,-'01_数值调参'!$V$36,0),IF('01_数值调参'!$W$7&lt;=$A7,0,0)),0),IF($A7&gt;=6,(E7+$C$3)*MAX(0,IF('01_数值调参'!$X$7&lt;=$A7,-'01_数值调参'!$X$36,0),IF('01_数值调参'!$Y$7&lt;=$A7,-'01_数值调参'!$Y$36,0),IF('01_数值调参'!$Z$7&lt;=$A7,-'01_数值调参'!$Z$36,0),IF('01_数值调参'!$AA$7&lt;=$A7,-'01_数值调参'!$AA$36,0),IF('01_数值调参'!$AB$7&lt;=$A7,-'01_数值调参'!$AB$36,0),IF('01_数值调参'!$AC$7&lt;=$A7,-'01_数值调参'!$AC$36,0)),0),IF($A7&gt;=8,(F7+$C$3)*MAX(0,IF('01_数值调参'!$AD$7&lt;=$A7,-'01_数值调参'!$AD$36,0),IF('01_数值调参'!$AE$7&lt;=$A7,-'01_数值调参'!$AE$36,0),IF('01_数值调参'!$AF$7&lt;=$A7,-'01_数值调参'!$AF$36,0),IF('01_数值调参'!$AG$7&lt;=$A7,-'01_数值调参'!$AG$36,0)),0),IF($A7&gt;=10,(G7+$C$3)*MAX(0,IF('01_数值调参'!$AH$7&lt;=$A7,-'01_数值调参'!$AH$36,0),IF('01_数值调参'!$AI$7&lt;=$A7,-'01_数值调参'!$AI$36,0),IF('01_数值调参'!$AJ$7&lt;=$A7,-'01_数值调参'!$AJ$36,0),IF('01_数值调参'!$AK$7&lt;=$A7,-'01_数值调参'!$AK$36,0),IF('01_数值调参'!$AL$7&lt;=$A7,-'01_数值调参'!$AL$36,0),IF('01_数值调参'!$AM$7&lt;=$A7,-'01_数值调参'!$AM$36,0)),0),0)),"队列待修正"))</x:f>
        <x:v>—</x:v>
      </x:c>
      <x:c r="AA7" s="216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X$7,"—",SUM(IF($A7&gt;=2,(C7+$C$3)*MAX(0,IF('01_数值调参'!$N$7&lt;=$A7,-'01_数值调参'!$N$37,0),IF('01_数值调参'!$O$7&lt;=$A7,-'01_数值调参'!$O$37,0),IF('01_数值调参'!$P$7&lt;=$A7,-'01_数值调参'!$P$37,0),IF('01_数值调参'!$Q$7&lt;=$A7,-'01_数值调参'!$Q$37,0),IF('01_数值调参'!$R$7&lt;=$A7,-'01_数值调参'!$R$37,0)),0),IF($A7&gt;=4,(D7+$C$3)*MAX(0,IF('01_数值调参'!$S$7&lt;=$A7,-'01_数值调参'!$S$37,0),IF('01_数值调参'!$T$7&lt;=$A7,-'01_数值调参'!$T$37,0),IF('01_数值调参'!$U$7&lt;=$A7,-'01_数值调参'!$U$37,0),IF('01_数值调参'!$V$7&lt;=$A7,-'01_数值调参'!$V$37,0),IF('01_数值调参'!$W$7&lt;=$A7,-'01_数值调参'!$W$37,0)),0),IF($A7&gt;=6,(E7+$C$3)*MAX(0,IF('01_数值调参'!$X$7&lt;=$A7,0,0),IF('01_数值调参'!$Y$7&lt;=$A7,-'01_数值调参'!$Y$37,0),IF('01_数值调参'!$Z$7&lt;=$A7,-'01_数值调参'!$Z$37,0),IF('01_数值调参'!$AA$7&lt;=$A7,-'01_数值调参'!$AA$37,0),IF('01_数值调参'!$AB$7&lt;=$A7,-'01_数值调参'!$AB$37,0),IF('01_数值调参'!$AC$7&lt;=$A7,-'01_数值调参'!$AC$37,0)),0),IF($A7&gt;=8,(F7+$C$3)*MAX(0,IF('01_数值调参'!$AD$7&lt;=$A7,-'01_数值调参'!$AD$37,0),IF('01_数值调参'!$AE$7&lt;=$A7,-'01_数值调参'!$AE$37,0),IF('01_数值调参'!$AF$7&lt;=$A7,-'01_数值调参'!$AF$37,0),IF('01_数值调参'!$AG$7&lt;=$A7,-'01_数值调参'!$AG$37,0)),0),IF($A7&gt;=10,(G7+$C$3)*MAX(0,IF('01_数值调参'!$AH$7&lt;=$A7,-'01_数值调参'!$AH$37,0),IF('01_数值调参'!$AI$7&lt;=$A7,-'01_数值调参'!$AI$37,0),IF('01_数值调参'!$AJ$7&lt;=$A7,-'01_数值调参'!$AJ$37,0),IF('01_数值调参'!$AK$7&lt;=$A7,-'01_数值调参'!$AK$37,0),IF('01_数值调参'!$AL$7&lt;=$A7,-'01_数值调参'!$AL$37,0),IF('01_数值调参'!$AM$7&lt;=$A7,-'01_数值调参'!$AM$37,0)),0),0)),"队列待修正"))</x:f>
        <x:v>—</x:v>
      </x:c>
      <x:c r="AB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Y$7,"—",SUM(IF($A7&gt;=2,(C7+$C$3)*MAX(0,IF('01_数值调参'!$N$7&lt;=$A7,-'01_数值调参'!$N$38,0),IF('01_数值调参'!$O$7&lt;=$A7,-'01_数值调参'!$O$38,0),IF('01_数值调参'!$P$7&lt;=$A7,-'01_数值调参'!$P$38,0),IF('01_数值调参'!$Q$7&lt;=$A7,-'01_数值调参'!$Q$38,0),IF('01_数值调参'!$R$7&lt;=$A7,-'01_数值调参'!$R$38,0)),0),IF($A7&gt;=4,(D7+$C$3)*MAX(0,IF('01_数值调参'!$S$7&lt;=$A7,-'01_数值调参'!$S$38,0),IF('01_数值调参'!$T$7&lt;=$A7,-'01_数值调参'!$T$38,0),IF('01_数值调参'!$U$7&lt;=$A7,-'01_数值调参'!$U$38,0),IF('01_数值调参'!$V$7&lt;=$A7,-'01_数值调参'!$V$38,0),IF('01_数值调参'!$W$7&lt;=$A7,-'01_数值调参'!$W$38,0)),0),IF($A7&gt;=6,(E7+$C$3)*MAX(0,IF('01_数值调参'!$X$7&lt;=$A7,-'01_数值调参'!$X$38,0),IF('01_数值调参'!$Y$7&lt;=$A7,0,0),IF('01_数值调参'!$Z$7&lt;=$A7,-'01_数值调参'!$Z$38,0),IF('01_数值调参'!$AA$7&lt;=$A7,-'01_数值调参'!$AA$38,0),IF('01_数值调参'!$AB$7&lt;=$A7,-'01_数值调参'!$AB$38,0),IF('01_数值调参'!$AC$7&lt;=$A7,-'01_数值调参'!$AC$38,0)),0),IF($A7&gt;=8,(F7+$C$3)*MAX(0,IF('01_数值调参'!$AD$7&lt;=$A7,-'01_数值调参'!$AD$38,0),IF('01_数值调参'!$AE$7&lt;=$A7,-'01_数值调参'!$AE$38,0),IF('01_数值调参'!$AF$7&lt;=$A7,-'01_数值调参'!$AF$38,0),IF('01_数值调参'!$AG$7&lt;=$A7,-'01_数值调参'!$AG$38,0)),0),IF($A7&gt;=10,(G7+$C$3)*MAX(0,IF('01_数值调参'!$AH$7&lt;=$A7,-'01_数值调参'!$AH$38,0),IF('01_数值调参'!$AI$7&lt;=$A7,-'01_数值调参'!$AI$38,0),IF('01_数值调参'!$AJ$7&lt;=$A7,-'01_数值调参'!$AJ$38,0),IF('01_数值调参'!$AK$7&lt;=$A7,-'01_数值调参'!$AK$38,0),IF('01_数值调参'!$AL$7&lt;=$A7,-'01_数值调参'!$AL$38,0),IF('01_数值调参'!$AM$7&lt;=$A7,-'01_数值调参'!$AM$38,0)),0),0)),"队列待修正"))</x:f>
        <x:v>—</x:v>
      </x:c>
      <x:c r="AC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Z$7,"—",SUM(IF($A7&gt;=2,(C7+$C$3)*MAX(0,IF('01_数值调参'!$N$7&lt;=$A7,-'01_数值调参'!$N$39,0),IF('01_数值调参'!$O$7&lt;=$A7,-'01_数值调参'!$O$39,0),IF('01_数值调参'!$P$7&lt;=$A7,-'01_数值调参'!$P$39,0),IF('01_数值调参'!$Q$7&lt;=$A7,-'01_数值调参'!$Q$39,0),IF('01_数值调参'!$R$7&lt;=$A7,-'01_数值调参'!$R$39,0)),0),IF($A7&gt;=4,(D7+$C$3)*MAX(0,IF('01_数值调参'!$S$7&lt;=$A7,-'01_数值调参'!$S$39,0),IF('01_数值调参'!$T$7&lt;=$A7,-'01_数值调参'!$T$39,0),IF('01_数值调参'!$U$7&lt;=$A7,-'01_数值调参'!$U$39,0),IF('01_数值调参'!$V$7&lt;=$A7,-'01_数值调参'!$V$39,0),IF('01_数值调参'!$W$7&lt;=$A7,-'01_数值调参'!$W$39,0)),0),IF($A7&gt;=6,(E7+$C$3)*MAX(0,IF('01_数值调参'!$X$7&lt;=$A7,-'01_数值调参'!$X$39,0),IF('01_数值调参'!$Y$7&lt;=$A7,-'01_数值调参'!$Y$39,0),IF('01_数值调参'!$Z$7&lt;=$A7,0,0),IF('01_数值调参'!$AA$7&lt;=$A7,-'01_数值调参'!$AA$39,0),IF('01_数值调参'!$AB$7&lt;=$A7,-'01_数值调参'!$AB$39,0),IF('01_数值调参'!$AC$7&lt;=$A7,-'01_数值调参'!$AC$39,0)),0),IF($A7&gt;=8,(F7+$C$3)*MAX(0,IF('01_数值调参'!$AD$7&lt;=$A7,-'01_数值调参'!$AD$39,0),IF('01_数值调参'!$AE$7&lt;=$A7,-'01_数值调参'!$AE$39,0),IF('01_数值调参'!$AF$7&lt;=$A7,-'01_数值调参'!$AF$39,0),IF('01_数值调参'!$AG$7&lt;=$A7,-'01_数值调参'!$AG$39,0)),0),IF($A7&gt;=10,(G7+$C$3)*MAX(0,IF('01_数值调参'!$AH$7&lt;=$A7,-'01_数值调参'!$AH$39,0),IF('01_数值调参'!$AI$7&lt;=$A7,-'01_数值调参'!$AI$39,0),IF('01_数值调参'!$AJ$7&lt;=$A7,-'01_数值调参'!$AJ$39,0),IF('01_数值调参'!$AK$7&lt;=$A7,-'01_数值调参'!$AK$39,0),IF('01_数值调参'!$AL$7&lt;=$A7,-'01_数值调参'!$AL$39,0),IF('01_数值调参'!$AM$7&lt;=$A7,-'01_数值调参'!$AM$39,0)),0),0)),"队列待修正"))</x:f>
        <x:v>—</x:v>
      </x:c>
      <x:c r="AD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A$7,"—",SUM(IF($A7&gt;=2,(C7+$C$3)*MAX(0,IF('01_数值调参'!$N$7&lt;=$A7,-'01_数值调参'!$N$40,0),IF('01_数值调参'!$O$7&lt;=$A7,-'01_数值调参'!$O$40,0),IF('01_数值调参'!$P$7&lt;=$A7,-'01_数值调参'!$P$40,0),IF('01_数值调参'!$Q$7&lt;=$A7,-'01_数值调参'!$Q$40,0),IF('01_数值调参'!$R$7&lt;=$A7,-'01_数值调参'!$R$40,0)),0),IF($A7&gt;=4,(D7+$C$3)*MAX(0,IF('01_数值调参'!$S$7&lt;=$A7,-'01_数值调参'!$S$40,0),IF('01_数值调参'!$T$7&lt;=$A7,-'01_数值调参'!$T$40,0),IF('01_数值调参'!$U$7&lt;=$A7,-'01_数值调参'!$U$40,0),IF('01_数值调参'!$V$7&lt;=$A7,-'01_数值调参'!$V$40,0),IF('01_数值调参'!$W$7&lt;=$A7,-'01_数值调参'!$W$40,0)),0),IF($A7&gt;=6,(E7+$C$3)*MAX(0,IF('01_数值调参'!$X$7&lt;=$A7,-'01_数值调参'!$X$40,0),IF('01_数值调参'!$Y$7&lt;=$A7,-'01_数值调参'!$Y$40,0),IF('01_数值调参'!$Z$7&lt;=$A7,-'01_数值调参'!$Z$40,0),IF('01_数值调参'!$AA$7&lt;=$A7,0,0),IF('01_数值调参'!$AB$7&lt;=$A7,-'01_数值调参'!$AB$40,0),IF('01_数值调参'!$AC$7&lt;=$A7,-'01_数值调参'!$AC$40,0)),0),IF($A7&gt;=8,(F7+$C$3)*MAX(0,IF('01_数值调参'!$AD$7&lt;=$A7,-'01_数值调参'!$AD$40,0),IF('01_数值调参'!$AE$7&lt;=$A7,-'01_数值调参'!$AE$40,0),IF('01_数值调参'!$AF$7&lt;=$A7,-'01_数值调参'!$AF$40,0),IF('01_数值调参'!$AG$7&lt;=$A7,-'01_数值调参'!$AG$40,0)),0),IF($A7&gt;=10,(G7+$C$3)*MAX(0,IF('01_数值调参'!$AH$7&lt;=$A7,-'01_数值调参'!$AH$40,0),IF('01_数值调参'!$AI$7&lt;=$A7,-'01_数值调参'!$AI$40,0),IF('01_数值调参'!$AJ$7&lt;=$A7,-'01_数值调参'!$AJ$40,0),IF('01_数值调参'!$AK$7&lt;=$A7,-'01_数值调参'!$AK$40,0),IF('01_数值调参'!$AL$7&lt;=$A7,-'01_数值调参'!$AL$40,0),IF('01_数值调参'!$AM$7&lt;=$A7,-'01_数值调参'!$AM$40,0)),0),0)),"队列待修正"))</x:f>
        <x:v>—</x:v>
      </x:c>
      <x:c r="AE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B$7,"—",SUM(IF($A7&gt;=2,(C7+$C$3)*MAX(0,IF('01_数值调参'!$N$7&lt;=$A7,-'01_数值调参'!$N$41,0),IF('01_数值调参'!$O$7&lt;=$A7,-'01_数值调参'!$O$41,0),IF('01_数值调参'!$P$7&lt;=$A7,-'01_数值调参'!$P$41,0),IF('01_数值调参'!$Q$7&lt;=$A7,-'01_数值调参'!$Q$41,0),IF('01_数值调参'!$R$7&lt;=$A7,-'01_数值调参'!$R$41,0)),0),IF($A7&gt;=4,(D7+$C$3)*MAX(0,IF('01_数值调参'!$S$7&lt;=$A7,-'01_数值调参'!$S$41,0),IF('01_数值调参'!$T$7&lt;=$A7,-'01_数值调参'!$T$41,0),IF('01_数值调参'!$U$7&lt;=$A7,-'01_数值调参'!$U$41,0),IF('01_数值调参'!$V$7&lt;=$A7,-'01_数值调参'!$V$41,0),IF('01_数值调参'!$W$7&lt;=$A7,-'01_数值调参'!$W$41,0)),0),IF($A7&gt;=6,(E7+$C$3)*MAX(0,IF('01_数值调参'!$X$7&lt;=$A7,-'01_数值调参'!$X$41,0),IF('01_数值调参'!$Y$7&lt;=$A7,-'01_数值调参'!$Y$41,0),IF('01_数值调参'!$Z$7&lt;=$A7,-'01_数值调参'!$Z$41,0),IF('01_数值调参'!$AA$7&lt;=$A7,-'01_数值调参'!$AA$41,0),IF('01_数值调参'!$AB$7&lt;=$A7,0,0),IF('01_数值调参'!$AC$7&lt;=$A7,-'01_数值调参'!$AC$41,0)),0),IF($A7&gt;=8,(F7+$C$3)*MAX(0,IF('01_数值调参'!$AD$7&lt;=$A7,-'01_数值调参'!$AD$41,0),IF('01_数值调参'!$AE$7&lt;=$A7,-'01_数值调参'!$AE$41,0),IF('01_数值调参'!$AF$7&lt;=$A7,-'01_数值调参'!$AF$41,0),IF('01_数值调参'!$AG$7&lt;=$A7,-'01_数值调参'!$AG$41,0)),0),IF($A7&gt;=10,(G7+$C$3)*MAX(0,IF('01_数值调参'!$AH$7&lt;=$A7,-'01_数值调参'!$AH$41,0),IF('01_数值调参'!$AI$7&lt;=$A7,-'01_数值调参'!$AI$41,0),IF('01_数值调参'!$AJ$7&lt;=$A7,-'01_数值调参'!$AJ$41,0),IF('01_数值调参'!$AK$7&lt;=$A7,-'01_数值调参'!$AK$41,0),IF('01_数值调参'!$AL$7&lt;=$A7,-'01_数值调参'!$AL$41,0),IF('01_数值调参'!$AM$7&lt;=$A7,-'01_数值调参'!$AM$41,0)),0),0)),"队列待修正"))</x:f>
        <x:v>—</x:v>
      </x:c>
      <x:c r="AF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C$7,"—",SUM(IF($A7&gt;=2,(C7+$C$3)*MAX(0,IF('01_数值调参'!$N$7&lt;=$A7,-'01_数值调参'!$N$42,0),IF('01_数值调参'!$O$7&lt;=$A7,-'01_数值调参'!$O$42,0),IF('01_数值调参'!$P$7&lt;=$A7,-'01_数值调参'!$P$42,0),IF('01_数值调参'!$Q$7&lt;=$A7,-'01_数值调参'!$Q$42,0),IF('01_数值调参'!$R$7&lt;=$A7,-'01_数值调参'!$R$42,0)),0),IF($A7&gt;=4,(D7+$C$3)*MAX(0,IF('01_数值调参'!$S$7&lt;=$A7,-'01_数值调参'!$S$42,0),IF('01_数值调参'!$T$7&lt;=$A7,-'01_数值调参'!$T$42,0),IF('01_数值调参'!$U$7&lt;=$A7,-'01_数值调参'!$U$42,0),IF('01_数值调参'!$V$7&lt;=$A7,-'01_数值调参'!$V$42,0),IF('01_数值调参'!$W$7&lt;=$A7,-'01_数值调参'!$W$42,0)),0),IF($A7&gt;=6,(E7+$C$3)*MAX(0,IF('01_数值调参'!$X$7&lt;=$A7,-'01_数值调参'!$X$42,0),IF('01_数值调参'!$Y$7&lt;=$A7,-'01_数值调参'!$Y$42,0),IF('01_数值调参'!$Z$7&lt;=$A7,-'01_数值调参'!$Z$42,0),IF('01_数值调参'!$AA$7&lt;=$A7,-'01_数值调参'!$AA$42,0),IF('01_数值调参'!$AB$7&lt;=$A7,-'01_数值调参'!$AB$42,0),IF('01_数值调参'!$AC$7&lt;=$A7,0,0)),0),IF($A7&gt;=8,(F7+$C$3)*MAX(0,IF('01_数值调参'!$AD$7&lt;=$A7,-'01_数值调参'!$AD$42,0),IF('01_数值调参'!$AE$7&lt;=$A7,-'01_数值调参'!$AE$42,0),IF('01_数值调参'!$AF$7&lt;=$A7,-'01_数值调参'!$AF$42,0),IF('01_数值调参'!$AG$7&lt;=$A7,-'01_数值调参'!$AG$42,0)),0),IF($A7&gt;=10,(G7+$C$3)*MAX(0,IF('01_数值调参'!$AH$7&lt;=$A7,-'01_数值调参'!$AH$42,0),IF('01_数值调参'!$AI$7&lt;=$A7,-'01_数值调参'!$AI$42,0),IF('01_数值调参'!$AJ$7&lt;=$A7,-'01_数值调参'!$AJ$42,0),IF('01_数值调参'!$AK$7&lt;=$A7,-'01_数值调参'!$AK$42,0),IF('01_数值调参'!$AL$7&lt;=$A7,-'01_数值调参'!$AL$42,0),IF('01_数值调参'!$AM$7&lt;=$A7,-'01_数值调参'!$AM$42,0)),0),0)),"队列待修正"))</x:f>
        <x:v>—</x:v>
      </x:c>
      <x:c r="AG7" s="216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D$7,"—",SUM(IF($A7&gt;=2,(C7+$C$3)*MAX(0,IF('01_数值调参'!$N$7&lt;=$A7,-'01_数值调参'!$N$43,0),IF('01_数值调参'!$O$7&lt;=$A7,-'01_数值调参'!$O$43,0),IF('01_数值调参'!$P$7&lt;=$A7,-'01_数值调参'!$P$43,0),IF('01_数值调参'!$Q$7&lt;=$A7,-'01_数值调参'!$Q$43,0),IF('01_数值调参'!$R$7&lt;=$A7,-'01_数值调参'!$R$43,0)),0),IF($A7&gt;=4,(D7+$C$3)*MAX(0,IF('01_数值调参'!$S$7&lt;=$A7,-'01_数值调参'!$S$43,0),IF('01_数值调参'!$T$7&lt;=$A7,-'01_数值调参'!$T$43,0),IF('01_数值调参'!$U$7&lt;=$A7,-'01_数值调参'!$U$43,0),IF('01_数值调参'!$V$7&lt;=$A7,-'01_数值调参'!$V$43,0),IF('01_数值调参'!$W$7&lt;=$A7,-'01_数值调参'!$W$43,0)),0),IF($A7&gt;=6,(E7+$C$3)*MAX(0,IF('01_数值调参'!$X$7&lt;=$A7,-'01_数值调参'!$X$43,0),IF('01_数值调参'!$Y$7&lt;=$A7,-'01_数值调参'!$Y$43,0),IF('01_数值调参'!$Z$7&lt;=$A7,-'01_数值调参'!$Z$43,0),IF('01_数值调参'!$AA$7&lt;=$A7,-'01_数值调参'!$AA$43,0),IF('01_数值调参'!$AB$7&lt;=$A7,-'01_数值调参'!$AB$43,0),IF('01_数值调参'!$AC$7&lt;=$A7,-'01_数值调参'!$AC$43,0)),0),IF($A7&gt;=8,(F7+$C$3)*MAX(0,IF('01_数值调参'!$AD$7&lt;=$A7,0,0),IF('01_数值调参'!$AE$7&lt;=$A7,-'01_数值调参'!$AE$43,0),IF('01_数值调参'!$AF$7&lt;=$A7,-'01_数值调参'!$AF$43,0),IF('01_数值调参'!$AG$7&lt;=$A7,-'01_数值调参'!$AG$43,0)),0),IF($A7&gt;=10,(G7+$C$3)*MAX(0,IF('01_数值调参'!$AH$7&lt;=$A7,-'01_数值调参'!$AH$43,0),IF('01_数值调参'!$AI$7&lt;=$A7,-'01_数值调参'!$AI$43,0),IF('01_数值调参'!$AJ$7&lt;=$A7,-'01_数值调参'!$AJ$43,0),IF('01_数值调参'!$AK$7&lt;=$A7,-'01_数值调参'!$AK$43,0),IF('01_数值调参'!$AL$7&lt;=$A7,-'01_数值调参'!$AL$43,0),IF('01_数值调参'!$AM$7&lt;=$A7,-'01_数值调参'!$AM$43,0)),0),0)),"队列待修正"))</x:f>
        <x:v>—</x:v>
      </x:c>
      <x:c r="AH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E$7,"—",SUM(IF($A7&gt;=2,(C7+$C$3)*MAX(0,IF('01_数值调参'!$N$7&lt;=$A7,-'01_数值调参'!$N$44,0),IF('01_数值调参'!$O$7&lt;=$A7,-'01_数值调参'!$O$44,0),IF('01_数值调参'!$P$7&lt;=$A7,-'01_数值调参'!$P$44,0),IF('01_数值调参'!$Q$7&lt;=$A7,-'01_数值调参'!$Q$44,0),IF('01_数值调参'!$R$7&lt;=$A7,-'01_数值调参'!$R$44,0)),0),IF($A7&gt;=4,(D7+$C$3)*MAX(0,IF('01_数值调参'!$S$7&lt;=$A7,-'01_数值调参'!$S$44,0),IF('01_数值调参'!$T$7&lt;=$A7,-'01_数值调参'!$T$44,0),IF('01_数值调参'!$U$7&lt;=$A7,-'01_数值调参'!$U$44,0),IF('01_数值调参'!$V$7&lt;=$A7,-'01_数值调参'!$V$44,0),IF('01_数值调参'!$W$7&lt;=$A7,-'01_数值调参'!$W$44,0)),0),IF($A7&gt;=6,(E7+$C$3)*MAX(0,IF('01_数值调参'!$X$7&lt;=$A7,-'01_数值调参'!$X$44,0),IF('01_数值调参'!$Y$7&lt;=$A7,-'01_数值调参'!$Y$44,0),IF('01_数值调参'!$Z$7&lt;=$A7,-'01_数值调参'!$Z$44,0),IF('01_数值调参'!$AA$7&lt;=$A7,-'01_数值调参'!$AA$44,0),IF('01_数值调参'!$AB$7&lt;=$A7,-'01_数值调参'!$AB$44,0),IF('01_数值调参'!$AC$7&lt;=$A7,-'01_数值调参'!$AC$44,0)),0),IF($A7&gt;=8,(F7+$C$3)*MAX(0,IF('01_数值调参'!$AD$7&lt;=$A7,-'01_数值调参'!$AD$44,0),IF('01_数值调参'!$AE$7&lt;=$A7,0,0),IF('01_数值调参'!$AF$7&lt;=$A7,-'01_数值调参'!$AF$44,0),IF('01_数值调参'!$AG$7&lt;=$A7,-'01_数值调参'!$AG$44,0)),0),IF($A7&gt;=10,(G7+$C$3)*MAX(0,IF('01_数值调参'!$AH$7&lt;=$A7,-'01_数值调参'!$AH$44,0),IF('01_数值调参'!$AI$7&lt;=$A7,-'01_数值调参'!$AI$44,0),IF('01_数值调参'!$AJ$7&lt;=$A7,-'01_数值调参'!$AJ$44,0),IF('01_数值调参'!$AK$7&lt;=$A7,-'01_数值调参'!$AK$44,0),IF('01_数值调参'!$AL$7&lt;=$A7,-'01_数值调参'!$AL$44,0),IF('01_数值调参'!$AM$7&lt;=$A7,-'01_数值调参'!$AM$44,0)),0),0)),"队列待修正"))</x:f>
        <x:v>—</x:v>
      </x:c>
      <x:c r="AI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F$7,"—",SUM(IF($A7&gt;=2,(C7+$C$3)*MAX(0,IF('01_数值调参'!$N$7&lt;=$A7,-'01_数值调参'!$N$45,0),IF('01_数值调参'!$O$7&lt;=$A7,-'01_数值调参'!$O$45,0),IF('01_数值调参'!$P$7&lt;=$A7,-'01_数值调参'!$P$45,0),IF('01_数值调参'!$Q$7&lt;=$A7,-'01_数值调参'!$Q$45,0),IF('01_数值调参'!$R$7&lt;=$A7,-'01_数值调参'!$R$45,0)),0),IF($A7&gt;=4,(D7+$C$3)*MAX(0,IF('01_数值调参'!$S$7&lt;=$A7,-'01_数值调参'!$S$45,0),IF('01_数值调参'!$T$7&lt;=$A7,-'01_数值调参'!$T$45,0),IF('01_数值调参'!$U$7&lt;=$A7,-'01_数值调参'!$U$45,0),IF('01_数值调参'!$V$7&lt;=$A7,-'01_数值调参'!$V$45,0),IF('01_数值调参'!$W$7&lt;=$A7,-'01_数值调参'!$W$45,0)),0),IF($A7&gt;=6,(E7+$C$3)*MAX(0,IF('01_数值调参'!$X$7&lt;=$A7,-'01_数值调参'!$X$45,0),IF('01_数值调参'!$Y$7&lt;=$A7,-'01_数值调参'!$Y$45,0),IF('01_数值调参'!$Z$7&lt;=$A7,-'01_数值调参'!$Z$45,0),IF('01_数值调参'!$AA$7&lt;=$A7,-'01_数值调参'!$AA$45,0),IF('01_数值调参'!$AB$7&lt;=$A7,-'01_数值调参'!$AB$45,0),IF('01_数值调参'!$AC$7&lt;=$A7,-'01_数值调参'!$AC$45,0)),0),IF($A7&gt;=8,(F7+$C$3)*MAX(0,IF('01_数值调参'!$AD$7&lt;=$A7,-'01_数值调参'!$AD$45,0),IF('01_数值调参'!$AE$7&lt;=$A7,-'01_数值调参'!$AE$45,0),IF('01_数值调参'!$AF$7&lt;=$A7,0,0),IF('01_数值调参'!$AG$7&lt;=$A7,-'01_数值调参'!$AG$45,0)),0),IF($A7&gt;=10,(G7+$C$3)*MAX(0,IF('01_数值调参'!$AH$7&lt;=$A7,-'01_数值调参'!$AH$45,0),IF('01_数值调参'!$AI$7&lt;=$A7,-'01_数值调参'!$AI$45,0),IF('01_数值调参'!$AJ$7&lt;=$A7,-'01_数值调参'!$AJ$45,0),IF('01_数值调参'!$AK$7&lt;=$A7,-'01_数值调参'!$AK$45,0),IF('01_数值调参'!$AL$7&lt;=$A7,-'01_数值调参'!$AL$45,0),IF('01_数值调参'!$AM$7&lt;=$A7,-'01_数值调参'!$AM$45,0)),0),0)),"队列待修正"))</x:f>
        <x:v>—</x:v>
      </x:c>
      <x:c r="AJ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G$7,"—",SUM(IF($A7&gt;=2,(C7+$C$3)*MAX(0,IF('01_数值调参'!$N$7&lt;=$A7,-'01_数值调参'!$N$46,0),IF('01_数值调参'!$O$7&lt;=$A7,-'01_数值调参'!$O$46,0),IF('01_数值调参'!$P$7&lt;=$A7,-'01_数值调参'!$P$46,0),IF('01_数值调参'!$Q$7&lt;=$A7,-'01_数值调参'!$Q$46,0),IF('01_数值调参'!$R$7&lt;=$A7,-'01_数值调参'!$R$46,0)),0),IF($A7&gt;=4,(D7+$C$3)*MAX(0,IF('01_数值调参'!$S$7&lt;=$A7,-'01_数值调参'!$S$46,0),IF('01_数值调参'!$T$7&lt;=$A7,-'01_数值调参'!$T$46,0),IF('01_数值调参'!$U$7&lt;=$A7,-'01_数值调参'!$U$46,0),IF('01_数值调参'!$V$7&lt;=$A7,-'01_数值调参'!$V$46,0),IF('01_数值调参'!$W$7&lt;=$A7,-'01_数值调参'!$W$46,0)),0),IF($A7&gt;=6,(E7+$C$3)*MAX(0,IF('01_数值调参'!$X$7&lt;=$A7,-'01_数值调参'!$X$46,0),IF('01_数值调参'!$Y$7&lt;=$A7,-'01_数值调参'!$Y$46,0),IF('01_数值调参'!$Z$7&lt;=$A7,-'01_数值调参'!$Z$46,0),IF('01_数值调参'!$AA$7&lt;=$A7,-'01_数值调参'!$AA$46,0),IF('01_数值调参'!$AB$7&lt;=$A7,-'01_数值调参'!$AB$46,0),IF('01_数值调参'!$AC$7&lt;=$A7,-'01_数值调参'!$AC$46,0)),0),IF($A7&gt;=8,(F7+$C$3)*MAX(0,IF('01_数值调参'!$AD$7&lt;=$A7,-'01_数值调参'!$AD$46,0),IF('01_数值调参'!$AE$7&lt;=$A7,-'01_数值调参'!$AE$46,0),IF('01_数值调参'!$AF$7&lt;=$A7,-'01_数值调参'!$AF$46,0),IF('01_数值调参'!$AG$7&lt;=$A7,0,0)),0),IF($A7&gt;=10,(G7+$C$3)*MAX(0,IF('01_数值调参'!$AH$7&lt;=$A7,-'01_数值调参'!$AH$46,0),IF('01_数值调参'!$AI$7&lt;=$A7,-'01_数值调参'!$AI$46,0),IF('01_数值调参'!$AJ$7&lt;=$A7,-'01_数值调参'!$AJ$46,0),IF('01_数值调参'!$AK$7&lt;=$A7,-'01_数值调参'!$AK$46,0),IF('01_数值调参'!$AL$7&lt;=$A7,-'01_数值调参'!$AL$46,0),IF('01_数值调参'!$AM$7&lt;=$A7,-'01_数值调参'!$AM$46,0)),0),0)),"队列待修正"))</x:f>
        <x:v>—</x:v>
      </x:c>
      <x:c r="AK7" s="216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H$7,"—",SUM(IF($A7&gt;=2,(C7+$C$3)*MAX(0,IF('01_数值调参'!$N$7&lt;=$A7,-'01_数值调参'!$N$47,0),IF('01_数值调参'!$O$7&lt;=$A7,-'01_数值调参'!$O$47,0),IF('01_数值调参'!$P$7&lt;=$A7,-'01_数值调参'!$P$47,0),IF('01_数值调参'!$Q$7&lt;=$A7,-'01_数值调参'!$Q$47,0),IF('01_数值调参'!$R$7&lt;=$A7,-'01_数值调参'!$R$47,0)),0),IF($A7&gt;=4,(D7+$C$3)*MAX(0,IF('01_数值调参'!$S$7&lt;=$A7,-'01_数值调参'!$S$47,0),IF('01_数值调参'!$T$7&lt;=$A7,-'01_数值调参'!$T$47,0),IF('01_数值调参'!$U$7&lt;=$A7,-'01_数值调参'!$U$47,0),IF('01_数值调参'!$V$7&lt;=$A7,-'01_数值调参'!$V$47,0),IF('01_数值调参'!$W$7&lt;=$A7,-'01_数值调参'!$W$47,0)),0),IF($A7&gt;=6,(E7+$C$3)*MAX(0,IF('01_数值调参'!$X$7&lt;=$A7,-'01_数值调参'!$X$47,0),IF('01_数值调参'!$Y$7&lt;=$A7,-'01_数值调参'!$Y$47,0),IF('01_数值调参'!$Z$7&lt;=$A7,-'01_数值调参'!$Z$47,0),IF('01_数值调参'!$AA$7&lt;=$A7,-'01_数值调参'!$AA$47,0),IF('01_数值调参'!$AB$7&lt;=$A7,-'01_数值调参'!$AB$47,0),IF('01_数值调参'!$AC$7&lt;=$A7,-'01_数值调参'!$AC$47,0)),0),IF($A7&gt;=8,(F7+$C$3)*MAX(0,IF('01_数值调参'!$AD$7&lt;=$A7,-'01_数值调参'!$AD$47,0),IF('01_数值调参'!$AE$7&lt;=$A7,-'01_数值调参'!$AE$47,0),IF('01_数值调参'!$AF$7&lt;=$A7,-'01_数值调参'!$AF$47,0),IF('01_数值调参'!$AG$7&lt;=$A7,-'01_数值调参'!$AG$47,0)),0),IF($A7&gt;=10,(G7+$C$3)*MAX(0,IF('01_数值调参'!$AH$7&lt;=$A7,0,0),IF('01_数值调参'!$AI$7&lt;=$A7,-'01_数值调参'!$AI$47,0),IF('01_数值调参'!$AJ$7&lt;=$A7,-'01_数值调参'!$AJ$47,0),IF('01_数值调参'!$AK$7&lt;=$A7,-'01_数值调参'!$AK$47,0),IF('01_数值调参'!$AL$7&lt;=$A7,-'01_数值调参'!$AL$47,0),IF('01_数值调参'!$AM$7&lt;=$A7,-'01_数值调参'!$AM$47,0)),0),0)),"队列待修正"))</x:f>
        <x:v>—</x:v>
      </x:c>
      <x:c r="AL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I$7,"—",SUM(IF($A7&gt;=2,(C7+$C$3)*MAX(0,IF('01_数值调参'!$N$7&lt;=$A7,-'01_数值调参'!$N$48,0),IF('01_数值调参'!$O$7&lt;=$A7,-'01_数值调参'!$O$48,0),IF('01_数值调参'!$P$7&lt;=$A7,-'01_数值调参'!$P$48,0),IF('01_数值调参'!$Q$7&lt;=$A7,-'01_数值调参'!$Q$48,0),IF('01_数值调参'!$R$7&lt;=$A7,-'01_数值调参'!$R$48,0)),0),IF($A7&gt;=4,(D7+$C$3)*MAX(0,IF('01_数值调参'!$S$7&lt;=$A7,-'01_数值调参'!$S$48,0),IF('01_数值调参'!$T$7&lt;=$A7,-'01_数值调参'!$T$48,0),IF('01_数值调参'!$U$7&lt;=$A7,-'01_数值调参'!$U$48,0),IF('01_数值调参'!$V$7&lt;=$A7,-'01_数值调参'!$V$48,0),IF('01_数值调参'!$W$7&lt;=$A7,-'01_数值调参'!$W$48,0)),0),IF($A7&gt;=6,(E7+$C$3)*MAX(0,IF('01_数值调参'!$X$7&lt;=$A7,-'01_数值调参'!$X$48,0),IF('01_数值调参'!$Y$7&lt;=$A7,-'01_数值调参'!$Y$48,0),IF('01_数值调参'!$Z$7&lt;=$A7,-'01_数值调参'!$Z$48,0),IF('01_数值调参'!$AA$7&lt;=$A7,-'01_数值调参'!$AA$48,0),IF('01_数值调参'!$AB$7&lt;=$A7,-'01_数值调参'!$AB$48,0),IF('01_数值调参'!$AC$7&lt;=$A7,-'01_数值调参'!$AC$48,0)),0),IF($A7&gt;=8,(F7+$C$3)*MAX(0,IF('01_数值调参'!$AD$7&lt;=$A7,-'01_数值调参'!$AD$48,0),IF('01_数值调参'!$AE$7&lt;=$A7,-'01_数值调参'!$AE$48,0),IF('01_数值调参'!$AF$7&lt;=$A7,-'01_数值调参'!$AF$48,0),IF('01_数值调参'!$AG$7&lt;=$A7,-'01_数值调参'!$AG$48,0)),0),IF($A7&gt;=10,(G7+$C$3)*MAX(0,IF('01_数值调参'!$AH$7&lt;=$A7,-'01_数值调参'!$AH$48,0),IF('01_数值调参'!$AI$7&lt;=$A7,0,0),IF('01_数值调参'!$AJ$7&lt;=$A7,-'01_数值调参'!$AJ$48,0),IF('01_数值调参'!$AK$7&lt;=$A7,-'01_数值调参'!$AK$48,0),IF('01_数值调参'!$AL$7&lt;=$A7,-'01_数值调参'!$AL$48,0),IF('01_数值调参'!$AM$7&lt;=$A7,-'01_数值调参'!$AM$48,0)),0),0)),"队列待修正"))</x:f>
        <x:v>—</x:v>
      </x:c>
      <x:c r="AM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J$7,"—",SUM(IF($A7&gt;=2,(C7+$C$3)*MAX(0,IF('01_数值调参'!$N$7&lt;=$A7,-'01_数值调参'!$N$49,0),IF('01_数值调参'!$O$7&lt;=$A7,-'01_数值调参'!$O$49,0),IF('01_数值调参'!$P$7&lt;=$A7,-'01_数值调参'!$P$49,0),IF('01_数值调参'!$Q$7&lt;=$A7,-'01_数值调参'!$Q$49,0),IF('01_数值调参'!$R$7&lt;=$A7,-'01_数值调参'!$R$49,0)),0),IF($A7&gt;=4,(D7+$C$3)*MAX(0,IF('01_数值调参'!$S$7&lt;=$A7,-'01_数值调参'!$S$49,0),IF('01_数值调参'!$T$7&lt;=$A7,-'01_数值调参'!$T$49,0),IF('01_数值调参'!$U$7&lt;=$A7,-'01_数值调参'!$U$49,0),IF('01_数值调参'!$V$7&lt;=$A7,-'01_数值调参'!$V$49,0),IF('01_数值调参'!$W$7&lt;=$A7,-'01_数值调参'!$W$49,0)),0),IF($A7&gt;=6,(E7+$C$3)*MAX(0,IF('01_数值调参'!$X$7&lt;=$A7,-'01_数值调参'!$X$49,0),IF('01_数值调参'!$Y$7&lt;=$A7,-'01_数值调参'!$Y$49,0),IF('01_数值调参'!$Z$7&lt;=$A7,-'01_数值调参'!$Z$49,0),IF('01_数值调参'!$AA$7&lt;=$A7,-'01_数值调参'!$AA$49,0),IF('01_数值调参'!$AB$7&lt;=$A7,-'01_数值调参'!$AB$49,0),IF('01_数值调参'!$AC$7&lt;=$A7,-'01_数值调参'!$AC$49,0)),0),IF($A7&gt;=8,(F7+$C$3)*MAX(0,IF('01_数值调参'!$AD$7&lt;=$A7,-'01_数值调参'!$AD$49,0),IF('01_数值调参'!$AE$7&lt;=$A7,-'01_数值调参'!$AE$49,0),IF('01_数值调参'!$AF$7&lt;=$A7,-'01_数值调参'!$AF$49,0),IF('01_数值调参'!$AG$7&lt;=$A7,-'01_数值调参'!$AG$49,0)),0),IF($A7&gt;=10,(G7+$C$3)*MAX(0,IF('01_数值调参'!$AH$7&lt;=$A7,-'01_数值调参'!$AH$49,0),IF('01_数值调参'!$AI$7&lt;=$A7,-'01_数值调参'!$AI$49,0),IF('01_数值调参'!$AJ$7&lt;=$A7,0,0),IF('01_数值调参'!$AK$7&lt;=$A7,-'01_数值调参'!$AK$49,0),IF('01_数值调参'!$AL$7&lt;=$A7,-'01_数值调参'!$AL$49,0),IF('01_数值调参'!$AM$7&lt;=$A7,-'01_数值调参'!$AM$49,0)),0),0)),"队列待修正"))</x:f>
        <x:v>—</x:v>
      </x:c>
      <x:c r="AN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K$7,"—",SUM(IF($A7&gt;=2,(C7+$C$3)*MAX(0,IF('01_数值调参'!$N$7&lt;=$A7,-'01_数值调参'!$N$50,0),IF('01_数值调参'!$O$7&lt;=$A7,-'01_数值调参'!$O$50,0),IF('01_数值调参'!$P$7&lt;=$A7,-'01_数值调参'!$P$50,0),IF('01_数值调参'!$Q$7&lt;=$A7,-'01_数值调参'!$Q$50,0),IF('01_数值调参'!$R$7&lt;=$A7,-'01_数值调参'!$R$50,0)),0),IF($A7&gt;=4,(D7+$C$3)*MAX(0,IF('01_数值调参'!$S$7&lt;=$A7,-'01_数值调参'!$S$50,0),IF('01_数值调参'!$T$7&lt;=$A7,-'01_数值调参'!$T$50,0),IF('01_数值调参'!$U$7&lt;=$A7,-'01_数值调参'!$U$50,0),IF('01_数值调参'!$V$7&lt;=$A7,-'01_数值调参'!$V$50,0),IF('01_数值调参'!$W$7&lt;=$A7,-'01_数值调参'!$W$50,0)),0),IF($A7&gt;=6,(E7+$C$3)*MAX(0,IF('01_数值调参'!$X$7&lt;=$A7,-'01_数值调参'!$X$50,0),IF('01_数值调参'!$Y$7&lt;=$A7,-'01_数值调参'!$Y$50,0),IF('01_数值调参'!$Z$7&lt;=$A7,-'01_数值调参'!$Z$50,0),IF('01_数值调参'!$AA$7&lt;=$A7,-'01_数值调参'!$AA$50,0),IF('01_数值调参'!$AB$7&lt;=$A7,-'01_数值调参'!$AB$50,0),IF('01_数值调参'!$AC$7&lt;=$A7,-'01_数值调参'!$AC$50,0)),0),IF($A7&gt;=8,(F7+$C$3)*MAX(0,IF('01_数值调参'!$AD$7&lt;=$A7,-'01_数值调参'!$AD$50,0),IF('01_数值调参'!$AE$7&lt;=$A7,-'01_数值调参'!$AE$50,0),IF('01_数值调参'!$AF$7&lt;=$A7,-'01_数值调参'!$AF$50,0),IF('01_数值调参'!$AG$7&lt;=$A7,-'01_数值调参'!$AG$50,0)),0),IF($A7&gt;=10,(G7+$C$3)*MAX(0,IF('01_数值调参'!$AH$7&lt;=$A7,-'01_数值调参'!$AH$50,0),IF('01_数值调参'!$AI$7&lt;=$A7,-'01_数值调参'!$AI$50,0),IF('01_数值调参'!$AJ$7&lt;=$A7,-'01_数值调参'!$AJ$50,0),IF('01_数值调参'!$AK$7&lt;=$A7,0,0),IF('01_数值调参'!$AL$7&lt;=$A7,-'01_数值调参'!$AL$50,0),IF('01_数值调参'!$AM$7&lt;=$A7,-'01_数值调参'!$AM$50,0)),0),0)),"队列待修正"))</x:f>
        <x:v>—</x:v>
      </x:c>
      <x:c r="AO7" s="217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L$7,"—",SUM(IF($A7&gt;=2,(C7+$C$3)*MAX(0,IF('01_数值调参'!$N$7&lt;=$A7,-'01_数值调参'!$N$51,0),IF('01_数值调参'!$O$7&lt;=$A7,-'01_数值调参'!$O$51,0),IF('01_数值调参'!$P$7&lt;=$A7,-'01_数值调参'!$P$51,0),IF('01_数值调参'!$Q$7&lt;=$A7,-'01_数值调参'!$Q$51,0),IF('01_数值调参'!$R$7&lt;=$A7,-'01_数值调参'!$R$51,0)),0),IF($A7&gt;=4,(D7+$C$3)*MAX(0,IF('01_数值调参'!$S$7&lt;=$A7,-'01_数值调参'!$S$51,0),IF('01_数值调参'!$T$7&lt;=$A7,-'01_数值调参'!$T$51,0),IF('01_数值调参'!$U$7&lt;=$A7,-'01_数值调参'!$U$51,0),IF('01_数值调参'!$V$7&lt;=$A7,-'01_数值调参'!$V$51,0),IF('01_数值调参'!$W$7&lt;=$A7,-'01_数值调参'!$W$51,0)),0),IF($A7&gt;=6,(E7+$C$3)*MAX(0,IF('01_数值调参'!$X$7&lt;=$A7,-'01_数值调参'!$X$51,0),IF('01_数值调参'!$Y$7&lt;=$A7,-'01_数值调参'!$Y$51,0),IF('01_数值调参'!$Z$7&lt;=$A7,-'01_数值调参'!$Z$51,0),IF('01_数值调参'!$AA$7&lt;=$A7,-'01_数值调参'!$AA$51,0),IF('01_数值调参'!$AB$7&lt;=$A7,-'01_数值调参'!$AB$51,0),IF('01_数值调参'!$AC$7&lt;=$A7,-'01_数值调参'!$AC$51,0)),0),IF($A7&gt;=8,(F7+$C$3)*MAX(0,IF('01_数值调参'!$AD$7&lt;=$A7,-'01_数值调参'!$AD$51,0),IF('01_数值调参'!$AE$7&lt;=$A7,-'01_数值调参'!$AE$51,0),IF('01_数值调参'!$AF$7&lt;=$A7,-'01_数值调参'!$AF$51,0),IF('01_数值调参'!$AG$7&lt;=$A7,-'01_数值调参'!$AG$51,0)),0),IF($A7&gt;=10,(G7+$C$3)*MAX(0,IF('01_数值调参'!$AH$7&lt;=$A7,-'01_数值调参'!$AH$51,0),IF('01_数值调参'!$AI$7&lt;=$A7,-'01_数值调参'!$AI$51,0),IF('01_数值调参'!$AJ$7&lt;=$A7,-'01_数值调参'!$AJ$51,0),IF('01_数值调参'!$AK$7&lt;=$A7,-'01_数值调参'!$AK$51,0),IF('01_数值调参'!$AL$7&lt;=$A7,0,0),IF('01_数值调参'!$AM$7&lt;=$A7,-'01_数值调参'!$AM$51,0)),0),0)),"队列待修正"))</x:f>
        <x:v>—</x:v>
      </x:c>
      <x:c r="AP7" s="218" t="str">
        <x:f>IF('01_数值调参'!$D$3&lt;&gt;"配方有效","待修正",IF(AND(OR($C$3=0,$C$3=1),ISNUMBER(C7),C7&gt;=0,MOD(C7,1)=0,ISNUMBER(D7),D7&gt;=0,MOD(D7,1)=0,ISNUMBER(E7),E7&gt;=0,MOD(E7,1)=0,ISNUMBER(F7),F7&gt;=0,MOD(F7,1)=0,ISNUMBER(G7),G7&gt;=0,MOD(G7,1)=0,TRUE),IF($A7&lt;'01_数值调参'!$AM$7,"—",SUM(IF($A7&gt;=2,(C7+$C$3)*MAX(0,IF('01_数值调参'!$N$7&lt;=$A7,-'01_数值调参'!$N$52,0),IF('01_数值调参'!$O$7&lt;=$A7,-'01_数值调参'!$O$52,0),IF('01_数值调参'!$P$7&lt;=$A7,-'01_数值调参'!$P$52,0),IF('01_数值调参'!$Q$7&lt;=$A7,-'01_数值调参'!$Q$52,0),IF('01_数值调参'!$R$7&lt;=$A7,-'01_数值调参'!$R$52,0)),0),IF($A7&gt;=4,(D7+$C$3)*MAX(0,IF('01_数值调参'!$S$7&lt;=$A7,-'01_数值调参'!$S$52,0),IF('01_数值调参'!$T$7&lt;=$A7,-'01_数值调参'!$T$52,0),IF('01_数值调参'!$U$7&lt;=$A7,-'01_数值调参'!$U$52,0),IF('01_数值调参'!$V$7&lt;=$A7,-'01_数值调参'!$V$52,0),IF('01_数值调参'!$W$7&lt;=$A7,-'01_数值调参'!$W$52,0)),0),IF($A7&gt;=6,(E7+$C$3)*MAX(0,IF('01_数值调参'!$X$7&lt;=$A7,-'01_数值调参'!$X$52,0),IF('01_数值调参'!$Y$7&lt;=$A7,-'01_数值调参'!$Y$52,0),IF('01_数值调参'!$Z$7&lt;=$A7,-'01_数值调参'!$Z$52,0),IF('01_数值调参'!$AA$7&lt;=$A7,-'01_数值调参'!$AA$52,0),IF('01_数值调参'!$AB$7&lt;=$A7,-'01_数值调参'!$AB$52,0),IF('01_数值调参'!$AC$7&lt;=$A7,-'01_数值调参'!$AC$52,0)),0),IF($A7&gt;=8,(F7+$C$3)*MAX(0,IF('01_数值调参'!$AD$7&lt;=$A7,-'01_数值调参'!$AD$52,0),IF('01_数值调参'!$AE$7&lt;=$A7,-'01_数值调参'!$AE$52,0),IF('01_数值调参'!$AF$7&lt;=$A7,-'01_数值调参'!$AF$52,0),IF('01_数值调参'!$AG$7&lt;=$A7,-'01_数值调参'!$AG$52,0)),0),IF($A7&gt;=10,(G7+$C$3)*MAX(0,IF('01_数值调参'!$AH$7&lt;=$A7,-'01_数值调参'!$AH$52,0),IF('01_数值调参'!$AI$7&lt;=$A7,-'01_数值调参'!$AI$52,0),IF('01_数值调参'!$AJ$7&lt;=$A7,-'01_数值调参'!$AJ$52,0),IF('01_数值调参'!$AK$7&lt;=$A7,-'01_数值调参'!$AK$52,0),IF('01_数值调参'!$AL$7&lt;=$A7,-'01_数值调参'!$AL$52,0),IF('01_数值调参'!$AM$7&lt;=$A7,0,0)),0),0)),"队列待修正"))</x:f>
        <x:v>—</x:v>
      </x:c>
    </x:row>
    <x:row r="8" ht="25" customHeight="1">
      <x:c r="A8" s="176" t="n">
        <x:v>2</x:v>
      </x:c>
      <x:c r="B8" s="177" t="n">
        <x:f>IF('01_数值调参'!$D$3&lt;&gt;"配方有效","待修正",IF(AND(OR($C$3=0,$C$3=1),ISNUMBER(C8),C8&gt;=0,MOD(C8,1)=0,ISNUMBER(D8),D8&gt;=0,MOD(D8,1)=0,ISNUMBER(E8),E8&gt;=0,MOD(E8,1)=0,ISNUMBER(F8),F8&gt;=0,MOD(F8,1)=0,ISNUMBER(G8),G8&gt;=0,MOD(G8,1)=0,TRUE),SUM(IF($A8&gt;=2,(C8+$C$3)*MAX(0,IF('01_数值调参'!$N$7&lt;=$A8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8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8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8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8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8&gt;=4,(D8+$C$3)*MAX(0,IF('01_数值调参'!$S$7&lt;=$A8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8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8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8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8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8&gt;=6,(E8+$C$3)*MAX(0,IF('01_数值调参'!$X$7&lt;=$A8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8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8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8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8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8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8&gt;=8,(F8+$C$3)*MAX(0,IF('01_数值调参'!$AD$7&lt;=$A8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8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8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8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8&gt;=10,(G8+$C$3)*MAX(0,IF('01_数值调参'!$AH$7&lt;=$A8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8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8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8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8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8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6</x:v>
      </x:c>
      <x:c r="C8" s="178" t="n">
        <x:v>2</x:v>
      </x:c>
      <x:c r="D8" s="178" t="n">
        <x:v>2</x:v>
      </x:c>
      <x:c r="E8" s="178" t="n">
        <x:v>2</x:v>
      </x:c>
      <x:c r="F8" s="178" t="n">
        <x:v>2</x:v>
      </x:c>
      <x:c r="G8" s="178" t="n">
        <x:v>2</x:v>
      </x:c>
      <x:c r="H8" s="191" t="n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E$7,"—",SUM(IF($A8&gt;=2,(C8+$C$3)*MAX(0,IF('01_数值调参'!$N$7&lt;=$A8,-'01_数值调参'!$N$18,0),IF('01_数值调参'!$O$7&lt;=$A8,-'01_数值调参'!$O$18,0),IF('01_数值调参'!$P$7&lt;=$A8,-'01_数值调参'!$P$18,0),IF('01_数值调参'!$Q$7&lt;=$A8,-'01_数值调参'!$Q$18,0),IF('01_数值调参'!$R$7&lt;=$A8,-'01_数值调参'!$R$18,0)),0),IF($A8&gt;=4,(D8+$C$3)*MAX(0,IF('01_数值调参'!$S$7&lt;=$A8,-'01_数值调参'!$S$18,0),IF('01_数值调参'!$T$7&lt;=$A8,-'01_数值调参'!$T$18,0),IF('01_数值调参'!$U$7&lt;=$A8,-'01_数值调参'!$U$18,0),IF('01_数值调参'!$V$7&lt;=$A8,-'01_数值调参'!$V$18,0),IF('01_数值调参'!$W$7&lt;=$A8,-'01_数值调参'!$W$18,0)),0),IF($A8&gt;=6,(E8+$C$3)*MAX(0,IF('01_数值调参'!$X$7&lt;=$A8,-'01_数值调参'!$X$18,0),IF('01_数值调参'!$Y$7&lt;=$A8,-'01_数值调参'!$Y$18,0),IF('01_数值调参'!$Z$7&lt;=$A8,-'01_数值调参'!$Z$18,0),IF('01_数值调参'!$AA$7&lt;=$A8,-'01_数值调参'!$AA$18,0),IF('01_数值调参'!$AB$7&lt;=$A8,-'01_数值调参'!$AB$18,0),IF('01_数值调参'!$AC$7&lt;=$A8,-'01_数值调参'!$AC$18,0)),0),IF($A8&gt;=8,(F8+$C$3)*MAX(0,IF('01_数值调参'!$AD$7&lt;=$A8,-'01_数值调参'!$AD$18,0),IF('01_数值调参'!$AE$7&lt;=$A8,-'01_数值调参'!$AE$18,0),IF('01_数值调参'!$AF$7&lt;=$A8,-'01_数值调参'!$AF$18,0),IF('01_数值调参'!$AG$7&lt;=$A8,-'01_数值调参'!$AG$18,0)),0),IF($A8&gt;=10,(G8+$C$3)*MAX(0,IF('01_数值调参'!$AH$7&lt;=$A8,-'01_数值调参'!$AH$18,0),IF('01_数值调参'!$AI$7&lt;=$A8,-'01_数值调参'!$AI$18,0),IF('01_数值调参'!$AJ$7&lt;=$A8,-'01_数值调参'!$AJ$18,0),IF('01_数值调参'!$AK$7&lt;=$A8,-'01_数值调参'!$AK$18,0),IF('01_数值调参'!$AL$7&lt;=$A8,-'01_数值调参'!$AL$18,0),IF('01_数值调参'!$AM$7&lt;=$A8,-'01_数值调参'!$AM$18,0)),0),0)),"队列待修正"))</x:f>
        <x:v>6</x:v>
      </x:c>
      <x:c r="I8" s="179" t="n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F$7,"—",SUM(IF($A8&gt;=2,(C8+$C$3)*MAX(0,IF('01_数值调参'!$N$7&lt;=$A8,-'01_数值调参'!$N$19,0),IF('01_数值调参'!$O$7&lt;=$A8,-'01_数值调参'!$O$19,0),IF('01_数值调参'!$P$7&lt;=$A8,-'01_数值调参'!$P$19,0),IF('01_数值调参'!$Q$7&lt;=$A8,-'01_数值调参'!$Q$19,0),IF('01_数值调参'!$R$7&lt;=$A8,-'01_数值调参'!$R$19,0)),0),IF($A8&gt;=4,(D8+$C$3)*MAX(0,IF('01_数值调参'!$S$7&lt;=$A8,-'01_数值调参'!$S$19,0),IF('01_数值调参'!$T$7&lt;=$A8,-'01_数值调参'!$T$19,0),IF('01_数值调参'!$U$7&lt;=$A8,-'01_数值调参'!$U$19,0),IF('01_数值调参'!$V$7&lt;=$A8,-'01_数值调参'!$V$19,0),IF('01_数值调参'!$W$7&lt;=$A8,-'01_数值调参'!$W$19,0)),0),IF($A8&gt;=6,(E8+$C$3)*MAX(0,IF('01_数值调参'!$X$7&lt;=$A8,-'01_数值调参'!$X$19,0),IF('01_数值调参'!$Y$7&lt;=$A8,-'01_数值调参'!$Y$19,0),IF('01_数值调参'!$Z$7&lt;=$A8,-'01_数值调参'!$Z$19,0),IF('01_数值调参'!$AA$7&lt;=$A8,-'01_数值调参'!$AA$19,0),IF('01_数值调参'!$AB$7&lt;=$A8,-'01_数值调参'!$AB$19,0),IF('01_数值调参'!$AC$7&lt;=$A8,-'01_数值调参'!$AC$19,0)),0),IF($A8&gt;=8,(F8+$C$3)*MAX(0,IF('01_数值调参'!$AD$7&lt;=$A8,-'01_数值调参'!$AD$19,0),IF('01_数值调参'!$AE$7&lt;=$A8,-'01_数值调参'!$AE$19,0),IF('01_数值调参'!$AF$7&lt;=$A8,-'01_数值调参'!$AF$19,0),IF('01_数值调参'!$AG$7&lt;=$A8,-'01_数值调参'!$AG$19,0)),0),IF($A8&gt;=10,(G8+$C$3)*MAX(0,IF('01_数值调参'!$AH$7&lt;=$A8,-'01_数值调参'!$AH$19,0),IF('01_数值调参'!$AI$7&lt;=$A8,-'01_数值调参'!$AI$19,0),IF('01_数值调参'!$AJ$7&lt;=$A8,-'01_数值调参'!$AJ$19,0),IF('01_数值调参'!$AK$7&lt;=$A8,-'01_数值调参'!$AK$19,0),IF('01_数值调参'!$AL$7&lt;=$A8,-'01_数值调参'!$AL$19,0),IF('01_数值调参'!$AM$7&lt;=$A8,-'01_数值调参'!$AM$19,0)),0),0)),"队列待修正"))</x:f>
        <x:v>0</x:v>
      </x:c>
      <x:c r="J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G$7,"—",SUM(IF($A8&gt;=2,(C8+$C$3)*MAX(0,IF('01_数值调参'!$N$7&lt;=$A8,-'01_数值调参'!$N$20,0),IF('01_数值调参'!$O$7&lt;=$A8,-'01_数值调参'!$O$20,0),IF('01_数值调参'!$P$7&lt;=$A8,-'01_数值调参'!$P$20,0),IF('01_数值调参'!$Q$7&lt;=$A8,-'01_数值调参'!$Q$20,0),IF('01_数值调参'!$R$7&lt;=$A8,-'01_数值调参'!$R$20,0)),0),IF($A8&gt;=4,(D8+$C$3)*MAX(0,IF('01_数值调参'!$S$7&lt;=$A8,-'01_数值调参'!$S$20,0),IF('01_数值调参'!$T$7&lt;=$A8,-'01_数值调参'!$T$20,0),IF('01_数值调参'!$U$7&lt;=$A8,-'01_数值调参'!$U$20,0),IF('01_数值调参'!$V$7&lt;=$A8,-'01_数值调参'!$V$20,0),IF('01_数值调参'!$W$7&lt;=$A8,-'01_数值调参'!$W$20,0)),0),IF($A8&gt;=6,(E8+$C$3)*MAX(0,IF('01_数值调参'!$X$7&lt;=$A8,-'01_数值调参'!$X$20,0),IF('01_数值调参'!$Y$7&lt;=$A8,-'01_数值调参'!$Y$20,0),IF('01_数值调参'!$Z$7&lt;=$A8,-'01_数值调参'!$Z$20,0),IF('01_数值调参'!$AA$7&lt;=$A8,-'01_数值调参'!$AA$20,0),IF('01_数值调参'!$AB$7&lt;=$A8,-'01_数值调参'!$AB$20,0),IF('01_数值调参'!$AC$7&lt;=$A8,-'01_数值调参'!$AC$20,0)),0),IF($A8&gt;=8,(F8+$C$3)*MAX(0,IF('01_数值调参'!$AD$7&lt;=$A8,-'01_数值调参'!$AD$20,0),IF('01_数值调参'!$AE$7&lt;=$A8,-'01_数值调参'!$AE$20,0),IF('01_数值调参'!$AF$7&lt;=$A8,-'01_数值调参'!$AF$20,0),IF('01_数值调参'!$AG$7&lt;=$A8,-'01_数值调参'!$AG$20,0)),0),IF($A8&gt;=10,(G8+$C$3)*MAX(0,IF('01_数值调参'!$AH$7&lt;=$A8,-'01_数值调参'!$AH$20,0),IF('01_数值调参'!$AI$7&lt;=$A8,-'01_数值调参'!$AI$20,0),IF('01_数值调参'!$AJ$7&lt;=$A8,-'01_数值调参'!$AJ$20,0),IF('01_数值调参'!$AK$7&lt;=$A8,-'01_数值调参'!$AK$20,0),IF('01_数值调参'!$AL$7&lt;=$A8,-'01_数值调参'!$AL$20,0),IF('01_数值调参'!$AM$7&lt;=$A8,-'01_数值调参'!$AM$20,0)),0),0)),"队列待修正"))</x:f>
        <x:v>—</x:v>
      </x:c>
      <x:c r="K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H$7,"—",SUM(IF($A8&gt;=2,(C8+$C$3)*MAX(0,IF('01_数值调参'!$N$7&lt;=$A8,-'01_数值调参'!$N$21,0),IF('01_数值调参'!$O$7&lt;=$A8,-'01_数值调参'!$O$21,0),IF('01_数值调参'!$P$7&lt;=$A8,-'01_数值调参'!$P$21,0),IF('01_数值调参'!$Q$7&lt;=$A8,-'01_数值调参'!$Q$21,0),IF('01_数值调参'!$R$7&lt;=$A8,-'01_数值调参'!$R$21,0)),0),IF($A8&gt;=4,(D8+$C$3)*MAX(0,IF('01_数值调参'!$S$7&lt;=$A8,-'01_数值调参'!$S$21,0),IF('01_数值调参'!$T$7&lt;=$A8,-'01_数值调参'!$T$21,0),IF('01_数值调参'!$U$7&lt;=$A8,-'01_数值调参'!$U$21,0),IF('01_数值调参'!$V$7&lt;=$A8,-'01_数值调参'!$V$21,0),IF('01_数值调参'!$W$7&lt;=$A8,-'01_数值调参'!$W$21,0)),0),IF($A8&gt;=6,(E8+$C$3)*MAX(0,IF('01_数值调参'!$X$7&lt;=$A8,-'01_数值调参'!$X$21,0),IF('01_数值调参'!$Y$7&lt;=$A8,-'01_数值调参'!$Y$21,0),IF('01_数值调参'!$Z$7&lt;=$A8,-'01_数值调参'!$Z$21,0),IF('01_数值调参'!$AA$7&lt;=$A8,-'01_数值调参'!$AA$21,0),IF('01_数值调参'!$AB$7&lt;=$A8,-'01_数值调参'!$AB$21,0),IF('01_数值调参'!$AC$7&lt;=$A8,-'01_数值调参'!$AC$21,0)),0),IF($A8&gt;=8,(F8+$C$3)*MAX(0,IF('01_数值调参'!$AD$7&lt;=$A8,-'01_数值调参'!$AD$21,0),IF('01_数值调参'!$AE$7&lt;=$A8,-'01_数值调参'!$AE$21,0),IF('01_数值调参'!$AF$7&lt;=$A8,-'01_数值调参'!$AF$21,0),IF('01_数值调参'!$AG$7&lt;=$A8,-'01_数值调参'!$AG$21,0)),0),IF($A8&gt;=10,(G8+$C$3)*MAX(0,IF('01_数值调参'!$AH$7&lt;=$A8,-'01_数值调参'!$AH$21,0),IF('01_数值调参'!$AI$7&lt;=$A8,-'01_数值调参'!$AI$21,0),IF('01_数值调参'!$AJ$7&lt;=$A8,-'01_数值调参'!$AJ$21,0),IF('01_数值调参'!$AK$7&lt;=$A8,-'01_数值调参'!$AK$21,0),IF('01_数值调参'!$AL$7&lt;=$A8,-'01_数值调参'!$AL$21,0),IF('01_数值调参'!$AM$7&lt;=$A8,-'01_数值调参'!$AM$21,0)),0),0)),"队列待修正"))</x:f>
        <x:v>—</x:v>
      </x:c>
      <x:c r="L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I$7,"—",SUM(IF($A8&gt;=2,(C8+$C$3)*MAX(0,IF('01_数值调参'!$N$7&lt;=$A8,-'01_数值调参'!$N$22,0),IF('01_数值调参'!$O$7&lt;=$A8,-'01_数值调参'!$O$22,0),IF('01_数值调参'!$P$7&lt;=$A8,-'01_数值调参'!$P$22,0),IF('01_数值调参'!$Q$7&lt;=$A8,-'01_数值调参'!$Q$22,0),IF('01_数值调参'!$R$7&lt;=$A8,-'01_数值调参'!$R$22,0)),0),IF($A8&gt;=4,(D8+$C$3)*MAX(0,IF('01_数值调参'!$S$7&lt;=$A8,-'01_数值调参'!$S$22,0),IF('01_数值调参'!$T$7&lt;=$A8,-'01_数值调参'!$T$22,0),IF('01_数值调参'!$U$7&lt;=$A8,-'01_数值调参'!$U$22,0),IF('01_数值调参'!$V$7&lt;=$A8,-'01_数值调参'!$V$22,0),IF('01_数值调参'!$W$7&lt;=$A8,-'01_数值调参'!$W$22,0)),0),IF($A8&gt;=6,(E8+$C$3)*MAX(0,IF('01_数值调参'!$X$7&lt;=$A8,-'01_数值调参'!$X$22,0),IF('01_数值调参'!$Y$7&lt;=$A8,-'01_数值调参'!$Y$22,0),IF('01_数值调参'!$Z$7&lt;=$A8,-'01_数值调参'!$Z$22,0),IF('01_数值调参'!$AA$7&lt;=$A8,-'01_数值调参'!$AA$22,0),IF('01_数值调参'!$AB$7&lt;=$A8,-'01_数值调参'!$AB$22,0),IF('01_数值调参'!$AC$7&lt;=$A8,-'01_数值调参'!$AC$22,0)),0),IF($A8&gt;=8,(F8+$C$3)*MAX(0,IF('01_数值调参'!$AD$7&lt;=$A8,-'01_数值调参'!$AD$22,0),IF('01_数值调参'!$AE$7&lt;=$A8,-'01_数值调参'!$AE$22,0),IF('01_数值调参'!$AF$7&lt;=$A8,-'01_数值调参'!$AF$22,0),IF('01_数值调参'!$AG$7&lt;=$A8,-'01_数值调参'!$AG$22,0)),0),IF($A8&gt;=10,(G8+$C$3)*MAX(0,IF('01_数值调参'!$AH$7&lt;=$A8,-'01_数值调参'!$AH$22,0),IF('01_数值调参'!$AI$7&lt;=$A8,-'01_数值调参'!$AI$22,0),IF('01_数值调参'!$AJ$7&lt;=$A8,-'01_数值调参'!$AJ$22,0),IF('01_数值调参'!$AK$7&lt;=$A8,-'01_数值调参'!$AK$22,0),IF('01_数值调参'!$AL$7&lt;=$A8,-'01_数值调参'!$AL$22,0),IF('01_数值调参'!$AM$7&lt;=$A8,-'01_数值调参'!$AM$22,0)),0),0)),"队列待修正"))</x:f>
        <x:v>—</x:v>
      </x:c>
      <x:c r="M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J$7,"—",SUM(IF($A8&gt;=2,(C8+$C$3)*MAX(0,IF('01_数值调参'!$N$7&lt;=$A8,-'01_数值调参'!$N$23,0),IF('01_数值调参'!$O$7&lt;=$A8,-'01_数值调参'!$O$23,0),IF('01_数值调参'!$P$7&lt;=$A8,-'01_数值调参'!$P$23,0),IF('01_数值调参'!$Q$7&lt;=$A8,-'01_数值调参'!$Q$23,0),IF('01_数值调参'!$R$7&lt;=$A8,-'01_数值调参'!$R$23,0)),0),IF($A8&gt;=4,(D8+$C$3)*MAX(0,IF('01_数值调参'!$S$7&lt;=$A8,-'01_数值调参'!$S$23,0),IF('01_数值调参'!$T$7&lt;=$A8,-'01_数值调参'!$T$23,0),IF('01_数值调参'!$U$7&lt;=$A8,-'01_数值调参'!$U$23,0),IF('01_数值调参'!$V$7&lt;=$A8,-'01_数值调参'!$V$23,0),IF('01_数值调参'!$W$7&lt;=$A8,-'01_数值调参'!$W$23,0)),0),IF($A8&gt;=6,(E8+$C$3)*MAX(0,IF('01_数值调参'!$X$7&lt;=$A8,-'01_数值调参'!$X$23,0),IF('01_数值调参'!$Y$7&lt;=$A8,-'01_数值调参'!$Y$23,0),IF('01_数值调参'!$Z$7&lt;=$A8,-'01_数值调参'!$Z$23,0),IF('01_数值调参'!$AA$7&lt;=$A8,-'01_数值调参'!$AA$23,0),IF('01_数值调参'!$AB$7&lt;=$A8,-'01_数值调参'!$AB$23,0),IF('01_数值调参'!$AC$7&lt;=$A8,-'01_数值调参'!$AC$23,0)),0),IF($A8&gt;=8,(F8+$C$3)*MAX(0,IF('01_数值调参'!$AD$7&lt;=$A8,-'01_数值调参'!$AD$23,0),IF('01_数值调参'!$AE$7&lt;=$A8,-'01_数值调参'!$AE$23,0),IF('01_数值调参'!$AF$7&lt;=$A8,-'01_数值调参'!$AF$23,0),IF('01_数值调参'!$AG$7&lt;=$A8,-'01_数值调参'!$AG$23,0)),0),IF($A8&gt;=10,(G8+$C$3)*MAX(0,IF('01_数值调参'!$AH$7&lt;=$A8,-'01_数值调参'!$AH$23,0),IF('01_数值调参'!$AI$7&lt;=$A8,-'01_数值调参'!$AI$23,0),IF('01_数值调参'!$AJ$7&lt;=$A8,-'01_数值调参'!$AJ$23,0),IF('01_数值调参'!$AK$7&lt;=$A8,-'01_数值调参'!$AK$23,0),IF('01_数值调参'!$AL$7&lt;=$A8,-'01_数值调参'!$AL$23,0),IF('01_数值调参'!$AM$7&lt;=$A8,-'01_数值调参'!$AM$23,0)),0),0)),"队列待修正"))</x:f>
        <x:v>—</x:v>
      </x:c>
      <x:c r="N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K$7,"—",SUM(IF($A8&gt;=2,(C8+$C$3)*MAX(0,IF('01_数值调参'!$N$7&lt;=$A8,-'01_数值调参'!$N$24,0),IF('01_数值调参'!$O$7&lt;=$A8,-'01_数值调参'!$O$24,0),IF('01_数值调参'!$P$7&lt;=$A8,-'01_数值调参'!$P$24,0),IF('01_数值调参'!$Q$7&lt;=$A8,-'01_数值调参'!$Q$24,0),IF('01_数值调参'!$R$7&lt;=$A8,-'01_数值调参'!$R$24,0)),0),IF($A8&gt;=4,(D8+$C$3)*MAX(0,IF('01_数值调参'!$S$7&lt;=$A8,-'01_数值调参'!$S$24,0),IF('01_数值调参'!$T$7&lt;=$A8,-'01_数值调参'!$T$24,0),IF('01_数值调参'!$U$7&lt;=$A8,-'01_数值调参'!$U$24,0),IF('01_数值调参'!$V$7&lt;=$A8,-'01_数值调参'!$V$24,0),IF('01_数值调参'!$W$7&lt;=$A8,-'01_数值调参'!$W$24,0)),0),IF($A8&gt;=6,(E8+$C$3)*MAX(0,IF('01_数值调参'!$X$7&lt;=$A8,-'01_数值调参'!$X$24,0),IF('01_数值调参'!$Y$7&lt;=$A8,-'01_数值调参'!$Y$24,0),IF('01_数值调参'!$Z$7&lt;=$A8,-'01_数值调参'!$Z$24,0),IF('01_数值调参'!$AA$7&lt;=$A8,-'01_数值调参'!$AA$24,0),IF('01_数值调参'!$AB$7&lt;=$A8,-'01_数值调参'!$AB$24,0),IF('01_数值调参'!$AC$7&lt;=$A8,-'01_数值调参'!$AC$24,0)),0),IF($A8&gt;=8,(F8+$C$3)*MAX(0,IF('01_数值调参'!$AD$7&lt;=$A8,-'01_数值调参'!$AD$24,0),IF('01_数值调参'!$AE$7&lt;=$A8,-'01_数值调参'!$AE$24,0),IF('01_数值调参'!$AF$7&lt;=$A8,-'01_数值调参'!$AF$24,0),IF('01_数值调参'!$AG$7&lt;=$A8,-'01_数值调参'!$AG$24,0)),0),IF($A8&gt;=10,(G8+$C$3)*MAX(0,IF('01_数值调参'!$AH$7&lt;=$A8,-'01_数值调参'!$AH$24,0),IF('01_数值调参'!$AI$7&lt;=$A8,-'01_数值调参'!$AI$24,0),IF('01_数值调参'!$AJ$7&lt;=$A8,-'01_数值调参'!$AJ$24,0),IF('01_数值调参'!$AK$7&lt;=$A8,-'01_数值调参'!$AK$24,0),IF('01_数值调参'!$AL$7&lt;=$A8,-'01_数值调参'!$AL$24,0),IF('01_数值调参'!$AM$7&lt;=$A8,-'01_数值调参'!$AM$24,0)),0),0)),"队列待修正"))</x:f>
        <x:v>—</x:v>
      </x:c>
      <x:c r="O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L$7,"—",SUM(IF($A8&gt;=2,(C8+$C$3)*MAX(0,IF('01_数值调参'!$N$7&lt;=$A8,-'01_数值调参'!$N$25,0),IF('01_数值调参'!$O$7&lt;=$A8,-'01_数值调参'!$O$25,0),IF('01_数值调参'!$P$7&lt;=$A8,-'01_数值调参'!$P$25,0),IF('01_数值调参'!$Q$7&lt;=$A8,-'01_数值调参'!$Q$25,0),IF('01_数值调参'!$R$7&lt;=$A8,-'01_数值调参'!$R$25,0)),0),IF($A8&gt;=4,(D8+$C$3)*MAX(0,IF('01_数值调参'!$S$7&lt;=$A8,-'01_数值调参'!$S$25,0),IF('01_数值调参'!$T$7&lt;=$A8,-'01_数值调参'!$T$25,0),IF('01_数值调参'!$U$7&lt;=$A8,-'01_数值调参'!$U$25,0),IF('01_数值调参'!$V$7&lt;=$A8,-'01_数值调参'!$V$25,0),IF('01_数值调参'!$W$7&lt;=$A8,-'01_数值调参'!$W$25,0)),0),IF($A8&gt;=6,(E8+$C$3)*MAX(0,IF('01_数值调参'!$X$7&lt;=$A8,-'01_数值调参'!$X$25,0),IF('01_数值调参'!$Y$7&lt;=$A8,-'01_数值调参'!$Y$25,0),IF('01_数值调参'!$Z$7&lt;=$A8,-'01_数值调参'!$Z$25,0),IF('01_数值调参'!$AA$7&lt;=$A8,-'01_数值调参'!$AA$25,0),IF('01_数值调参'!$AB$7&lt;=$A8,-'01_数值调参'!$AB$25,0),IF('01_数值调参'!$AC$7&lt;=$A8,-'01_数值调参'!$AC$25,0)),0),IF($A8&gt;=8,(F8+$C$3)*MAX(0,IF('01_数值调参'!$AD$7&lt;=$A8,-'01_数值调参'!$AD$25,0),IF('01_数值调参'!$AE$7&lt;=$A8,-'01_数值调参'!$AE$25,0),IF('01_数值调参'!$AF$7&lt;=$A8,-'01_数值调参'!$AF$25,0),IF('01_数值调参'!$AG$7&lt;=$A8,-'01_数值调参'!$AG$25,0)),0),IF($A8&gt;=10,(G8+$C$3)*MAX(0,IF('01_数值调参'!$AH$7&lt;=$A8,-'01_数值调参'!$AH$25,0),IF('01_数值调参'!$AI$7&lt;=$A8,-'01_数值调参'!$AI$25,0),IF('01_数值调参'!$AJ$7&lt;=$A8,-'01_数值调参'!$AJ$25,0),IF('01_数值调参'!$AK$7&lt;=$A8,-'01_数值调参'!$AK$25,0),IF('01_数值调参'!$AL$7&lt;=$A8,-'01_数值调参'!$AL$25,0),IF('01_数值调参'!$AM$7&lt;=$A8,-'01_数值调参'!$AM$25,0)),0),0)),"队列待修正"))</x:f>
        <x:v>—</x:v>
      </x:c>
      <x:c r="P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M$7,"—",SUM(IF($A8&gt;=2,(C8+$C$3)*MAX(0,IF('01_数值调参'!$N$7&lt;=$A8,-'01_数值调参'!$N$26,0),IF('01_数值调参'!$O$7&lt;=$A8,-'01_数值调参'!$O$26,0),IF('01_数值调参'!$P$7&lt;=$A8,-'01_数值调参'!$P$26,0),IF('01_数值调参'!$Q$7&lt;=$A8,-'01_数值调参'!$Q$26,0),IF('01_数值调参'!$R$7&lt;=$A8,-'01_数值调参'!$R$26,0)),0),IF($A8&gt;=4,(D8+$C$3)*MAX(0,IF('01_数值调参'!$S$7&lt;=$A8,-'01_数值调参'!$S$26,0),IF('01_数值调参'!$T$7&lt;=$A8,-'01_数值调参'!$T$26,0),IF('01_数值调参'!$U$7&lt;=$A8,-'01_数值调参'!$U$26,0),IF('01_数值调参'!$V$7&lt;=$A8,-'01_数值调参'!$V$26,0),IF('01_数值调参'!$W$7&lt;=$A8,-'01_数值调参'!$W$26,0)),0),IF($A8&gt;=6,(E8+$C$3)*MAX(0,IF('01_数值调参'!$X$7&lt;=$A8,-'01_数值调参'!$X$26,0),IF('01_数值调参'!$Y$7&lt;=$A8,-'01_数值调参'!$Y$26,0),IF('01_数值调参'!$Z$7&lt;=$A8,-'01_数值调参'!$Z$26,0),IF('01_数值调参'!$AA$7&lt;=$A8,-'01_数值调参'!$AA$26,0),IF('01_数值调参'!$AB$7&lt;=$A8,-'01_数值调参'!$AB$26,0),IF('01_数值调参'!$AC$7&lt;=$A8,-'01_数值调参'!$AC$26,0)),0),IF($A8&gt;=8,(F8+$C$3)*MAX(0,IF('01_数值调参'!$AD$7&lt;=$A8,-'01_数值调参'!$AD$26,0),IF('01_数值调参'!$AE$7&lt;=$A8,-'01_数值调参'!$AE$26,0),IF('01_数值调参'!$AF$7&lt;=$A8,-'01_数值调参'!$AF$26,0),IF('01_数值调参'!$AG$7&lt;=$A8,-'01_数值调参'!$AG$26,0)),0),IF($A8&gt;=10,(G8+$C$3)*MAX(0,IF('01_数值调参'!$AH$7&lt;=$A8,-'01_数值调参'!$AH$26,0),IF('01_数值调参'!$AI$7&lt;=$A8,-'01_数值调参'!$AI$26,0),IF('01_数值调参'!$AJ$7&lt;=$A8,-'01_数值调参'!$AJ$26,0),IF('01_数值调参'!$AK$7&lt;=$A8,-'01_数值调参'!$AK$26,0),IF('01_数值调参'!$AL$7&lt;=$A8,-'01_数值调参'!$AL$26,0),IF('01_数值调参'!$AM$7&lt;=$A8,-'01_数值调参'!$AM$26,0)),0),0)),"队列待修正"))</x:f>
        <x:v>—</x:v>
      </x:c>
      <x:c r="Q8" s="191" t="n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N$7,"—",SUM(IF($A8&gt;=2,(C8+$C$3)*MAX(0,IF('01_数值调参'!$N$7&lt;=$A8,0,0),IF('01_数值调参'!$O$7&lt;=$A8,-'01_数值调参'!$O$27,0),IF('01_数值调参'!$P$7&lt;=$A8,-'01_数值调参'!$P$27,0),IF('01_数值调参'!$Q$7&lt;=$A8,-'01_数值调参'!$Q$27,0),IF('01_数值调参'!$R$7&lt;=$A8,-'01_数值调参'!$R$27,0)),0),IF($A8&gt;=4,(D8+$C$3)*MAX(0,IF('01_数值调参'!$S$7&lt;=$A8,-'01_数值调参'!$S$27,0),IF('01_数值调参'!$T$7&lt;=$A8,-'01_数值调参'!$T$27,0),IF('01_数值调参'!$U$7&lt;=$A8,-'01_数值调参'!$U$27,0),IF('01_数值调参'!$V$7&lt;=$A8,-'01_数值调参'!$V$27,0),IF('01_数值调参'!$W$7&lt;=$A8,-'01_数值调参'!$W$27,0)),0),IF($A8&gt;=6,(E8+$C$3)*MAX(0,IF('01_数值调参'!$X$7&lt;=$A8,-'01_数值调参'!$X$27,0),IF('01_数值调参'!$Y$7&lt;=$A8,-'01_数值调参'!$Y$27,0),IF('01_数值调参'!$Z$7&lt;=$A8,-'01_数值调参'!$Z$27,0),IF('01_数值调参'!$AA$7&lt;=$A8,-'01_数值调参'!$AA$27,0),IF('01_数值调参'!$AB$7&lt;=$A8,-'01_数值调参'!$AB$27,0),IF('01_数值调参'!$AC$7&lt;=$A8,-'01_数值调参'!$AC$27,0)),0),IF($A8&gt;=8,(F8+$C$3)*MAX(0,IF('01_数值调参'!$AD$7&lt;=$A8,-'01_数值调参'!$AD$27,0),IF('01_数值调参'!$AE$7&lt;=$A8,-'01_数值调参'!$AE$27,0),IF('01_数值调参'!$AF$7&lt;=$A8,-'01_数值调参'!$AF$27,0),IF('01_数值调参'!$AG$7&lt;=$A8,-'01_数值调参'!$AG$27,0)),0),IF($A8&gt;=10,(G8+$C$3)*MAX(0,IF('01_数值调参'!$AH$7&lt;=$A8,-'01_数值调参'!$AH$27,0),IF('01_数值调参'!$AI$7&lt;=$A8,-'01_数值调参'!$AI$27,0),IF('01_数值调参'!$AJ$7&lt;=$A8,-'01_数值调参'!$AJ$27,0),IF('01_数值调参'!$AK$7&lt;=$A8,-'01_数值调参'!$AK$27,0),IF('01_数值调参'!$AL$7&lt;=$A8,-'01_数值调参'!$AL$27,0),IF('01_数值调参'!$AM$7&lt;=$A8,-'01_数值调参'!$AM$27,0)),0),0)),"队列待修正"))</x:f>
        <x:v>0</x:v>
      </x:c>
      <x:c r="R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O$7,"—",SUM(IF($A8&gt;=2,(C8+$C$3)*MAX(0,IF('01_数值调参'!$N$7&lt;=$A8,-'01_数值调参'!$N$28,0),IF('01_数值调参'!$O$7&lt;=$A8,0,0),IF('01_数值调参'!$P$7&lt;=$A8,-'01_数值调参'!$P$28,0),IF('01_数值调参'!$Q$7&lt;=$A8,-'01_数值调参'!$Q$28,0),IF('01_数值调参'!$R$7&lt;=$A8,-'01_数值调参'!$R$28,0)),0),IF($A8&gt;=4,(D8+$C$3)*MAX(0,IF('01_数值调参'!$S$7&lt;=$A8,-'01_数值调参'!$S$28,0),IF('01_数值调参'!$T$7&lt;=$A8,-'01_数值调参'!$T$28,0),IF('01_数值调参'!$U$7&lt;=$A8,-'01_数值调参'!$U$28,0),IF('01_数值调参'!$V$7&lt;=$A8,-'01_数值调参'!$V$28,0),IF('01_数值调参'!$W$7&lt;=$A8,-'01_数值调参'!$W$28,0)),0),IF($A8&gt;=6,(E8+$C$3)*MAX(0,IF('01_数值调参'!$X$7&lt;=$A8,-'01_数值调参'!$X$28,0),IF('01_数值调参'!$Y$7&lt;=$A8,-'01_数值调参'!$Y$28,0),IF('01_数值调参'!$Z$7&lt;=$A8,-'01_数值调参'!$Z$28,0),IF('01_数值调参'!$AA$7&lt;=$A8,-'01_数值调参'!$AA$28,0),IF('01_数值调参'!$AB$7&lt;=$A8,-'01_数值调参'!$AB$28,0),IF('01_数值调参'!$AC$7&lt;=$A8,-'01_数值调参'!$AC$28,0)),0),IF($A8&gt;=8,(F8+$C$3)*MAX(0,IF('01_数值调参'!$AD$7&lt;=$A8,-'01_数值调参'!$AD$28,0),IF('01_数值调参'!$AE$7&lt;=$A8,-'01_数值调参'!$AE$28,0),IF('01_数值调参'!$AF$7&lt;=$A8,-'01_数值调参'!$AF$28,0),IF('01_数值调参'!$AG$7&lt;=$A8,-'01_数值调参'!$AG$28,0)),0),IF($A8&gt;=10,(G8+$C$3)*MAX(0,IF('01_数值调参'!$AH$7&lt;=$A8,-'01_数值调参'!$AH$28,0),IF('01_数值调参'!$AI$7&lt;=$A8,-'01_数值调参'!$AI$28,0),IF('01_数值调参'!$AJ$7&lt;=$A8,-'01_数值调参'!$AJ$28,0),IF('01_数值调参'!$AK$7&lt;=$A8,-'01_数值调参'!$AK$28,0),IF('01_数值调参'!$AL$7&lt;=$A8,-'01_数值调参'!$AL$28,0),IF('01_数值调参'!$AM$7&lt;=$A8,-'01_数值调参'!$AM$28,0)),0),0)),"队列待修正"))</x:f>
        <x:v>—</x:v>
      </x:c>
      <x:c r="S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P$7,"—",SUM(IF($A8&gt;=2,(C8+$C$3)*MAX(0,IF('01_数值调参'!$N$7&lt;=$A8,-'01_数值调参'!$N$29,0),IF('01_数值调参'!$O$7&lt;=$A8,-'01_数值调参'!$O$29,0),IF('01_数值调参'!$P$7&lt;=$A8,0,0),IF('01_数值调参'!$Q$7&lt;=$A8,-'01_数值调参'!$Q$29,0),IF('01_数值调参'!$R$7&lt;=$A8,-'01_数值调参'!$R$29,0)),0),IF($A8&gt;=4,(D8+$C$3)*MAX(0,IF('01_数值调参'!$S$7&lt;=$A8,-'01_数值调参'!$S$29,0),IF('01_数值调参'!$T$7&lt;=$A8,-'01_数值调参'!$T$29,0),IF('01_数值调参'!$U$7&lt;=$A8,-'01_数值调参'!$U$29,0),IF('01_数值调参'!$V$7&lt;=$A8,-'01_数值调参'!$V$29,0),IF('01_数值调参'!$W$7&lt;=$A8,-'01_数值调参'!$W$29,0)),0),IF($A8&gt;=6,(E8+$C$3)*MAX(0,IF('01_数值调参'!$X$7&lt;=$A8,-'01_数值调参'!$X$29,0),IF('01_数值调参'!$Y$7&lt;=$A8,-'01_数值调参'!$Y$29,0),IF('01_数值调参'!$Z$7&lt;=$A8,-'01_数值调参'!$Z$29,0),IF('01_数值调参'!$AA$7&lt;=$A8,-'01_数值调参'!$AA$29,0),IF('01_数值调参'!$AB$7&lt;=$A8,-'01_数值调参'!$AB$29,0),IF('01_数值调参'!$AC$7&lt;=$A8,-'01_数值调参'!$AC$29,0)),0),IF($A8&gt;=8,(F8+$C$3)*MAX(0,IF('01_数值调参'!$AD$7&lt;=$A8,-'01_数值调参'!$AD$29,0),IF('01_数值调参'!$AE$7&lt;=$A8,-'01_数值调参'!$AE$29,0),IF('01_数值调参'!$AF$7&lt;=$A8,-'01_数值调参'!$AF$29,0),IF('01_数值调参'!$AG$7&lt;=$A8,-'01_数值调参'!$AG$29,0)),0),IF($A8&gt;=10,(G8+$C$3)*MAX(0,IF('01_数值调参'!$AH$7&lt;=$A8,-'01_数值调参'!$AH$29,0),IF('01_数值调参'!$AI$7&lt;=$A8,-'01_数值调参'!$AI$29,0),IF('01_数值调参'!$AJ$7&lt;=$A8,-'01_数值调参'!$AJ$29,0),IF('01_数值调参'!$AK$7&lt;=$A8,-'01_数值调参'!$AK$29,0),IF('01_数值调参'!$AL$7&lt;=$A8,-'01_数值调参'!$AL$29,0),IF('01_数值调参'!$AM$7&lt;=$A8,-'01_数值调参'!$AM$29,0)),0),0)),"队列待修正"))</x:f>
        <x:v>—</x:v>
      </x:c>
      <x:c r="T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Q$7,"—",SUM(IF($A8&gt;=2,(C8+$C$3)*MAX(0,IF('01_数值调参'!$N$7&lt;=$A8,-'01_数值调参'!$N$30,0),IF('01_数值调参'!$O$7&lt;=$A8,-'01_数值调参'!$O$30,0),IF('01_数值调参'!$P$7&lt;=$A8,-'01_数值调参'!$P$30,0),IF('01_数值调参'!$Q$7&lt;=$A8,0,0),IF('01_数值调参'!$R$7&lt;=$A8,-'01_数值调参'!$R$30,0)),0),IF($A8&gt;=4,(D8+$C$3)*MAX(0,IF('01_数值调参'!$S$7&lt;=$A8,-'01_数值调参'!$S$30,0),IF('01_数值调参'!$T$7&lt;=$A8,-'01_数值调参'!$T$30,0),IF('01_数值调参'!$U$7&lt;=$A8,-'01_数值调参'!$U$30,0),IF('01_数值调参'!$V$7&lt;=$A8,-'01_数值调参'!$V$30,0),IF('01_数值调参'!$W$7&lt;=$A8,-'01_数值调参'!$W$30,0)),0),IF($A8&gt;=6,(E8+$C$3)*MAX(0,IF('01_数值调参'!$X$7&lt;=$A8,-'01_数值调参'!$X$30,0),IF('01_数值调参'!$Y$7&lt;=$A8,-'01_数值调参'!$Y$30,0),IF('01_数值调参'!$Z$7&lt;=$A8,-'01_数值调参'!$Z$30,0),IF('01_数值调参'!$AA$7&lt;=$A8,-'01_数值调参'!$AA$30,0),IF('01_数值调参'!$AB$7&lt;=$A8,-'01_数值调参'!$AB$30,0),IF('01_数值调参'!$AC$7&lt;=$A8,-'01_数值调参'!$AC$30,0)),0),IF($A8&gt;=8,(F8+$C$3)*MAX(0,IF('01_数值调参'!$AD$7&lt;=$A8,-'01_数值调参'!$AD$30,0),IF('01_数值调参'!$AE$7&lt;=$A8,-'01_数值调参'!$AE$30,0),IF('01_数值调参'!$AF$7&lt;=$A8,-'01_数值调参'!$AF$30,0),IF('01_数值调参'!$AG$7&lt;=$A8,-'01_数值调参'!$AG$30,0)),0),IF($A8&gt;=10,(G8+$C$3)*MAX(0,IF('01_数值调参'!$AH$7&lt;=$A8,-'01_数值调参'!$AH$30,0),IF('01_数值调参'!$AI$7&lt;=$A8,-'01_数值调参'!$AI$30,0),IF('01_数值调参'!$AJ$7&lt;=$A8,-'01_数值调参'!$AJ$30,0),IF('01_数值调参'!$AK$7&lt;=$A8,-'01_数值调参'!$AK$30,0),IF('01_数值调参'!$AL$7&lt;=$A8,-'01_数值调参'!$AL$30,0),IF('01_数值调参'!$AM$7&lt;=$A8,-'01_数值调参'!$AM$30,0)),0),0)),"队列待修正"))</x:f>
        <x:v>—</x:v>
      </x:c>
      <x:c r="U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R$7,"—",SUM(IF($A8&gt;=2,(C8+$C$3)*MAX(0,IF('01_数值调参'!$N$7&lt;=$A8,-'01_数值调参'!$N$31,0),IF('01_数值调参'!$O$7&lt;=$A8,-'01_数值调参'!$O$31,0),IF('01_数值调参'!$P$7&lt;=$A8,-'01_数值调参'!$P$31,0),IF('01_数值调参'!$Q$7&lt;=$A8,-'01_数值调参'!$Q$31,0),IF('01_数值调参'!$R$7&lt;=$A8,0,0)),0),IF($A8&gt;=4,(D8+$C$3)*MAX(0,IF('01_数值调参'!$S$7&lt;=$A8,-'01_数值调参'!$S$31,0),IF('01_数值调参'!$T$7&lt;=$A8,-'01_数值调参'!$T$31,0),IF('01_数值调参'!$U$7&lt;=$A8,-'01_数值调参'!$U$31,0),IF('01_数值调参'!$V$7&lt;=$A8,-'01_数值调参'!$V$31,0),IF('01_数值调参'!$W$7&lt;=$A8,-'01_数值调参'!$W$31,0)),0),IF($A8&gt;=6,(E8+$C$3)*MAX(0,IF('01_数值调参'!$X$7&lt;=$A8,-'01_数值调参'!$X$31,0),IF('01_数值调参'!$Y$7&lt;=$A8,-'01_数值调参'!$Y$31,0),IF('01_数值调参'!$Z$7&lt;=$A8,-'01_数值调参'!$Z$31,0),IF('01_数值调参'!$AA$7&lt;=$A8,-'01_数值调参'!$AA$31,0),IF('01_数值调参'!$AB$7&lt;=$A8,-'01_数值调参'!$AB$31,0),IF('01_数值调参'!$AC$7&lt;=$A8,-'01_数值调参'!$AC$31,0)),0),IF($A8&gt;=8,(F8+$C$3)*MAX(0,IF('01_数值调参'!$AD$7&lt;=$A8,-'01_数值调参'!$AD$31,0),IF('01_数值调参'!$AE$7&lt;=$A8,-'01_数值调参'!$AE$31,0),IF('01_数值调参'!$AF$7&lt;=$A8,-'01_数值调参'!$AF$31,0),IF('01_数值调参'!$AG$7&lt;=$A8,-'01_数值调参'!$AG$31,0)),0),IF($A8&gt;=10,(G8+$C$3)*MAX(0,IF('01_数值调参'!$AH$7&lt;=$A8,-'01_数值调参'!$AH$31,0),IF('01_数值调参'!$AI$7&lt;=$A8,-'01_数值调参'!$AI$31,0),IF('01_数值调参'!$AJ$7&lt;=$A8,-'01_数值调参'!$AJ$31,0),IF('01_数值调参'!$AK$7&lt;=$A8,-'01_数值调参'!$AK$31,0),IF('01_数值调参'!$AL$7&lt;=$A8,-'01_数值调参'!$AL$31,0),IF('01_数值调参'!$AM$7&lt;=$A8,-'01_数值调参'!$AM$31,0)),0),0)),"队列待修正"))</x:f>
        <x:v>—</x:v>
      </x:c>
      <x:c r="V8" s="191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S$7,"—",SUM(IF($A8&gt;=2,(C8+$C$3)*MAX(0,IF('01_数值调参'!$N$7&lt;=$A8,-'01_数值调参'!$N$32,0),IF('01_数值调参'!$O$7&lt;=$A8,-'01_数值调参'!$O$32,0),IF('01_数值调参'!$P$7&lt;=$A8,-'01_数值调参'!$P$32,0),IF('01_数值调参'!$Q$7&lt;=$A8,-'01_数值调参'!$Q$32,0),IF('01_数值调参'!$R$7&lt;=$A8,-'01_数值调参'!$R$32,0)),0),IF($A8&gt;=4,(D8+$C$3)*MAX(0,IF('01_数值调参'!$S$7&lt;=$A8,0,0),IF('01_数值调参'!$T$7&lt;=$A8,-'01_数值调参'!$T$32,0),IF('01_数值调参'!$U$7&lt;=$A8,-'01_数值调参'!$U$32,0),IF('01_数值调参'!$V$7&lt;=$A8,-'01_数值调参'!$V$32,0),IF('01_数值调参'!$W$7&lt;=$A8,-'01_数值调参'!$W$32,0)),0),IF($A8&gt;=6,(E8+$C$3)*MAX(0,IF('01_数值调参'!$X$7&lt;=$A8,-'01_数值调参'!$X$32,0),IF('01_数值调参'!$Y$7&lt;=$A8,-'01_数值调参'!$Y$32,0),IF('01_数值调参'!$Z$7&lt;=$A8,-'01_数值调参'!$Z$32,0),IF('01_数值调参'!$AA$7&lt;=$A8,-'01_数值调参'!$AA$32,0),IF('01_数值调参'!$AB$7&lt;=$A8,-'01_数值调参'!$AB$32,0),IF('01_数值调参'!$AC$7&lt;=$A8,-'01_数值调参'!$AC$32,0)),0),IF($A8&gt;=8,(F8+$C$3)*MAX(0,IF('01_数值调参'!$AD$7&lt;=$A8,-'01_数值调参'!$AD$32,0),IF('01_数值调参'!$AE$7&lt;=$A8,-'01_数值调参'!$AE$32,0),IF('01_数值调参'!$AF$7&lt;=$A8,-'01_数值调参'!$AF$32,0),IF('01_数值调参'!$AG$7&lt;=$A8,-'01_数值调参'!$AG$32,0)),0),IF($A8&gt;=10,(G8+$C$3)*MAX(0,IF('01_数值调参'!$AH$7&lt;=$A8,-'01_数值调参'!$AH$32,0),IF('01_数值调参'!$AI$7&lt;=$A8,-'01_数值调参'!$AI$32,0),IF('01_数值调参'!$AJ$7&lt;=$A8,-'01_数值调参'!$AJ$32,0),IF('01_数值调参'!$AK$7&lt;=$A8,-'01_数值调参'!$AK$32,0),IF('01_数值调参'!$AL$7&lt;=$A8,-'01_数值调参'!$AL$32,0),IF('01_数值调参'!$AM$7&lt;=$A8,-'01_数值调参'!$AM$32,0)),0),0)),"队列待修正"))</x:f>
        <x:v>—</x:v>
      </x:c>
      <x:c r="W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T$7,"—",SUM(IF($A8&gt;=2,(C8+$C$3)*MAX(0,IF('01_数值调参'!$N$7&lt;=$A8,-'01_数值调参'!$N$33,0),IF('01_数值调参'!$O$7&lt;=$A8,-'01_数值调参'!$O$33,0),IF('01_数值调参'!$P$7&lt;=$A8,-'01_数值调参'!$P$33,0),IF('01_数值调参'!$Q$7&lt;=$A8,-'01_数值调参'!$Q$33,0),IF('01_数值调参'!$R$7&lt;=$A8,-'01_数值调参'!$R$33,0)),0),IF($A8&gt;=4,(D8+$C$3)*MAX(0,IF('01_数值调参'!$S$7&lt;=$A8,-'01_数值调参'!$S$33,0),IF('01_数值调参'!$T$7&lt;=$A8,0,0),IF('01_数值调参'!$U$7&lt;=$A8,-'01_数值调参'!$U$33,0),IF('01_数值调参'!$V$7&lt;=$A8,-'01_数值调参'!$V$33,0),IF('01_数值调参'!$W$7&lt;=$A8,-'01_数值调参'!$W$33,0)),0),IF($A8&gt;=6,(E8+$C$3)*MAX(0,IF('01_数值调参'!$X$7&lt;=$A8,-'01_数值调参'!$X$33,0),IF('01_数值调参'!$Y$7&lt;=$A8,-'01_数值调参'!$Y$33,0),IF('01_数值调参'!$Z$7&lt;=$A8,-'01_数值调参'!$Z$33,0),IF('01_数值调参'!$AA$7&lt;=$A8,-'01_数值调参'!$AA$33,0),IF('01_数值调参'!$AB$7&lt;=$A8,-'01_数值调参'!$AB$33,0),IF('01_数值调参'!$AC$7&lt;=$A8,-'01_数值调参'!$AC$33,0)),0),IF($A8&gt;=8,(F8+$C$3)*MAX(0,IF('01_数值调参'!$AD$7&lt;=$A8,-'01_数值调参'!$AD$33,0),IF('01_数值调参'!$AE$7&lt;=$A8,-'01_数值调参'!$AE$33,0),IF('01_数值调参'!$AF$7&lt;=$A8,-'01_数值调参'!$AF$33,0),IF('01_数值调参'!$AG$7&lt;=$A8,-'01_数值调参'!$AG$33,0)),0),IF($A8&gt;=10,(G8+$C$3)*MAX(0,IF('01_数值调参'!$AH$7&lt;=$A8,-'01_数值调参'!$AH$33,0),IF('01_数值调参'!$AI$7&lt;=$A8,-'01_数值调参'!$AI$33,0),IF('01_数值调参'!$AJ$7&lt;=$A8,-'01_数值调参'!$AJ$33,0),IF('01_数值调参'!$AK$7&lt;=$A8,-'01_数值调参'!$AK$33,0),IF('01_数值调参'!$AL$7&lt;=$A8,-'01_数值调参'!$AL$33,0),IF('01_数值调参'!$AM$7&lt;=$A8,-'01_数值调参'!$AM$33,0)),0),0)),"队列待修正"))</x:f>
        <x:v>—</x:v>
      </x:c>
      <x:c r="X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U$7,"—",SUM(IF($A8&gt;=2,(C8+$C$3)*MAX(0,IF('01_数值调参'!$N$7&lt;=$A8,-'01_数值调参'!$N$34,0),IF('01_数值调参'!$O$7&lt;=$A8,-'01_数值调参'!$O$34,0),IF('01_数值调参'!$P$7&lt;=$A8,-'01_数值调参'!$P$34,0),IF('01_数值调参'!$Q$7&lt;=$A8,-'01_数值调参'!$Q$34,0),IF('01_数值调参'!$R$7&lt;=$A8,-'01_数值调参'!$R$34,0)),0),IF($A8&gt;=4,(D8+$C$3)*MAX(0,IF('01_数值调参'!$S$7&lt;=$A8,-'01_数值调参'!$S$34,0),IF('01_数值调参'!$T$7&lt;=$A8,-'01_数值调参'!$T$34,0),IF('01_数值调参'!$U$7&lt;=$A8,0,0),IF('01_数值调参'!$V$7&lt;=$A8,-'01_数值调参'!$V$34,0),IF('01_数值调参'!$W$7&lt;=$A8,-'01_数值调参'!$W$34,0)),0),IF($A8&gt;=6,(E8+$C$3)*MAX(0,IF('01_数值调参'!$X$7&lt;=$A8,-'01_数值调参'!$X$34,0),IF('01_数值调参'!$Y$7&lt;=$A8,-'01_数值调参'!$Y$34,0),IF('01_数值调参'!$Z$7&lt;=$A8,-'01_数值调参'!$Z$34,0),IF('01_数值调参'!$AA$7&lt;=$A8,-'01_数值调参'!$AA$34,0),IF('01_数值调参'!$AB$7&lt;=$A8,-'01_数值调参'!$AB$34,0),IF('01_数值调参'!$AC$7&lt;=$A8,-'01_数值调参'!$AC$34,0)),0),IF($A8&gt;=8,(F8+$C$3)*MAX(0,IF('01_数值调参'!$AD$7&lt;=$A8,-'01_数值调参'!$AD$34,0),IF('01_数值调参'!$AE$7&lt;=$A8,-'01_数值调参'!$AE$34,0),IF('01_数值调参'!$AF$7&lt;=$A8,-'01_数值调参'!$AF$34,0),IF('01_数值调参'!$AG$7&lt;=$A8,-'01_数值调参'!$AG$34,0)),0),IF($A8&gt;=10,(G8+$C$3)*MAX(0,IF('01_数值调参'!$AH$7&lt;=$A8,-'01_数值调参'!$AH$34,0),IF('01_数值调参'!$AI$7&lt;=$A8,-'01_数值调参'!$AI$34,0),IF('01_数值调参'!$AJ$7&lt;=$A8,-'01_数值调参'!$AJ$34,0),IF('01_数值调参'!$AK$7&lt;=$A8,-'01_数值调参'!$AK$34,0),IF('01_数值调参'!$AL$7&lt;=$A8,-'01_数值调参'!$AL$34,0),IF('01_数值调参'!$AM$7&lt;=$A8,-'01_数值调参'!$AM$34,0)),0),0)),"队列待修正"))</x:f>
        <x:v>—</x:v>
      </x:c>
      <x:c r="Y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V$7,"—",SUM(IF($A8&gt;=2,(C8+$C$3)*MAX(0,IF('01_数值调参'!$N$7&lt;=$A8,-'01_数值调参'!$N$35,0),IF('01_数值调参'!$O$7&lt;=$A8,-'01_数值调参'!$O$35,0),IF('01_数值调参'!$P$7&lt;=$A8,-'01_数值调参'!$P$35,0),IF('01_数值调参'!$Q$7&lt;=$A8,-'01_数值调参'!$Q$35,0),IF('01_数值调参'!$R$7&lt;=$A8,-'01_数值调参'!$R$35,0)),0),IF($A8&gt;=4,(D8+$C$3)*MAX(0,IF('01_数值调参'!$S$7&lt;=$A8,-'01_数值调参'!$S$35,0),IF('01_数值调参'!$T$7&lt;=$A8,-'01_数值调参'!$T$35,0),IF('01_数值调参'!$U$7&lt;=$A8,-'01_数值调参'!$U$35,0),IF('01_数值调参'!$V$7&lt;=$A8,0,0),IF('01_数值调参'!$W$7&lt;=$A8,-'01_数值调参'!$W$35,0)),0),IF($A8&gt;=6,(E8+$C$3)*MAX(0,IF('01_数值调参'!$X$7&lt;=$A8,-'01_数值调参'!$X$35,0),IF('01_数值调参'!$Y$7&lt;=$A8,-'01_数值调参'!$Y$35,0),IF('01_数值调参'!$Z$7&lt;=$A8,-'01_数值调参'!$Z$35,0),IF('01_数值调参'!$AA$7&lt;=$A8,-'01_数值调参'!$AA$35,0),IF('01_数值调参'!$AB$7&lt;=$A8,-'01_数值调参'!$AB$35,0),IF('01_数值调参'!$AC$7&lt;=$A8,-'01_数值调参'!$AC$35,0)),0),IF($A8&gt;=8,(F8+$C$3)*MAX(0,IF('01_数值调参'!$AD$7&lt;=$A8,-'01_数值调参'!$AD$35,0),IF('01_数值调参'!$AE$7&lt;=$A8,-'01_数值调参'!$AE$35,0),IF('01_数值调参'!$AF$7&lt;=$A8,-'01_数值调参'!$AF$35,0),IF('01_数值调参'!$AG$7&lt;=$A8,-'01_数值调参'!$AG$35,0)),0),IF($A8&gt;=10,(G8+$C$3)*MAX(0,IF('01_数值调参'!$AH$7&lt;=$A8,-'01_数值调参'!$AH$35,0),IF('01_数值调参'!$AI$7&lt;=$A8,-'01_数值调参'!$AI$35,0),IF('01_数值调参'!$AJ$7&lt;=$A8,-'01_数值调参'!$AJ$35,0),IF('01_数值调参'!$AK$7&lt;=$A8,-'01_数值调参'!$AK$35,0),IF('01_数值调参'!$AL$7&lt;=$A8,-'01_数值调参'!$AL$35,0),IF('01_数值调参'!$AM$7&lt;=$A8,-'01_数值调参'!$AM$35,0)),0),0)),"队列待修正"))</x:f>
        <x:v>—</x:v>
      </x:c>
      <x:c r="Z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W$7,"—",SUM(IF($A8&gt;=2,(C8+$C$3)*MAX(0,IF('01_数值调参'!$N$7&lt;=$A8,-'01_数值调参'!$N$36,0),IF('01_数值调参'!$O$7&lt;=$A8,-'01_数值调参'!$O$36,0),IF('01_数值调参'!$P$7&lt;=$A8,-'01_数值调参'!$P$36,0),IF('01_数值调参'!$Q$7&lt;=$A8,-'01_数值调参'!$Q$36,0),IF('01_数值调参'!$R$7&lt;=$A8,-'01_数值调参'!$R$36,0)),0),IF($A8&gt;=4,(D8+$C$3)*MAX(0,IF('01_数值调参'!$S$7&lt;=$A8,-'01_数值调参'!$S$36,0),IF('01_数值调参'!$T$7&lt;=$A8,-'01_数值调参'!$T$36,0),IF('01_数值调参'!$U$7&lt;=$A8,-'01_数值调参'!$U$36,0),IF('01_数值调参'!$V$7&lt;=$A8,-'01_数值调参'!$V$36,0),IF('01_数值调参'!$W$7&lt;=$A8,0,0)),0),IF($A8&gt;=6,(E8+$C$3)*MAX(0,IF('01_数值调参'!$X$7&lt;=$A8,-'01_数值调参'!$X$36,0),IF('01_数值调参'!$Y$7&lt;=$A8,-'01_数值调参'!$Y$36,0),IF('01_数值调参'!$Z$7&lt;=$A8,-'01_数值调参'!$Z$36,0),IF('01_数值调参'!$AA$7&lt;=$A8,-'01_数值调参'!$AA$36,0),IF('01_数值调参'!$AB$7&lt;=$A8,-'01_数值调参'!$AB$36,0),IF('01_数值调参'!$AC$7&lt;=$A8,-'01_数值调参'!$AC$36,0)),0),IF($A8&gt;=8,(F8+$C$3)*MAX(0,IF('01_数值调参'!$AD$7&lt;=$A8,-'01_数值调参'!$AD$36,0),IF('01_数值调参'!$AE$7&lt;=$A8,-'01_数值调参'!$AE$36,0),IF('01_数值调参'!$AF$7&lt;=$A8,-'01_数值调参'!$AF$36,0),IF('01_数值调参'!$AG$7&lt;=$A8,-'01_数值调参'!$AG$36,0)),0),IF($A8&gt;=10,(G8+$C$3)*MAX(0,IF('01_数值调参'!$AH$7&lt;=$A8,-'01_数值调参'!$AH$36,0),IF('01_数值调参'!$AI$7&lt;=$A8,-'01_数值调参'!$AI$36,0),IF('01_数值调参'!$AJ$7&lt;=$A8,-'01_数值调参'!$AJ$36,0),IF('01_数值调参'!$AK$7&lt;=$A8,-'01_数值调参'!$AK$36,0),IF('01_数值调参'!$AL$7&lt;=$A8,-'01_数值调参'!$AL$36,0),IF('01_数值调参'!$AM$7&lt;=$A8,-'01_数值调参'!$AM$36,0)),0),0)),"队列待修正"))</x:f>
        <x:v>—</x:v>
      </x:c>
      <x:c r="AA8" s="191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X$7,"—",SUM(IF($A8&gt;=2,(C8+$C$3)*MAX(0,IF('01_数值调参'!$N$7&lt;=$A8,-'01_数值调参'!$N$37,0),IF('01_数值调参'!$O$7&lt;=$A8,-'01_数值调参'!$O$37,0),IF('01_数值调参'!$P$7&lt;=$A8,-'01_数值调参'!$P$37,0),IF('01_数值调参'!$Q$7&lt;=$A8,-'01_数值调参'!$Q$37,0),IF('01_数值调参'!$R$7&lt;=$A8,-'01_数值调参'!$R$37,0)),0),IF($A8&gt;=4,(D8+$C$3)*MAX(0,IF('01_数值调参'!$S$7&lt;=$A8,-'01_数值调参'!$S$37,0),IF('01_数值调参'!$T$7&lt;=$A8,-'01_数值调参'!$T$37,0),IF('01_数值调参'!$U$7&lt;=$A8,-'01_数值调参'!$U$37,0),IF('01_数值调参'!$V$7&lt;=$A8,-'01_数值调参'!$V$37,0),IF('01_数值调参'!$W$7&lt;=$A8,-'01_数值调参'!$W$37,0)),0),IF($A8&gt;=6,(E8+$C$3)*MAX(0,IF('01_数值调参'!$X$7&lt;=$A8,0,0),IF('01_数值调参'!$Y$7&lt;=$A8,-'01_数值调参'!$Y$37,0),IF('01_数值调参'!$Z$7&lt;=$A8,-'01_数值调参'!$Z$37,0),IF('01_数值调参'!$AA$7&lt;=$A8,-'01_数值调参'!$AA$37,0),IF('01_数值调参'!$AB$7&lt;=$A8,-'01_数值调参'!$AB$37,0),IF('01_数值调参'!$AC$7&lt;=$A8,-'01_数值调参'!$AC$37,0)),0),IF($A8&gt;=8,(F8+$C$3)*MAX(0,IF('01_数值调参'!$AD$7&lt;=$A8,-'01_数值调参'!$AD$37,0),IF('01_数值调参'!$AE$7&lt;=$A8,-'01_数值调参'!$AE$37,0),IF('01_数值调参'!$AF$7&lt;=$A8,-'01_数值调参'!$AF$37,0),IF('01_数值调参'!$AG$7&lt;=$A8,-'01_数值调参'!$AG$37,0)),0),IF($A8&gt;=10,(G8+$C$3)*MAX(0,IF('01_数值调参'!$AH$7&lt;=$A8,-'01_数值调参'!$AH$37,0),IF('01_数值调参'!$AI$7&lt;=$A8,-'01_数值调参'!$AI$37,0),IF('01_数值调参'!$AJ$7&lt;=$A8,-'01_数值调参'!$AJ$37,0),IF('01_数值调参'!$AK$7&lt;=$A8,-'01_数值调参'!$AK$37,0),IF('01_数值调参'!$AL$7&lt;=$A8,-'01_数值调参'!$AL$37,0),IF('01_数值调参'!$AM$7&lt;=$A8,-'01_数值调参'!$AM$37,0)),0),0)),"队列待修正"))</x:f>
        <x:v>—</x:v>
      </x:c>
      <x:c r="AB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Y$7,"—",SUM(IF($A8&gt;=2,(C8+$C$3)*MAX(0,IF('01_数值调参'!$N$7&lt;=$A8,-'01_数值调参'!$N$38,0),IF('01_数值调参'!$O$7&lt;=$A8,-'01_数值调参'!$O$38,0),IF('01_数值调参'!$P$7&lt;=$A8,-'01_数值调参'!$P$38,0),IF('01_数值调参'!$Q$7&lt;=$A8,-'01_数值调参'!$Q$38,0),IF('01_数值调参'!$R$7&lt;=$A8,-'01_数值调参'!$R$38,0)),0),IF($A8&gt;=4,(D8+$C$3)*MAX(0,IF('01_数值调参'!$S$7&lt;=$A8,-'01_数值调参'!$S$38,0),IF('01_数值调参'!$T$7&lt;=$A8,-'01_数值调参'!$T$38,0),IF('01_数值调参'!$U$7&lt;=$A8,-'01_数值调参'!$U$38,0),IF('01_数值调参'!$V$7&lt;=$A8,-'01_数值调参'!$V$38,0),IF('01_数值调参'!$W$7&lt;=$A8,-'01_数值调参'!$W$38,0)),0),IF($A8&gt;=6,(E8+$C$3)*MAX(0,IF('01_数值调参'!$X$7&lt;=$A8,-'01_数值调参'!$X$38,0),IF('01_数值调参'!$Y$7&lt;=$A8,0,0),IF('01_数值调参'!$Z$7&lt;=$A8,-'01_数值调参'!$Z$38,0),IF('01_数值调参'!$AA$7&lt;=$A8,-'01_数值调参'!$AA$38,0),IF('01_数值调参'!$AB$7&lt;=$A8,-'01_数值调参'!$AB$38,0),IF('01_数值调参'!$AC$7&lt;=$A8,-'01_数值调参'!$AC$38,0)),0),IF($A8&gt;=8,(F8+$C$3)*MAX(0,IF('01_数值调参'!$AD$7&lt;=$A8,-'01_数值调参'!$AD$38,0),IF('01_数值调参'!$AE$7&lt;=$A8,-'01_数值调参'!$AE$38,0),IF('01_数值调参'!$AF$7&lt;=$A8,-'01_数值调参'!$AF$38,0),IF('01_数值调参'!$AG$7&lt;=$A8,-'01_数值调参'!$AG$38,0)),0),IF($A8&gt;=10,(G8+$C$3)*MAX(0,IF('01_数值调参'!$AH$7&lt;=$A8,-'01_数值调参'!$AH$38,0),IF('01_数值调参'!$AI$7&lt;=$A8,-'01_数值调参'!$AI$38,0),IF('01_数值调参'!$AJ$7&lt;=$A8,-'01_数值调参'!$AJ$38,0),IF('01_数值调参'!$AK$7&lt;=$A8,-'01_数值调参'!$AK$38,0),IF('01_数值调参'!$AL$7&lt;=$A8,-'01_数值调参'!$AL$38,0),IF('01_数值调参'!$AM$7&lt;=$A8,-'01_数值调参'!$AM$38,0)),0),0)),"队列待修正"))</x:f>
        <x:v>—</x:v>
      </x:c>
      <x:c r="AC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Z$7,"—",SUM(IF($A8&gt;=2,(C8+$C$3)*MAX(0,IF('01_数值调参'!$N$7&lt;=$A8,-'01_数值调参'!$N$39,0),IF('01_数值调参'!$O$7&lt;=$A8,-'01_数值调参'!$O$39,0),IF('01_数值调参'!$P$7&lt;=$A8,-'01_数值调参'!$P$39,0),IF('01_数值调参'!$Q$7&lt;=$A8,-'01_数值调参'!$Q$39,0),IF('01_数值调参'!$R$7&lt;=$A8,-'01_数值调参'!$R$39,0)),0),IF($A8&gt;=4,(D8+$C$3)*MAX(0,IF('01_数值调参'!$S$7&lt;=$A8,-'01_数值调参'!$S$39,0),IF('01_数值调参'!$T$7&lt;=$A8,-'01_数值调参'!$T$39,0),IF('01_数值调参'!$U$7&lt;=$A8,-'01_数值调参'!$U$39,0),IF('01_数值调参'!$V$7&lt;=$A8,-'01_数值调参'!$V$39,0),IF('01_数值调参'!$W$7&lt;=$A8,-'01_数值调参'!$W$39,0)),0),IF($A8&gt;=6,(E8+$C$3)*MAX(0,IF('01_数值调参'!$X$7&lt;=$A8,-'01_数值调参'!$X$39,0),IF('01_数值调参'!$Y$7&lt;=$A8,-'01_数值调参'!$Y$39,0),IF('01_数值调参'!$Z$7&lt;=$A8,0,0),IF('01_数值调参'!$AA$7&lt;=$A8,-'01_数值调参'!$AA$39,0),IF('01_数值调参'!$AB$7&lt;=$A8,-'01_数值调参'!$AB$39,0),IF('01_数值调参'!$AC$7&lt;=$A8,-'01_数值调参'!$AC$39,0)),0),IF($A8&gt;=8,(F8+$C$3)*MAX(0,IF('01_数值调参'!$AD$7&lt;=$A8,-'01_数值调参'!$AD$39,0),IF('01_数值调参'!$AE$7&lt;=$A8,-'01_数值调参'!$AE$39,0),IF('01_数值调参'!$AF$7&lt;=$A8,-'01_数值调参'!$AF$39,0),IF('01_数值调参'!$AG$7&lt;=$A8,-'01_数值调参'!$AG$39,0)),0),IF($A8&gt;=10,(G8+$C$3)*MAX(0,IF('01_数值调参'!$AH$7&lt;=$A8,-'01_数值调参'!$AH$39,0),IF('01_数值调参'!$AI$7&lt;=$A8,-'01_数值调参'!$AI$39,0),IF('01_数值调参'!$AJ$7&lt;=$A8,-'01_数值调参'!$AJ$39,0),IF('01_数值调参'!$AK$7&lt;=$A8,-'01_数值调参'!$AK$39,0),IF('01_数值调参'!$AL$7&lt;=$A8,-'01_数值调参'!$AL$39,0),IF('01_数值调参'!$AM$7&lt;=$A8,-'01_数值调参'!$AM$39,0)),0),0)),"队列待修正"))</x:f>
        <x:v>—</x:v>
      </x:c>
      <x:c r="AD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A$7,"—",SUM(IF($A8&gt;=2,(C8+$C$3)*MAX(0,IF('01_数值调参'!$N$7&lt;=$A8,-'01_数值调参'!$N$40,0),IF('01_数值调参'!$O$7&lt;=$A8,-'01_数值调参'!$O$40,0),IF('01_数值调参'!$P$7&lt;=$A8,-'01_数值调参'!$P$40,0),IF('01_数值调参'!$Q$7&lt;=$A8,-'01_数值调参'!$Q$40,0),IF('01_数值调参'!$R$7&lt;=$A8,-'01_数值调参'!$R$40,0)),0),IF($A8&gt;=4,(D8+$C$3)*MAX(0,IF('01_数值调参'!$S$7&lt;=$A8,-'01_数值调参'!$S$40,0),IF('01_数值调参'!$T$7&lt;=$A8,-'01_数值调参'!$T$40,0),IF('01_数值调参'!$U$7&lt;=$A8,-'01_数值调参'!$U$40,0),IF('01_数值调参'!$V$7&lt;=$A8,-'01_数值调参'!$V$40,0),IF('01_数值调参'!$W$7&lt;=$A8,-'01_数值调参'!$W$40,0)),0),IF($A8&gt;=6,(E8+$C$3)*MAX(0,IF('01_数值调参'!$X$7&lt;=$A8,-'01_数值调参'!$X$40,0),IF('01_数值调参'!$Y$7&lt;=$A8,-'01_数值调参'!$Y$40,0),IF('01_数值调参'!$Z$7&lt;=$A8,-'01_数值调参'!$Z$40,0),IF('01_数值调参'!$AA$7&lt;=$A8,0,0),IF('01_数值调参'!$AB$7&lt;=$A8,-'01_数值调参'!$AB$40,0),IF('01_数值调参'!$AC$7&lt;=$A8,-'01_数值调参'!$AC$40,0)),0),IF($A8&gt;=8,(F8+$C$3)*MAX(0,IF('01_数值调参'!$AD$7&lt;=$A8,-'01_数值调参'!$AD$40,0),IF('01_数值调参'!$AE$7&lt;=$A8,-'01_数值调参'!$AE$40,0),IF('01_数值调参'!$AF$7&lt;=$A8,-'01_数值调参'!$AF$40,0),IF('01_数值调参'!$AG$7&lt;=$A8,-'01_数值调参'!$AG$40,0)),0),IF($A8&gt;=10,(G8+$C$3)*MAX(0,IF('01_数值调参'!$AH$7&lt;=$A8,-'01_数值调参'!$AH$40,0),IF('01_数值调参'!$AI$7&lt;=$A8,-'01_数值调参'!$AI$40,0),IF('01_数值调参'!$AJ$7&lt;=$A8,-'01_数值调参'!$AJ$40,0),IF('01_数值调参'!$AK$7&lt;=$A8,-'01_数值调参'!$AK$40,0),IF('01_数值调参'!$AL$7&lt;=$A8,-'01_数值调参'!$AL$40,0),IF('01_数值调参'!$AM$7&lt;=$A8,-'01_数值调参'!$AM$40,0)),0),0)),"队列待修正"))</x:f>
        <x:v>—</x:v>
      </x:c>
      <x:c r="AE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B$7,"—",SUM(IF($A8&gt;=2,(C8+$C$3)*MAX(0,IF('01_数值调参'!$N$7&lt;=$A8,-'01_数值调参'!$N$41,0),IF('01_数值调参'!$O$7&lt;=$A8,-'01_数值调参'!$O$41,0),IF('01_数值调参'!$P$7&lt;=$A8,-'01_数值调参'!$P$41,0),IF('01_数值调参'!$Q$7&lt;=$A8,-'01_数值调参'!$Q$41,0),IF('01_数值调参'!$R$7&lt;=$A8,-'01_数值调参'!$R$41,0)),0),IF($A8&gt;=4,(D8+$C$3)*MAX(0,IF('01_数值调参'!$S$7&lt;=$A8,-'01_数值调参'!$S$41,0),IF('01_数值调参'!$T$7&lt;=$A8,-'01_数值调参'!$T$41,0),IF('01_数值调参'!$U$7&lt;=$A8,-'01_数值调参'!$U$41,0),IF('01_数值调参'!$V$7&lt;=$A8,-'01_数值调参'!$V$41,0),IF('01_数值调参'!$W$7&lt;=$A8,-'01_数值调参'!$W$41,0)),0),IF($A8&gt;=6,(E8+$C$3)*MAX(0,IF('01_数值调参'!$X$7&lt;=$A8,-'01_数值调参'!$X$41,0),IF('01_数值调参'!$Y$7&lt;=$A8,-'01_数值调参'!$Y$41,0),IF('01_数值调参'!$Z$7&lt;=$A8,-'01_数值调参'!$Z$41,0),IF('01_数值调参'!$AA$7&lt;=$A8,-'01_数值调参'!$AA$41,0),IF('01_数值调参'!$AB$7&lt;=$A8,0,0),IF('01_数值调参'!$AC$7&lt;=$A8,-'01_数值调参'!$AC$41,0)),0),IF($A8&gt;=8,(F8+$C$3)*MAX(0,IF('01_数值调参'!$AD$7&lt;=$A8,-'01_数值调参'!$AD$41,0),IF('01_数值调参'!$AE$7&lt;=$A8,-'01_数值调参'!$AE$41,0),IF('01_数值调参'!$AF$7&lt;=$A8,-'01_数值调参'!$AF$41,0),IF('01_数值调参'!$AG$7&lt;=$A8,-'01_数值调参'!$AG$41,0)),0),IF($A8&gt;=10,(G8+$C$3)*MAX(0,IF('01_数值调参'!$AH$7&lt;=$A8,-'01_数值调参'!$AH$41,0),IF('01_数值调参'!$AI$7&lt;=$A8,-'01_数值调参'!$AI$41,0),IF('01_数值调参'!$AJ$7&lt;=$A8,-'01_数值调参'!$AJ$41,0),IF('01_数值调参'!$AK$7&lt;=$A8,-'01_数值调参'!$AK$41,0),IF('01_数值调参'!$AL$7&lt;=$A8,-'01_数值调参'!$AL$41,0),IF('01_数值调参'!$AM$7&lt;=$A8,-'01_数值调参'!$AM$41,0)),0),0)),"队列待修正"))</x:f>
        <x:v>—</x:v>
      </x:c>
      <x:c r="AF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C$7,"—",SUM(IF($A8&gt;=2,(C8+$C$3)*MAX(0,IF('01_数值调参'!$N$7&lt;=$A8,-'01_数值调参'!$N$42,0),IF('01_数值调参'!$O$7&lt;=$A8,-'01_数值调参'!$O$42,0),IF('01_数值调参'!$P$7&lt;=$A8,-'01_数值调参'!$P$42,0),IF('01_数值调参'!$Q$7&lt;=$A8,-'01_数值调参'!$Q$42,0),IF('01_数值调参'!$R$7&lt;=$A8,-'01_数值调参'!$R$42,0)),0),IF($A8&gt;=4,(D8+$C$3)*MAX(0,IF('01_数值调参'!$S$7&lt;=$A8,-'01_数值调参'!$S$42,0),IF('01_数值调参'!$T$7&lt;=$A8,-'01_数值调参'!$T$42,0),IF('01_数值调参'!$U$7&lt;=$A8,-'01_数值调参'!$U$42,0),IF('01_数值调参'!$V$7&lt;=$A8,-'01_数值调参'!$V$42,0),IF('01_数值调参'!$W$7&lt;=$A8,-'01_数值调参'!$W$42,0)),0),IF($A8&gt;=6,(E8+$C$3)*MAX(0,IF('01_数值调参'!$X$7&lt;=$A8,-'01_数值调参'!$X$42,0),IF('01_数值调参'!$Y$7&lt;=$A8,-'01_数值调参'!$Y$42,0),IF('01_数值调参'!$Z$7&lt;=$A8,-'01_数值调参'!$Z$42,0),IF('01_数值调参'!$AA$7&lt;=$A8,-'01_数值调参'!$AA$42,0),IF('01_数值调参'!$AB$7&lt;=$A8,-'01_数值调参'!$AB$42,0),IF('01_数值调参'!$AC$7&lt;=$A8,0,0)),0),IF($A8&gt;=8,(F8+$C$3)*MAX(0,IF('01_数值调参'!$AD$7&lt;=$A8,-'01_数值调参'!$AD$42,0),IF('01_数值调参'!$AE$7&lt;=$A8,-'01_数值调参'!$AE$42,0),IF('01_数值调参'!$AF$7&lt;=$A8,-'01_数值调参'!$AF$42,0),IF('01_数值调参'!$AG$7&lt;=$A8,-'01_数值调参'!$AG$42,0)),0),IF($A8&gt;=10,(G8+$C$3)*MAX(0,IF('01_数值调参'!$AH$7&lt;=$A8,-'01_数值调参'!$AH$42,0),IF('01_数值调参'!$AI$7&lt;=$A8,-'01_数值调参'!$AI$42,0),IF('01_数值调参'!$AJ$7&lt;=$A8,-'01_数值调参'!$AJ$42,0),IF('01_数值调参'!$AK$7&lt;=$A8,-'01_数值调参'!$AK$42,0),IF('01_数值调参'!$AL$7&lt;=$A8,-'01_数值调参'!$AL$42,0),IF('01_数值调参'!$AM$7&lt;=$A8,-'01_数值调参'!$AM$42,0)),0),0)),"队列待修正"))</x:f>
        <x:v>—</x:v>
      </x:c>
      <x:c r="AG8" s="191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D$7,"—",SUM(IF($A8&gt;=2,(C8+$C$3)*MAX(0,IF('01_数值调参'!$N$7&lt;=$A8,-'01_数值调参'!$N$43,0),IF('01_数值调参'!$O$7&lt;=$A8,-'01_数值调参'!$O$43,0),IF('01_数值调参'!$P$7&lt;=$A8,-'01_数值调参'!$P$43,0),IF('01_数值调参'!$Q$7&lt;=$A8,-'01_数值调参'!$Q$43,0),IF('01_数值调参'!$R$7&lt;=$A8,-'01_数值调参'!$R$43,0)),0),IF($A8&gt;=4,(D8+$C$3)*MAX(0,IF('01_数值调参'!$S$7&lt;=$A8,-'01_数值调参'!$S$43,0),IF('01_数值调参'!$T$7&lt;=$A8,-'01_数值调参'!$T$43,0),IF('01_数值调参'!$U$7&lt;=$A8,-'01_数值调参'!$U$43,0),IF('01_数值调参'!$V$7&lt;=$A8,-'01_数值调参'!$V$43,0),IF('01_数值调参'!$W$7&lt;=$A8,-'01_数值调参'!$W$43,0)),0),IF($A8&gt;=6,(E8+$C$3)*MAX(0,IF('01_数值调参'!$X$7&lt;=$A8,-'01_数值调参'!$X$43,0),IF('01_数值调参'!$Y$7&lt;=$A8,-'01_数值调参'!$Y$43,0),IF('01_数值调参'!$Z$7&lt;=$A8,-'01_数值调参'!$Z$43,0),IF('01_数值调参'!$AA$7&lt;=$A8,-'01_数值调参'!$AA$43,0),IF('01_数值调参'!$AB$7&lt;=$A8,-'01_数值调参'!$AB$43,0),IF('01_数值调参'!$AC$7&lt;=$A8,-'01_数值调参'!$AC$43,0)),0),IF($A8&gt;=8,(F8+$C$3)*MAX(0,IF('01_数值调参'!$AD$7&lt;=$A8,0,0),IF('01_数值调参'!$AE$7&lt;=$A8,-'01_数值调参'!$AE$43,0),IF('01_数值调参'!$AF$7&lt;=$A8,-'01_数值调参'!$AF$43,0),IF('01_数值调参'!$AG$7&lt;=$A8,-'01_数值调参'!$AG$43,0)),0),IF($A8&gt;=10,(G8+$C$3)*MAX(0,IF('01_数值调参'!$AH$7&lt;=$A8,-'01_数值调参'!$AH$43,0),IF('01_数值调参'!$AI$7&lt;=$A8,-'01_数值调参'!$AI$43,0),IF('01_数值调参'!$AJ$7&lt;=$A8,-'01_数值调参'!$AJ$43,0),IF('01_数值调参'!$AK$7&lt;=$A8,-'01_数值调参'!$AK$43,0),IF('01_数值调参'!$AL$7&lt;=$A8,-'01_数值调参'!$AL$43,0),IF('01_数值调参'!$AM$7&lt;=$A8,-'01_数值调参'!$AM$43,0)),0),0)),"队列待修正"))</x:f>
        <x:v>—</x:v>
      </x:c>
      <x:c r="AH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E$7,"—",SUM(IF($A8&gt;=2,(C8+$C$3)*MAX(0,IF('01_数值调参'!$N$7&lt;=$A8,-'01_数值调参'!$N$44,0),IF('01_数值调参'!$O$7&lt;=$A8,-'01_数值调参'!$O$44,0),IF('01_数值调参'!$P$7&lt;=$A8,-'01_数值调参'!$P$44,0),IF('01_数值调参'!$Q$7&lt;=$A8,-'01_数值调参'!$Q$44,0),IF('01_数值调参'!$R$7&lt;=$A8,-'01_数值调参'!$R$44,0)),0),IF($A8&gt;=4,(D8+$C$3)*MAX(0,IF('01_数值调参'!$S$7&lt;=$A8,-'01_数值调参'!$S$44,0),IF('01_数值调参'!$T$7&lt;=$A8,-'01_数值调参'!$T$44,0),IF('01_数值调参'!$U$7&lt;=$A8,-'01_数值调参'!$U$44,0),IF('01_数值调参'!$V$7&lt;=$A8,-'01_数值调参'!$V$44,0),IF('01_数值调参'!$W$7&lt;=$A8,-'01_数值调参'!$W$44,0)),0),IF($A8&gt;=6,(E8+$C$3)*MAX(0,IF('01_数值调参'!$X$7&lt;=$A8,-'01_数值调参'!$X$44,0),IF('01_数值调参'!$Y$7&lt;=$A8,-'01_数值调参'!$Y$44,0),IF('01_数值调参'!$Z$7&lt;=$A8,-'01_数值调参'!$Z$44,0),IF('01_数值调参'!$AA$7&lt;=$A8,-'01_数值调参'!$AA$44,0),IF('01_数值调参'!$AB$7&lt;=$A8,-'01_数值调参'!$AB$44,0),IF('01_数值调参'!$AC$7&lt;=$A8,-'01_数值调参'!$AC$44,0)),0),IF($A8&gt;=8,(F8+$C$3)*MAX(0,IF('01_数值调参'!$AD$7&lt;=$A8,-'01_数值调参'!$AD$44,0),IF('01_数值调参'!$AE$7&lt;=$A8,0,0),IF('01_数值调参'!$AF$7&lt;=$A8,-'01_数值调参'!$AF$44,0),IF('01_数值调参'!$AG$7&lt;=$A8,-'01_数值调参'!$AG$44,0)),0),IF($A8&gt;=10,(G8+$C$3)*MAX(0,IF('01_数值调参'!$AH$7&lt;=$A8,-'01_数值调参'!$AH$44,0),IF('01_数值调参'!$AI$7&lt;=$A8,-'01_数值调参'!$AI$44,0),IF('01_数值调参'!$AJ$7&lt;=$A8,-'01_数值调参'!$AJ$44,0),IF('01_数值调参'!$AK$7&lt;=$A8,-'01_数值调参'!$AK$44,0),IF('01_数值调参'!$AL$7&lt;=$A8,-'01_数值调参'!$AL$44,0),IF('01_数值调参'!$AM$7&lt;=$A8,-'01_数值调参'!$AM$44,0)),0),0)),"队列待修正"))</x:f>
        <x:v>—</x:v>
      </x:c>
      <x:c r="AI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F$7,"—",SUM(IF($A8&gt;=2,(C8+$C$3)*MAX(0,IF('01_数值调参'!$N$7&lt;=$A8,-'01_数值调参'!$N$45,0),IF('01_数值调参'!$O$7&lt;=$A8,-'01_数值调参'!$O$45,0),IF('01_数值调参'!$P$7&lt;=$A8,-'01_数值调参'!$P$45,0),IF('01_数值调参'!$Q$7&lt;=$A8,-'01_数值调参'!$Q$45,0),IF('01_数值调参'!$R$7&lt;=$A8,-'01_数值调参'!$R$45,0)),0),IF($A8&gt;=4,(D8+$C$3)*MAX(0,IF('01_数值调参'!$S$7&lt;=$A8,-'01_数值调参'!$S$45,0),IF('01_数值调参'!$T$7&lt;=$A8,-'01_数值调参'!$T$45,0),IF('01_数值调参'!$U$7&lt;=$A8,-'01_数值调参'!$U$45,0),IF('01_数值调参'!$V$7&lt;=$A8,-'01_数值调参'!$V$45,0),IF('01_数值调参'!$W$7&lt;=$A8,-'01_数值调参'!$W$45,0)),0),IF($A8&gt;=6,(E8+$C$3)*MAX(0,IF('01_数值调参'!$X$7&lt;=$A8,-'01_数值调参'!$X$45,0),IF('01_数值调参'!$Y$7&lt;=$A8,-'01_数值调参'!$Y$45,0),IF('01_数值调参'!$Z$7&lt;=$A8,-'01_数值调参'!$Z$45,0),IF('01_数值调参'!$AA$7&lt;=$A8,-'01_数值调参'!$AA$45,0),IF('01_数值调参'!$AB$7&lt;=$A8,-'01_数值调参'!$AB$45,0),IF('01_数值调参'!$AC$7&lt;=$A8,-'01_数值调参'!$AC$45,0)),0),IF($A8&gt;=8,(F8+$C$3)*MAX(0,IF('01_数值调参'!$AD$7&lt;=$A8,-'01_数值调参'!$AD$45,0),IF('01_数值调参'!$AE$7&lt;=$A8,-'01_数值调参'!$AE$45,0),IF('01_数值调参'!$AF$7&lt;=$A8,0,0),IF('01_数值调参'!$AG$7&lt;=$A8,-'01_数值调参'!$AG$45,0)),0),IF($A8&gt;=10,(G8+$C$3)*MAX(0,IF('01_数值调参'!$AH$7&lt;=$A8,-'01_数值调参'!$AH$45,0),IF('01_数值调参'!$AI$7&lt;=$A8,-'01_数值调参'!$AI$45,0),IF('01_数值调参'!$AJ$7&lt;=$A8,-'01_数值调参'!$AJ$45,0),IF('01_数值调参'!$AK$7&lt;=$A8,-'01_数值调参'!$AK$45,0),IF('01_数值调参'!$AL$7&lt;=$A8,-'01_数值调参'!$AL$45,0),IF('01_数值调参'!$AM$7&lt;=$A8,-'01_数值调参'!$AM$45,0)),0),0)),"队列待修正"))</x:f>
        <x:v>—</x:v>
      </x:c>
      <x:c r="AJ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G$7,"—",SUM(IF($A8&gt;=2,(C8+$C$3)*MAX(0,IF('01_数值调参'!$N$7&lt;=$A8,-'01_数值调参'!$N$46,0),IF('01_数值调参'!$O$7&lt;=$A8,-'01_数值调参'!$O$46,0),IF('01_数值调参'!$P$7&lt;=$A8,-'01_数值调参'!$P$46,0),IF('01_数值调参'!$Q$7&lt;=$A8,-'01_数值调参'!$Q$46,0),IF('01_数值调参'!$R$7&lt;=$A8,-'01_数值调参'!$R$46,0)),0),IF($A8&gt;=4,(D8+$C$3)*MAX(0,IF('01_数值调参'!$S$7&lt;=$A8,-'01_数值调参'!$S$46,0),IF('01_数值调参'!$T$7&lt;=$A8,-'01_数值调参'!$T$46,0),IF('01_数值调参'!$U$7&lt;=$A8,-'01_数值调参'!$U$46,0),IF('01_数值调参'!$V$7&lt;=$A8,-'01_数值调参'!$V$46,0),IF('01_数值调参'!$W$7&lt;=$A8,-'01_数值调参'!$W$46,0)),0),IF($A8&gt;=6,(E8+$C$3)*MAX(0,IF('01_数值调参'!$X$7&lt;=$A8,-'01_数值调参'!$X$46,0),IF('01_数值调参'!$Y$7&lt;=$A8,-'01_数值调参'!$Y$46,0),IF('01_数值调参'!$Z$7&lt;=$A8,-'01_数值调参'!$Z$46,0),IF('01_数值调参'!$AA$7&lt;=$A8,-'01_数值调参'!$AA$46,0),IF('01_数值调参'!$AB$7&lt;=$A8,-'01_数值调参'!$AB$46,0),IF('01_数值调参'!$AC$7&lt;=$A8,-'01_数值调参'!$AC$46,0)),0),IF($A8&gt;=8,(F8+$C$3)*MAX(0,IF('01_数值调参'!$AD$7&lt;=$A8,-'01_数值调参'!$AD$46,0),IF('01_数值调参'!$AE$7&lt;=$A8,-'01_数值调参'!$AE$46,0),IF('01_数值调参'!$AF$7&lt;=$A8,-'01_数值调参'!$AF$46,0),IF('01_数值调参'!$AG$7&lt;=$A8,0,0)),0),IF($A8&gt;=10,(G8+$C$3)*MAX(0,IF('01_数值调参'!$AH$7&lt;=$A8,-'01_数值调参'!$AH$46,0),IF('01_数值调参'!$AI$7&lt;=$A8,-'01_数值调参'!$AI$46,0),IF('01_数值调参'!$AJ$7&lt;=$A8,-'01_数值调参'!$AJ$46,0),IF('01_数值调参'!$AK$7&lt;=$A8,-'01_数值调参'!$AK$46,0),IF('01_数值调参'!$AL$7&lt;=$A8,-'01_数值调参'!$AL$46,0),IF('01_数值调参'!$AM$7&lt;=$A8,-'01_数值调参'!$AM$46,0)),0),0)),"队列待修正"))</x:f>
        <x:v>—</x:v>
      </x:c>
      <x:c r="AK8" s="191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H$7,"—",SUM(IF($A8&gt;=2,(C8+$C$3)*MAX(0,IF('01_数值调参'!$N$7&lt;=$A8,-'01_数值调参'!$N$47,0),IF('01_数值调参'!$O$7&lt;=$A8,-'01_数值调参'!$O$47,0),IF('01_数值调参'!$P$7&lt;=$A8,-'01_数值调参'!$P$47,0),IF('01_数值调参'!$Q$7&lt;=$A8,-'01_数值调参'!$Q$47,0),IF('01_数值调参'!$R$7&lt;=$A8,-'01_数值调参'!$R$47,0)),0),IF($A8&gt;=4,(D8+$C$3)*MAX(0,IF('01_数值调参'!$S$7&lt;=$A8,-'01_数值调参'!$S$47,0),IF('01_数值调参'!$T$7&lt;=$A8,-'01_数值调参'!$T$47,0),IF('01_数值调参'!$U$7&lt;=$A8,-'01_数值调参'!$U$47,0),IF('01_数值调参'!$V$7&lt;=$A8,-'01_数值调参'!$V$47,0),IF('01_数值调参'!$W$7&lt;=$A8,-'01_数值调参'!$W$47,0)),0),IF($A8&gt;=6,(E8+$C$3)*MAX(0,IF('01_数值调参'!$X$7&lt;=$A8,-'01_数值调参'!$X$47,0),IF('01_数值调参'!$Y$7&lt;=$A8,-'01_数值调参'!$Y$47,0),IF('01_数值调参'!$Z$7&lt;=$A8,-'01_数值调参'!$Z$47,0),IF('01_数值调参'!$AA$7&lt;=$A8,-'01_数值调参'!$AA$47,0),IF('01_数值调参'!$AB$7&lt;=$A8,-'01_数值调参'!$AB$47,0),IF('01_数值调参'!$AC$7&lt;=$A8,-'01_数值调参'!$AC$47,0)),0),IF($A8&gt;=8,(F8+$C$3)*MAX(0,IF('01_数值调参'!$AD$7&lt;=$A8,-'01_数值调参'!$AD$47,0),IF('01_数值调参'!$AE$7&lt;=$A8,-'01_数值调参'!$AE$47,0),IF('01_数值调参'!$AF$7&lt;=$A8,-'01_数值调参'!$AF$47,0),IF('01_数值调参'!$AG$7&lt;=$A8,-'01_数值调参'!$AG$47,0)),0),IF($A8&gt;=10,(G8+$C$3)*MAX(0,IF('01_数值调参'!$AH$7&lt;=$A8,0,0),IF('01_数值调参'!$AI$7&lt;=$A8,-'01_数值调参'!$AI$47,0),IF('01_数值调参'!$AJ$7&lt;=$A8,-'01_数值调参'!$AJ$47,0),IF('01_数值调参'!$AK$7&lt;=$A8,-'01_数值调参'!$AK$47,0),IF('01_数值调参'!$AL$7&lt;=$A8,-'01_数值调参'!$AL$47,0),IF('01_数值调参'!$AM$7&lt;=$A8,-'01_数值调参'!$AM$47,0)),0),0)),"队列待修正"))</x:f>
        <x:v>—</x:v>
      </x:c>
      <x:c r="AL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I$7,"—",SUM(IF($A8&gt;=2,(C8+$C$3)*MAX(0,IF('01_数值调参'!$N$7&lt;=$A8,-'01_数值调参'!$N$48,0),IF('01_数值调参'!$O$7&lt;=$A8,-'01_数值调参'!$O$48,0),IF('01_数值调参'!$P$7&lt;=$A8,-'01_数值调参'!$P$48,0),IF('01_数值调参'!$Q$7&lt;=$A8,-'01_数值调参'!$Q$48,0),IF('01_数值调参'!$R$7&lt;=$A8,-'01_数值调参'!$R$48,0)),0),IF($A8&gt;=4,(D8+$C$3)*MAX(0,IF('01_数值调参'!$S$7&lt;=$A8,-'01_数值调参'!$S$48,0),IF('01_数值调参'!$T$7&lt;=$A8,-'01_数值调参'!$T$48,0),IF('01_数值调参'!$U$7&lt;=$A8,-'01_数值调参'!$U$48,0),IF('01_数值调参'!$V$7&lt;=$A8,-'01_数值调参'!$V$48,0),IF('01_数值调参'!$W$7&lt;=$A8,-'01_数值调参'!$W$48,0)),0),IF($A8&gt;=6,(E8+$C$3)*MAX(0,IF('01_数值调参'!$X$7&lt;=$A8,-'01_数值调参'!$X$48,0),IF('01_数值调参'!$Y$7&lt;=$A8,-'01_数值调参'!$Y$48,0),IF('01_数值调参'!$Z$7&lt;=$A8,-'01_数值调参'!$Z$48,0),IF('01_数值调参'!$AA$7&lt;=$A8,-'01_数值调参'!$AA$48,0),IF('01_数值调参'!$AB$7&lt;=$A8,-'01_数值调参'!$AB$48,0),IF('01_数值调参'!$AC$7&lt;=$A8,-'01_数值调参'!$AC$48,0)),0),IF($A8&gt;=8,(F8+$C$3)*MAX(0,IF('01_数值调参'!$AD$7&lt;=$A8,-'01_数值调参'!$AD$48,0),IF('01_数值调参'!$AE$7&lt;=$A8,-'01_数值调参'!$AE$48,0),IF('01_数值调参'!$AF$7&lt;=$A8,-'01_数值调参'!$AF$48,0),IF('01_数值调参'!$AG$7&lt;=$A8,-'01_数值调参'!$AG$48,0)),0),IF($A8&gt;=10,(G8+$C$3)*MAX(0,IF('01_数值调参'!$AH$7&lt;=$A8,-'01_数值调参'!$AH$48,0),IF('01_数值调参'!$AI$7&lt;=$A8,0,0),IF('01_数值调参'!$AJ$7&lt;=$A8,-'01_数值调参'!$AJ$48,0),IF('01_数值调参'!$AK$7&lt;=$A8,-'01_数值调参'!$AK$48,0),IF('01_数值调参'!$AL$7&lt;=$A8,-'01_数值调参'!$AL$48,0),IF('01_数值调参'!$AM$7&lt;=$A8,-'01_数值调参'!$AM$48,0)),0),0)),"队列待修正"))</x:f>
        <x:v>—</x:v>
      </x:c>
      <x:c r="AM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J$7,"—",SUM(IF($A8&gt;=2,(C8+$C$3)*MAX(0,IF('01_数值调参'!$N$7&lt;=$A8,-'01_数值调参'!$N$49,0),IF('01_数值调参'!$O$7&lt;=$A8,-'01_数值调参'!$O$49,0),IF('01_数值调参'!$P$7&lt;=$A8,-'01_数值调参'!$P$49,0),IF('01_数值调参'!$Q$7&lt;=$A8,-'01_数值调参'!$Q$49,0),IF('01_数值调参'!$R$7&lt;=$A8,-'01_数值调参'!$R$49,0)),0),IF($A8&gt;=4,(D8+$C$3)*MAX(0,IF('01_数值调参'!$S$7&lt;=$A8,-'01_数值调参'!$S$49,0),IF('01_数值调参'!$T$7&lt;=$A8,-'01_数值调参'!$T$49,0),IF('01_数值调参'!$U$7&lt;=$A8,-'01_数值调参'!$U$49,0),IF('01_数值调参'!$V$7&lt;=$A8,-'01_数值调参'!$V$49,0),IF('01_数值调参'!$W$7&lt;=$A8,-'01_数值调参'!$W$49,0)),0),IF($A8&gt;=6,(E8+$C$3)*MAX(0,IF('01_数值调参'!$X$7&lt;=$A8,-'01_数值调参'!$X$49,0),IF('01_数值调参'!$Y$7&lt;=$A8,-'01_数值调参'!$Y$49,0),IF('01_数值调参'!$Z$7&lt;=$A8,-'01_数值调参'!$Z$49,0),IF('01_数值调参'!$AA$7&lt;=$A8,-'01_数值调参'!$AA$49,0),IF('01_数值调参'!$AB$7&lt;=$A8,-'01_数值调参'!$AB$49,0),IF('01_数值调参'!$AC$7&lt;=$A8,-'01_数值调参'!$AC$49,0)),0),IF($A8&gt;=8,(F8+$C$3)*MAX(0,IF('01_数值调参'!$AD$7&lt;=$A8,-'01_数值调参'!$AD$49,0),IF('01_数值调参'!$AE$7&lt;=$A8,-'01_数值调参'!$AE$49,0),IF('01_数值调参'!$AF$7&lt;=$A8,-'01_数值调参'!$AF$49,0),IF('01_数值调参'!$AG$7&lt;=$A8,-'01_数值调参'!$AG$49,0)),0),IF($A8&gt;=10,(G8+$C$3)*MAX(0,IF('01_数值调参'!$AH$7&lt;=$A8,-'01_数值调参'!$AH$49,0),IF('01_数值调参'!$AI$7&lt;=$A8,-'01_数值调参'!$AI$49,0),IF('01_数值调参'!$AJ$7&lt;=$A8,0,0),IF('01_数值调参'!$AK$7&lt;=$A8,-'01_数值调参'!$AK$49,0),IF('01_数值调参'!$AL$7&lt;=$A8,-'01_数值调参'!$AL$49,0),IF('01_数值调参'!$AM$7&lt;=$A8,-'01_数值调参'!$AM$49,0)),0),0)),"队列待修正"))</x:f>
        <x:v>—</x:v>
      </x:c>
      <x:c r="AN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K$7,"—",SUM(IF($A8&gt;=2,(C8+$C$3)*MAX(0,IF('01_数值调参'!$N$7&lt;=$A8,-'01_数值调参'!$N$50,0),IF('01_数值调参'!$O$7&lt;=$A8,-'01_数值调参'!$O$50,0),IF('01_数值调参'!$P$7&lt;=$A8,-'01_数值调参'!$P$50,0),IF('01_数值调参'!$Q$7&lt;=$A8,-'01_数值调参'!$Q$50,0),IF('01_数值调参'!$R$7&lt;=$A8,-'01_数值调参'!$R$50,0)),0),IF($A8&gt;=4,(D8+$C$3)*MAX(0,IF('01_数值调参'!$S$7&lt;=$A8,-'01_数值调参'!$S$50,0),IF('01_数值调参'!$T$7&lt;=$A8,-'01_数值调参'!$T$50,0),IF('01_数值调参'!$U$7&lt;=$A8,-'01_数值调参'!$U$50,0),IF('01_数值调参'!$V$7&lt;=$A8,-'01_数值调参'!$V$50,0),IF('01_数值调参'!$W$7&lt;=$A8,-'01_数值调参'!$W$50,0)),0),IF($A8&gt;=6,(E8+$C$3)*MAX(0,IF('01_数值调参'!$X$7&lt;=$A8,-'01_数值调参'!$X$50,0),IF('01_数值调参'!$Y$7&lt;=$A8,-'01_数值调参'!$Y$50,0),IF('01_数值调参'!$Z$7&lt;=$A8,-'01_数值调参'!$Z$50,0),IF('01_数值调参'!$AA$7&lt;=$A8,-'01_数值调参'!$AA$50,0),IF('01_数值调参'!$AB$7&lt;=$A8,-'01_数值调参'!$AB$50,0),IF('01_数值调参'!$AC$7&lt;=$A8,-'01_数值调参'!$AC$50,0)),0),IF($A8&gt;=8,(F8+$C$3)*MAX(0,IF('01_数值调参'!$AD$7&lt;=$A8,-'01_数值调参'!$AD$50,0),IF('01_数值调参'!$AE$7&lt;=$A8,-'01_数值调参'!$AE$50,0),IF('01_数值调参'!$AF$7&lt;=$A8,-'01_数值调参'!$AF$50,0),IF('01_数值调参'!$AG$7&lt;=$A8,-'01_数值调参'!$AG$50,0)),0),IF($A8&gt;=10,(G8+$C$3)*MAX(0,IF('01_数值调参'!$AH$7&lt;=$A8,-'01_数值调参'!$AH$50,0),IF('01_数值调参'!$AI$7&lt;=$A8,-'01_数值调参'!$AI$50,0),IF('01_数值调参'!$AJ$7&lt;=$A8,-'01_数值调参'!$AJ$50,0),IF('01_数值调参'!$AK$7&lt;=$A8,0,0),IF('01_数值调参'!$AL$7&lt;=$A8,-'01_数值调参'!$AL$50,0),IF('01_数值调参'!$AM$7&lt;=$A8,-'01_数值调参'!$AM$50,0)),0),0)),"队列待修正"))</x:f>
        <x:v>—</x:v>
      </x:c>
      <x:c r="AO8" s="179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L$7,"—",SUM(IF($A8&gt;=2,(C8+$C$3)*MAX(0,IF('01_数值调参'!$N$7&lt;=$A8,-'01_数值调参'!$N$51,0),IF('01_数值调参'!$O$7&lt;=$A8,-'01_数值调参'!$O$51,0),IF('01_数值调参'!$P$7&lt;=$A8,-'01_数值调参'!$P$51,0),IF('01_数值调参'!$Q$7&lt;=$A8,-'01_数值调参'!$Q$51,0),IF('01_数值调参'!$R$7&lt;=$A8,-'01_数值调参'!$R$51,0)),0),IF($A8&gt;=4,(D8+$C$3)*MAX(0,IF('01_数值调参'!$S$7&lt;=$A8,-'01_数值调参'!$S$51,0),IF('01_数值调参'!$T$7&lt;=$A8,-'01_数值调参'!$T$51,0),IF('01_数值调参'!$U$7&lt;=$A8,-'01_数值调参'!$U$51,0),IF('01_数值调参'!$V$7&lt;=$A8,-'01_数值调参'!$V$51,0),IF('01_数值调参'!$W$7&lt;=$A8,-'01_数值调参'!$W$51,0)),0),IF($A8&gt;=6,(E8+$C$3)*MAX(0,IF('01_数值调参'!$X$7&lt;=$A8,-'01_数值调参'!$X$51,0),IF('01_数值调参'!$Y$7&lt;=$A8,-'01_数值调参'!$Y$51,0),IF('01_数值调参'!$Z$7&lt;=$A8,-'01_数值调参'!$Z$51,0),IF('01_数值调参'!$AA$7&lt;=$A8,-'01_数值调参'!$AA$51,0),IF('01_数值调参'!$AB$7&lt;=$A8,-'01_数值调参'!$AB$51,0),IF('01_数值调参'!$AC$7&lt;=$A8,-'01_数值调参'!$AC$51,0)),0),IF($A8&gt;=8,(F8+$C$3)*MAX(0,IF('01_数值调参'!$AD$7&lt;=$A8,-'01_数值调参'!$AD$51,0),IF('01_数值调参'!$AE$7&lt;=$A8,-'01_数值调参'!$AE$51,0),IF('01_数值调参'!$AF$7&lt;=$A8,-'01_数值调参'!$AF$51,0),IF('01_数值调参'!$AG$7&lt;=$A8,-'01_数值调参'!$AG$51,0)),0),IF($A8&gt;=10,(G8+$C$3)*MAX(0,IF('01_数值调参'!$AH$7&lt;=$A8,-'01_数值调参'!$AH$51,0),IF('01_数值调参'!$AI$7&lt;=$A8,-'01_数值调参'!$AI$51,0),IF('01_数值调参'!$AJ$7&lt;=$A8,-'01_数值调参'!$AJ$51,0),IF('01_数值调参'!$AK$7&lt;=$A8,-'01_数值调参'!$AK$51,0),IF('01_数值调参'!$AL$7&lt;=$A8,0,0),IF('01_数值调参'!$AM$7&lt;=$A8,-'01_数值调参'!$AM$51,0)),0),0)),"队列待修正"))</x:f>
        <x:v>—</x:v>
      </x:c>
      <x:c r="AP8" s="180" t="str">
        <x:f>IF('01_数值调参'!$D$3&lt;&gt;"配方有效","待修正",IF(AND(OR($C$3=0,$C$3=1),ISNUMBER(C8),C8&gt;=0,MOD(C8,1)=0,ISNUMBER(D8),D8&gt;=0,MOD(D8,1)=0,ISNUMBER(E8),E8&gt;=0,MOD(E8,1)=0,ISNUMBER(F8),F8&gt;=0,MOD(F8,1)=0,ISNUMBER(G8),G8&gt;=0,MOD(G8,1)=0,TRUE),IF($A8&lt;'01_数值调参'!$AM$7,"—",SUM(IF($A8&gt;=2,(C8+$C$3)*MAX(0,IF('01_数值调参'!$N$7&lt;=$A8,-'01_数值调参'!$N$52,0),IF('01_数值调参'!$O$7&lt;=$A8,-'01_数值调参'!$O$52,0),IF('01_数值调参'!$P$7&lt;=$A8,-'01_数值调参'!$P$52,0),IF('01_数值调参'!$Q$7&lt;=$A8,-'01_数值调参'!$Q$52,0),IF('01_数值调参'!$R$7&lt;=$A8,-'01_数值调参'!$R$52,0)),0),IF($A8&gt;=4,(D8+$C$3)*MAX(0,IF('01_数值调参'!$S$7&lt;=$A8,-'01_数值调参'!$S$52,0),IF('01_数值调参'!$T$7&lt;=$A8,-'01_数值调参'!$T$52,0),IF('01_数值调参'!$U$7&lt;=$A8,-'01_数值调参'!$U$52,0),IF('01_数值调参'!$V$7&lt;=$A8,-'01_数值调参'!$V$52,0),IF('01_数值调参'!$W$7&lt;=$A8,-'01_数值调参'!$W$52,0)),0),IF($A8&gt;=6,(E8+$C$3)*MAX(0,IF('01_数值调参'!$X$7&lt;=$A8,-'01_数值调参'!$X$52,0),IF('01_数值调参'!$Y$7&lt;=$A8,-'01_数值调参'!$Y$52,0),IF('01_数值调参'!$Z$7&lt;=$A8,-'01_数值调参'!$Z$52,0),IF('01_数值调参'!$AA$7&lt;=$A8,-'01_数值调参'!$AA$52,0),IF('01_数值调参'!$AB$7&lt;=$A8,-'01_数值调参'!$AB$52,0),IF('01_数值调参'!$AC$7&lt;=$A8,-'01_数值调参'!$AC$52,0)),0),IF($A8&gt;=8,(F8+$C$3)*MAX(0,IF('01_数值调参'!$AD$7&lt;=$A8,-'01_数值调参'!$AD$52,0),IF('01_数值调参'!$AE$7&lt;=$A8,-'01_数值调参'!$AE$52,0),IF('01_数值调参'!$AF$7&lt;=$A8,-'01_数值调参'!$AF$52,0),IF('01_数值调参'!$AG$7&lt;=$A8,-'01_数值调参'!$AG$52,0)),0),IF($A8&gt;=10,(G8+$C$3)*MAX(0,IF('01_数值调参'!$AH$7&lt;=$A8,-'01_数值调参'!$AH$52,0),IF('01_数值调参'!$AI$7&lt;=$A8,-'01_数值调参'!$AI$52,0),IF('01_数值调参'!$AJ$7&lt;=$A8,-'01_数值调参'!$AJ$52,0),IF('01_数值调参'!$AK$7&lt;=$A8,-'01_数值调参'!$AK$52,0),IF('01_数值调参'!$AL$7&lt;=$A8,-'01_数值调参'!$AL$52,0),IF('01_数值调参'!$AM$7&lt;=$A8,0,0)),0),0)),"队列待修正"))</x:f>
        <x:v>—</x:v>
      </x:c>
    </x:row>
    <x:row r="9" ht="25" customHeight="1">
      <x:c r="A9" s="176" t="n">
        <x:v>3</x:v>
      </x:c>
      <x:c r="B9" s="177" t="n">
        <x:f>IF('01_数值调参'!$D$3&lt;&gt;"配方有效","待修正",IF(AND(OR($C$3=0,$C$3=1),ISNUMBER(C9),C9&gt;=0,MOD(C9,1)=0,ISNUMBER(D9),D9&gt;=0,MOD(D9,1)=0,ISNUMBER(E9),E9&gt;=0,MOD(E9,1)=0,ISNUMBER(F9),F9&gt;=0,MOD(F9,1)=0,ISNUMBER(G9),G9&gt;=0,MOD(G9,1)=0,TRUE),SUM(IF($A9&gt;=2,(C9+$C$3)*MAX(0,IF('01_数值调参'!$N$7&lt;=$A9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9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9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9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9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9&gt;=4,(D9+$C$3)*MAX(0,IF('01_数值调参'!$S$7&lt;=$A9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9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9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9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9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9&gt;=6,(E9+$C$3)*MAX(0,IF('01_数值调参'!$X$7&lt;=$A9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9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9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9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9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9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9&gt;=8,(F9+$C$3)*MAX(0,IF('01_数值调参'!$AD$7&lt;=$A9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9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9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9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9&gt;=10,(G9+$C$3)*MAX(0,IF('01_数值调参'!$AH$7&lt;=$A9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9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9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9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9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9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6</x:v>
      </x:c>
      <x:c r="C9" s="178" t="n">
        <x:v>2</x:v>
      </x:c>
      <x:c r="D9" s="178" t="n">
        <x:v>2</x:v>
      </x:c>
      <x:c r="E9" s="178" t="n">
        <x:v>2</x:v>
      </x:c>
      <x:c r="F9" s="178" t="n">
        <x:v>2</x:v>
      </x:c>
      <x:c r="G9" s="178" t="n">
        <x:v>2</x:v>
      </x:c>
      <x:c r="H9" s="191" t="n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E$7,"—",SUM(IF($A9&gt;=2,(C9+$C$3)*MAX(0,IF('01_数值调参'!$N$7&lt;=$A9,-'01_数值调参'!$N$18,0),IF('01_数值调参'!$O$7&lt;=$A9,-'01_数值调参'!$O$18,0),IF('01_数值调参'!$P$7&lt;=$A9,-'01_数值调参'!$P$18,0),IF('01_数值调参'!$Q$7&lt;=$A9,-'01_数值调参'!$Q$18,0),IF('01_数值调参'!$R$7&lt;=$A9,-'01_数值调参'!$R$18,0)),0),IF($A9&gt;=4,(D9+$C$3)*MAX(0,IF('01_数值调参'!$S$7&lt;=$A9,-'01_数值调参'!$S$18,0),IF('01_数值调参'!$T$7&lt;=$A9,-'01_数值调参'!$T$18,0),IF('01_数值调参'!$U$7&lt;=$A9,-'01_数值调参'!$U$18,0),IF('01_数值调参'!$V$7&lt;=$A9,-'01_数值调参'!$V$18,0),IF('01_数值调参'!$W$7&lt;=$A9,-'01_数值调参'!$W$18,0)),0),IF($A9&gt;=6,(E9+$C$3)*MAX(0,IF('01_数值调参'!$X$7&lt;=$A9,-'01_数值调参'!$X$18,0),IF('01_数值调参'!$Y$7&lt;=$A9,-'01_数值调参'!$Y$18,0),IF('01_数值调参'!$Z$7&lt;=$A9,-'01_数值调参'!$Z$18,0),IF('01_数值调参'!$AA$7&lt;=$A9,-'01_数值调参'!$AA$18,0),IF('01_数值调参'!$AB$7&lt;=$A9,-'01_数值调参'!$AB$18,0),IF('01_数值调参'!$AC$7&lt;=$A9,-'01_数值调参'!$AC$18,0)),0),IF($A9&gt;=8,(F9+$C$3)*MAX(0,IF('01_数值调参'!$AD$7&lt;=$A9,-'01_数值调参'!$AD$18,0),IF('01_数值调参'!$AE$7&lt;=$A9,-'01_数值调参'!$AE$18,0),IF('01_数值调参'!$AF$7&lt;=$A9,-'01_数值调参'!$AF$18,0),IF('01_数值调参'!$AG$7&lt;=$A9,-'01_数值调参'!$AG$18,0)),0),IF($A9&gt;=10,(G9+$C$3)*MAX(0,IF('01_数值调参'!$AH$7&lt;=$A9,-'01_数值调参'!$AH$18,0),IF('01_数值调参'!$AI$7&lt;=$A9,-'01_数值调参'!$AI$18,0),IF('01_数值调参'!$AJ$7&lt;=$A9,-'01_数值调参'!$AJ$18,0),IF('01_数值调参'!$AK$7&lt;=$A9,-'01_数值调参'!$AK$18,0),IF('01_数值调参'!$AL$7&lt;=$A9,-'01_数值调参'!$AL$18,0),IF('01_数值调参'!$AM$7&lt;=$A9,-'01_数值调参'!$AM$18,0)),0),0)),"队列待修正"))</x:f>
        <x:v>6</x:v>
      </x:c>
      <x:c r="I9" s="179" t="n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F$7,"—",SUM(IF($A9&gt;=2,(C9+$C$3)*MAX(0,IF('01_数值调参'!$N$7&lt;=$A9,-'01_数值调参'!$N$19,0),IF('01_数值调参'!$O$7&lt;=$A9,-'01_数值调参'!$O$19,0),IF('01_数值调参'!$P$7&lt;=$A9,-'01_数值调参'!$P$19,0),IF('01_数值调参'!$Q$7&lt;=$A9,-'01_数值调参'!$Q$19,0),IF('01_数值调参'!$R$7&lt;=$A9,-'01_数值调参'!$R$19,0)),0),IF($A9&gt;=4,(D9+$C$3)*MAX(0,IF('01_数值调参'!$S$7&lt;=$A9,-'01_数值调参'!$S$19,0),IF('01_数值调参'!$T$7&lt;=$A9,-'01_数值调参'!$T$19,0),IF('01_数值调参'!$U$7&lt;=$A9,-'01_数值调参'!$U$19,0),IF('01_数值调参'!$V$7&lt;=$A9,-'01_数值调参'!$V$19,0),IF('01_数值调参'!$W$7&lt;=$A9,-'01_数值调参'!$W$19,0)),0),IF($A9&gt;=6,(E9+$C$3)*MAX(0,IF('01_数值调参'!$X$7&lt;=$A9,-'01_数值调参'!$X$19,0),IF('01_数值调参'!$Y$7&lt;=$A9,-'01_数值调参'!$Y$19,0),IF('01_数值调参'!$Z$7&lt;=$A9,-'01_数值调参'!$Z$19,0),IF('01_数值调参'!$AA$7&lt;=$A9,-'01_数值调参'!$AA$19,0),IF('01_数值调参'!$AB$7&lt;=$A9,-'01_数值调参'!$AB$19,0),IF('01_数值调参'!$AC$7&lt;=$A9,-'01_数值调参'!$AC$19,0)),0),IF($A9&gt;=8,(F9+$C$3)*MAX(0,IF('01_数值调参'!$AD$7&lt;=$A9,-'01_数值调参'!$AD$19,0),IF('01_数值调参'!$AE$7&lt;=$A9,-'01_数值调参'!$AE$19,0),IF('01_数值调参'!$AF$7&lt;=$A9,-'01_数值调参'!$AF$19,0),IF('01_数值调参'!$AG$7&lt;=$A9,-'01_数值调参'!$AG$19,0)),0),IF($A9&gt;=10,(G9+$C$3)*MAX(0,IF('01_数值调参'!$AH$7&lt;=$A9,-'01_数值调参'!$AH$19,0),IF('01_数值调参'!$AI$7&lt;=$A9,-'01_数值调参'!$AI$19,0),IF('01_数值调参'!$AJ$7&lt;=$A9,-'01_数值调参'!$AJ$19,0),IF('01_数值调参'!$AK$7&lt;=$A9,-'01_数值调参'!$AK$19,0),IF('01_数值调参'!$AL$7&lt;=$A9,-'01_数值调参'!$AL$19,0),IF('01_数值调参'!$AM$7&lt;=$A9,-'01_数值调参'!$AM$19,0)),0),0)),"队列待修正"))</x:f>
        <x:v>3</x:v>
      </x:c>
      <x:c r="J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G$7,"—",SUM(IF($A9&gt;=2,(C9+$C$3)*MAX(0,IF('01_数值调参'!$N$7&lt;=$A9,-'01_数值调参'!$N$20,0),IF('01_数值调参'!$O$7&lt;=$A9,-'01_数值调参'!$O$20,0),IF('01_数值调参'!$P$7&lt;=$A9,-'01_数值调参'!$P$20,0),IF('01_数值调参'!$Q$7&lt;=$A9,-'01_数值调参'!$Q$20,0),IF('01_数值调参'!$R$7&lt;=$A9,-'01_数值调参'!$R$20,0)),0),IF($A9&gt;=4,(D9+$C$3)*MAX(0,IF('01_数值调参'!$S$7&lt;=$A9,-'01_数值调参'!$S$20,0),IF('01_数值调参'!$T$7&lt;=$A9,-'01_数值调参'!$T$20,0),IF('01_数值调参'!$U$7&lt;=$A9,-'01_数值调参'!$U$20,0),IF('01_数值调参'!$V$7&lt;=$A9,-'01_数值调参'!$V$20,0),IF('01_数值调参'!$W$7&lt;=$A9,-'01_数值调参'!$W$20,0)),0),IF($A9&gt;=6,(E9+$C$3)*MAX(0,IF('01_数值调参'!$X$7&lt;=$A9,-'01_数值调参'!$X$20,0),IF('01_数值调参'!$Y$7&lt;=$A9,-'01_数值调参'!$Y$20,0),IF('01_数值调参'!$Z$7&lt;=$A9,-'01_数值调参'!$Z$20,0),IF('01_数值调参'!$AA$7&lt;=$A9,-'01_数值调参'!$AA$20,0),IF('01_数值调参'!$AB$7&lt;=$A9,-'01_数值调参'!$AB$20,0),IF('01_数值调参'!$AC$7&lt;=$A9,-'01_数值调参'!$AC$20,0)),0),IF($A9&gt;=8,(F9+$C$3)*MAX(0,IF('01_数值调参'!$AD$7&lt;=$A9,-'01_数值调参'!$AD$20,0),IF('01_数值调参'!$AE$7&lt;=$A9,-'01_数值调参'!$AE$20,0),IF('01_数值调参'!$AF$7&lt;=$A9,-'01_数值调参'!$AF$20,0),IF('01_数值调参'!$AG$7&lt;=$A9,-'01_数值调参'!$AG$20,0)),0),IF($A9&gt;=10,(G9+$C$3)*MAX(0,IF('01_数值调参'!$AH$7&lt;=$A9,-'01_数值调参'!$AH$20,0),IF('01_数值调参'!$AI$7&lt;=$A9,-'01_数值调参'!$AI$20,0),IF('01_数值调参'!$AJ$7&lt;=$A9,-'01_数值调参'!$AJ$20,0),IF('01_数值调参'!$AK$7&lt;=$A9,-'01_数值调参'!$AK$20,0),IF('01_数值调参'!$AL$7&lt;=$A9,-'01_数值调参'!$AL$20,0),IF('01_数值调参'!$AM$7&lt;=$A9,-'01_数值调参'!$AM$20,0)),0),0)),"队列待修正"))</x:f>
        <x:v>—</x:v>
      </x:c>
      <x:c r="K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H$7,"—",SUM(IF($A9&gt;=2,(C9+$C$3)*MAX(0,IF('01_数值调参'!$N$7&lt;=$A9,-'01_数值调参'!$N$21,0),IF('01_数值调参'!$O$7&lt;=$A9,-'01_数值调参'!$O$21,0),IF('01_数值调参'!$P$7&lt;=$A9,-'01_数值调参'!$P$21,0),IF('01_数值调参'!$Q$7&lt;=$A9,-'01_数值调参'!$Q$21,0),IF('01_数值调参'!$R$7&lt;=$A9,-'01_数值调参'!$R$21,0)),0),IF($A9&gt;=4,(D9+$C$3)*MAX(0,IF('01_数值调参'!$S$7&lt;=$A9,-'01_数值调参'!$S$21,0),IF('01_数值调参'!$T$7&lt;=$A9,-'01_数值调参'!$T$21,0),IF('01_数值调参'!$U$7&lt;=$A9,-'01_数值调参'!$U$21,0),IF('01_数值调参'!$V$7&lt;=$A9,-'01_数值调参'!$V$21,0),IF('01_数值调参'!$W$7&lt;=$A9,-'01_数值调参'!$W$21,0)),0),IF($A9&gt;=6,(E9+$C$3)*MAX(0,IF('01_数值调参'!$X$7&lt;=$A9,-'01_数值调参'!$X$21,0),IF('01_数值调参'!$Y$7&lt;=$A9,-'01_数值调参'!$Y$21,0),IF('01_数值调参'!$Z$7&lt;=$A9,-'01_数值调参'!$Z$21,0),IF('01_数值调参'!$AA$7&lt;=$A9,-'01_数值调参'!$AA$21,0),IF('01_数值调参'!$AB$7&lt;=$A9,-'01_数值调参'!$AB$21,0),IF('01_数值调参'!$AC$7&lt;=$A9,-'01_数值调参'!$AC$21,0)),0),IF($A9&gt;=8,(F9+$C$3)*MAX(0,IF('01_数值调参'!$AD$7&lt;=$A9,-'01_数值调参'!$AD$21,0),IF('01_数值调参'!$AE$7&lt;=$A9,-'01_数值调参'!$AE$21,0),IF('01_数值调参'!$AF$7&lt;=$A9,-'01_数值调参'!$AF$21,0),IF('01_数值调参'!$AG$7&lt;=$A9,-'01_数值调参'!$AG$21,0)),0),IF($A9&gt;=10,(G9+$C$3)*MAX(0,IF('01_数值调参'!$AH$7&lt;=$A9,-'01_数值调参'!$AH$21,0),IF('01_数值调参'!$AI$7&lt;=$A9,-'01_数值调参'!$AI$21,0),IF('01_数值调参'!$AJ$7&lt;=$A9,-'01_数值调参'!$AJ$21,0),IF('01_数值调参'!$AK$7&lt;=$A9,-'01_数值调参'!$AK$21,0),IF('01_数值调参'!$AL$7&lt;=$A9,-'01_数值调参'!$AL$21,0),IF('01_数值调参'!$AM$7&lt;=$A9,-'01_数值调参'!$AM$21,0)),0),0)),"队列待修正"))</x:f>
        <x:v>—</x:v>
      </x:c>
      <x:c r="L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I$7,"—",SUM(IF($A9&gt;=2,(C9+$C$3)*MAX(0,IF('01_数值调参'!$N$7&lt;=$A9,-'01_数值调参'!$N$22,0),IF('01_数值调参'!$O$7&lt;=$A9,-'01_数值调参'!$O$22,0),IF('01_数值调参'!$P$7&lt;=$A9,-'01_数值调参'!$P$22,0),IF('01_数值调参'!$Q$7&lt;=$A9,-'01_数值调参'!$Q$22,0),IF('01_数值调参'!$R$7&lt;=$A9,-'01_数值调参'!$R$22,0)),0),IF($A9&gt;=4,(D9+$C$3)*MAX(0,IF('01_数值调参'!$S$7&lt;=$A9,-'01_数值调参'!$S$22,0),IF('01_数值调参'!$T$7&lt;=$A9,-'01_数值调参'!$T$22,0),IF('01_数值调参'!$U$7&lt;=$A9,-'01_数值调参'!$U$22,0),IF('01_数值调参'!$V$7&lt;=$A9,-'01_数值调参'!$V$22,0),IF('01_数值调参'!$W$7&lt;=$A9,-'01_数值调参'!$W$22,0)),0),IF($A9&gt;=6,(E9+$C$3)*MAX(0,IF('01_数值调参'!$X$7&lt;=$A9,-'01_数值调参'!$X$22,0),IF('01_数值调参'!$Y$7&lt;=$A9,-'01_数值调参'!$Y$22,0),IF('01_数值调参'!$Z$7&lt;=$A9,-'01_数值调参'!$Z$22,0),IF('01_数值调参'!$AA$7&lt;=$A9,-'01_数值调参'!$AA$22,0),IF('01_数值调参'!$AB$7&lt;=$A9,-'01_数值调参'!$AB$22,0),IF('01_数值调参'!$AC$7&lt;=$A9,-'01_数值调参'!$AC$22,0)),0),IF($A9&gt;=8,(F9+$C$3)*MAX(0,IF('01_数值调参'!$AD$7&lt;=$A9,-'01_数值调参'!$AD$22,0),IF('01_数值调参'!$AE$7&lt;=$A9,-'01_数值调参'!$AE$22,0),IF('01_数值调参'!$AF$7&lt;=$A9,-'01_数值调参'!$AF$22,0),IF('01_数值调参'!$AG$7&lt;=$A9,-'01_数值调参'!$AG$22,0)),0),IF($A9&gt;=10,(G9+$C$3)*MAX(0,IF('01_数值调参'!$AH$7&lt;=$A9,-'01_数值调参'!$AH$22,0),IF('01_数值调参'!$AI$7&lt;=$A9,-'01_数值调参'!$AI$22,0),IF('01_数值调参'!$AJ$7&lt;=$A9,-'01_数值调参'!$AJ$22,0),IF('01_数值调参'!$AK$7&lt;=$A9,-'01_数值调参'!$AK$22,0),IF('01_数值调参'!$AL$7&lt;=$A9,-'01_数值调参'!$AL$22,0),IF('01_数值调参'!$AM$7&lt;=$A9,-'01_数值调参'!$AM$22,0)),0),0)),"队列待修正"))</x:f>
        <x:v>—</x:v>
      </x:c>
      <x:c r="M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J$7,"—",SUM(IF($A9&gt;=2,(C9+$C$3)*MAX(0,IF('01_数值调参'!$N$7&lt;=$A9,-'01_数值调参'!$N$23,0),IF('01_数值调参'!$O$7&lt;=$A9,-'01_数值调参'!$O$23,0),IF('01_数值调参'!$P$7&lt;=$A9,-'01_数值调参'!$P$23,0),IF('01_数值调参'!$Q$7&lt;=$A9,-'01_数值调参'!$Q$23,0),IF('01_数值调参'!$R$7&lt;=$A9,-'01_数值调参'!$R$23,0)),0),IF($A9&gt;=4,(D9+$C$3)*MAX(0,IF('01_数值调参'!$S$7&lt;=$A9,-'01_数值调参'!$S$23,0),IF('01_数值调参'!$T$7&lt;=$A9,-'01_数值调参'!$T$23,0),IF('01_数值调参'!$U$7&lt;=$A9,-'01_数值调参'!$U$23,0),IF('01_数值调参'!$V$7&lt;=$A9,-'01_数值调参'!$V$23,0),IF('01_数值调参'!$W$7&lt;=$A9,-'01_数值调参'!$W$23,0)),0),IF($A9&gt;=6,(E9+$C$3)*MAX(0,IF('01_数值调参'!$X$7&lt;=$A9,-'01_数值调参'!$X$23,0),IF('01_数值调参'!$Y$7&lt;=$A9,-'01_数值调参'!$Y$23,0),IF('01_数值调参'!$Z$7&lt;=$A9,-'01_数值调参'!$Z$23,0),IF('01_数值调参'!$AA$7&lt;=$A9,-'01_数值调参'!$AA$23,0),IF('01_数值调参'!$AB$7&lt;=$A9,-'01_数值调参'!$AB$23,0),IF('01_数值调参'!$AC$7&lt;=$A9,-'01_数值调参'!$AC$23,0)),0),IF($A9&gt;=8,(F9+$C$3)*MAX(0,IF('01_数值调参'!$AD$7&lt;=$A9,-'01_数值调参'!$AD$23,0),IF('01_数值调参'!$AE$7&lt;=$A9,-'01_数值调参'!$AE$23,0),IF('01_数值调参'!$AF$7&lt;=$A9,-'01_数值调参'!$AF$23,0),IF('01_数值调参'!$AG$7&lt;=$A9,-'01_数值调参'!$AG$23,0)),0),IF($A9&gt;=10,(G9+$C$3)*MAX(0,IF('01_数值调参'!$AH$7&lt;=$A9,-'01_数值调参'!$AH$23,0),IF('01_数值调参'!$AI$7&lt;=$A9,-'01_数值调参'!$AI$23,0),IF('01_数值调参'!$AJ$7&lt;=$A9,-'01_数值调参'!$AJ$23,0),IF('01_数值调参'!$AK$7&lt;=$A9,-'01_数值调参'!$AK$23,0),IF('01_数值调参'!$AL$7&lt;=$A9,-'01_数值调参'!$AL$23,0),IF('01_数值调参'!$AM$7&lt;=$A9,-'01_数值调参'!$AM$23,0)),0),0)),"队列待修正"))</x:f>
        <x:v>—</x:v>
      </x:c>
      <x:c r="N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K$7,"—",SUM(IF($A9&gt;=2,(C9+$C$3)*MAX(0,IF('01_数值调参'!$N$7&lt;=$A9,-'01_数值调参'!$N$24,0),IF('01_数值调参'!$O$7&lt;=$A9,-'01_数值调参'!$O$24,0),IF('01_数值调参'!$P$7&lt;=$A9,-'01_数值调参'!$P$24,0),IF('01_数值调参'!$Q$7&lt;=$A9,-'01_数值调参'!$Q$24,0),IF('01_数值调参'!$R$7&lt;=$A9,-'01_数值调参'!$R$24,0)),0),IF($A9&gt;=4,(D9+$C$3)*MAX(0,IF('01_数值调参'!$S$7&lt;=$A9,-'01_数值调参'!$S$24,0),IF('01_数值调参'!$T$7&lt;=$A9,-'01_数值调参'!$T$24,0),IF('01_数值调参'!$U$7&lt;=$A9,-'01_数值调参'!$U$24,0),IF('01_数值调参'!$V$7&lt;=$A9,-'01_数值调参'!$V$24,0),IF('01_数值调参'!$W$7&lt;=$A9,-'01_数值调参'!$W$24,0)),0),IF($A9&gt;=6,(E9+$C$3)*MAX(0,IF('01_数值调参'!$X$7&lt;=$A9,-'01_数值调参'!$X$24,0),IF('01_数值调参'!$Y$7&lt;=$A9,-'01_数值调参'!$Y$24,0),IF('01_数值调参'!$Z$7&lt;=$A9,-'01_数值调参'!$Z$24,0),IF('01_数值调参'!$AA$7&lt;=$A9,-'01_数值调参'!$AA$24,0),IF('01_数值调参'!$AB$7&lt;=$A9,-'01_数值调参'!$AB$24,0),IF('01_数值调参'!$AC$7&lt;=$A9,-'01_数值调参'!$AC$24,0)),0),IF($A9&gt;=8,(F9+$C$3)*MAX(0,IF('01_数值调参'!$AD$7&lt;=$A9,-'01_数值调参'!$AD$24,0),IF('01_数值调参'!$AE$7&lt;=$A9,-'01_数值调参'!$AE$24,0),IF('01_数值调参'!$AF$7&lt;=$A9,-'01_数值调参'!$AF$24,0),IF('01_数值调参'!$AG$7&lt;=$A9,-'01_数值调参'!$AG$24,0)),0),IF($A9&gt;=10,(G9+$C$3)*MAX(0,IF('01_数值调参'!$AH$7&lt;=$A9,-'01_数值调参'!$AH$24,0),IF('01_数值调参'!$AI$7&lt;=$A9,-'01_数值调参'!$AI$24,0),IF('01_数值调参'!$AJ$7&lt;=$A9,-'01_数值调参'!$AJ$24,0),IF('01_数值调参'!$AK$7&lt;=$A9,-'01_数值调参'!$AK$24,0),IF('01_数值调参'!$AL$7&lt;=$A9,-'01_数值调参'!$AL$24,0),IF('01_数值调参'!$AM$7&lt;=$A9,-'01_数值调参'!$AM$24,0)),0),0)),"队列待修正"))</x:f>
        <x:v>—</x:v>
      </x:c>
      <x:c r="O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L$7,"—",SUM(IF($A9&gt;=2,(C9+$C$3)*MAX(0,IF('01_数值调参'!$N$7&lt;=$A9,-'01_数值调参'!$N$25,0),IF('01_数值调参'!$O$7&lt;=$A9,-'01_数值调参'!$O$25,0),IF('01_数值调参'!$P$7&lt;=$A9,-'01_数值调参'!$P$25,0),IF('01_数值调参'!$Q$7&lt;=$A9,-'01_数值调参'!$Q$25,0),IF('01_数值调参'!$R$7&lt;=$A9,-'01_数值调参'!$R$25,0)),0),IF($A9&gt;=4,(D9+$C$3)*MAX(0,IF('01_数值调参'!$S$7&lt;=$A9,-'01_数值调参'!$S$25,0),IF('01_数值调参'!$T$7&lt;=$A9,-'01_数值调参'!$T$25,0),IF('01_数值调参'!$U$7&lt;=$A9,-'01_数值调参'!$U$25,0),IF('01_数值调参'!$V$7&lt;=$A9,-'01_数值调参'!$V$25,0),IF('01_数值调参'!$W$7&lt;=$A9,-'01_数值调参'!$W$25,0)),0),IF($A9&gt;=6,(E9+$C$3)*MAX(0,IF('01_数值调参'!$X$7&lt;=$A9,-'01_数值调参'!$X$25,0),IF('01_数值调参'!$Y$7&lt;=$A9,-'01_数值调参'!$Y$25,0),IF('01_数值调参'!$Z$7&lt;=$A9,-'01_数值调参'!$Z$25,0),IF('01_数值调参'!$AA$7&lt;=$A9,-'01_数值调参'!$AA$25,0),IF('01_数值调参'!$AB$7&lt;=$A9,-'01_数值调参'!$AB$25,0),IF('01_数值调参'!$AC$7&lt;=$A9,-'01_数值调参'!$AC$25,0)),0),IF($A9&gt;=8,(F9+$C$3)*MAX(0,IF('01_数值调参'!$AD$7&lt;=$A9,-'01_数值调参'!$AD$25,0),IF('01_数值调参'!$AE$7&lt;=$A9,-'01_数值调参'!$AE$25,0),IF('01_数值调参'!$AF$7&lt;=$A9,-'01_数值调参'!$AF$25,0),IF('01_数值调参'!$AG$7&lt;=$A9,-'01_数值调参'!$AG$25,0)),0),IF($A9&gt;=10,(G9+$C$3)*MAX(0,IF('01_数值调参'!$AH$7&lt;=$A9,-'01_数值调参'!$AH$25,0),IF('01_数值调参'!$AI$7&lt;=$A9,-'01_数值调参'!$AI$25,0),IF('01_数值调参'!$AJ$7&lt;=$A9,-'01_数值调参'!$AJ$25,0),IF('01_数值调参'!$AK$7&lt;=$A9,-'01_数值调参'!$AK$25,0),IF('01_数值调参'!$AL$7&lt;=$A9,-'01_数值调参'!$AL$25,0),IF('01_数值调参'!$AM$7&lt;=$A9,-'01_数值调参'!$AM$25,0)),0),0)),"队列待修正"))</x:f>
        <x:v>—</x:v>
      </x:c>
      <x:c r="P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M$7,"—",SUM(IF($A9&gt;=2,(C9+$C$3)*MAX(0,IF('01_数值调参'!$N$7&lt;=$A9,-'01_数值调参'!$N$26,0),IF('01_数值调参'!$O$7&lt;=$A9,-'01_数值调参'!$O$26,0),IF('01_数值调参'!$P$7&lt;=$A9,-'01_数值调参'!$P$26,0),IF('01_数值调参'!$Q$7&lt;=$A9,-'01_数值调参'!$Q$26,0),IF('01_数值调参'!$R$7&lt;=$A9,-'01_数值调参'!$R$26,0)),0),IF($A9&gt;=4,(D9+$C$3)*MAX(0,IF('01_数值调参'!$S$7&lt;=$A9,-'01_数值调参'!$S$26,0),IF('01_数值调参'!$T$7&lt;=$A9,-'01_数值调参'!$T$26,0),IF('01_数值调参'!$U$7&lt;=$A9,-'01_数值调参'!$U$26,0),IF('01_数值调参'!$V$7&lt;=$A9,-'01_数值调参'!$V$26,0),IF('01_数值调参'!$W$7&lt;=$A9,-'01_数值调参'!$W$26,0)),0),IF($A9&gt;=6,(E9+$C$3)*MAX(0,IF('01_数值调参'!$X$7&lt;=$A9,-'01_数值调参'!$X$26,0),IF('01_数值调参'!$Y$7&lt;=$A9,-'01_数值调参'!$Y$26,0),IF('01_数值调参'!$Z$7&lt;=$A9,-'01_数值调参'!$Z$26,0),IF('01_数值调参'!$AA$7&lt;=$A9,-'01_数值调参'!$AA$26,0),IF('01_数值调参'!$AB$7&lt;=$A9,-'01_数值调参'!$AB$26,0),IF('01_数值调参'!$AC$7&lt;=$A9,-'01_数值调参'!$AC$26,0)),0),IF($A9&gt;=8,(F9+$C$3)*MAX(0,IF('01_数值调参'!$AD$7&lt;=$A9,-'01_数值调参'!$AD$26,0),IF('01_数值调参'!$AE$7&lt;=$A9,-'01_数值调参'!$AE$26,0),IF('01_数值调参'!$AF$7&lt;=$A9,-'01_数值调参'!$AF$26,0),IF('01_数值调参'!$AG$7&lt;=$A9,-'01_数值调参'!$AG$26,0)),0),IF($A9&gt;=10,(G9+$C$3)*MAX(0,IF('01_数值调参'!$AH$7&lt;=$A9,-'01_数值调参'!$AH$26,0),IF('01_数值调参'!$AI$7&lt;=$A9,-'01_数值调参'!$AI$26,0),IF('01_数值调参'!$AJ$7&lt;=$A9,-'01_数值调参'!$AJ$26,0),IF('01_数值调参'!$AK$7&lt;=$A9,-'01_数值调参'!$AK$26,0),IF('01_数值调参'!$AL$7&lt;=$A9,-'01_数值调参'!$AL$26,0),IF('01_数值调参'!$AM$7&lt;=$A9,-'01_数值调参'!$AM$26,0)),0),0)),"队列待修正"))</x:f>
        <x:v>—</x:v>
      </x:c>
      <x:c r="Q9" s="191" t="n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N$7,"—",SUM(IF($A9&gt;=2,(C9+$C$3)*MAX(0,IF('01_数值调参'!$N$7&lt;=$A9,0,0),IF('01_数值调参'!$O$7&lt;=$A9,-'01_数值调参'!$O$27,0),IF('01_数值调参'!$P$7&lt;=$A9,-'01_数值调参'!$P$27,0),IF('01_数值调参'!$Q$7&lt;=$A9,-'01_数值调参'!$Q$27,0),IF('01_数值调参'!$R$7&lt;=$A9,-'01_数值调参'!$R$27,0)),0),IF($A9&gt;=4,(D9+$C$3)*MAX(0,IF('01_数值调参'!$S$7&lt;=$A9,-'01_数值调参'!$S$27,0),IF('01_数值调参'!$T$7&lt;=$A9,-'01_数值调参'!$T$27,0),IF('01_数值调参'!$U$7&lt;=$A9,-'01_数值调参'!$U$27,0),IF('01_数值调参'!$V$7&lt;=$A9,-'01_数值调参'!$V$27,0),IF('01_数值调参'!$W$7&lt;=$A9,-'01_数值调参'!$W$27,0)),0),IF($A9&gt;=6,(E9+$C$3)*MAX(0,IF('01_数值调参'!$X$7&lt;=$A9,-'01_数值调参'!$X$27,0),IF('01_数值调参'!$Y$7&lt;=$A9,-'01_数值调参'!$Y$27,0),IF('01_数值调参'!$Z$7&lt;=$A9,-'01_数值调参'!$Z$27,0),IF('01_数值调参'!$AA$7&lt;=$A9,-'01_数值调参'!$AA$27,0),IF('01_数值调参'!$AB$7&lt;=$A9,-'01_数值调参'!$AB$27,0),IF('01_数值调参'!$AC$7&lt;=$A9,-'01_数值调参'!$AC$27,0)),0),IF($A9&gt;=8,(F9+$C$3)*MAX(0,IF('01_数值调参'!$AD$7&lt;=$A9,-'01_数值调参'!$AD$27,0),IF('01_数值调参'!$AE$7&lt;=$A9,-'01_数值调参'!$AE$27,0),IF('01_数值调参'!$AF$7&lt;=$A9,-'01_数值调参'!$AF$27,0),IF('01_数值调参'!$AG$7&lt;=$A9,-'01_数值调参'!$AG$27,0)),0),IF($A9&gt;=10,(G9+$C$3)*MAX(0,IF('01_数值调参'!$AH$7&lt;=$A9,-'01_数值调参'!$AH$27,0),IF('01_数值调参'!$AI$7&lt;=$A9,-'01_数值调参'!$AI$27,0),IF('01_数值调参'!$AJ$7&lt;=$A9,-'01_数值调参'!$AJ$27,0),IF('01_数值调参'!$AK$7&lt;=$A9,-'01_数值调参'!$AK$27,0),IF('01_数值调参'!$AL$7&lt;=$A9,-'01_数值调参'!$AL$27,0),IF('01_数值调参'!$AM$7&lt;=$A9,-'01_数值调参'!$AM$27,0)),0),0)),"队列待修正"))</x:f>
        <x:v>0</x:v>
      </x:c>
      <x:c r="R9" s="179" t="n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O$7,"—",SUM(IF($A9&gt;=2,(C9+$C$3)*MAX(0,IF('01_数值调参'!$N$7&lt;=$A9,-'01_数值调参'!$N$28,0),IF('01_数值调参'!$O$7&lt;=$A9,0,0),IF('01_数值调参'!$P$7&lt;=$A9,-'01_数值调参'!$P$28,0),IF('01_数值调参'!$Q$7&lt;=$A9,-'01_数值调参'!$Q$28,0),IF('01_数值调参'!$R$7&lt;=$A9,-'01_数值调参'!$R$28,0)),0),IF($A9&gt;=4,(D9+$C$3)*MAX(0,IF('01_数值调参'!$S$7&lt;=$A9,-'01_数值调参'!$S$28,0),IF('01_数值调参'!$T$7&lt;=$A9,-'01_数值调参'!$T$28,0),IF('01_数值调参'!$U$7&lt;=$A9,-'01_数值调参'!$U$28,0),IF('01_数值调参'!$V$7&lt;=$A9,-'01_数值调参'!$V$28,0),IF('01_数值调参'!$W$7&lt;=$A9,-'01_数值调参'!$W$28,0)),0),IF($A9&gt;=6,(E9+$C$3)*MAX(0,IF('01_数值调参'!$X$7&lt;=$A9,-'01_数值调参'!$X$28,0),IF('01_数值调参'!$Y$7&lt;=$A9,-'01_数值调参'!$Y$28,0),IF('01_数值调参'!$Z$7&lt;=$A9,-'01_数值调参'!$Z$28,0),IF('01_数值调参'!$AA$7&lt;=$A9,-'01_数值调参'!$AA$28,0),IF('01_数值调参'!$AB$7&lt;=$A9,-'01_数值调参'!$AB$28,0),IF('01_数值调参'!$AC$7&lt;=$A9,-'01_数值调参'!$AC$28,0)),0),IF($A9&gt;=8,(F9+$C$3)*MAX(0,IF('01_数值调参'!$AD$7&lt;=$A9,-'01_数值调参'!$AD$28,0),IF('01_数值调参'!$AE$7&lt;=$A9,-'01_数值调参'!$AE$28,0),IF('01_数值调参'!$AF$7&lt;=$A9,-'01_数值调参'!$AF$28,0),IF('01_数值调参'!$AG$7&lt;=$A9,-'01_数值调参'!$AG$28,0)),0),IF($A9&gt;=10,(G9+$C$3)*MAX(0,IF('01_数值调参'!$AH$7&lt;=$A9,-'01_数值调参'!$AH$28,0),IF('01_数值调参'!$AI$7&lt;=$A9,-'01_数值调参'!$AI$28,0),IF('01_数值调参'!$AJ$7&lt;=$A9,-'01_数值调参'!$AJ$28,0),IF('01_数值调参'!$AK$7&lt;=$A9,-'01_数值调参'!$AK$28,0),IF('01_数值调参'!$AL$7&lt;=$A9,-'01_数值调参'!$AL$28,0),IF('01_数值调参'!$AM$7&lt;=$A9,-'01_数值调参'!$AM$28,0)),0),0)),"队列待修正"))</x:f>
        <x:v>0</x:v>
      </x:c>
      <x:c r="S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P$7,"—",SUM(IF($A9&gt;=2,(C9+$C$3)*MAX(0,IF('01_数值调参'!$N$7&lt;=$A9,-'01_数值调参'!$N$29,0),IF('01_数值调参'!$O$7&lt;=$A9,-'01_数值调参'!$O$29,0),IF('01_数值调参'!$P$7&lt;=$A9,0,0),IF('01_数值调参'!$Q$7&lt;=$A9,-'01_数值调参'!$Q$29,0),IF('01_数值调参'!$R$7&lt;=$A9,-'01_数值调参'!$R$29,0)),0),IF($A9&gt;=4,(D9+$C$3)*MAX(0,IF('01_数值调参'!$S$7&lt;=$A9,-'01_数值调参'!$S$29,0),IF('01_数值调参'!$T$7&lt;=$A9,-'01_数值调参'!$T$29,0),IF('01_数值调参'!$U$7&lt;=$A9,-'01_数值调参'!$U$29,0),IF('01_数值调参'!$V$7&lt;=$A9,-'01_数值调参'!$V$29,0),IF('01_数值调参'!$W$7&lt;=$A9,-'01_数值调参'!$W$29,0)),0),IF($A9&gt;=6,(E9+$C$3)*MAX(0,IF('01_数值调参'!$X$7&lt;=$A9,-'01_数值调参'!$X$29,0),IF('01_数值调参'!$Y$7&lt;=$A9,-'01_数值调参'!$Y$29,0),IF('01_数值调参'!$Z$7&lt;=$A9,-'01_数值调参'!$Z$29,0),IF('01_数值调参'!$AA$7&lt;=$A9,-'01_数值调参'!$AA$29,0),IF('01_数值调参'!$AB$7&lt;=$A9,-'01_数值调参'!$AB$29,0),IF('01_数值调参'!$AC$7&lt;=$A9,-'01_数值调参'!$AC$29,0)),0),IF($A9&gt;=8,(F9+$C$3)*MAX(0,IF('01_数值调参'!$AD$7&lt;=$A9,-'01_数值调参'!$AD$29,0),IF('01_数值调参'!$AE$7&lt;=$A9,-'01_数值调参'!$AE$29,0),IF('01_数值调参'!$AF$7&lt;=$A9,-'01_数值调参'!$AF$29,0),IF('01_数值调参'!$AG$7&lt;=$A9,-'01_数值调参'!$AG$29,0)),0),IF($A9&gt;=10,(G9+$C$3)*MAX(0,IF('01_数值调参'!$AH$7&lt;=$A9,-'01_数值调参'!$AH$29,0),IF('01_数值调参'!$AI$7&lt;=$A9,-'01_数值调参'!$AI$29,0),IF('01_数值调参'!$AJ$7&lt;=$A9,-'01_数值调参'!$AJ$29,0),IF('01_数值调参'!$AK$7&lt;=$A9,-'01_数值调参'!$AK$29,0),IF('01_数值调参'!$AL$7&lt;=$A9,-'01_数值调参'!$AL$29,0),IF('01_数值调参'!$AM$7&lt;=$A9,-'01_数值调参'!$AM$29,0)),0),0)),"队列待修正"))</x:f>
        <x:v>—</x:v>
      </x:c>
      <x:c r="T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Q$7,"—",SUM(IF($A9&gt;=2,(C9+$C$3)*MAX(0,IF('01_数值调参'!$N$7&lt;=$A9,-'01_数值调参'!$N$30,0),IF('01_数值调参'!$O$7&lt;=$A9,-'01_数值调参'!$O$30,0),IF('01_数值调参'!$P$7&lt;=$A9,-'01_数值调参'!$P$30,0),IF('01_数值调参'!$Q$7&lt;=$A9,0,0),IF('01_数值调参'!$R$7&lt;=$A9,-'01_数值调参'!$R$30,0)),0),IF($A9&gt;=4,(D9+$C$3)*MAX(0,IF('01_数值调参'!$S$7&lt;=$A9,-'01_数值调参'!$S$30,0),IF('01_数值调参'!$T$7&lt;=$A9,-'01_数值调参'!$T$30,0),IF('01_数值调参'!$U$7&lt;=$A9,-'01_数值调参'!$U$30,0),IF('01_数值调参'!$V$7&lt;=$A9,-'01_数值调参'!$V$30,0),IF('01_数值调参'!$W$7&lt;=$A9,-'01_数值调参'!$W$30,0)),0),IF($A9&gt;=6,(E9+$C$3)*MAX(0,IF('01_数值调参'!$X$7&lt;=$A9,-'01_数值调参'!$X$30,0),IF('01_数值调参'!$Y$7&lt;=$A9,-'01_数值调参'!$Y$30,0),IF('01_数值调参'!$Z$7&lt;=$A9,-'01_数值调参'!$Z$30,0),IF('01_数值调参'!$AA$7&lt;=$A9,-'01_数值调参'!$AA$30,0),IF('01_数值调参'!$AB$7&lt;=$A9,-'01_数值调参'!$AB$30,0),IF('01_数值调参'!$AC$7&lt;=$A9,-'01_数值调参'!$AC$30,0)),0),IF($A9&gt;=8,(F9+$C$3)*MAX(0,IF('01_数值调参'!$AD$7&lt;=$A9,-'01_数值调参'!$AD$30,0),IF('01_数值调参'!$AE$7&lt;=$A9,-'01_数值调参'!$AE$30,0),IF('01_数值调参'!$AF$7&lt;=$A9,-'01_数值调参'!$AF$30,0),IF('01_数值调参'!$AG$7&lt;=$A9,-'01_数值调参'!$AG$30,0)),0),IF($A9&gt;=10,(G9+$C$3)*MAX(0,IF('01_数值调参'!$AH$7&lt;=$A9,-'01_数值调参'!$AH$30,0),IF('01_数值调参'!$AI$7&lt;=$A9,-'01_数值调参'!$AI$30,0),IF('01_数值调参'!$AJ$7&lt;=$A9,-'01_数值调参'!$AJ$30,0),IF('01_数值调参'!$AK$7&lt;=$A9,-'01_数值调参'!$AK$30,0),IF('01_数值调参'!$AL$7&lt;=$A9,-'01_数值调参'!$AL$30,0),IF('01_数值调参'!$AM$7&lt;=$A9,-'01_数值调参'!$AM$30,0)),0),0)),"队列待修正"))</x:f>
        <x:v>—</x:v>
      </x:c>
      <x:c r="U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R$7,"—",SUM(IF($A9&gt;=2,(C9+$C$3)*MAX(0,IF('01_数值调参'!$N$7&lt;=$A9,-'01_数值调参'!$N$31,0),IF('01_数值调参'!$O$7&lt;=$A9,-'01_数值调参'!$O$31,0),IF('01_数值调参'!$P$7&lt;=$A9,-'01_数值调参'!$P$31,0),IF('01_数值调参'!$Q$7&lt;=$A9,-'01_数值调参'!$Q$31,0),IF('01_数值调参'!$R$7&lt;=$A9,0,0)),0),IF($A9&gt;=4,(D9+$C$3)*MAX(0,IF('01_数值调参'!$S$7&lt;=$A9,-'01_数值调参'!$S$31,0),IF('01_数值调参'!$T$7&lt;=$A9,-'01_数值调参'!$T$31,0),IF('01_数值调参'!$U$7&lt;=$A9,-'01_数值调参'!$U$31,0),IF('01_数值调参'!$V$7&lt;=$A9,-'01_数值调参'!$V$31,0),IF('01_数值调参'!$W$7&lt;=$A9,-'01_数值调参'!$W$31,0)),0),IF($A9&gt;=6,(E9+$C$3)*MAX(0,IF('01_数值调参'!$X$7&lt;=$A9,-'01_数值调参'!$X$31,0),IF('01_数值调参'!$Y$7&lt;=$A9,-'01_数值调参'!$Y$31,0),IF('01_数值调参'!$Z$7&lt;=$A9,-'01_数值调参'!$Z$31,0),IF('01_数值调参'!$AA$7&lt;=$A9,-'01_数值调参'!$AA$31,0),IF('01_数值调参'!$AB$7&lt;=$A9,-'01_数值调参'!$AB$31,0),IF('01_数值调参'!$AC$7&lt;=$A9,-'01_数值调参'!$AC$31,0)),0),IF($A9&gt;=8,(F9+$C$3)*MAX(0,IF('01_数值调参'!$AD$7&lt;=$A9,-'01_数值调参'!$AD$31,0),IF('01_数值调参'!$AE$7&lt;=$A9,-'01_数值调参'!$AE$31,0),IF('01_数值调参'!$AF$7&lt;=$A9,-'01_数值调参'!$AF$31,0),IF('01_数值调参'!$AG$7&lt;=$A9,-'01_数值调参'!$AG$31,0)),0),IF($A9&gt;=10,(G9+$C$3)*MAX(0,IF('01_数值调参'!$AH$7&lt;=$A9,-'01_数值调参'!$AH$31,0),IF('01_数值调参'!$AI$7&lt;=$A9,-'01_数值调参'!$AI$31,0),IF('01_数值调参'!$AJ$7&lt;=$A9,-'01_数值调参'!$AJ$31,0),IF('01_数值调参'!$AK$7&lt;=$A9,-'01_数值调参'!$AK$31,0),IF('01_数值调参'!$AL$7&lt;=$A9,-'01_数值调参'!$AL$31,0),IF('01_数值调参'!$AM$7&lt;=$A9,-'01_数值调参'!$AM$31,0)),0),0)),"队列待修正"))</x:f>
        <x:v>—</x:v>
      </x:c>
      <x:c r="V9" s="191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S$7,"—",SUM(IF($A9&gt;=2,(C9+$C$3)*MAX(0,IF('01_数值调参'!$N$7&lt;=$A9,-'01_数值调参'!$N$32,0),IF('01_数值调参'!$O$7&lt;=$A9,-'01_数值调参'!$O$32,0),IF('01_数值调参'!$P$7&lt;=$A9,-'01_数值调参'!$P$32,0),IF('01_数值调参'!$Q$7&lt;=$A9,-'01_数值调参'!$Q$32,0),IF('01_数值调参'!$R$7&lt;=$A9,-'01_数值调参'!$R$32,0)),0),IF($A9&gt;=4,(D9+$C$3)*MAX(0,IF('01_数值调参'!$S$7&lt;=$A9,0,0),IF('01_数值调参'!$T$7&lt;=$A9,-'01_数值调参'!$T$32,0),IF('01_数值调参'!$U$7&lt;=$A9,-'01_数值调参'!$U$32,0),IF('01_数值调参'!$V$7&lt;=$A9,-'01_数值调参'!$V$32,0),IF('01_数值调参'!$W$7&lt;=$A9,-'01_数值调参'!$W$32,0)),0),IF($A9&gt;=6,(E9+$C$3)*MAX(0,IF('01_数值调参'!$X$7&lt;=$A9,-'01_数值调参'!$X$32,0),IF('01_数值调参'!$Y$7&lt;=$A9,-'01_数值调参'!$Y$32,0),IF('01_数值调参'!$Z$7&lt;=$A9,-'01_数值调参'!$Z$32,0),IF('01_数值调参'!$AA$7&lt;=$A9,-'01_数值调参'!$AA$32,0),IF('01_数值调参'!$AB$7&lt;=$A9,-'01_数值调参'!$AB$32,0),IF('01_数值调参'!$AC$7&lt;=$A9,-'01_数值调参'!$AC$32,0)),0),IF($A9&gt;=8,(F9+$C$3)*MAX(0,IF('01_数值调参'!$AD$7&lt;=$A9,-'01_数值调参'!$AD$32,0),IF('01_数值调参'!$AE$7&lt;=$A9,-'01_数值调参'!$AE$32,0),IF('01_数值调参'!$AF$7&lt;=$A9,-'01_数值调参'!$AF$32,0),IF('01_数值调参'!$AG$7&lt;=$A9,-'01_数值调参'!$AG$32,0)),0),IF($A9&gt;=10,(G9+$C$3)*MAX(0,IF('01_数值调参'!$AH$7&lt;=$A9,-'01_数值调参'!$AH$32,0),IF('01_数值调参'!$AI$7&lt;=$A9,-'01_数值调参'!$AI$32,0),IF('01_数值调参'!$AJ$7&lt;=$A9,-'01_数值调参'!$AJ$32,0),IF('01_数值调参'!$AK$7&lt;=$A9,-'01_数值调参'!$AK$32,0),IF('01_数值调参'!$AL$7&lt;=$A9,-'01_数值调参'!$AL$32,0),IF('01_数值调参'!$AM$7&lt;=$A9,-'01_数值调参'!$AM$32,0)),0),0)),"队列待修正"))</x:f>
        <x:v>—</x:v>
      </x:c>
      <x:c r="W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T$7,"—",SUM(IF($A9&gt;=2,(C9+$C$3)*MAX(0,IF('01_数值调参'!$N$7&lt;=$A9,-'01_数值调参'!$N$33,0),IF('01_数值调参'!$O$7&lt;=$A9,-'01_数值调参'!$O$33,0),IF('01_数值调参'!$P$7&lt;=$A9,-'01_数值调参'!$P$33,0),IF('01_数值调参'!$Q$7&lt;=$A9,-'01_数值调参'!$Q$33,0),IF('01_数值调参'!$R$7&lt;=$A9,-'01_数值调参'!$R$33,0)),0),IF($A9&gt;=4,(D9+$C$3)*MAX(0,IF('01_数值调参'!$S$7&lt;=$A9,-'01_数值调参'!$S$33,0),IF('01_数值调参'!$T$7&lt;=$A9,0,0),IF('01_数值调参'!$U$7&lt;=$A9,-'01_数值调参'!$U$33,0),IF('01_数值调参'!$V$7&lt;=$A9,-'01_数值调参'!$V$33,0),IF('01_数值调参'!$W$7&lt;=$A9,-'01_数值调参'!$W$33,0)),0),IF($A9&gt;=6,(E9+$C$3)*MAX(0,IF('01_数值调参'!$X$7&lt;=$A9,-'01_数值调参'!$X$33,0),IF('01_数值调参'!$Y$7&lt;=$A9,-'01_数值调参'!$Y$33,0),IF('01_数值调参'!$Z$7&lt;=$A9,-'01_数值调参'!$Z$33,0),IF('01_数值调参'!$AA$7&lt;=$A9,-'01_数值调参'!$AA$33,0),IF('01_数值调参'!$AB$7&lt;=$A9,-'01_数值调参'!$AB$33,0),IF('01_数值调参'!$AC$7&lt;=$A9,-'01_数值调参'!$AC$33,0)),0),IF($A9&gt;=8,(F9+$C$3)*MAX(0,IF('01_数值调参'!$AD$7&lt;=$A9,-'01_数值调参'!$AD$33,0),IF('01_数值调参'!$AE$7&lt;=$A9,-'01_数值调参'!$AE$33,0),IF('01_数值调参'!$AF$7&lt;=$A9,-'01_数值调参'!$AF$33,0),IF('01_数值调参'!$AG$7&lt;=$A9,-'01_数值调参'!$AG$33,0)),0),IF($A9&gt;=10,(G9+$C$3)*MAX(0,IF('01_数值调参'!$AH$7&lt;=$A9,-'01_数值调参'!$AH$33,0),IF('01_数值调参'!$AI$7&lt;=$A9,-'01_数值调参'!$AI$33,0),IF('01_数值调参'!$AJ$7&lt;=$A9,-'01_数值调参'!$AJ$33,0),IF('01_数值调参'!$AK$7&lt;=$A9,-'01_数值调参'!$AK$33,0),IF('01_数值调参'!$AL$7&lt;=$A9,-'01_数值调参'!$AL$33,0),IF('01_数值调参'!$AM$7&lt;=$A9,-'01_数值调参'!$AM$33,0)),0),0)),"队列待修正"))</x:f>
        <x:v>—</x:v>
      </x:c>
      <x:c r="X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U$7,"—",SUM(IF($A9&gt;=2,(C9+$C$3)*MAX(0,IF('01_数值调参'!$N$7&lt;=$A9,-'01_数值调参'!$N$34,0),IF('01_数值调参'!$O$7&lt;=$A9,-'01_数值调参'!$O$34,0),IF('01_数值调参'!$P$7&lt;=$A9,-'01_数值调参'!$P$34,0),IF('01_数值调参'!$Q$7&lt;=$A9,-'01_数值调参'!$Q$34,0),IF('01_数值调参'!$R$7&lt;=$A9,-'01_数值调参'!$R$34,0)),0),IF($A9&gt;=4,(D9+$C$3)*MAX(0,IF('01_数值调参'!$S$7&lt;=$A9,-'01_数值调参'!$S$34,0),IF('01_数值调参'!$T$7&lt;=$A9,-'01_数值调参'!$T$34,0),IF('01_数值调参'!$U$7&lt;=$A9,0,0),IF('01_数值调参'!$V$7&lt;=$A9,-'01_数值调参'!$V$34,0),IF('01_数值调参'!$W$7&lt;=$A9,-'01_数值调参'!$W$34,0)),0),IF($A9&gt;=6,(E9+$C$3)*MAX(0,IF('01_数值调参'!$X$7&lt;=$A9,-'01_数值调参'!$X$34,0),IF('01_数值调参'!$Y$7&lt;=$A9,-'01_数值调参'!$Y$34,0),IF('01_数值调参'!$Z$7&lt;=$A9,-'01_数值调参'!$Z$34,0),IF('01_数值调参'!$AA$7&lt;=$A9,-'01_数值调参'!$AA$34,0),IF('01_数值调参'!$AB$7&lt;=$A9,-'01_数值调参'!$AB$34,0),IF('01_数值调参'!$AC$7&lt;=$A9,-'01_数值调参'!$AC$34,0)),0),IF($A9&gt;=8,(F9+$C$3)*MAX(0,IF('01_数值调参'!$AD$7&lt;=$A9,-'01_数值调参'!$AD$34,0),IF('01_数值调参'!$AE$7&lt;=$A9,-'01_数值调参'!$AE$34,0),IF('01_数值调参'!$AF$7&lt;=$A9,-'01_数值调参'!$AF$34,0),IF('01_数值调参'!$AG$7&lt;=$A9,-'01_数值调参'!$AG$34,0)),0),IF($A9&gt;=10,(G9+$C$3)*MAX(0,IF('01_数值调参'!$AH$7&lt;=$A9,-'01_数值调参'!$AH$34,0),IF('01_数值调参'!$AI$7&lt;=$A9,-'01_数值调参'!$AI$34,0),IF('01_数值调参'!$AJ$7&lt;=$A9,-'01_数值调参'!$AJ$34,0),IF('01_数值调参'!$AK$7&lt;=$A9,-'01_数值调参'!$AK$34,0),IF('01_数值调参'!$AL$7&lt;=$A9,-'01_数值调参'!$AL$34,0),IF('01_数值调参'!$AM$7&lt;=$A9,-'01_数值调参'!$AM$34,0)),0),0)),"队列待修正"))</x:f>
        <x:v>—</x:v>
      </x:c>
      <x:c r="Y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V$7,"—",SUM(IF($A9&gt;=2,(C9+$C$3)*MAX(0,IF('01_数值调参'!$N$7&lt;=$A9,-'01_数值调参'!$N$35,0),IF('01_数值调参'!$O$7&lt;=$A9,-'01_数值调参'!$O$35,0),IF('01_数值调参'!$P$7&lt;=$A9,-'01_数值调参'!$P$35,0),IF('01_数值调参'!$Q$7&lt;=$A9,-'01_数值调参'!$Q$35,0),IF('01_数值调参'!$R$7&lt;=$A9,-'01_数值调参'!$R$35,0)),0),IF($A9&gt;=4,(D9+$C$3)*MAX(0,IF('01_数值调参'!$S$7&lt;=$A9,-'01_数值调参'!$S$35,0),IF('01_数值调参'!$T$7&lt;=$A9,-'01_数值调参'!$T$35,0),IF('01_数值调参'!$U$7&lt;=$A9,-'01_数值调参'!$U$35,0),IF('01_数值调参'!$V$7&lt;=$A9,0,0),IF('01_数值调参'!$W$7&lt;=$A9,-'01_数值调参'!$W$35,0)),0),IF($A9&gt;=6,(E9+$C$3)*MAX(0,IF('01_数值调参'!$X$7&lt;=$A9,-'01_数值调参'!$X$35,0),IF('01_数值调参'!$Y$7&lt;=$A9,-'01_数值调参'!$Y$35,0),IF('01_数值调参'!$Z$7&lt;=$A9,-'01_数值调参'!$Z$35,0),IF('01_数值调参'!$AA$7&lt;=$A9,-'01_数值调参'!$AA$35,0),IF('01_数值调参'!$AB$7&lt;=$A9,-'01_数值调参'!$AB$35,0),IF('01_数值调参'!$AC$7&lt;=$A9,-'01_数值调参'!$AC$35,0)),0),IF($A9&gt;=8,(F9+$C$3)*MAX(0,IF('01_数值调参'!$AD$7&lt;=$A9,-'01_数值调参'!$AD$35,0),IF('01_数值调参'!$AE$7&lt;=$A9,-'01_数值调参'!$AE$35,0),IF('01_数值调参'!$AF$7&lt;=$A9,-'01_数值调参'!$AF$35,0),IF('01_数值调参'!$AG$7&lt;=$A9,-'01_数值调参'!$AG$35,0)),0),IF($A9&gt;=10,(G9+$C$3)*MAX(0,IF('01_数值调参'!$AH$7&lt;=$A9,-'01_数值调参'!$AH$35,0),IF('01_数值调参'!$AI$7&lt;=$A9,-'01_数值调参'!$AI$35,0),IF('01_数值调参'!$AJ$7&lt;=$A9,-'01_数值调参'!$AJ$35,0),IF('01_数值调参'!$AK$7&lt;=$A9,-'01_数值调参'!$AK$35,0),IF('01_数值调参'!$AL$7&lt;=$A9,-'01_数值调参'!$AL$35,0),IF('01_数值调参'!$AM$7&lt;=$A9,-'01_数值调参'!$AM$35,0)),0),0)),"队列待修正"))</x:f>
        <x:v>—</x:v>
      </x:c>
      <x:c r="Z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W$7,"—",SUM(IF($A9&gt;=2,(C9+$C$3)*MAX(0,IF('01_数值调参'!$N$7&lt;=$A9,-'01_数值调参'!$N$36,0),IF('01_数值调参'!$O$7&lt;=$A9,-'01_数值调参'!$O$36,0),IF('01_数值调参'!$P$7&lt;=$A9,-'01_数值调参'!$P$36,0),IF('01_数值调参'!$Q$7&lt;=$A9,-'01_数值调参'!$Q$36,0),IF('01_数值调参'!$R$7&lt;=$A9,-'01_数值调参'!$R$36,0)),0),IF($A9&gt;=4,(D9+$C$3)*MAX(0,IF('01_数值调参'!$S$7&lt;=$A9,-'01_数值调参'!$S$36,0),IF('01_数值调参'!$T$7&lt;=$A9,-'01_数值调参'!$T$36,0),IF('01_数值调参'!$U$7&lt;=$A9,-'01_数值调参'!$U$36,0),IF('01_数值调参'!$V$7&lt;=$A9,-'01_数值调参'!$V$36,0),IF('01_数值调参'!$W$7&lt;=$A9,0,0)),0),IF($A9&gt;=6,(E9+$C$3)*MAX(0,IF('01_数值调参'!$X$7&lt;=$A9,-'01_数值调参'!$X$36,0),IF('01_数值调参'!$Y$7&lt;=$A9,-'01_数值调参'!$Y$36,0),IF('01_数值调参'!$Z$7&lt;=$A9,-'01_数值调参'!$Z$36,0),IF('01_数值调参'!$AA$7&lt;=$A9,-'01_数值调参'!$AA$36,0),IF('01_数值调参'!$AB$7&lt;=$A9,-'01_数值调参'!$AB$36,0),IF('01_数值调参'!$AC$7&lt;=$A9,-'01_数值调参'!$AC$36,0)),0),IF($A9&gt;=8,(F9+$C$3)*MAX(0,IF('01_数值调参'!$AD$7&lt;=$A9,-'01_数值调参'!$AD$36,0),IF('01_数值调参'!$AE$7&lt;=$A9,-'01_数值调参'!$AE$36,0),IF('01_数值调参'!$AF$7&lt;=$A9,-'01_数值调参'!$AF$36,0),IF('01_数值调参'!$AG$7&lt;=$A9,-'01_数值调参'!$AG$36,0)),0),IF($A9&gt;=10,(G9+$C$3)*MAX(0,IF('01_数值调参'!$AH$7&lt;=$A9,-'01_数值调参'!$AH$36,0),IF('01_数值调参'!$AI$7&lt;=$A9,-'01_数值调参'!$AI$36,0),IF('01_数值调参'!$AJ$7&lt;=$A9,-'01_数值调参'!$AJ$36,0),IF('01_数值调参'!$AK$7&lt;=$A9,-'01_数值调参'!$AK$36,0),IF('01_数值调参'!$AL$7&lt;=$A9,-'01_数值调参'!$AL$36,0),IF('01_数值调参'!$AM$7&lt;=$A9,-'01_数值调参'!$AM$36,0)),0),0)),"队列待修正"))</x:f>
        <x:v>—</x:v>
      </x:c>
      <x:c r="AA9" s="191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X$7,"—",SUM(IF($A9&gt;=2,(C9+$C$3)*MAX(0,IF('01_数值调参'!$N$7&lt;=$A9,-'01_数值调参'!$N$37,0),IF('01_数值调参'!$O$7&lt;=$A9,-'01_数值调参'!$O$37,0),IF('01_数值调参'!$P$7&lt;=$A9,-'01_数值调参'!$P$37,0),IF('01_数值调参'!$Q$7&lt;=$A9,-'01_数值调参'!$Q$37,0),IF('01_数值调参'!$R$7&lt;=$A9,-'01_数值调参'!$R$37,0)),0),IF($A9&gt;=4,(D9+$C$3)*MAX(0,IF('01_数值调参'!$S$7&lt;=$A9,-'01_数值调参'!$S$37,0),IF('01_数值调参'!$T$7&lt;=$A9,-'01_数值调参'!$T$37,0),IF('01_数值调参'!$U$7&lt;=$A9,-'01_数值调参'!$U$37,0),IF('01_数值调参'!$V$7&lt;=$A9,-'01_数值调参'!$V$37,0),IF('01_数值调参'!$W$7&lt;=$A9,-'01_数值调参'!$W$37,0)),0),IF($A9&gt;=6,(E9+$C$3)*MAX(0,IF('01_数值调参'!$X$7&lt;=$A9,0,0),IF('01_数值调参'!$Y$7&lt;=$A9,-'01_数值调参'!$Y$37,0),IF('01_数值调参'!$Z$7&lt;=$A9,-'01_数值调参'!$Z$37,0),IF('01_数值调参'!$AA$7&lt;=$A9,-'01_数值调参'!$AA$37,0),IF('01_数值调参'!$AB$7&lt;=$A9,-'01_数值调参'!$AB$37,0),IF('01_数值调参'!$AC$7&lt;=$A9,-'01_数值调参'!$AC$37,0)),0),IF($A9&gt;=8,(F9+$C$3)*MAX(0,IF('01_数值调参'!$AD$7&lt;=$A9,-'01_数值调参'!$AD$37,0),IF('01_数值调参'!$AE$7&lt;=$A9,-'01_数值调参'!$AE$37,0),IF('01_数值调参'!$AF$7&lt;=$A9,-'01_数值调参'!$AF$37,0),IF('01_数值调参'!$AG$7&lt;=$A9,-'01_数值调参'!$AG$37,0)),0),IF($A9&gt;=10,(G9+$C$3)*MAX(0,IF('01_数值调参'!$AH$7&lt;=$A9,-'01_数值调参'!$AH$37,0),IF('01_数值调参'!$AI$7&lt;=$A9,-'01_数值调参'!$AI$37,0),IF('01_数值调参'!$AJ$7&lt;=$A9,-'01_数值调参'!$AJ$37,0),IF('01_数值调参'!$AK$7&lt;=$A9,-'01_数值调参'!$AK$37,0),IF('01_数值调参'!$AL$7&lt;=$A9,-'01_数值调参'!$AL$37,0),IF('01_数值调参'!$AM$7&lt;=$A9,-'01_数值调参'!$AM$37,0)),0),0)),"队列待修正"))</x:f>
        <x:v>—</x:v>
      </x:c>
      <x:c r="AB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Y$7,"—",SUM(IF($A9&gt;=2,(C9+$C$3)*MAX(0,IF('01_数值调参'!$N$7&lt;=$A9,-'01_数值调参'!$N$38,0),IF('01_数值调参'!$O$7&lt;=$A9,-'01_数值调参'!$O$38,0),IF('01_数值调参'!$P$7&lt;=$A9,-'01_数值调参'!$P$38,0),IF('01_数值调参'!$Q$7&lt;=$A9,-'01_数值调参'!$Q$38,0),IF('01_数值调参'!$R$7&lt;=$A9,-'01_数值调参'!$R$38,0)),0),IF($A9&gt;=4,(D9+$C$3)*MAX(0,IF('01_数值调参'!$S$7&lt;=$A9,-'01_数值调参'!$S$38,0),IF('01_数值调参'!$T$7&lt;=$A9,-'01_数值调参'!$T$38,0),IF('01_数值调参'!$U$7&lt;=$A9,-'01_数值调参'!$U$38,0),IF('01_数值调参'!$V$7&lt;=$A9,-'01_数值调参'!$V$38,0),IF('01_数值调参'!$W$7&lt;=$A9,-'01_数值调参'!$W$38,0)),0),IF($A9&gt;=6,(E9+$C$3)*MAX(0,IF('01_数值调参'!$X$7&lt;=$A9,-'01_数值调参'!$X$38,0),IF('01_数值调参'!$Y$7&lt;=$A9,0,0),IF('01_数值调参'!$Z$7&lt;=$A9,-'01_数值调参'!$Z$38,0),IF('01_数值调参'!$AA$7&lt;=$A9,-'01_数值调参'!$AA$38,0),IF('01_数值调参'!$AB$7&lt;=$A9,-'01_数值调参'!$AB$38,0),IF('01_数值调参'!$AC$7&lt;=$A9,-'01_数值调参'!$AC$38,0)),0),IF($A9&gt;=8,(F9+$C$3)*MAX(0,IF('01_数值调参'!$AD$7&lt;=$A9,-'01_数值调参'!$AD$38,0),IF('01_数值调参'!$AE$7&lt;=$A9,-'01_数值调参'!$AE$38,0),IF('01_数值调参'!$AF$7&lt;=$A9,-'01_数值调参'!$AF$38,0),IF('01_数值调参'!$AG$7&lt;=$A9,-'01_数值调参'!$AG$38,0)),0),IF($A9&gt;=10,(G9+$C$3)*MAX(0,IF('01_数值调参'!$AH$7&lt;=$A9,-'01_数值调参'!$AH$38,0),IF('01_数值调参'!$AI$7&lt;=$A9,-'01_数值调参'!$AI$38,0),IF('01_数值调参'!$AJ$7&lt;=$A9,-'01_数值调参'!$AJ$38,0),IF('01_数值调参'!$AK$7&lt;=$A9,-'01_数值调参'!$AK$38,0),IF('01_数值调参'!$AL$7&lt;=$A9,-'01_数值调参'!$AL$38,0),IF('01_数值调参'!$AM$7&lt;=$A9,-'01_数值调参'!$AM$38,0)),0),0)),"队列待修正"))</x:f>
        <x:v>—</x:v>
      </x:c>
      <x:c r="AC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Z$7,"—",SUM(IF($A9&gt;=2,(C9+$C$3)*MAX(0,IF('01_数值调参'!$N$7&lt;=$A9,-'01_数值调参'!$N$39,0),IF('01_数值调参'!$O$7&lt;=$A9,-'01_数值调参'!$O$39,0),IF('01_数值调参'!$P$7&lt;=$A9,-'01_数值调参'!$P$39,0),IF('01_数值调参'!$Q$7&lt;=$A9,-'01_数值调参'!$Q$39,0),IF('01_数值调参'!$R$7&lt;=$A9,-'01_数值调参'!$R$39,0)),0),IF($A9&gt;=4,(D9+$C$3)*MAX(0,IF('01_数值调参'!$S$7&lt;=$A9,-'01_数值调参'!$S$39,0),IF('01_数值调参'!$T$7&lt;=$A9,-'01_数值调参'!$T$39,0),IF('01_数值调参'!$U$7&lt;=$A9,-'01_数值调参'!$U$39,0),IF('01_数值调参'!$V$7&lt;=$A9,-'01_数值调参'!$V$39,0),IF('01_数值调参'!$W$7&lt;=$A9,-'01_数值调参'!$W$39,0)),0),IF($A9&gt;=6,(E9+$C$3)*MAX(0,IF('01_数值调参'!$X$7&lt;=$A9,-'01_数值调参'!$X$39,0),IF('01_数值调参'!$Y$7&lt;=$A9,-'01_数值调参'!$Y$39,0),IF('01_数值调参'!$Z$7&lt;=$A9,0,0),IF('01_数值调参'!$AA$7&lt;=$A9,-'01_数值调参'!$AA$39,0),IF('01_数值调参'!$AB$7&lt;=$A9,-'01_数值调参'!$AB$39,0),IF('01_数值调参'!$AC$7&lt;=$A9,-'01_数值调参'!$AC$39,0)),0),IF($A9&gt;=8,(F9+$C$3)*MAX(0,IF('01_数值调参'!$AD$7&lt;=$A9,-'01_数值调参'!$AD$39,0),IF('01_数值调参'!$AE$7&lt;=$A9,-'01_数值调参'!$AE$39,0),IF('01_数值调参'!$AF$7&lt;=$A9,-'01_数值调参'!$AF$39,0),IF('01_数值调参'!$AG$7&lt;=$A9,-'01_数值调参'!$AG$39,0)),0),IF($A9&gt;=10,(G9+$C$3)*MAX(0,IF('01_数值调参'!$AH$7&lt;=$A9,-'01_数值调参'!$AH$39,0),IF('01_数值调参'!$AI$7&lt;=$A9,-'01_数值调参'!$AI$39,0),IF('01_数值调参'!$AJ$7&lt;=$A9,-'01_数值调参'!$AJ$39,0),IF('01_数值调参'!$AK$7&lt;=$A9,-'01_数值调参'!$AK$39,0),IF('01_数值调参'!$AL$7&lt;=$A9,-'01_数值调参'!$AL$39,0),IF('01_数值调参'!$AM$7&lt;=$A9,-'01_数值调参'!$AM$39,0)),0),0)),"队列待修正"))</x:f>
        <x:v>—</x:v>
      </x:c>
      <x:c r="AD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A$7,"—",SUM(IF($A9&gt;=2,(C9+$C$3)*MAX(0,IF('01_数值调参'!$N$7&lt;=$A9,-'01_数值调参'!$N$40,0),IF('01_数值调参'!$O$7&lt;=$A9,-'01_数值调参'!$O$40,0),IF('01_数值调参'!$P$7&lt;=$A9,-'01_数值调参'!$P$40,0),IF('01_数值调参'!$Q$7&lt;=$A9,-'01_数值调参'!$Q$40,0),IF('01_数值调参'!$R$7&lt;=$A9,-'01_数值调参'!$R$40,0)),0),IF($A9&gt;=4,(D9+$C$3)*MAX(0,IF('01_数值调参'!$S$7&lt;=$A9,-'01_数值调参'!$S$40,0),IF('01_数值调参'!$T$7&lt;=$A9,-'01_数值调参'!$T$40,0),IF('01_数值调参'!$U$7&lt;=$A9,-'01_数值调参'!$U$40,0),IF('01_数值调参'!$V$7&lt;=$A9,-'01_数值调参'!$V$40,0),IF('01_数值调参'!$W$7&lt;=$A9,-'01_数值调参'!$W$40,0)),0),IF($A9&gt;=6,(E9+$C$3)*MAX(0,IF('01_数值调参'!$X$7&lt;=$A9,-'01_数值调参'!$X$40,0),IF('01_数值调参'!$Y$7&lt;=$A9,-'01_数值调参'!$Y$40,0),IF('01_数值调参'!$Z$7&lt;=$A9,-'01_数值调参'!$Z$40,0),IF('01_数值调参'!$AA$7&lt;=$A9,0,0),IF('01_数值调参'!$AB$7&lt;=$A9,-'01_数值调参'!$AB$40,0),IF('01_数值调参'!$AC$7&lt;=$A9,-'01_数值调参'!$AC$40,0)),0),IF($A9&gt;=8,(F9+$C$3)*MAX(0,IF('01_数值调参'!$AD$7&lt;=$A9,-'01_数值调参'!$AD$40,0),IF('01_数值调参'!$AE$7&lt;=$A9,-'01_数值调参'!$AE$40,0),IF('01_数值调参'!$AF$7&lt;=$A9,-'01_数值调参'!$AF$40,0),IF('01_数值调参'!$AG$7&lt;=$A9,-'01_数值调参'!$AG$40,0)),0),IF($A9&gt;=10,(G9+$C$3)*MAX(0,IF('01_数值调参'!$AH$7&lt;=$A9,-'01_数值调参'!$AH$40,0),IF('01_数值调参'!$AI$7&lt;=$A9,-'01_数值调参'!$AI$40,0),IF('01_数值调参'!$AJ$7&lt;=$A9,-'01_数值调参'!$AJ$40,0),IF('01_数值调参'!$AK$7&lt;=$A9,-'01_数值调参'!$AK$40,0),IF('01_数值调参'!$AL$7&lt;=$A9,-'01_数值调参'!$AL$40,0),IF('01_数值调参'!$AM$7&lt;=$A9,-'01_数值调参'!$AM$40,0)),0),0)),"队列待修正"))</x:f>
        <x:v>—</x:v>
      </x:c>
      <x:c r="AE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B$7,"—",SUM(IF($A9&gt;=2,(C9+$C$3)*MAX(0,IF('01_数值调参'!$N$7&lt;=$A9,-'01_数值调参'!$N$41,0),IF('01_数值调参'!$O$7&lt;=$A9,-'01_数值调参'!$O$41,0),IF('01_数值调参'!$P$7&lt;=$A9,-'01_数值调参'!$P$41,0),IF('01_数值调参'!$Q$7&lt;=$A9,-'01_数值调参'!$Q$41,0),IF('01_数值调参'!$R$7&lt;=$A9,-'01_数值调参'!$R$41,0)),0),IF($A9&gt;=4,(D9+$C$3)*MAX(0,IF('01_数值调参'!$S$7&lt;=$A9,-'01_数值调参'!$S$41,0),IF('01_数值调参'!$T$7&lt;=$A9,-'01_数值调参'!$T$41,0),IF('01_数值调参'!$U$7&lt;=$A9,-'01_数值调参'!$U$41,0),IF('01_数值调参'!$V$7&lt;=$A9,-'01_数值调参'!$V$41,0),IF('01_数值调参'!$W$7&lt;=$A9,-'01_数值调参'!$W$41,0)),0),IF($A9&gt;=6,(E9+$C$3)*MAX(0,IF('01_数值调参'!$X$7&lt;=$A9,-'01_数值调参'!$X$41,0),IF('01_数值调参'!$Y$7&lt;=$A9,-'01_数值调参'!$Y$41,0),IF('01_数值调参'!$Z$7&lt;=$A9,-'01_数值调参'!$Z$41,0),IF('01_数值调参'!$AA$7&lt;=$A9,-'01_数值调参'!$AA$41,0),IF('01_数值调参'!$AB$7&lt;=$A9,0,0),IF('01_数值调参'!$AC$7&lt;=$A9,-'01_数值调参'!$AC$41,0)),0),IF($A9&gt;=8,(F9+$C$3)*MAX(0,IF('01_数值调参'!$AD$7&lt;=$A9,-'01_数值调参'!$AD$41,0),IF('01_数值调参'!$AE$7&lt;=$A9,-'01_数值调参'!$AE$41,0),IF('01_数值调参'!$AF$7&lt;=$A9,-'01_数值调参'!$AF$41,0),IF('01_数值调参'!$AG$7&lt;=$A9,-'01_数值调参'!$AG$41,0)),0),IF($A9&gt;=10,(G9+$C$3)*MAX(0,IF('01_数值调参'!$AH$7&lt;=$A9,-'01_数值调参'!$AH$41,0),IF('01_数值调参'!$AI$7&lt;=$A9,-'01_数值调参'!$AI$41,0),IF('01_数值调参'!$AJ$7&lt;=$A9,-'01_数值调参'!$AJ$41,0),IF('01_数值调参'!$AK$7&lt;=$A9,-'01_数值调参'!$AK$41,0),IF('01_数值调参'!$AL$7&lt;=$A9,-'01_数值调参'!$AL$41,0),IF('01_数值调参'!$AM$7&lt;=$A9,-'01_数值调参'!$AM$41,0)),0),0)),"队列待修正"))</x:f>
        <x:v>—</x:v>
      </x:c>
      <x:c r="AF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C$7,"—",SUM(IF($A9&gt;=2,(C9+$C$3)*MAX(0,IF('01_数值调参'!$N$7&lt;=$A9,-'01_数值调参'!$N$42,0),IF('01_数值调参'!$O$7&lt;=$A9,-'01_数值调参'!$O$42,0),IF('01_数值调参'!$P$7&lt;=$A9,-'01_数值调参'!$P$42,0),IF('01_数值调参'!$Q$7&lt;=$A9,-'01_数值调参'!$Q$42,0),IF('01_数值调参'!$R$7&lt;=$A9,-'01_数值调参'!$R$42,0)),0),IF($A9&gt;=4,(D9+$C$3)*MAX(0,IF('01_数值调参'!$S$7&lt;=$A9,-'01_数值调参'!$S$42,0),IF('01_数值调参'!$T$7&lt;=$A9,-'01_数值调参'!$T$42,0),IF('01_数值调参'!$U$7&lt;=$A9,-'01_数值调参'!$U$42,0),IF('01_数值调参'!$V$7&lt;=$A9,-'01_数值调参'!$V$42,0),IF('01_数值调参'!$W$7&lt;=$A9,-'01_数值调参'!$W$42,0)),0),IF($A9&gt;=6,(E9+$C$3)*MAX(0,IF('01_数值调参'!$X$7&lt;=$A9,-'01_数值调参'!$X$42,0),IF('01_数值调参'!$Y$7&lt;=$A9,-'01_数值调参'!$Y$42,0),IF('01_数值调参'!$Z$7&lt;=$A9,-'01_数值调参'!$Z$42,0),IF('01_数值调参'!$AA$7&lt;=$A9,-'01_数值调参'!$AA$42,0),IF('01_数值调参'!$AB$7&lt;=$A9,-'01_数值调参'!$AB$42,0),IF('01_数值调参'!$AC$7&lt;=$A9,0,0)),0),IF($A9&gt;=8,(F9+$C$3)*MAX(0,IF('01_数值调参'!$AD$7&lt;=$A9,-'01_数值调参'!$AD$42,0),IF('01_数值调参'!$AE$7&lt;=$A9,-'01_数值调参'!$AE$42,0),IF('01_数值调参'!$AF$7&lt;=$A9,-'01_数值调参'!$AF$42,0),IF('01_数值调参'!$AG$7&lt;=$A9,-'01_数值调参'!$AG$42,0)),0),IF($A9&gt;=10,(G9+$C$3)*MAX(0,IF('01_数值调参'!$AH$7&lt;=$A9,-'01_数值调参'!$AH$42,0),IF('01_数值调参'!$AI$7&lt;=$A9,-'01_数值调参'!$AI$42,0),IF('01_数值调参'!$AJ$7&lt;=$A9,-'01_数值调参'!$AJ$42,0),IF('01_数值调参'!$AK$7&lt;=$A9,-'01_数值调参'!$AK$42,0),IF('01_数值调参'!$AL$7&lt;=$A9,-'01_数值调参'!$AL$42,0),IF('01_数值调参'!$AM$7&lt;=$A9,-'01_数值调参'!$AM$42,0)),0),0)),"队列待修正"))</x:f>
        <x:v>—</x:v>
      </x:c>
      <x:c r="AG9" s="191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D$7,"—",SUM(IF($A9&gt;=2,(C9+$C$3)*MAX(0,IF('01_数值调参'!$N$7&lt;=$A9,-'01_数值调参'!$N$43,0),IF('01_数值调参'!$O$7&lt;=$A9,-'01_数值调参'!$O$43,0),IF('01_数值调参'!$P$7&lt;=$A9,-'01_数值调参'!$P$43,0),IF('01_数值调参'!$Q$7&lt;=$A9,-'01_数值调参'!$Q$43,0),IF('01_数值调参'!$R$7&lt;=$A9,-'01_数值调参'!$R$43,0)),0),IF($A9&gt;=4,(D9+$C$3)*MAX(0,IF('01_数值调参'!$S$7&lt;=$A9,-'01_数值调参'!$S$43,0),IF('01_数值调参'!$T$7&lt;=$A9,-'01_数值调参'!$T$43,0),IF('01_数值调参'!$U$7&lt;=$A9,-'01_数值调参'!$U$43,0),IF('01_数值调参'!$V$7&lt;=$A9,-'01_数值调参'!$V$43,0),IF('01_数值调参'!$W$7&lt;=$A9,-'01_数值调参'!$W$43,0)),0),IF($A9&gt;=6,(E9+$C$3)*MAX(0,IF('01_数值调参'!$X$7&lt;=$A9,-'01_数值调参'!$X$43,0),IF('01_数值调参'!$Y$7&lt;=$A9,-'01_数值调参'!$Y$43,0),IF('01_数值调参'!$Z$7&lt;=$A9,-'01_数值调参'!$Z$43,0),IF('01_数值调参'!$AA$7&lt;=$A9,-'01_数值调参'!$AA$43,0),IF('01_数值调参'!$AB$7&lt;=$A9,-'01_数值调参'!$AB$43,0),IF('01_数值调参'!$AC$7&lt;=$A9,-'01_数值调参'!$AC$43,0)),0),IF($A9&gt;=8,(F9+$C$3)*MAX(0,IF('01_数值调参'!$AD$7&lt;=$A9,0,0),IF('01_数值调参'!$AE$7&lt;=$A9,-'01_数值调参'!$AE$43,0),IF('01_数值调参'!$AF$7&lt;=$A9,-'01_数值调参'!$AF$43,0),IF('01_数值调参'!$AG$7&lt;=$A9,-'01_数值调参'!$AG$43,0)),0),IF($A9&gt;=10,(G9+$C$3)*MAX(0,IF('01_数值调参'!$AH$7&lt;=$A9,-'01_数值调参'!$AH$43,0),IF('01_数值调参'!$AI$7&lt;=$A9,-'01_数值调参'!$AI$43,0),IF('01_数值调参'!$AJ$7&lt;=$A9,-'01_数值调参'!$AJ$43,0),IF('01_数值调参'!$AK$7&lt;=$A9,-'01_数值调参'!$AK$43,0),IF('01_数值调参'!$AL$7&lt;=$A9,-'01_数值调参'!$AL$43,0),IF('01_数值调参'!$AM$7&lt;=$A9,-'01_数值调参'!$AM$43,0)),0),0)),"队列待修正"))</x:f>
        <x:v>—</x:v>
      </x:c>
      <x:c r="AH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E$7,"—",SUM(IF($A9&gt;=2,(C9+$C$3)*MAX(0,IF('01_数值调参'!$N$7&lt;=$A9,-'01_数值调参'!$N$44,0),IF('01_数值调参'!$O$7&lt;=$A9,-'01_数值调参'!$O$44,0),IF('01_数值调参'!$P$7&lt;=$A9,-'01_数值调参'!$P$44,0),IF('01_数值调参'!$Q$7&lt;=$A9,-'01_数值调参'!$Q$44,0),IF('01_数值调参'!$R$7&lt;=$A9,-'01_数值调参'!$R$44,0)),0),IF($A9&gt;=4,(D9+$C$3)*MAX(0,IF('01_数值调参'!$S$7&lt;=$A9,-'01_数值调参'!$S$44,0),IF('01_数值调参'!$T$7&lt;=$A9,-'01_数值调参'!$T$44,0),IF('01_数值调参'!$U$7&lt;=$A9,-'01_数值调参'!$U$44,0),IF('01_数值调参'!$V$7&lt;=$A9,-'01_数值调参'!$V$44,0),IF('01_数值调参'!$W$7&lt;=$A9,-'01_数值调参'!$W$44,0)),0),IF($A9&gt;=6,(E9+$C$3)*MAX(0,IF('01_数值调参'!$X$7&lt;=$A9,-'01_数值调参'!$X$44,0),IF('01_数值调参'!$Y$7&lt;=$A9,-'01_数值调参'!$Y$44,0),IF('01_数值调参'!$Z$7&lt;=$A9,-'01_数值调参'!$Z$44,0),IF('01_数值调参'!$AA$7&lt;=$A9,-'01_数值调参'!$AA$44,0),IF('01_数值调参'!$AB$7&lt;=$A9,-'01_数值调参'!$AB$44,0),IF('01_数值调参'!$AC$7&lt;=$A9,-'01_数值调参'!$AC$44,0)),0),IF($A9&gt;=8,(F9+$C$3)*MAX(0,IF('01_数值调参'!$AD$7&lt;=$A9,-'01_数值调参'!$AD$44,0),IF('01_数值调参'!$AE$7&lt;=$A9,0,0),IF('01_数值调参'!$AF$7&lt;=$A9,-'01_数值调参'!$AF$44,0),IF('01_数值调参'!$AG$7&lt;=$A9,-'01_数值调参'!$AG$44,0)),0),IF($A9&gt;=10,(G9+$C$3)*MAX(0,IF('01_数值调参'!$AH$7&lt;=$A9,-'01_数值调参'!$AH$44,0),IF('01_数值调参'!$AI$7&lt;=$A9,-'01_数值调参'!$AI$44,0),IF('01_数值调参'!$AJ$7&lt;=$A9,-'01_数值调参'!$AJ$44,0),IF('01_数值调参'!$AK$7&lt;=$A9,-'01_数值调参'!$AK$44,0),IF('01_数值调参'!$AL$7&lt;=$A9,-'01_数值调参'!$AL$44,0),IF('01_数值调参'!$AM$7&lt;=$A9,-'01_数值调参'!$AM$44,0)),0),0)),"队列待修正"))</x:f>
        <x:v>—</x:v>
      </x:c>
      <x:c r="AI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F$7,"—",SUM(IF($A9&gt;=2,(C9+$C$3)*MAX(0,IF('01_数值调参'!$N$7&lt;=$A9,-'01_数值调参'!$N$45,0),IF('01_数值调参'!$O$7&lt;=$A9,-'01_数值调参'!$O$45,0),IF('01_数值调参'!$P$7&lt;=$A9,-'01_数值调参'!$P$45,0),IF('01_数值调参'!$Q$7&lt;=$A9,-'01_数值调参'!$Q$45,0),IF('01_数值调参'!$R$7&lt;=$A9,-'01_数值调参'!$R$45,0)),0),IF($A9&gt;=4,(D9+$C$3)*MAX(0,IF('01_数值调参'!$S$7&lt;=$A9,-'01_数值调参'!$S$45,0),IF('01_数值调参'!$T$7&lt;=$A9,-'01_数值调参'!$T$45,0),IF('01_数值调参'!$U$7&lt;=$A9,-'01_数值调参'!$U$45,0),IF('01_数值调参'!$V$7&lt;=$A9,-'01_数值调参'!$V$45,0),IF('01_数值调参'!$W$7&lt;=$A9,-'01_数值调参'!$W$45,0)),0),IF($A9&gt;=6,(E9+$C$3)*MAX(0,IF('01_数值调参'!$X$7&lt;=$A9,-'01_数值调参'!$X$45,0),IF('01_数值调参'!$Y$7&lt;=$A9,-'01_数值调参'!$Y$45,0),IF('01_数值调参'!$Z$7&lt;=$A9,-'01_数值调参'!$Z$45,0),IF('01_数值调参'!$AA$7&lt;=$A9,-'01_数值调参'!$AA$45,0),IF('01_数值调参'!$AB$7&lt;=$A9,-'01_数值调参'!$AB$45,0),IF('01_数值调参'!$AC$7&lt;=$A9,-'01_数值调参'!$AC$45,0)),0),IF($A9&gt;=8,(F9+$C$3)*MAX(0,IF('01_数值调参'!$AD$7&lt;=$A9,-'01_数值调参'!$AD$45,0),IF('01_数值调参'!$AE$7&lt;=$A9,-'01_数值调参'!$AE$45,0),IF('01_数值调参'!$AF$7&lt;=$A9,0,0),IF('01_数值调参'!$AG$7&lt;=$A9,-'01_数值调参'!$AG$45,0)),0),IF($A9&gt;=10,(G9+$C$3)*MAX(0,IF('01_数值调参'!$AH$7&lt;=$A9,-'01_数值调参'!$AH$45,0),IF('01_数值调参'!$AI$7&lt;=$A9,-'01_数值调参'!$AI$45,0),IF('01_数值调参'!$AJ$7&lt;=$A9,-'01_数值调参'!$AJ$45,0),IF('01_数值调参'!$AK$7&lt;=$A9,-'01_数值调参'!$AK$45,0),IF('01_数值调参'!$AL$7&lt;=$A9,-'01_数值调参'!$AL$45,0),IF('01_数值调参'!$AM$7&lt;=$A9,-'01_数值调参'!$AM$45,0)),0),0)),"队列待修正"))</x:f>
        <x:v>—</x:v>
      </x:c>
      <x:c r="AJ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G$7,"—",SUM(IF($A9&gt;=2,(C9+$C$3)*MAX(0,IF('01_数值调参'!$N$7&lt;=$A9,-'01_数值调参'!$N$46,0),IF('01_数值调参'!$O$7&lt;=$A9,-'01_数值调参'!$O$46,0),IF('01_数值调参'!$P$7&lt;=$A9,-'01_数值调参'!$P$46,0),IF('01_数值调参'!$Q$7&lt;=$A9,-'01_数值调参'!$Q$46,0),IF('01_数值调参'!$R$7&lt;=$A9,-'01_数值调参'!$R$46,0)),0),IF($A9&gt;=4,(D9+$C$3)*MAX(0,IF('01_数值调参'!$S$7&lt;=$A9,-'01_数值调参'!$S$46,0),IF('01_数值调参'!$T$7&lt;=$A9,-'01_数值调参'!$T$46,0),IF('01_数值调参'!$U$7&lt;=$A9,-'01_数值调参'!$U$46,0),IF('01_数值调参'!$V$7&lt;=$A9,-'01_数值调参'!$V$46,0),IF('01_数值调参'!$W$7&lt;=$A9,-'01_数值调参'!$W$46,0)),0),IF($A9&gt;=6,(E9+$C$3)*MAX(0,IF('01_数值调参'!$X$7&lt;=$A9,-'01_数值调参'!$X$46,0),IF('01_数值调参'!$Y$7&lt;=$A9,-'01_数值调参'!$Y$46,0),IF('01_数值调参'!$Z$7&lt;=$A9,-'01_数值调参'!$Z$46,0),IF('01_数值调参'!$AA$7&lt;=$A9,-'01_数值调参'!$AA$46,0),IF('01_数值调参'!$AB$7&lt;=$A9,-'01_数值调参'!$AB$46,0),IF('01_数值调参'!$AC$7&lt;=$A9,-'01_数值调参'!$AC$46,0)),0),IF($A9&gt;=8,(F9+$C$3)*MAX(0,IF('01_数值调参'!$AD$7&lt;=$A9,-'01_数值调参'!$AD$46,0),IF('01_数值调参'!$AE$7&lt;=$A9,-'01_数值调参'!$AE$46,0),IF('01_数值调参'!$AF$7&lt;=$A9,-'01_数值调参'!$AF$46,0),IF('01_数值调参'!$AG$7&lt;=$A9,0,0)),0),IF($A9&gt;=10,(G9+$C$3)*MAX(0,IF('01_数值调参'!$AH$7&lt;=$A9,-'01_数值调参'!$AH$46,0),IF('01_数值调参'!$AI$7&lt;=$A9,-'01_数值调参'!$AI$46,0),IF('01_数值调参'!$AJ$7&lt;=$A9,-'01_数值调参'!$AJ$46,0),IF('01_数值调参'!$AK$7&lt;=$A9,-'01_数值调参'!$AK$46,0),IF('01_数值调参'!$AL$7&lt;=$A9,-'01_数值调参'!$AL$46,0),IF('01_数值调参'!$AM$7&lt;=$A9,-'01_数值调参'!$AM$46,0)),0),0)),"队列待修正"))</x:f>
        <x:v>—</x:v>
      </x:c>
      <x:c r="AK9" s="191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H$7,"—",SUM(IF($A9&gt;=2,(C9+$C$3)*MAX(0,IF('01_数值调参'!$N$7&lt;=$A9,-'01_数值调参'!$N$47,0),IF('01_数值调参'!$O$7&lt;=$A9,-'01_数值调参'!$O$47,0),IF('01_数值调参'!$P$7&lt;=$A9,-'01_数值调参'!$P$47,0),IF('01_数值调参'!$Q$7&lt;=$A9,-'01_数值调参'!$Q$47,0),IF('01_数值调参'!$R$7&lt;=$A9,-'01_数值调参'!$R$47,0)),0),IF($A9&gt;=4,(D9+$C$3)*MAX(0,IF('01_数值调参'!$S$7&lt;=$A9,-'01_数值调参'!$S$47,0),IF('01_数值调参'!$T$7&lt;=$A9,-'01_数值调参'!$T$47,0),IF('01_数值调参'!$U$7&lt;=$A9,-'01_数值调参'!$U$47,0),IF('01_数值调参'!$V$7&lt;=$A9,-'01_数值调参'!$V$47,0),IF('01_数值调参'!$W$7&lt;=$A9,-'01_数值调参'!$W$47,0)),0),IF($A9&gt;=6,(E9+$C$3)*MAX(0,IF('01_数值调参'!$X$7&lt;=$A9,-'01_数值调参'!$X$47,0),IF('01_数值调参'!$Y$7&lt;=$A9,-'01_数值调参'!$Y$47,0),IF('01_数值调参'!$Z$7&lt;=$A9,-'01_数值调参'!$Z$47,0),IF('01_数值调参'!$AA$7&lt;=$A9,-'01_数值调参'!$AA$47,0),IF('01_数值调参'!$AB$7&lt;=$A9,-'01_数值调参'!$AB$47,0),IF('01_数值调参'!$AC$7&lt;=$A9,-'01_数值调参'!$AC$47,0)),0),IF($A9&gt;=8,(F9+$C$3)*MAX(0,IF('01_数值调参'!$AD$7&lt;=$A9,-'01_数值调参'!$AD$47,0),IF('01_数值调参'!$AE$7&lt;=$A9,-'01_数值调参'!$AE$47,0),IF('01_数值调参'!$AF$7&lt;=$A9,-'01_数值调参'!$AF$47,0),IF('01_数值调参'!$AG$7&lt;=$A9,-'01_数值调参'!$AG$47,0)),0),IF($A9&gt;=10,(G9+$C$3)*MAX(0,IF('01_数值调参'!$AH$7&lt;=$A9,0,0),IF('01_数值调参'!$AI$7&lt;=$A9,-'01_数值调参'!$AI$47,0),IF('01_数值调参'!$AJ$7&lt;=$A9,-'01_数值调参'!$AJ$47,0),IF('01_数值调参'!$AK$7&lt;=$A9,-'01_数值调参'!$AK$47,0),IF('01_数值调参'!$AL$7&lt;=$A9,-'01_数值调参'!$AL$47,0),IF('01_数值调参'!$AM$7&lt;=$A9,-'01_数值调参'!$AM$47,0)),0),0)),"队列待修正"))</x:f>
        <x:v>—</x:v>
      </x:c>
      <x:c r="AL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I$7,"—",SUM(IF($A9&gt;=2,(C9+$C$3)*MAX(0,IF('01_数值调参'!$N$7&lt;=$A9,-'01_数值调参'!$N$48,0),IF('01_数值调参'!$O$7&lt;=$A9,-'01_数值调参'!$O$48,0),IF('01_数值调参'!$P$7&lt;=$A9,-'01_数值调参'!$P$48,0),IF('01_数值调参'!$Q$7&lt;=$A9,-'01_数值调参'!$Q$48,0),IF('01_数值调参'!$R$7&lt;=$A9,-'01_数值调参'!$R$48,0)),0),IF($A9&gt;=4,(D9+$C$3)*MAX(0,IF('01_数值调参'!$S$7&lt;=$A9,-'01_数值调参'!$S$48,0),IF('01_数值调参'!$T$7&lt;=$A9,-'01_数值调参'!$T$48,0),IF('01_数值调参'!$U$7&lt;=$A9,-'01_数值调参'!$U$48,0),IF('01_数值调参'!$V$7&lt;=$A9,-'01_数值调参'!$V$48,0),IF('01_数值调参'!$W$7&lt;=$A9,-'01_数值调参'!$W$48,0)),0),IF($A9&gt;=6,(E9+$C$3)*MAX(0,IF('01_数值调参'!$X$7&lt;=$A9,-'01_数值调参'!$X$48,0),IF('01_数值调参'!$Y$7&lt;=$A9,-'01_数值调参'!$Y$48,0),IF('01_数值调参'!$Z$7&lt;=$A9,-'01_数值调参'!$Z$48,0),IF('01_数值调参'!$AA$7&lt;=$A9,-'01_数值调参'!$AA$48,0),IF('01_数值调参'!$AB$7&lt;=$A9,-'01_数值调参'!$AB$48,0),IF('01_数值调参'!$AC$7&lt;=$A9,-'01_数值调参'!$AC$48,0)),0),IF($A9&gt;=8,(F9+$C$3)*MAX(0,IF('01_数值调参'!$AD$7&lt;=$A9,-'01_数值调参'!$AD$48,0),IF('01_数值调参'!$AE$7&lt;=$A9,-'01_数值调参'!$AE$48,0),IF('01_数值调参'!$AF$7&lt;=$A9,-'01_数值调参'!$AF$48,0),IF('01_数值调参'!$AG$7&lt;=$A9,-'01_数值调参'!$AG$48,0)),0),IF($A9&gt;=10,(G9+$C$3)*MAX(0,IF('01_数值调参'!$AH$7&lt;=$A9,-'01_数值调参'!$AH$48,0),IF('01_数值调参'!$AI$7&lt;=$A9,0,0),IF('01_数值调参'!$AJ$7&lt;=$A9,-'01_数值调参'!$AJ$48,0),IF('01_数值调参'!$AK$7&lt;=$A9,-'01_数值调参'!$AK$48,0),IF('01_数值调参'!$AL$7&lt;=$A9,-'01_数值调参'!$AL$48,0),IF('01_数值调参'!$AM$7&lt;=$A9,-'01_数值调参'!$AM$48,0)),0),0)),"队列待修正"))</x:f>
        <x:v>—</x:v>
      </x:c>
      <x:c r="AM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J$7,"—",SUM(IF($A9&gt;=2,(C9+$C$3)*MAX(0,IF('01_数值调参'!$N$7&lt;=$A9,-'01_数值调参'!$N$49,0),IF('01_数值调参'!$O$7&lt;=$A9,-'01_数值调参'!$O$49,0),IF('01_数值调参'!$P$7&lt;=$A9,-'01_数值调参'!$P$49,0),IF('01_数值调参'!$Q$7&lt;=$A9,-'01_数值调参'!$Q$49,0),IF('01_数值调参'!$R$7&lt;=$A9,-'01_数值调参'!$R$49,0)),0),IF($A9&gt;=4,(D9+$C$3)*MAX(0,IF('01_数值调参'!$S$7&lt;=$A9,-'01_数值调参'!$S$49,0),IF('01_数值调参'!$T$7&lt;=$A9,-'01_数值调参'!$T$49,0),IF('01_数值调参'!$U$7&lt;=$A9,-'01_数值调参'!$U$49,0),IF('01_数值调参'!$V$7&lt;=$A9,-'01_数值调参'!$V$49,0),IF('01_数值调参'!$W$7&lt;=$A9,-'01_数值调参'!$W$49,0)),0),IF($A9&gt;=6,(E9+$C$3)*MAX(0,IF('01_数值调参'!$X$7&lt;=$A9,-'01_数值调参'!$X$49,0),IF('01_数值调参'!$Y$7&lt;=$A9,-'01_数值调参'!$Y$49,0),IF('01_数值调参'!$Z$7&lt;=$A9,-'01_数值调参'!$Z$49,0),IF('01_数值调参'!$AA$7&lt;=$A9,-'01_数值调参'!$AA$49,0),IF('01_数值调参'!$AB$7&lt;=$A9,-'01_数值调参'!$AB$49,0),IF('01_数值调参'!$AC$7&lt;=$A9,-'01_数值调参'!$AC$49,0)),0),IF($A9&gt;=8,(F9+$C$3)*MAX(0,IF('01_数值调参'!$AD$7&lt;=$A9,-'01_数值调参'!$AD$49,0),IF('01_数值调参'!$AE$7&lt;=$A9,-'01_数值调参'!$AE$49,0),IF('01_数值调参'!$AF$7&lt;=$A9,-'01_数值调参'!$AF$49,0),IF('01_数值调参'!$AG$7&lt;=$A9,-'01_数值调参'!$AG$49,0)),0),IF($A9&gt;=10,(G9+$C$3)*MAX(0,IF('01_数值调参'!$AH$7&lt;=$A9,-'01_数值调参'!$AH$49,0),IF('01_数值调参'!$AI$7&lt;=$A9,-'01_数值调参'!$AI$49,0),IF('01_数值调参'!$AJ$7&lt;=$A9,0,0),IF('01_数值调参'!$AK$7&lt;=$A9,-'01_数值调参'!$AK$49,0),IF('01_数值调参'!$AL$7&lt;=$A9,-'01_数值调参'!$AL$49,0),IF('01_数值调参'!$AM$7&lt;=$A9,-'01_数值调参'!$AM$49,0)),0),0)),"队列待修正"))</x:f>
        <x:v>—</x:v>
      </x:c>
      <x:c r="AN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K$7,"—",SUM(IF($A9&gt;=2,(C9+$C$3)*MAX(0,IF('01_数值调参'!$N$7&lt;=$A9,-'01_数值调参'!$N$50,0),IF('01_数值调参'!$O$7&lt;=$A9,-'01_数值调参'!$O$50,0),IF('01_数值调参'!$P$7&lt;=$A9,-'01_数值调参'!$P$50,0),IF('01_数值调参'!$Q$7&lt;=$A9,-'01_数值调参'!$Q$50,0),IF('01_数值调参'!$R$7&lt;=$A9,-'01_数值调参'!$R$50,0)),0),IF($A9&gt;=4,(D9+$C$3)*MAX(0,IF('01_数值调参'!$S$7&lt;=$A9,-'01_数值调参'!$S$50,0),IF('01_数值调参'!$T$7&lt;=$A9,-'01_数值调参'!$T$50,0),IF('01_数值调参'!$U$7&lt;=$A9,-'01_数值调参'!$U$50,0),IF('01_数值调参'!$V$7&lt;=$A9,-'01_数值调参'!$V$50,0),IF('01_数值调参'!$W$7&lt;=$A9,-'01_数值调参'!$W$50,0)),0),IF($A9&gt;=6,(E9+$C$3)*MAX(0,IF('01_数值调参'!$X$7&lt;=$A9,-'01_数值调参'!$X$50,0),IF('01_数值调参'!$Y$7&lt;=$A9,-'01_数值调参'!$Y$50,0),IF('01_数值调参'!$Z$7&lt;=$A9,-'01_数值调参'!$Z$50,0),IF('01_数值调参'!$AA$7&lt;=$A9,-'01_数值调参'!$AA$50,0),IF('01_数值调参'!$AB$7&lt;=$A9,-'01_数值调参'!$AB$50,0),IF('01_数值调参'!$AC$7&lt;=$A9,-'01_数值调参'!$AC$50,0)),0),IF($A9&gt;=8,(F9+$C$3)*MAX(0,IF('01_数值调参'!$AD$7&lt;=$A9,-'01_数值调参'!$AD$50,0),IF('01_数值调参'!$AE$7&lt;=$A9,-'01_数值调参'!$AE$50,0),IF('01_数值调参'!$AF$7&lt;=$A9,-'01_数值调参'!$AF$50,0),IF('01_数值调参'!$AG$7&lt;=$A9,-'01_数值调参'!$AG$50,0)),0),IF($A9&gt;=10,(G9+$C$3)*MAX(0,IF('01_数值调参'!$AH$7&lt;=$A9,-'01_数值调参'!$AH$50,0),IF('01_数值调参'!$AI$7&lt;=$A9,-'01_数值调参'!$AI$50,0),IF('01_数值调参'!$AJ$7&lt;=$A9,-'01_数值调参'!$AJ$50,0),IF('01_数值调参'!$AK$7&lt;=$A9,0,0),IF('01_数值调参'!$AL$7&lt;=$A9,-'01_数值调参'!$AL$50,0),IF('01_数值调参'!$AM$7&lt;=$A9,-'01_数值调参'!$AM$50,0)),0),0)),"队列待修正"))</x:f>
        <x:v>—</x:v>
      </x:c>
      <x:c r="AO9" s="179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L$7,"—",SUM(IF($A9&gt;=2,(C9+$C$3)*MAX(0,IF('01_数值调参'!$N$7&lt;=$A9,-'01_数值调参'!$N$51,0),IF('01_数值调参'!$O$7&lt;=$A9,-'01_数值调参'!$O$51,0),IF('01_数值调参'!$P$7&lt;=$A9,-'01_数值调参'!$P$51,0),IF('01_数值调参'!$Q$7&lt;=$A9,-'01_数值调参'!$Q$51,0),IF('01_数值调参'!$R$7&lt;=$A9,-'01_数值调参'!$R$51,0)),0),IF($A9&gt;=4,(D9+$C$3)*MAX(0,IF('01_数值调参'!$S$7&lt;=$A9,-'01_数值调参'!$S$51,0),IF('01_数值调参'!$T$7&lt;=$A9,-'01_数值调参'!$T$51,0),IF('01_数值调参'!$U$7&lt;=$A9,-'01_数值调参'!$U$51,0),IF('01_数值调参'!$V$7&lt;=$A9,-'01_数值调参'!$V$51,0),IF('01_数值调参'!$W$7&lt;=$A9,-'01_数值调参'!$W$51,0)),0),IF($A9&gt;=6,(E9+$C$3)*MAX(0,IF('01_数值调参'!$X$7&lt;=$A9,-'01_数值调参'!$X$51,0),IF('01_数值调参'!$Y$7&lt;=$A9,-'01_数值调参'!$Y$51,0),IF('01_数值调参'!$Z$7&lt;=$A9,-'01_数值调参'!$Z$51,0),IF('01_数值调参'!$AA$7&lt;=$A9,-'01_数值调参'!$AA$51,0),IF('01_数值调参'!$AB$7&lt;=$A9,-'01_数值调参'!$AB$51,0),IF('01_数值调参'!$AC$7&lt;=$A9,-'01_数值调参'!$AC$51,0)),0),IF($A9&gt;=8,(F9+$C$3)*MAX(0,IF('01_数值调参'!$AD$7&lt;=$A9,-'01_数值调参'!$AD$51,0),IF('01_数值调参'!$AE$7&lt;=$A9,-'01_数值调参'!$AE$51,0),IF('01_数值调参'!$AF$7&lt;=$A9,-'01_数值调参'!$AF$51,0),IF('01_数值调参'!$AG$7&lt;=$A9,-'01_数值调参'!$AG$51,0)),0),IF($A9&gt;=10,(G9+$C$3)*MAX(0,IF('01_数值调参'!$AH$7&lt;=$A9,-'01_数值调参'!$AH$51,0),IF('01_数值调参'!$AI$7&lt;=$A9,-'01_数值调参'!$AI$51,0),IF('01_数值调参'!$AJ$7&lt;=$A9,-'01_数值调参'!$AJ$51,0),IF('01_数值调参'!$AK$7&lt;=$A9,-'01_数值调参'!$AK$51,0),IF('01_数值调参'!$AL$7&lt;=$A9,0,0),IF('01_数值调参'!$AM$7&lt;=$A9,-'01_数值调参'!$AM$51,0)),0),0)),"队列待修正"))</x:f>
        <x:v>—</x:v>
      </x:c>
      <x:c r="AP9" s="180" t="str">
        <x:f>IF('01_数值调参'!$D$3&lt;&gt;"配方有效","待修正",IF(AND(OR($C$3=0,$C$3=1),ISNUMBER(C9),C9&gt;=0,MOD(C9,1)=0,ISNUMBER(D9),D9&gt;=0,MOD(D9,1)=0,ISNUMBER(E9),E9&gt;=0,MOD(E9,1)=0,ISNUMBER(F9),F9&gt;=0,MOD(F9,1)=0,ISNUMBER(G9),G9&gt;=0,MOD(G9,1)=0,TRUE),IF($A9&lt;'01_数值调参'!$AM$7,"—",SUM(IF($A9&gt;=2,(C9+$C$3)*MAX(0,IF('01_数值调参'!$N$7&lt;=$A9,-'01_数值调参'!$N$52,0),IF('01_数值调参'!$O$7&lt;=$A9,-'01_数值调参'!$O$52,0),IF('01_数值调参'!$P$7&lt;=$A9,-'01_数值调参'!$P$52,0),IF('01_数值调参'!$Q$7&lt;=$A9,-'01_数值调参'!$Q$52,0),IF('01_数值调参'!$R$7&lt;=$A9,-'01_数值调参'!$R$52,0)),0),IF($A9&gt;=4,(D9+$C$3)*MAX(0,IF('01_数值调参'!$S$7&lt;=$A9,-'01_数值调参'!$S$52,0),IF('01_数值调参'!$T$7&lt;=$A9,-'01_数值调参'!$T$52,0),IF('01_数值调参'!$U$7&lt;=$A9,-'01_数值调参'!$U$52,0),IF('01_数值调参'!$V$7&lt;=$A9,-'01_数值调参'!$V$52,0),IF('01_数值调参'!$W$7&lt;=$A9,-'01_数值调参'!$W$52,0)),0),IF($A9&gt;=6,(E9+$C$3)*MAX(0,IF('01_数值调参'!$X$7&lt;=$A9,-'01_数值调参'!$X$52,0),IF('01_数值调参'!$Y$7&lt;=$A9,-'01_数值调参'!$Y$52,0),IF('01_数值调参'!$Z$7&lt;=$A9,-'01_数值调参'!$Z$52,0),IF('01_数值调参'!$AA$7&lt;=$A9,-'01_数值调参'!$AA$52,0),IF('01_数值调参'!$AB$7&lt;=$A9,-'01_数值调参'!$AB$52,0),IF('01_数值调参'!$AC$7&lt;=$A9,-'01_数值调参'!$AC$52,0)),0),IF($A9&gt;=8,(F9+$C$3)*MAX(0,IF('01_数值调参'!$AD$7&lt;=$A9,-'01_数值调参'!$AD$52,0),IF('01_数值调参'!$AE$7&lt;=$A9,-'01_数值调参'!$AE$52,0),IF('01_数值调参'!$AF$7&lt;=$A9,-'01_数值调参'!$AF$52,0),IF('01_数值调参'!$AG$7&lt;=$A9,-'01_数值调参'!$AG$52,0)),0),IF($A9&gt;=10,(G9+$C$3)*MAX(0,IF('01_数值调参'!$AH$7&lt;=$A9,-'01_数值调参'!$AH$52,0),IF('01_数值调参'!$AI$7&lt;=$A9,-'01_数值调参'!$AI$52,0),IF('01_数值调参'!$AJ$7&lt;=$A9,-'01_数值调参'!$AJ$52,0),IF('01_数值调参'!$AK$7&lt;=$A9,-'01_数值调参'!$AK$52,0),IF('01_数值调参'!$AL$7&lt;=$A9,-'01_数值调参'!$AL$52,0),IF('01_数值调参'!$AM$7&lt;=$A9,0,0)),0),0)),"队列待修正"))</x:f>
        <x:v>—</x:v>
      </x:c>
    </x:row>
    <x:row r="10" ht="25" customHeight="1">
      <x:c r="A10" s="176" t="n">
        <x:v>4</x:v>
      </x:c>
      <x:c r="B10" s="177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SUM(IF($A10&gt;=2,(C10+$C$3)*MAX(0,IF('01_数值调参'!$N$7&lt;=$A10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10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10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10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10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10&gt;=4,(D10+$C$3)*MAX(0,IF('01_数值调参'!$S$7&lt;=$A10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10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10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10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10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10&gt;=6,(E10+$C$3)*MAX(0,IF('01_数值调参'!$X$7&lt;=$A10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10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10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10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10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10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10&gt;=8,(F10+$C$3)*MAX(0,IF('01_数值调参'!$AD$7&lt;=$A10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10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10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10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10&gt;=10,(G10+$C$3)*MAX(0,IF('01_数值调参'!$AH$7&lt;=$A10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10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10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10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10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10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12</x:v>
      </x:c>
      <x:c r="C10" s="178" t="n">
        <x:v>2</x:v>
      </x:c>
      <x:c r="D10" s="178" t="n">
        <x:v>2</x:v>
      </x:c>
      <x:c r="E10" s="178" t="n">
        <x:v>2</x:v>
      </x:c>
      <x:c r="F10" s="178" t="n">
        <x:v>2</x:v>
      </x:c>
      <x:c r="G10" s="178" t="n">
        <x:v>2</x:v>
      </x:c>
      <x:c r="H10" s="191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E$7,"—",SUM(IF($A10&gt;=2,(C10+$C$3)*MAX(0,IF('01_数值调参'!$N$7&lt;=$A10,-'01_数值调参'!$N$18,0),IF('01_数值调参'!$O$7&lt;=$A10,-'01_数值调参'!$O$18,0),IF('01_数值调参'!$P$7&lt;=$A10,-'01_数值调参'!$P$18,0),IF('01_数值调参'!$Q$7&lt;=$A10,-'01_数值调参'!$Q$18,0),IF('01_数值调参'!$R$7&lt;=$A10,-'01_数值调参'!$R$18,0)),0),IF($A10&gt;=4,(D10+$C$3)*MAX(0,IF('01_数值调参'!$S$7&lt;=$A10,-'01_数值调参'!$S$18,0),IF('01_数值调参'!$T$7&lt;=$A10,-'01_数值调参'!$T$18,0),IF('01_数值调参'!$U$7&lt;=$A10,-'01_数值调参'!$U$18,0),IF('01_数值调参'!$V$7&lt;=$A10,-'01_数值调参'!$V$18,0),IF('01_数值调参'!$W$7&lt;=$A10,-'01_数值调参'!$W$18,0)),0),IF($A10&gt;=6,(E10+$C$3)*MAX(0,IF('01_数值调参'!$X$7&lt;=$A10,-'01_数值调参'!$X$18,0),IF('01_数值调参'!$Y$7&lt;=$A10,-'01_数值调参'!$Y$18,0),IF('01_数值调参'!$Z$7&lt;=$A10,-'01_数值调参'!$Z$18,0),IF('01_数值调参'!$AA$7&lt;=$A10,-'01_数值调参'!$AA$18,0),IF('01_数值调参'!$AB$7&lt;=$A10,-'01_数值调参'!$AB$18,0),IF('01_数值调参'!$AC$7&lt;=$A10,-'01_数值调参'!$AC$18,0)),0),IF($A10&gt;=8,(F10+$C$3)*MAX(0,IF('01_数值调参'!$AD$7&lt;=$A10,-'01_数值调参'!$AD$18,0),IF('01_数值调参'!$AE$7&lt;=$A10,-'01_数值调参'!$AE$18,0),IF('01_数值调参'!$AF$7&lt;=$A10,-'01_数值调参'!$AF$18,0),IF('01_数值调参'!$AG$7&lt;=$A10,-'01_数值调参'!$AG$18,0)),0),IF($A10&gt;=10,(G10+$C$3)*MAX(0,IF('01_数值调参'!$AH$7&lt;=$A10,-'01_数值调参'!$AH$18,0),IF('01_数值调参'!$AI$7&lt;=$A10,-'01_数值调参'!$AI$18,0),IF('01_数值调参'!$AJ$7&lt;=$A10,-'01_数值调参'!$AJ$18,0),IF('01_数值调参'!$AK$7&lt;=$A10,-'01_数值调参'!$AK$18,0),IF('01_数值调参'!$AL$7&lt;=$A10,-'01_数值调参'!$AL$18,0),IF('01_数值调参'!$AM$7&lt;=$A10,-'01_数值调参'!$AM$18,0)),0),0)),"队列待修正"))</x:f>
        <x:v>6</x:v>
      </x:c>
      <x:c r="I10" s="179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F$7,"—",SUM(IF($A10&gt;=2,(C10+$C$3)*MAX(0,IF('01_数值调参'!$N$7&lt;=$A10,-'01_数值调参'!$N$19,0),IF('01_数值调参'!$O$7&lt;=$A10,-'01_数值调参'!$O$19,0),IF('01_数值调参'!$P$7&lt;=$A10,-'01_数值调参'!$P$19,0),IF('01_数值调参'!$Q$7&lt;=$A10,-'01_数值调参'!$Q$19,0),IF('01_数值调参'!$R$7&lt;=$A10,-'01_数值调参'!$R$19,0)),0),IF($A10&gt;=4,(D10+$C$3)*MAX(0,IF('01_数值调参'!$S$7&lt;=$A10,-'01_数值调参'!$S$19,0),IF('01_数值调参'!$T$7&lt;=$A10,-'01_数值调参'!$T$19,0),IF('01_数值调参'!$U$7&lt;=$A10,-'01_数值调参'!$U$19,0),IF('01_数值调参'!$V$7&lt;=$A10,-'01_数值调参'!$V$19,0),IF('01_数值调参'!$W$7&lt;=$A10,-'01_数值调参'!$W$19,0)),0),IF($A10&gt;=6,(E10+$C$3)*MAX(0,IF('01_数值调参'!$X$7&lt;=$A10,-'01_数值调参'!$X$19,0),IF('01_数值调参'!$Y$7&lt;=$A10,-'01_数值调参'!$Y$19,0),IF('01_数值调参'!$Z$7&lt;=$A10,-'01_数值调参'!$Z$19,0),IF('01_数值调参'!$AA$7&lt;=$A10,-'01_数值调参'!$AA$19,0),IF('01_数值调参'!$AB$7&lt;=$A10,-'01_数值调参'!$AB$19,0),IF('01_数值调参'!$AC$7&lt;=$A10,-'01_数值调参'!$AC$19,0)),0),IF($A10&gt;=8,(F10+$C$3)*MAX(0,IF('01_数值调参'!$AD$7&lt;=$A10,-'01_数值调参'!$AD$19,0),IF('01_数值调参'!$AE$7&lt;=$A10,-'01_数值调参'!$AE$19,0),IF('01_数值调参'!$AF$7&lt;=$A10,-'01_数值调参'!$AF$19,0),IF('01_数值调参'!$AG$7&lt;=$A10,-'01_数值调参'!$AG$19,0)),0),IF($A10&gt;=10,(G10+$C$3)*MAX(0,IF('01_数值调参'!$AH$7&lt;=$A10,-'01_数值调参'!$AH$19,0),IF('01_数值调参'!$AI$7&lt;=$A10,-'01_数值调参'!$AI$19,0),IF('01_数值调参'!$AJ$7&lt;=$A10,-'01_数值调参'!$AJ$19,0),IF('01_数值调参'!$AK$7&lt;=$A10,-'01_数值调参'!$AK$19,0),IF('01_数值调参'!$AL$7&lt;=$A10,-'01_数值调参'!$AL$19,0),IF('01_数值调参'!$AM$7&lt;=$A10,-'01_数值调参'!$AM$19,0)),0),0)),"队列待修正"))</x:f>
        <x:v>3</x:v>
      </x:c>
      <x:c r="J10" s="179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G$7,"—",SUM(IF($A10&gt;=2,(C10+$C$3)*MAX(0,IF('01_数值调参'!$N$7&lt;=$A10,-'01_数值调参'!$N$20,0),IF('01_数值调参'!$O$7&lt;=$A10,-'01_数值调参'!$O$20,0),IF('01_数值调参'!$P$7&lt;=$A10,-'01_数值调参'!$P$20,0),IF('01_数值调参'!$Q$7&lt;=$A10,-'01_数值调参'!$Q$20,0),IF('01_数值调参'!$R$7&lt;=$A10,-'01_数值调参'!$R$20,0)),0),IF($A10&gt;=4,(D10+$C$3)*MAX(0,IF('01_数值调参'!$S$7&lt;=$A10,-'01_数值调参'!$S$20,0),IF('01_数值调参'!$T$7&lt;=$A10,-'01_数值调参'!$T$20,0),IF('01_数值调参'!$U$7&lt;=$A10,-'01_数值调参'!$U$20,0),IF('01_数值调参'!$V$7&lt;=$A10,-'01_数值调参'!$V$20,0),IF('01_数值调参'!$W$7&lt;=$A10,-'01_数值调参'!$W$20,0)),0),IF($A10&gt;=6,(E10+$C$3)*MAX(0,IF('01_数值调参'!$X$7&lt;=$A10,-'01_数值调参'!$X$20,0),IF('01_数值调参'!$Y$7&lt;=$A10,-'01_数值调参'!$Y$20,0),IF('01_数值调参'!$Z$7&lt;=$A10,-'01_数值调参'!$Z$20,0),IF('01_数值调参'!$AA$7&lt;=$A10,-'01_数值调参'!$AA$20,0),IF('01_数值调参'!$AB$7&lt;=$A10,-'01_数值调参'!$AB$20,0),IF('01_数值调参'!$AC$7&lt;=$A10,-'01_数值调参'!$AC$20,0)),0),IF($A10&gt;=8,(F10+$C$3)*MAX(0,IF('01_数值调参'!$AD$7&lt;=$A10,-'01_数值调参'!$AD$20,0),IF('01_数值调参'!$AE$7&lt;=$A10,-'01_数值调参'!$AE$20,0),IF('01_数值调参'!$AF$7&lt;=$A10,-'01_数值调参'!$AF$20,0),IF('01_数值调参'!$AG$7&lt;=$A10,-'01_数值调参'!$AG$20,0)),0),IF($A10&gt;=10,(G10+$C$3)*MAX(0,IF('01_数值调参'!$AH$7&lt;=$A10,-'01_数值调参'!$AH$20,0),IF('01_数值调参'!$AI$7&lt;=$A10,-'01_数值调参'!$AI$20,0),IF('01_数值调参'!$AJ$7&lt;=$A10,-'01_数值调参'!$AJ$20,0),IF('01_数值调参'!$AK$7&lt;=$A10,-'01_数值调参'!$AK$20,0),IF('01_数值调参'!$AL$7&lt;=$A10,-'01_数值调参'!$AL$20,0),IF('01_数值调参'!$AM$7&lt;=$A10,-'01_数值调参'!$AM$20,0)),0),0)),"队列待修正"))</x:f>
        <x:v>6</x:v>
      </x:c>
      <x:c r="K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H$7,"—",SUM(IF($A10&gt;=2,(C10+$C$3)*MAX(0,IF('01_数值调参'!$N$7&lt;=$A10,-'01_数值调参'!$N$21,0),IF('01_数值调参'!$O$7&lt;=$A10,-'01_数值调参'!$O$21,0),IF('01_数值调参'!$P$7&lt;=$A10,-'01_数值调参'!$P$21,0),IF('01_数值调参'!$Q$7&lt;=$A10,-'01_数值调参'!$Q$21,0),IF('01_数值调参'!$R$7&lt;=$A10,-'01_数值调参'!$R$21,0)),0),IF($A10&gt;=4,(D10+$C$3)*MAX(0,IF('01_数值调参'!$S$7&lt;=$A10,-'01_数值调参'!$S$21,0),IF('01_数值调参'!$T$7&lt;=$A10,-'01_数值调参'!$T$21,0),IF('01_数值调参'!$U$7&lt;=$A10,-'01_数值调参'!$U$21,0),IF('01_数值调参'!$V$7&lt;=$A10,-'01_数值调参'!$V$21,0),IF('01_数值调参'!$W$7&lt;=$A10,-'01_数值调参'!$W$21,0)),0),IF($A10&gt;=6,(E10+$C$3)*MAX(0,IF('01_数值调参'!$X$7&lt;=$A10,-'01_数值调参'!$X$21,0),IF('01_数值调参'!$Y$7&lt;=$A10,-'01_数值调参'!$Y$21,0),IF('01_数值调参'!$Z$7&lt;=$A10,-'01_数值调参'!$Z$21,0),IF('01_数值调参'!$AA$7&lt;=$A10,-'01_数值调参'!$AA$21,0),IF('01_数值调参'!$AB$7&lt;=$A10,-'01_数值调参'!$AB$21,0),IF('01_数值调参'!$AC$7&lt;=$A10,-'01_数值调参'!$AC$21,0)),0),IF($A10&gt;=8,(F10+$C$3)*MAX(0,IF('01_数值调参'!$AD$7&lt;=$A10,-'01_数值调参'!$AD$21,0),IF('01_数值调参'!$AE$7&lt;=$A10,-'01_数值调参'!$AE$21,0),IF('01_数值调参'!$AF$7&lt;=$A10,-'01_数值调参'!$AF$21,0),IF('01_数值调参'!$AG$7&lt;=$A10,-'01_数值调参'!$AG$21,0)),0),IF($A10&gt;=10,(G10+$C$3)*MAX(0,IF('01_数值调参'!$AH$7&lt;=$A10,-'01_数值调参'!$AH$21,0),IF('01_数值调参'!$AI$7&lt;=$A10,-'01_数值调参'!$AI$21,0),IF('01_数值调参'!$AJ$7&lt;=$A10,-'01_数值调参'!$AJ$21,0),IF('01_数值调参'!$AK$7&lt;=$A10,-'01_数值调参'!$AK$21,0),IF('01_数值调参'!$AL$7&lt;=$A10,-'01_数值调参'!$AL$21,0),IF('01_数值调参'!$AM$7&lt;=$A10,-'01_数值调参'!$AM$21,0)),0),0)),"队列待修正"))</x:f>
        <x:v>—</x:v>
      </x:c>
      <x:c r="L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I$7,"—",SUM(IF($A10&gt;=2,(C10+$C$3)*MAX(0,IF('01_数值调参'!$N$7&lt;=$A10,-'01_数值调参'!$N$22,0),IF('01_数值调参'!$O$7&lt;=$A10,-'01_数值调参'!$O$22,0),IF('01_数值调参'!$P$7&lt;=$A10,-'01_数值调参'!$P$22,0),IF('01_数值调参'!$Q$7&lt;=$A10,-'01_数值调参'!$Q$22,0),IF('01_数值调参'!$R$7&lt;=$A10,-'01_数值调参'!$R$22,0)),0),IF($A10&gt;=4,(D10+$C$3)*MAX(0,IF('01_数值调参'!$S$7&lt;=$A10,-'01_数值调参'!$S$22,0),IF('01_数值调参'!$T$7&lt;=$A10,-'01_数值调参'!$T$22,0),IF('01_数值调参'!$U$7&lt;=$A10,-'01_数值调参'!$U$22,0),IF('01_数值调参'!$V$7&lt;=$A10,-'01_数值调参'!$V$22,0),IF('01_数值调参'!$W$7&lt;=$A10,-'01_数值调参'!$W$22,0)),0),IF($A10&gt;=6,(E10+$C$3)*MAX(0,IF('01_数值调参'!$X$7&lt;=$A10,-'01_数值调参'!$X$22,0),IF('01_数值调参'!$Y$7&lt;=$A10,-'01_数值调参'!$Y$22,0),IF('01_数值调参'!$Z$7&lt;=$A10,-'01_数值调参'!$Z$22,0),IF('01_数值调参'!$AA$7&lt;=$A10,-'01_数值调参'!$AA$22,0),IF('01_数值调参'!$AB$7&lt;=$A10,-'01_数值调参'!$AB$22,0),IF('01_数值调参'!$AC$7&lt;=$A10,-'01_数值调参'!$AC$22,0)),0),IF($A10&gt;=8,(F10+$C$3)*MAX(0,IF('01_数值调参'!$AD$7&lt;=$A10,-'01_数值调参'!$AD$22,0),IF('01_数值调参'!$AE$7&lt;=$A10,-'01_数值调参'!$AE$22,0),IF('01_数值调参'!$AF$7&lt;=$A10,-'01_数值调参'!$AF$22,0),IF('01_数值调参'!$AG$7&lt;=$A10,-'01_数值调参'!$AG$22,0)),0),IF($A10&gt;=10,(G10+$C$3)*MAX(0,IF('01_数值调参'!$AH$7&lt;=$A10,-'01_数值调参'!$AH$22,0),IF('01_数值调参'!$AI$7&lt;=$A10,-'01_数值调参'!$AI$22,0),IF('01_数值调参'!$AJ$7&lt;=$A10,-'01_数值调参'!$AJ$22,0),IF('01_数值调参'!$AK$7&lt;=$A10,-'01_数值调参'!$AK$22,0),IF('01_数值调参'!$AL$7&lt;=$A10,-'01_数值调参'!$AL$22,0),IF('01_数值调参'!$AM$7&lt;=$A10,-'01_数值调参'!$AM$22,0)),0),0)),"队列待修正"))</x:f>
        <x:v>—</x:v>
      </x:c>
      <x:c r="M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J$7,"—",SUM(IF($A10&gt;=2,(C10+$C$3)*MAX(0,IF('01_数值调参'!$N$7&lt;=$A10,-'01_数值调参'!$N$23,0),IF('01_数值调参'!$O$7&lt;=$A10,-'01_数值调参'!$O$23,0),IF('01_数值调参'!$P$7&lt;=$A10,-'01_数值调参'!$P$23,0),IF('01_数值调参'!$Q$7&lt;=$A10,-'01_数值调参'!$Q$23,0),IF('01_数值调参'!$R$7&lt;=$A10,-'01_数值调参'!$R$23,0)),0),IF($A10&gt;=4,(D10+$C$3)*MAX(0,IF('01_数值调参'!$S$7&lt;=$A10,-'01_数值调参'!$S$23,0),IF('01_数值调参'!$T$7&lt;=$A10,-'01_数值调参'!$T$23,0),IF('01_数值调参'!$U$7&lt;=$A10,-'01_数值调参'!$U$23,0),IF('01_数值调参'!$V$7&lt;=$A10,-'01_数值调参'!$V$23,0),IF('01_数值调参'!$W$7&lt;=$A10,-'01_数值调参'!$W$23,0)),0),IF($A10&gt;=6,(E10+$C$3)*MAX(0,IF('01_数值调参'!$X$7&lt;=$A10,-'01_数值调参'!$X$23,0),IF('01_数值调参'!$Y$7&lt;=$A10,-'01_数值调参'!$Y$23,0),IF('01_数值调参'!$Z$7&lt;=$A10,-'01_数值调参'!$Z$23,0),IF('01_数值调参'!$AA$7&lt;=$A10,-'01_数值调参'!$AA$23,0),IF('01_数值调参'!$AB$7&lt;=$A10,-'01_数值调参'!$AB$23,0),IF('01_数值调参'!$AC$7&lt;=$A10,-'01_数值调参'!$AC$23,0)),0),IF($A10&gt;=8,(F10+$C$3)*MAX(0,IF('01_数值调参'!$AD$7&lt;=$A10,-'01_数值调参'!$AD$23,0),IF('01_数值调参'!$AE$7&lt;=$A10,-'01_数值调参'!$AE$23,0),IF('01_数值调参'!$AF$7&lt;=$A10,-'01_数值调参'!$AF$23,0),IF('01_数值调参'!$AG$7&lt;=$A10,-'01_数值调参'!$AG$23,0)),0),IF($A10&gt;=10,(G10+$C$3)*MAX(0,IF('01_数值调参'!$AH$7&lt;=$A10,-'01_数值调参'!$AH$23,0),IF('01_数值调参'!$AI$7&lt;=$A10,-'01_数值调参'!$AI$23,0),IF('01_数值调参'!$AJ$7&lt;=$A10,-'01_数值调参'!$AJ$23,0),IF('01_数值调参'!$AK$7&lt;=$A10,-'01_数值调参'!$AK$23,0),IF('01_数值调参'!$AL$7&lt;=$A10,-'01_数值调参'!$AL$23,0),IF('01_数值调参'!$AM$7&lt;=$A10,-'01_数值调参'!$AM$23,0)),0),0)),"队列待修正"))</x:f>
        <x:v>—</x:v>
      </x:c>
      <x:c r="N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K$7,"—",SUM(IF($A10&gt;=2,(C10+$C$3)*MAX(0,IF('01_数值调参'!$N$7&lt;=$A10,-'01_数值调参'!$N$24,0),IF('01_数值调参'!$O$7&lt;=$A10,-'01_数值调参'!$O$24,0),IF('01_数值调参'!$P$7&lt;=$A10,-'01_数值调参'!$P$24,0),IF('01_数值调参'!$Q$7&lt;=$A10,-'01_数值调参'!$Q$24,0),IF('01_数值调参'!$R$7&lt;=$A10,-'01_数值调参'!$R$24,0)),0),IF($A10&gt;=4,(D10+$C$3)*MAX(0,IF('01_数值调参'!$S$7&lt;=$A10,-'01_数值调参'!$S$24,0),IF('01_数值调参'!$T$7&lt;=$A10,-'01_数值调参'!$T$24,0),IF('01_数值调参'!$U$7&lt;=$A10,-'01_数值调参'!$U$24,0),IF('01_数值调参'!$V$7&lt;=$A10,-'01_数值调参'!$V$24,0),IF('01_数值调参'!$W$7&lt;=$A10,-'01_数值调参'!$W$24,0)),0),IF($A10&gt;=6,(E10+$C$3)*MAX(0,IF('01_数值调参'!$X$7&lt;=$A10,-'01_数值调参'!$X$24,0),IF('01_数值调参'!$Y$7&lt;=$A10,-'01_数值调参'!$Y$24,0),IF('01_数值调参'!$Z$7&lt;=$A10,-'01_数值调参'!$Z$24,0),IF('01_数值调参'!$AA$7&lt;=$A10,-'01_数值调参'!$AA$24,0),IF('01_数值调参'!$AB$7&lt;=$A10,-'01_数值调参'!$AB$24,0),IF('01_数值调参'!$AC$7&lt;=$A10,-'01_数值调参'!$AC$24,0)),0),IF($A10&gt;=8,(F10+$C$3)*MAX(0,IF('01_数值调参'!$AD$7&lt;=$A10,-'01_数值调参'!$AD$24,0),IF('01_数值调参'!$AE$7&lt;=$A10,-'01_数值调参'!$AE$24,0),IF('01_数值调参'!$AF$7&lt;=$A10,-'01_数值调参'!$AF$24,0),IF('01_数值调参'!$AG$7&lt;=$A10,-'01_数值调参'!$AG$24,0)),0),IF($A10&gt;=10,(G10+$C$3)*MAX(0,IF('01_数值调参'!$AH$7&lt;=$A10,-'01_数值调参'!$AH$24,0),IF('01_数值调参'!$AI$7&lt;=$A10,-'01_数值调参'!$AI$24,0),IF('01_数值调参'!$AJ$7&lt;=$A10,-'01_数值调参'!$AJ$24,0),IF('01_数值调参'!$AK$7&lt;=$A10,-'01_数值调参'!$AK$24,0),IF('01_数值调参'!$AL$7&lt;=$A10,-'01_数值调参'!$AL$24,0),IF('01_数值调参'!$AM$7&lt;=$A10,-'01_数值调参'!$AM$24,0)),0),0)),"队列待修正"))</x:f>
        <x:v>—</x:v>
      </x:c>
      <x:c r="O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L$7,"—",SUM(IF($A10&gt;=2,(C10+$C$3)*MAX(0,IF('01_数值调参'!$N$7&lt;=$A10,-'01_数值调参'!$N$25,0),IF('01_数值调参'!$O$7&lt;=$A10,-'01_数值调参'!$O$25,0),IF('01_数值调参'!$P$7&lt;=$A10,-'01_数值调参'!$P$25,0),IF('01_数值调参'!$Q$7&lt;=$A10,-'01_数值调参'!$Q$25,0),IF('01_数值调参'!$R$7&lt;=$A10,-'01_数值调参'!$R$25,0)),0),IF($A10&gt;=4,(D10+$C$3)*MAX(0,IF('01_数值调参'!$S$7&lt;=$A10,-'01_数值调参'!$S$25,0),IF('01_数值调参'!$T$7&lt;=$A10,-'01_数值调参'!$T$25,0),IF('01_数值调参'!$U$7&lt;=$A10,-'01_数值调参'!$U$25,0),IF('01_数值调参'!$V$7&lt;=$A10,-'01_数值调参'!$V$25,0),IF('01_数值调参'!$W$7&lt;=$A10,-'01_数值调参'!$W$25,0)),0),IF($A10&gt;=6,(E10+$C$3)*MAX(0,IF('01_数值调参'!$X$7&lt;=$A10,-'01_数值调参'!$X$25,0),IF('01_数值调参'!$Y$7&lt;=$A10,-'01_数值调参'!$Y$25,0),IF('01_数值调参'!$Z$7&lt;=$A10,-'01_数值调参'!$Z$25,0),IF('01_数值调参'!$AA$7&lt;=$A10,-'01_数值调参'!$AA$25,0),IF('01_数值调参'!$AB$7&lt;=$A10,-'01_数值调参'!$AB$25,0),IF('01_数值调参'!$AC$7&lt;=$A10,-'01_数值调参'!$AC$25,0)),0),IF($A10&gt;=8,(F10+$C$3)*MAX(0,IF('01_数值调参'!$AD$7&lt;=$A10,-'01_数值调参'!$AD$25,0),IF('01_数值调参'!$AE$7&lt;=$A10,-'01_数值调参'!$AE$25,0),IF('01_数值调参'!$AF$7&lt;=$A10,-'01_数值调参'!$AF$25,0),IF('01_数值调参'!$AG$7&lt;=$A10,-'01_数值调参'!$AG$25,0)),0),IF($A10&gt;=10,(G10+$C$3)*MAX(0,IF('01_数值调参'!$AH$7&lt;=$A10,-'01_数值调参'!$AH$25,0),IF('01_数值调参'!$AI$7&lt;=$A10,-'01_数值调参'!$AI$25,0),IF('01_数值调参'!$AJ$7&lt;=$A10,-'01_数值调参'!$AJ$25,0),IF('01_数值调参'!$AK$7&lt;=$A10,-'01_数值调参'!$AK$25,0),IF('01_数值调参'!$AL$7&lt;=$A10,-'01_数值调参'!$AL$25,0),IF('01_数值调参'!$AM$7&lt;=$A10,-'01_数值调参'!$AM$25,0)),0),0)),"队列待修正"))</x:f>
        <x:v>—</x:v>
      </x:c>
      <x:c r="P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M$7,"—",SUM(IF($A10&gt;=2,(C10+$C$3)*MAX(0,IF('01_数值调参'!$N$7&lt;=$A10,-'01_数值调参'!$N$26,0),IF('01_数值调参'!$O$7&lt;=$A10,-'01_数值调参'!$O$26,0),IF('01_数值调参'!$P$7&lt;=$A10,-'01_数值调参'!$P$26,0),IF('01_数值调参'!$Q$7&lt;=$A10,-'01_数值调参'!$Q$26,0),IF('01_数值调参'!$R$7&lt;=$A10,-'01_数值调参'!$R$26,0)),0),IF($A10&gt;=4,(D10+$C$3)*MAX(0,IF('01_数值调参'!$S$7&lt;=$A10,-'01_数值调参'!$S$26,0),IF('01_数值调参'!$T$7&lt;=$A10,-'01_数值调参'!$T$26,0),IF('01_数值调参'!$U$7&lt;=$A10,-'01_数值调参'!$U$26,0),IF('01_数值调参'!$V$7&lt;=$A10,-'01_数值调参'!$V$26,0),IF('01_数值调参'!$W$7&lt;=$A10,-'01_数值调参'!$W$26,0)),0),IF($A10&gt;=6,(E10+$C$3)*MAX(0,IF('01_数值调参'!$X$7&lt;=$A10,-'01_数值调参'!$X$26,0),IF('01_数值调参'!$Y$7&lt;=$A10,-'01_数值调参'!$Y$26,0),IF('01_数值调参'!$Z$7&lt;=$A10,-'01_数值调参'!$Z$26,0),IF('01_数值调参'!$AA$7&lt;=$A10,-'01_数值调参'!$AA$26,0),IF('01_数值调参'!$AB$7&lt;=$A10,-'01_数值调参'!$AB$26,0),IF('01_数值调参'!$AC$7&lt;=$A10,-'01_数值调参'!$AC$26,0)),0),IF($A10&gt;=8,(F10+$C$3)*MAX(0,IF('01_数值调参'!$AD$7&lt;=$A10,-'01_数值调参'!$AD$26,0),IF('01_数值调参'!$AE$7&lt;=$A10,-'01_数值调参'!$AE$26,0),IF('01_数值调参'!$AF$7&lt;=$A10,-'01_数值调参'!$AF$26,0),IF('01_数值调参'!$AG$7&lt;=$A10,-'01_数值调参'!$AG$26,0)),0),IF($A10&gt;=10,(G10+$C$3)*MAX(0,IF('01_数值调参'!$AH$7&lt;=$A10,-'01_数值调参'!$AH$26,0),IF('01_数值调参'!$AI$7&lt;=$A10,-'01_数值调参'!$AI$26,0),IF('01_数值调参'!$AJ$7&lt;=$A10,-'01_数值调参'!$AJ$26,0),IF('01_数值调参'!$AK$7&lt;=$A10,-'01_数值调参'!$AK$26,0),IF('01_数值调参'!$AL$7&lt;=$A10,-'01_数值调参'!$AL$26,0),IF('01_数值调参'!$AM$7&lt;=$A10,-'01_数值调参'!$AM$26,0)),0),0)),"队列待修正"))</x:f>
        <x:v>—</x:v>
      </x:c>
      <x:c r="Q10" s="191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N$7,"—",SUM(IF($A10&gt;=2,(C10+$C$3)*MAX(0,IF('01_数值调参'!$N$7&lt;=$A10,0,0),IF('01_数值调参'!$O$7&lt;=$A10,-'01_数值调参'!$O$27,0),IF('01_数值调参'!$P$7&lt;=$A10,-'01_数值调参'!$P$27,0),IF('01_数值调参'!$Q$7&lt;=$A10,-'01_数值调参'!$Q$27,0),IF('01_数值调参'!$R$7&lt;=$A10,-'01_数值调参'!$R$27,0)),0),IF($A10&gt;=4,(D10+$C$3)*MAX(0,IF('01_数值调参'!$S$7&lt;=$A10,-'01_数值调参'!$S$27,0),IF('01_数值调参'!$T$7&lt;=$A10,-'01_数值调参'!$T$27,0),IF('01_数值调参'!$U$7&lt;=$A10,-'01_数值调参'!$U$27,0),IF('01_数值调参'!$V$7&lt;=$A10,-'01_数值调参'!$V$27,0),IF('01_数值调参'!$W$7&lt;=$A10,-'01_数值调参'!$W$27,0)),0),IF($A10&gt;=6,(E10+$C$3)*MAX(0,IF('01_数值调参'!$X$7&lt;=$A10,-'01_数值调参'!$X$27,0),IF('01_数值调参'!$Y$7&lt;=$A10,-'01_数值调参'!$Y$27,0),IF('01_数值调参'!$Z$7&lt;=$A10,-'01_数值调参'!$Z$27,0),IF('01_数值调参'!$AA$7&lt;=$A10,-'01_数值调参'!$AA$27,0),IF('01_数值调参'!$AB$7&lt;=$A10,-'01_数值调参'!$AB$27,0),IF('01_数值调参'!$AC$7&lt;=$A10,-'01_数值调参'!$AC$27,0)),0),IF($A10&gt;=8,(F10+$C$3)*MAX(0,IF('01_数值调参'!$AD$7&lt;=$A10,-'01_数值调参'!$AD$27,0),IF('01_数值调参'!$AE$7&lt;=$A10,-'01_数值调参'!$AE$27,0),IF('01_数值调参'!$AF$7&lt;=$A10,-'01_数值调参'!$AF$27,0),IF('01_数值调参'!$AG$7&lt;=$A10,-'01_数值调参'!$AG$27,0)),0),IF($A10&gt;=10,(G10+$C$3)*MAX(0,IF('01_数值调参'!$AH$7&lt;=$A10,-'01_数值调参'!$AH$27,0),IF('01_数值调参'!$AI$7&lt;=$A10,-'01_数值调参'!$AI$27,0),IF('01_数值调参'!$AJ$7&lt;=$A10,-'01_数值调参'!$AJ$27,0),IF('01_数值调参'!$AK$7&lt;=$A10,-'01_数值调参'!$AK$27,0),IF('01_数值调参'!$AL$7&lt;=$A10,-'01_数值调参'!$AL$27,0),IF('01_数值调参'!$AM$7&lt;=$A10,-'01_数值调参'!$AM$27,0)),0),0)),"队列待修正"))</x:f>
        <x:v>0</x:v>
      </x:c>
      <x:c r="R10" s="179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O$7,"—",SUM(IF($A10&gt;=2,(C10+$C$3)*MAX(0,IF('01_数值调参'!$N$7&lt;=$A10,-'01_数值调参'!$N$28,0),IF('01_数值调参'!$O$7&lt;=$A10,0,0),IF('01_数值调参'!$P$7&lt;=$A10,-'01_数值调参'!$P$28,0),IF('01_数值调参'!$Q$7&lt;=$A10,-'01_数值调参'!$Q$28,0),IF('01_数值调参'!$R$7&lt;=$A10,-'01_数值调参'!$R$28,0)),0),IF($A10&gt;=4,(D10+$C$3)*MAX(0,IF('01_数值调参'!$S$7&lt;=$A10,-'01_数值调参'!$S$28,0),IF('01_数值调参'!$T$7&lt;=$A10,-'01_数值调参'!$T$28,0),IF('01_数值调参'!$U$7&lt;=$A10,-'01_数值调参'!$U$28,0),IF('01_数值调参'!$V$7&lt;=$A10,-'01_数值调参'!$V$28,0),IF('01_数值调参'!$W$7&lt;=$A10,-'01_数值调参'!$W$28,0)),0),IF($A10&gt;=6,(E10+$C$3)*MAX(0,IF('01_数值调参'!$X$7&lt;=$A10,-'01_数值调参'!$X$28,0),IF('01_数值调参'!$Y$7&lt;=$A10,-'01_数值调参'!$Y$28,0),IF('01_数值调参'!$Z$7&lt;=$A10,-'01_数值调参'!$Z$28,0),IF('01_数值调参'!$AA$7&lt;=$A10,-'01_数值调参'!$AA$28,0),IF('01_数值调参'!$AB$7&lt;=$A10,-'01_数值调参'!$AB$28,0),IF('01_数值调参'!$AC$7&lt;=$A10,-'01_数值调参'!$AC$28,0)),0),IF($A10&gt;=8,(F10+$C$3)*MAX(0,IF('01_数值调参'!$AD$7&lt;=$A10,-'01_数值调参'!$AD$28,0),IF('01_数值调参'!$AE$7&lt;=$A10,-'01_数值调参'!$AE$28,0),IF('01_数值调参'!$AF$7&lt;=$A10,-'01_数值调参'!$AF$28,0),IF('01_数值调参'!$AG$7&lt;=$A10,-'01_数值调参'!$AG$28,0)),0),IF($A10&gt;=10,(G10+$C$3)*MAX(0,IF('01_数值调参'!$AH$7&lt;=$A10,-'01_数值调参'!$AH$28,0),IF('01_数值调参'!$AI$7&lt;=$A10,-'01_数值调参'!$AI$28,0),IF('01_数值调参'!$AJ$7&lt;=$A10,-'01_数值调参'!$AJ$28,0),IF('01_数值调参'!$AK$7&lt;=$A10,-'01_数值调参'!$AK$28,0),IF('01_数值调参'!$AL$7&lt;=$A10,-'01_数值调参'!$AL$28,0),IF('01_数值调参'!$AM$7&lt;=$A10,-'01_数值调参'!$AM$28,0)),0),0)),"队列待修正"))</x:f>
        <x:v>0</x:v>
      </x:c>
      <x:c r="S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P$7,"—",SUM(IF($A10&gt;=2,(C10+$C$3)*MAX(0,IF('01_数值调参'!$N$7&lt;=$A10,-'01_数值调参'!$N$29,0),IF('01_数值调参'!$O$7&lt;=$A10,-'01_数值调参'!$O$29,0),IF('01_数值调参'!$P$7&lt;=$A10,0,0),IF('01_数值调参'!$Q$7&lt;=$A10,-'01_数值调参'!$Q$29,0),IF('01_数值调参'!$R$7&lt;=$A10,-'01_数值调参'!$R$29,0)),0),IF($A10&gt;=4,(D10+$C$3)*MAX(0,IF('01_数值调参'!$S$7&lt;=$A10,-'01_数值调参'!$S$29,0),IF('01_数值调参'!$T$7&lt;=$A10,-'01_数值调参'!$T$29,0),IF('01_数值调参'!$U$7&lt;=$A10,-'01_数值调参'!$U$29,0),IF('01_数值调参'!$V$7&lt;=$A10,-'01_数值调参'!$V$29,0),IF('01_数值调参'!$W$7&lt;=$A10,-'01_数值调参'!$W$29,0)),0),IF($A10&gt;=6,(E10+$C$3)*MAX(0,IF('01_数值调参'!$X$7&lt;=$A10,-'01_数值调参'!$X$29,0),IF('01_数值调参'!$Y$7&lt;=$A10,-'01_数值调参'!$Y$29,0),IF('01_数值调参'!$Z$7&lt;=$A10,-'01_数值调参'!$Z$29,0),IF('01_数值调参'!$AA$7&lt;=$A10,-'01_数值调参'!$AA$29,0),IF('01_数值调参'!$AB$7&lt;=$A10,-'01_数值调参'!$AB$29,0),IF('01_数值调参'!$AC$7&lt;=$A10,-'01_数值调参'!$AC$29,0)),0),IF($A10&gt;=8,(F10+$C$3)*MAX(0,IF('01_数值调参'!$AD$7&lt;=$A10,-'01_数值调参'!$AD$29,0),IF('01_数值调参'!$AE$7&lt;=$A10,-'01_数值调参'!$AE$29,0),IF('01_数值调参'!$AF$7&lt;=$A10,-'01_数值调参'!$AF$29,0),IF('01_数值调参'!$AG$7&lt;=$A10,-'01_数值调参'!$AG$29,0)),0),IF($A10&gt;=10,(G10+$C$3)*MAX(0,IF('01_数值调参'!$AH$7&lt;=$A10,-'01_数值调参'!$AH$29,0),IF('01_数值调参'!$AI$7&lt;=$A10,-'01_数值调参'!$AI$29,0),IF('01_数值调参'!$AJ$7&lt;=$A10,-'01_数值调参'!$AJ$29,0),IF('01_数值调参'!$AK$7&lt;=$A10,-'01_数值调参'!$AK$29,0),IF('01_数值调参'!$AL$7&lt;=$A10,-'01_数值调参'!$AL$29,0),IF('01_数值调参'!$AM$7&lt;=$A10,-'01_数值调参'!$AM$29,0)),0),0)),"队列待修正"))</x:f>
        <x:v>—</x:v>
      </x:c>
      <x:c r="T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Q$7,"—",SUM(IF($A10&gt;=2,(C10+$C$3)*MAX(0,IF('01_数值调参'!$N$7&lt;=$A10,-'01_数值调参'!$N$30,0),IF('01_数值调参'!$O$7&lt;=$A10,-'01_数值调参'!$O$30,0),IF('01_数值调参'!$P$7&lt;=$A10,-'01_数值调参'!$P$30,0),IF('01_数值调参'!$Q$7&lt;=$A10,0,0),IF('01_数值调参'!$R$7&lt;=$A10,-'01_数值调参'!$R$30,0)),0),IF($A10&gt;=4,(D10+$C$3)*MAX(0,IF('01_数值调参'!$S$7&lt;=$A10,-'01_数值调参'!$S$30,0),IF('01_数值调参'!$T$7&lt;=$A10,-'01_数值调参'!$T$30,0),IF('01_数值调参'!$U$7&lt;=$A10,-'01_数值调参'!$U$30,0),IF('01_数值调参'!$V$7&lt;=$A10,-'01_数值调参'!$V$30,0),IF('01_数值调参'!$W$7&lt;=$A10,-'01_数值调参'!$W$30,0)),0),IF($A10&gt;=6,(E10+$C$3)*MAX(0,IF('01_数值调参'!$X$7&lt;=$A10,-'01_数值调参'!$X$30,0),IF('01_数值调参'!$Y$7&lt;=$A10,-'01_数值调参'!$Y$30,0),IF('01_数值调参'!$Z$7&lt;=$A10,-'01_数值调参'!$Z$30,0),IF('01_数值调参'!$AA$7&lt;=$A10,-'01_数值调参'!$AA$30,0),IF('01_数值调参'!$AB$7&lt;=$A10,-'01_数值调参'!$AB$30,0),IF('01_数值调参'!$AC$7&lt;=$A10,-'01_数值调参'!$AC$30,0)),0),IF($A10&gt;=8,(F10+$C$3)*MAX(0,IF('01_数值调参'!$AD$7&lt;=$A10,-'01_数值调参'!$AD$30,0),IF('01_数值调参'!$AE$7&lt;=$A10,-'01_数值调参'!$AE$30,0),IF('01_数值调参'!$AF$7&lt;=$A10,-'01_数值调参'!$AF$30,0),IF('01_数值调参'!$AG$7&lt;=$A10,-'01_数值调参'!$AG$30,0)),0),IF($A10&gt;=10,(G10+$C$3)*MAX(0,IF('01_数值调参'!$AH$7&lt;=$A10,-'01_数值调参'!$AH$30,0),IF('01_数值调参'!$AI$7&lt;=$A10,-'01_数值调参'!$AI$30,0),IF('01_数值调参'!$AJ$7&lt;=$A10,-'01_数值调参'!$AJ$30,0),IF('01_数值调参'!$AK$7&lt;=$A10,-'01_数值调参'!$AK$30,0),IF('01_数值调参'!$AL$7&lt;=$A10,-'01_数值调参'!$AL$30,0),IF('01_数值调参'!$AM$7&lt;=$A10,-'01_数值调参'!$AM$30,0)),0),0)),"队列待修正"))</x:f>
        <x:v>—</x:v>
      </x:c>
      <x:c r="U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R$7,"—",SUM(IF($A10&gt;=2,(C10+$C$3)*MAX(0,IF('01_数值调参'!$N$7&lt;=$A10,-'01_数值调参'!$N$31,0),IF('01_数值调参'!$O$7&lt;=$A10,-'01_数值调参'!$O$31,0),IF('01_数值调参'!$P$7&lt;=$A10,-'01_数值调参'!$P$31,0),IF('01_数值调参'!$Q$7&lt;=$A10,-'01_数值调参'!$Q$31,0),IF('01_数值调参'!$R$7&lt;=$A10,0,0)),0),IF($A10&gt;=4,(D10+$C$3)*MAX(0,IF('01_数值调参'!$S$7&lt;=$A10,-'01_数值调参'!$S$31,0),IF('01_数值调参'!$T$7&lt;=$A10,-'01_数值调参'!$T$31,0),IF('01_数值调参'!$U$7&lt;=$A10,-'01_数值调参'!$U$31,0),IF('01_数值调参'!$V$7&lt;=$A10,-'01_数值调参'!$V$31,0),IF('01_数值调参'!$W$7&lt;=$A10,-'01_数值调参'!$W$31,0)),0),IF($A10&gt;=6,(E10+$C$3)*MAX(0,IF('01_数值调参'!$X$7&lt;=$A10,-'01_数值调参'!$X$31,0),IF('01_数值调参'!$Y$7&lt;=$A10,-'01_数值调参'!$Y$31,0),IF('01_数值调参'!$Z$7&lt;=$A10,-'01_数值调参'!$Z$31,0),IF('01_数值调参'!$AA$7&lt;=$A10,-'01_数值调参'!$AA$31,0),IF('01_数值调参'!$AB$7&lt;=$A10,-'01_数值调参'!$AB$31,0),IF('01_数值调参'!$AC$7&lt;=$A10,-'01_数值调参'!$AC$31,0)),0),IF($A10&gt;=8,(F10+$C$3)*MAX(0,IF('01_数值调参'!$AD$7&lt;=$A10,-'01_数值调参'!$AD$31,0),IF('01_数值调参'!$AE$7&lt;=$A10,-'01_数值调参'!$AE$31,0),IF('01_数值调参'!$AF$7&lt;=$A10,-'01_数值调参'!$AF$31,0),IF('01_数值调参'!$AG$7&lt;=$A10,-'01_数值调参'!$AG$31,0)),0),IF($A10&gt;=10,(G10+$C$3)*MAX(0,IF('01_数值调参'!$AH$7&lt;=$A10,-'01_数值调参'!$AH$31,0),IF('01_数值调参'!$AI$7&lt;=$A10,-'01_数值调参'!$AI$31,0),IF('01_数值调参'!$AJ$7&lt;=$A10,-'01_数值调参'!$AJ$31,0),IF('01_数值调参'!$AK$7&lt;=$A10,-'01_数值调参'!$AK$31,0),IF('01_数值调参'!$AL$7&lt;=$A10,-'01_数值调参'!$AL$31,0),IF('01_数值调参'!$AM$7&lt;=$A10,-'01_数值调参'!$AM$31,0)),0),0)),"队列待修正"))</x:f>
        <x:v>—</x:v>
      </x:c>
      <x:c r="V10" s="191" t="n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S$7,"—",SUM(IF($A10&gt;=2,(C10+$C$3)*MAX(0,IF('01_数值调参'!$N$7&lt;=$A10,-'01_数值调参'!$N$32,0),IF('01_数值调参'!$O$7&lt;=$A10,-'01_数值调参'!$O$32,0),IF('01_数值调参'!$P$7&lt;=$A10,-'01_数值调参'!$P$32,0),IF('01_数值调参'!$Q$7&lt;=$A10,-'01_数值调参'!$Q$32,0),IF('01_数值调参'!$R$7&lt;=$A10,-'01_数值调参'!$R$32,0)),0),IF($A10&gt;=4,(D10+$C$3)*MAX(0,IF('01_数值调参'!$S$7&lt;=$A10,0,0),IF('01_数值调参'!$T$7&lt;=$A10,-'01_数值调参'!$T$32,0),IF('01_数值调参'!$U$7&lt;=$A10,-'01_数值调参'!$U$32,0),IF('01_数值调参'!$V$7&lt;=$A10,-'01_数值调参'!$V$32,0),IF('01_数值调参'!$W$7&lt;=$A10,-'01_数值调参'!$W$32,0)),0),IF($A10&gt;=6,(E10+$C$3)*MAX(0,IF('01_数值调参'!$X$7&lt;=$A10,-'01_数值调参'!$X$32,0),IF('01_数值调参'!$Y$7&lt;=$A10,-'01_数值调参'!$Y$32,0),IF('01_数值调参'!$Z$7&lt;=$A10,-'01_数值调参'!$Z$32,0),IF('01_数值调参'!$AA$7&lt;=$A10,-'01_数值调参'!$AA$32,0),IF('01_数值调参'!$AB$7&lt;=$A10,-'01_数值调参'!$AB$32,0),IF('01_数值调参'!$AC$7&lt;=$A10,-'01_数值调参'!$AC$32,0)),0),IF($A10&gt;=8,(F10+$C$3)*MAX(0,IF('01_数值调参'!$AD$7&lt;=$A10,-'01_数值调参'!$AD$32,0),IF('01_数值调参'!$AE$7&lt;=$A10,-'01_数值调参'!$AE$32,0),IF('01_数值调参'!$AF$7&lt;=$A10,-'01_数值调参'!$AF$32,0),IF('01_数值调参'!$AG$7&lt;=$A10,-'01_数值调参'!$AG$32,0)),0),IF($A10&gt;=10,(G10+$C$3)*MAX(0,IF('01_数值调参'!$AH$7&lt;=$A10,-'01_数值调参'!$AH$32,0),IF('01_数值调参'!$AI$7&lt;=$A10,-'01_数值调参'!$AI$32,0),IF('01_数值调参'!$AJ$7&lt;=$A10,-'01_数值调参'!$AJ$32,0),IF('01_数值调参'!$AK$7&lt;=$A10,-'01_数值调参'!$AK$32,0),IF('01_数值调参'!$AL$7&lt;=$A10,-'01_数值调参'!$AL$32,0),IF('01_数值调参'!$AM$7&lt;=$A10,-'01_数值调参'!$AM$32,0)),0),0)),"队列待修正"))</x:f>
        <x:v>0</x:v>
      </x:c>
      <x:c r="W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T$7,"—",SUM(IF($A10&gt;=2,(C10+$C$3)*MAX(0,IF('01_数值调参'!$N$7&lt;=$A10,-'01_数值调参'!$N$33,0),IF('01_数值调参'!$O$7&lt;=$A10,-'01_数值调参'!$O$33,0),IF('01_数值调参'!$P$7&lt;=$A10,-'01_数值调参'!$P$33,0),IF('01_数值调参'!$Q$7&lt;=$A10,-'01_数值调参'!$Q$33,0),IF('01_数值调参'!$R$7&lt;=$A10,-'01_数值调参'!$R$33,0)),0),IF($A10&gt;=4,(D10+$C$3)*MAX(0,IF('01_数值调参'!$S$7&lt;=$A10,-'01_数值调参'!$S$33,0),IF('01_数值调参'!$T$7&lt;=$A10,0,0),IF('01_数值调参'!$U$7&lt;=$A10,-'01_数值调参'!$U$33,0),IF('01_数值调参'!$V$7&lt;=$A10,-'01_数值调参'!$V$33,0),IF('01_数值调参'!$W$7&lt;=$A10,-'01_数值调参'!$W$33,0)),0),IF($A10&gt;=6,(E10+$C$3)*MAX(0,IF('01_数值调参'!$X$7&lt;=$A10,-'01_数值调参'!$X$33,0),IF('01_数值调参'!$Y$7&lt;=$A10,-'01_数值调参'!$Y$33,0),IF('01_数值调参'!$Z$7&lt;=$A10,-'01_数值调参'!$Z$33,0),IF('01_数值调参'!$AA$7&lt;=$A10,-'01_数值调参'!$AA$33,0),IF('01_数值调参'!$AB$7&lt;=$A10,-'01_数值调参'!$AB$33,0),IF('01_数值调参'!$AC$7&lt;=$A10,-'01_数值调参'!$AC$33,0)),0),IF($A10&gt;=8,(F10+$C$3)*MAX(0,IF('01_数值调参'!$AD$7&lt;=$A10,-'01_数值调参'!$AD$33,0),IF('01_数值调参'!$AE$7&lt;=$A10,-'01_数值调参'!$AE$33,0),IF('01_数值调参'!$AF$7&lt;=$A10,-'01_数值调参'!$AF$33,0),IF('01_数值调参'!$AG$7&lt;=$A10,-'01_数值调参'!$AG$33,0)),0),IF($A10&gt;=10,(G10+$C$3)*MAX(0,IF('01_数值调参'!$AH$7&lt;=$A10,-'01_数值调参'!$AH$33,0),IF('01_数值调参'!$AI$7&lt;=$A10,-'01_数值调参'!$AI$33,0),IF('01_数值调参'!$AJ$7&lt;=$A10,-'01_数值调参'!$AJ$33,0),IF('01_数值调参'!$AK$7&lt;=$A10,-'01_数值调参'!$AK$33,0),IF('01_数值调参'!$AL$7&lt;=$A10,-'01_数值调参'!$AL$33,0),IF('01_数值调参'!$AM$7&lt;=$A10,-'01_数值调参'!$AM$33,0)),0),0)),"队列待修正"))</x:f>
        <x:v>—</x:v>
      </x:c>
      <x:c r="X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U$7,"—",SUM(IF($A10&gt;=2,(C10+$C$3)*MAX(0,IF('01_数值调参'!$N$7&lt;=$A10,-'01_数值调参'!$N$34,0),IF('01_数值调参'!$O$7&lt;=$A10,-'01_数值调参'!$O$34,0),IF('01_数值调参'!$P$7&lt;=$A10,-'01_数值调参'!$P$34,0),IF('01_数值调参'!$Q$7&lt;=$A10,-'01_数值调参'!$Q$34,0),IF('01_数值调参'!$R$7&lt;=$A10,-'01_数值调参'!$R$34,0)),0),IF($A10&gt;=4,(D10+$C$3)*MAX(0,IF('01_数值调参'!$S$7&lt;=$A10,-'01_数值调参'!$S$34,0),IF('01_数值调参'!$T$7&lt;=$A10,-'01_数值调参'!$T$34,0),IF('01_数值调参'!$U$7&lt;=$A10,0,0),IF('01_数值调参'!$V$7&lt;=$A10,-'01_数值调参'!$V$34,0),IF('01_数值调参'!$W$7&lt;=$A10,-'01_数值调参'!$W$34,0)),0),IF($A10&gt;=6,(E10+$C$3)*MAX(0,IF('01_数值调参'!$X$7&lt;=$A10,-'01_数值调参'!$X$34,0),IF('01_数值调参'!$Y$7&lt;=$A10,-'01_数值调参'!$Y$34,0),IF('01_数值调参'!$Z$7&lt;=$A10,-'01_数值调参'!$Z$34,0),IF('01_数值调参'!$AA$7&lt;=$A10,-'01_数值调参'!$AA$34,0),IF('01_数值调参'!$AB$7&lt;=$A10,-'01_数值调参'!$AB$34,0),IF('01_数值调参'!$AC$7&lt;=$A10,-'01_数值调参'!$AC$34,0)),0),IF($A10&gt;=8,(F10+$C$3)*MAX(0,IF('01_数值调参'!$AD$7&lt;=$A10,-'01_数值调参'!$AD$34,0),IF('01_数值调参'!$AE$7&lt;=$A10,-'01_数值调参'!$AE$34,0),IF('01_数值调参'!$AF$7&lt;=$A10,-'01_数值调参'!$AF$34,0),IF('01_数值调参'!$AG$7&lt;=$A10,-'01_数值调参'!$AG$34,0)),0),IF($A10&gt;=10,(G10+$C$3)*MAX(0,IF('01_数值调参'!$AH$7&lt;=$A10,-'01_数值调参'!$AH$34,0),IF('01_数值调参'!$AI$7&lt;=$A10,-'01_数值调参'!$AI$34,0),IF('01_数值调参'!$AJ$7&lt;=$A10,-'01_数值调参'!$AJ$34,0),IF('01_数值调参'!$AK$7&lt;=$A10,-'01_数值调参'!$AK$34,0),IF('01_数值调参'!$AL$7&lt;=$A10,-'01_数值调参'!$AL$34,0),IF('01_数值调参'!$AM$7&lt;=$A10,-'01_数值调参'!$AM$34,0)),0),0)),"队列待修正"))</x:f>
        <x:v>—</x:v>
      </x:c>
      <x:c r="Y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V$7,"—",SUM(IF($A10&gt;=2,(C10+$C$3)*MAX(0,IF('01_数值调参'!$N$7&lt;=$A10,-'01_数值调参'!$N$35,0),IF('01_数值调参'!$O$7&lt;=$A10,-'01_数值调参'!$O$35,0),IF('01_数值调参'!$P$7&lt;=$A10,-'01_数值调参'!$P$35,0),IF('01_数值调参'!$Q$7&lt;=$A10,-'01_数值调参'!$Q$35,0),IF('01_数值调参'!$R$7&lt;=$A10,-'01_数值调参'!$R$35,0)),0),IF($A10&gt;=4,(D10+$C$3)*MAX(0,IF('01_数值调参'!$S$7&lt;=$A10,-'01_数值调参'!$S$35,0),IF('01_数值调参'!$T$7&lt;=$A10,-'01_数值调参'!$T$35,0),IF('01_数值调参'!$U$7&lt;=$A10,-'01_数值调参'!$U$35,0),IF('01_数值调参'!$V$7&lt;=$A10,0,0),IF('01_数值调参'!$W$7&lt;=$A10,-'01_数值调参'!$W$35,0)),0),IF($A10&gt;=6,(E10+$C$3)*MAX(0,IF('01_数值调参'!$X$7&lt;=$A10,-'01_数值调参'!$X$35,0),IF('01_数值调参'!$Y$7&lt;=$A10,-'01_数值调参'!$Y$35,0),IF('01_数值调参'!$Z$7&lt;=$A10,-'01_数值调参'!$Z$35,0),IF('01_数值调参'!$AA$7&lt;=$A10,-'01_数值调参'!$AA$35,0),IF('01_数值调参'!$AB$7&lt;=$A10,-'01_数值调参'!$AB$35,0),IF('01_数值调参'!$AC$7&lt;=$A10,-'01_数值调参'!$AC$35,0)),0),IF($A10&gt;=8,(F10+$C$3)*MAX(0,IF('01_数值调参'!$AD$7&lt;=$A10,-'01_数值调参'!$AD$35,0),IF('01_数值调参'!$AE$7&lt;=$A10,-'01_数值调参'!$AE$35,0),IF('01_数值调参'!$AF$7&lt;=$A10,-'01_数值调参'!$AF$35,0),IF('01_数值调参'!$AG$7&lt;=$A10,-'01_数值调参'!$AG$35,0)),0),IF($A10&gt;=10,(G10+$C$3)*MAX(0,IF('01_数值调参'!$AH$7&lt;=$A10,-'01_数值调参'!$AH$35,0),IF('01_数值调参'!$AI$7&lt;=$A10,-'01_数值调参'!$AI$35,0),IF('01_数值调参'!$AJ$7&lt;=$A10,-'01_数值调参'!$AJ$35,0),IF('01_数值调参'!$AK$7&lt;=$A10,-'01_数值调参'!$AK$35,0),IF('01_数值调参'!$AL$7&lt;=$A10,-'01_数值调参'!$AL$35,0),IF('01_数值调参'!$AM$7&lt;=$A10,-'01_数值调参'!$AM$35,0)),0),0)),"队列待修正"))</x:f>
        <x:v>—</x:v>
      </x:c>
      <x:c r="Z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W$7,"—",SUM(IF($A10&gt;=2,(C10+$C$3)*MAX(0,IF('01_数值调参'!$N$7&lt;=$A10,-'01_数值调参'!$N$36,0),IF('01_数值调参'!$O$7&lt;=$A10,-'01_数值调参'!$O$36,0),IF('01_数值调参'!$P$7&lt;=$A10,-'01_数值调参'!$P$36,0),IF('01_数值调参'!$Q$7&lt;=$A10,-'01_数值调参'!$Q$36,0),IF('01_数值调参'!$R$7&lt;=$A10,-'01_数值调参'!$R$36,0)),0),IF($A10&gt;=4,(D10+$C$3)*MAX(0,IF('01_数值调参'!$S$7&lt;=$A10,-'01_数值调参'!$S$36,0),IF('01_数值调参'!$T$7&lt;=$A10,-'01_数值调参'!$T$36,0),IF('01_数值调参'!$U$7&lt;=$A10,-'01_数值调参'!$U$36,0),IF('01_数值调参'!$V$7&lt;=$A10,-'01_数值调参'!$V$36,0),IF('01_数值调参'!$W$7&lt;=$A10,0,0)),0),IF($A10&gt;=6,(E10+$C$3)*MAX(0,IF('01_数值调参'!$X$7&lt;=$A10,-'01_数值调参'!$X$36,0),IF('01_数值调参'!$Y$7&lt;=$A10,-'01_数值调参'!$Y$36,0),IF('01_数值调参'!$Z$7&lt;=$A10,-'01_数值调参'!$Z$36,0),IF('01_数值调参'!$AA$7&lt;=$A10,-'01_数值调参'!$AA$36,0),IF('01_数值调参'!$AB$7&lt;=$A10,-'01_数值调参'!$AB$36,0),IF('01_数值调参'!$AC$7&lt;=$A10,-'01_数值调参'!$AC$36,0)),0),IF($A10&gt;=8,(F10+$C$3)*MAX(0,IF('01_数值调参'!$AD$7&lt;=$A10,-'01_数值调参'!$AD$36,0),IF('01_数值调参'!$AE$7&lt;=$A10,-'01_数值调参'!$AE$36,0),IF('01_数值调参'!$AF$7&lt;=$A10,-'01_数值调参'!$AF$36,0),IF('01_数值调参'!$AG$7&lt;=$A10,-'01_数值调参'!$AG$36,0)),0),IF($A10&gt;=10,(G10+$C$3)*MAX(0,IF('01_数值调参'!$AH$7&lt;=$A10,-'01_数值调参'!$AH$36,0),IF('01_数值调参'!$AI$7&lt;=$A10,-'01_数值调参'!$AI$36,0),IF('01_数值调参'!$AJ$7&lt;=$A10,-'01_数值调参'!$AJ$36,0),IF('01_数值调参'!$AK$7&lt;=$A10,-'01_数值调参'!$AK$36,0),IF('01_数值调参'!$AL$7&lt;=$A10,-'01_数值调参'!$AL$36,0),IF('01_数值调参'!$AM$7&lt;=$A10,-'01_数值调参'!$AM$36,0)),0),0)),"队列待修正"))</x:f>
        <x:v>—</x:v>
      </x:c>
      <x:c r="AA10" s="191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X$7,"—",SUM(IF($A10&gt;=2,(C10+$C$3)*MAX(0,IF('01_数值调参'!$N$7&lt;=$A10,-'01_数值调参'!$N$37,0),IF('01_数值调参'!$O$7&lt;=$A10,-'01_数值调参'!$O$37,0),IF('01_数值调参'!$P$7&lt;=$A10,-'01_数值调参'!$P$37,0),IF('01_数值调参'!$Q$7&lt;=$A10,-'01_数值调参'!$Q$37,0),IF('01_数值调参'!$R$7&lt;=$A10,-'01_数值调参'!$R$37,0)),0),IF($A10&gt;=4,(D10+$C$3)*MAX(0,IF('01_数值调参'!$S$7&lt;=$A10,-'01_数值调参'!$S$37,0),IF('01_数值调参'!$T$7&lt;=$A10,-'01_数值调参'!$T$37,0),IF('01_数值调参'!$U$7&lt;=$A10,-'01_数值调参'!$U$37,0),IF('01_数值调参'!$V$7&lt;=$A10,-'01_数值调参'!$V$37,0),IF('01_数值调参'!$W$7&lt;=$A10,-'01_数值调参'!$W$37,0)),0),IF($A10&gt;=6,(E10+$C$3)*MAX(0,IF('01_数值调参'!$X$7&lt;=$A10,0,0),IF('01_数值调参'!$Y$7&lt;=$A10,-'01_数值调参'!$Y$37,0),IF('01_数值调参'!$Z$7&lt;=$A10,-'01_数值调参'!$Z$37,0),IF('01_数值调参'!$AA$7&lt;=$A10,-'01_数值调参'!$AA$37,0),IF('01_数值调参'!$AB$7&lt;=$A10,-'01_数值调参'!$AB$37,0),IF('01_数值调参'!$AC$7&lt;=$A10,-'01_数值调参'!$AC$37,0)),0),IF($A10&gt;=8,(F10+$C$3)*MAX(0,IF('01_数值调参'!$AD$7&lt;=$A10,-'01_数值调参'!$AD$37,0),IF('01_数值调参'!$AE$7&lt;=$A10,-'01_数值调参'!$AE$37,0),IF('01_数值调参'!$AF$7&lt;=$A10,-'01_数值调参'!$AF$37,0),IF('01_数值调参'!$AG$7&lt;=$A10,-'01_数值调参'!$AG$37,0)),0),IF($A10&gt;=10,(G10+$C$3)*MAX(0,IF('01_数值调参'!$AH$7&lt;=$A10,-'01_数值调参'!$AH$37,0),IF('01_数值调参'!$AI$7&lt;=$A10,-'01_数值调参'!$AI$37,0),IF('01_数值调参'!$AJ$7&lt;=$A10,-'01_数值调参'!$AJ$37,0),IF('01_数值调参'!$AK$7&lt;=$A10,-'01_数值调参'!$AK$37,0),IF('01_数值调参'!$AL$7&lt;=$A10,-'01_数值调参'!$AL$37,0),IF('01_数值调参'!$AM$7&lt;=$A10,-'01_数值调参'!$AM$37,0)),0),0)),"队列待修正"))</x:f>
        <x:v>—</x:v>
      </x:c>
      <x:c r="AB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Y$7,"—",SUM(IF($A10&gt;=2,(C10+$C$3)*MAX(0,IF('01_数值调参'!$N$7&lt;=$A10,-'01_数值调参'!$N$38,0),IF('01_数值调参'!$O$7&lt;=$A10,-'01_数值调参'!$O$38,0),IF('01_数值调参'!$P$7&lt;=$A10,-'01_数值调参'!$P$38,0),IF('01_数值调参'!$Q$7&lt;=$A10,-'01_数值调参'!$Q$38,0),IF('01_数值调参'!$R$7&lt;=$A10,-'01_数值调参'!$R$38,0)),0),IF($A10&gt;=4,(D10+$C$3)*MAX(0,IF('01_数值调参'!$S$7&lt;=$A10,-'01_数值调参'!$S$38,0),IF('01_数值调参'!$T$7&lt;=$A10,-'01_数值调参'!$T$38,0),IF('01_数值调参'!$U$7&lt;=$A10,-'01_数值调参'!$U$38,0),IF('01_数值调参'!$V$7&lt;=$A10,-'01_数值调参'!$V$38,0),IF('01_数值调参'!$W$7&lt;=$A10,-'01_数值调参'!$W$38,0)),0),IF($A10&gt;=6,(E10+$C$3)*MAX(0,IF('01_数值调参'!$X$7&lt;=$A10,-'01_数值调参'!$X$38,0),IF('01_数值调参'!$Y$7&lt;=$A10,0,0),IF('01_数值调参'!$Z$7&lt;=$A10,-'01_数值调参'!$Z$38,0),IF('01_数值调参'!$AA$7&lt;=$A10,-'01_数值调参'!$AA$38,0),IF('01_数值调参'!$AB$7&lt;=$A10,-'01_数值调参'!$AB$38,0),IF('01_数值调参'!$AC$7&lt;=$A10,-'01_数值调参'!$AC$38,0)),0),IF($A10&gt;=8,(F10+$C$3)*MAX(0,IF('01_数值调参'!$AD$7&lt;=$A10,-'01_数值调参'!$AD$38,0),IF('01_数值调参'!$AE$7&lt;=$A10,-'01_数值调参'!$AE$38,0),IF('01_数值调参'!$AF$7&lt;=$A10,-'01_数值调参'!$AF$38,0),IF('01_数值调参'!$AG$7&lt;=$A10,-'01_数值调参'!$AG$38,0)),0),IF($A10&gt;=10,(G10+$C$3)*MAX(0,IF('01_数值调参'!$AH$7&lt;=$A10,-'01_数值调参'!$AH$38,0),IF('01_数值调参'!$AI$7&lt;=$A10,-'01_数值调参'!$AI$38,0),IF('01_数值调参'!$AJ$7&lt;=$A10,-'01_数值调参'!$AJ$38,0),IF('01_数值调参'!$AK$7&lt;=$A10,-'01_数值调参'!$AK$38,0),IF('01_数值调参'!$AL$7&lt;=$A10,-'01_数值调参'!$AL$38,0),IF('01_数值调参'!$AM$7&lt;=$A10,-'01_数值调参'!$AM$38,0)),0),0)),"队列待修正"))</x:f>
        <x:v>—</x:v>
      </x:c>
      <x:c r="AC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Z$7,"—",SUM(IF($A10&gt;=2,(C10+$C$3)*MAX(0,IF('01_数值调参'!$N$7&lt;=$A10,-'01_数值调参'!$N$39,0),IF('01_数值调参'!$O$7&lt;=$A10,-'01_数值调参'!$O$39,0),IF('01_数值调参'!$P$7&lt;=$A10,-'01_数值调参'!$P$39,0),IF('01_数值调参'!$Q$7&lt;=$A10,-'01_数值调参'!$Q$39,0),IF('01_数值调参'!$R$7&lt;=$A10,-'01_数值调参'!$R$39,0)),0),IF($A10&gt;=4,(D10+$C$3)*MAX(0,IF('01_数值调参'!$S$7&lt;=$A10,-'01_数值调参'!$S$39,0),IF('01_数值调参'!$T$7&lt;=$A10,-'01_数值调参'!$T$39,0),IF('01_数值调参'!$U$7&lt;=$A10,-'01_数值调参'!$U$39,0),IF('01_数值调参'!$V$7&lt;=$A10,-'01_数值调参'!$V$39,0),IF('01_数值调参'!$W$7&lt;=$A10,-'01_数值调参'!$W$39,0)),0),IF($A10&gt;=6,(E10+$C$3)*MAX(0,IF('01_数值调参'!$X$7&lt;=$A10,-'01_数值调参'!$X$39,0),IF('01_数值调参'!$Y$7&lt;=$A10,-'01_数值调参'!$Y$39,0),IF('01_数值调参'!$Z$7&lt;=$A10,0,0),IF('01_数值调参'!$AA$7&lt;=$A10,-'01_数值调参'!$AA$39,0),IF('01_数值调参'!$AB$7&lt;=$A10,-'01_数值调参'!$AB$39,0),IF('01_数值调参'!$AC$7&lt;=$A10,-'01_数值调参'!$AC$39,0)),0),IF($A10&gt;=8,(F10+$C$3)*MAX(0,IF('01_数值调参'!$AD$7&lt;=$A10,-'01_数值调参'!$AD$39,0),IF('01_数值调参'!$AE$7&lt;=$A10,-'01_数值调参'!$AE$39,0),IF('01_数值调参'!$AF$7&lt;=$A10,-'01_数值调参'!$AF$39,0),IF('01_数值调参'!$AG$7&lt;=$A10,-'01_数值调参'!$AG$39,0)),0),IF($A10&gt;=10,(G10+$C$3)*MAX(0,IF('01_数值调参'!$AH$7&lt;=$A10,-'01_数值调参'!$AH$39,0),IF('01_数值调参'!$AI$7&lt;=$A10,-'01_数值调参'!$AI$39,0),IF('01_数值调参'!$AJ$7&lt;=$A10,-'01_数值调参'!$AJ$39,0),IF('01_数值调参'!$AK$7&lt;=$A10,-'01_数值调参'!$AK$39,0),IF('01_数值调参'!$AL$7&lt;=$A10,-'01_数值调参'!$AL$39,0),IF('01_数值调参'!$AM$7&lt;=$A10,-'01_数值调参'!$AM$39,0)),0),0)),"队列待修正"))</x:f>
        <x:v>—</x:v>
      </x:c>
      <x:c r="AD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A$7,"—",SUM(IF($A10&gt;=2,(C10+$C$3)*MAX(0,IF('01_数值调参'!$N$7&lt;=$A10,-'01_数值调参'!$N$40,0),IF('01_数值调参'!$O$7&lt;=$A10,-'01_数值调参'!$O$40,0),IF('01_数值调参'!$P$7&lt;=$A10,-'01_数值调参'!$P$40,0),IF('01_数值调参'!$Q$7&lt;=$A10,-'01_数值调参'!$Q$40,0),IF('01_数值调参'!$R$7&lt;=$A10,-'01_数值调参'!$R$40,0)),0),IF($A10&gt;=4,(D10+$C$3)*MAX(0,IF('01_数值调参'!$S$7&lt;=$A10,-'01_数值调参'!$S$40,0),IF('01_数值调参'!$T$7&lt;=$A10,-'01_数值调参'!$T$40,0),IF('01_数值调参'!$U$7&lt;=$A10,-'01_数值调参'!$U$40,0),IF('01_数值调参'!$V$7&lt;=$A10,-'01_数值调参'!$V$40,0),IF('01_数值调参'!$W$7&lt;=$A10,-'01_数值调参'!$W$40,0)),0),IF($A10&gt;=6,(E10+$C$3)*MAX(0,IF('01_数值调参'!$X$7&lt;=$A10,-'01_数值调参'!$X$40,0),IF('01_数值调参'!$Y$7&lt;=$A10,-'01_数值调参'!$Y$40,0),IF('01_数值调参'!$Z$7&lt;=$A10,-'01_数值调参'!$Z$40,0),IF('01_数值调参'!$AA$7&lt;=$A10,0,0),IF('01_数值调参'!$AB$7&lt;=$A10,-'01_数值调参'!$AB$40,0),IF('01_数值调参'!$AC$7&lt;=$A10,-'01_数值调参'!$AC$40,0)),0),IF($A10&gt;=8,(F10+$C$3)*MAX(0,IF('01_数值调参'!$AD$7&lt;=$A10,-'01_数值调参'!$AD$40,0),IF('01_数值调参'!$AE$7&lt;=$A10,-'01_数值调参'!$AE$40,0),IF('01_数值调参'!$AF$7&lt;=$A10,-'01_数值调参'!$AF$40,0),IF('01_数值调参'!$AG$7&lt;=$A10,-'01_数值调参'!$AG$40,0)),0),IF($A10&gt;=10,(G10+$C$3)*MAX(0,IF('01_数值调参'!$AH$7&lt;=$A10,-'01_数值调参'!$AH$40,0),IF('01_数值调参'!$AI$7&lt;=$A10,-'01_数值调参'!$AI$40,0),IF('01_数值调参'!$AJ$7&lt;=$A10,-'01_数值调参'!$AJ$40,0),IF('01_数值调参'!$AK$7&lt;=$A10,-'01_数值调参'!$AK$40,0),IF('01_数值调参'!$AL$7&lt;=$A10,-'01_数值调参'!$AL$40,0),IF('01_数值调参'!$AM$7&lt;=$A10,-'01_数值调参'!$AM$40,0)),0),0)),"队列待修正"))</x:f>
        <x:v>—</x:v>
      </x:c>
      <x:c r="AE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B$7,"—",SUM(IF($A10&gt;=2,(C10+$C$3)*MAX(0,IF('01_数值调参'!$N$7&lt;=$A10,-'01_数值调参'!$N$41,0),IF('01_数值调参'!$O$7&lt;=$A10,-'01_数值调参'!$O$41,0),IF('01_数值调参'!$P$7&lt;=$A10,-'01_数值调参'!$P$41,0),IF('01_数值调参'!$Q$7&lt;=$A10,-'01_数值调参'!$Q$41,0),IF('01_数值调参'!$R$7&lt;=$A10,-'01_数值调参'!$R$41,0)),0),IF($A10&gt;=4,(D10+$C$3)*MAX(0,IF('01_数值调参'!$S$7&lt;=$A10,-'01_数值调参'!$S$41,0),IF('01_数值调参'!$T$7&lt;=$A10,-'01_数值调参'!$T$41,0),IF('01_数值调参'!$U$7&lt;=$A10,-'01_数值调参'!$U$41,0),IF('01_数值调参'!$V$7&lt;=$A10,-'01_数值调参'!$V$41,0),IF('01_数值调参'!$W$7&lt;=$A10,-'01_数值调参'!$W$41,0)),0),IF($A10&gt;=6,(E10+$C$3)*MAX(0,IF('01_数值调参'!$X$7&lt;=$A10,-'01_数值调参'!$X$41,0),IF('01_数值调参'!$Y$7&lt;=$A10,-'01_数值调参'!$Y$41,0),IF('01_数值调参'!$Z$7&lt;=$A10,-'01_数值调参'!$Z$41,0),IF('01_数值调参'!$AA$7&lt;=$A10,-'01_数值调参'!$AA$41,0),IF('01_数值调参'!$AB$7&lt;=$A10,0,0),IF('01_数值调参'!$AC$7&lt;=$A10,-'01_数值调参'!$AC$41,0)),0),IF($A10&gt;=8,(F10+$C$3)*MAX(0,IF('01_数值调参'!$AD$7&lt;=$A10,-'01_数值调参'!$AD$41,0),IF('01_数值调参'!$AE$7&lt;=$A10,-'01_数值调参'!$AE$41,0),IF('01_数值调参'!$AF$7&lt;=$A10,-'01_数值调参'!$AF$41,0),IF('01_数值调参'!$AG$7&lt;=$A10,-'01_数值调参'!$AG$41,0)),0),IF($A10&gt;=10,(G10+$C$3)*MAX(0,IF('01_数值调参'!$AH$7&lt;=$A10,-'01_数值调参'!$AH$41,0),IF('01_数值调参'!$AI$7&lt;=$A10,-'01_数值调参'!$AI$41,0),IF('01_数值调参'!$AJ$7&lt;=$A10,-'01_数值调参'!$AJ$41,0),IF('01_数值调参'!$AK$7&lt;=$A10,-'01_数值调参'!$AK$41,0),IF('01_数值调参'!$AL$7&lt;=$A10,-'01_数值调参'!$AL$41,0),IF('01_数值调参'!$AM$7&lt;=$A10,-'01_数值调参'!$AM$41,0)),0),0)),"队列待修正"))</x:f>
        <x:v>—</x:v>
      </x:c>
      <x:c r="AF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C$7,"—",SUM(IF($A10&gt;=2,(C10+$C$3)*MAX(0,IF('01_数值调参'!$N$7&lt;=$A10,-'01_数值调参'!$N$42,0),IF('01_数值调参'!$O$7&lt;=$A10,-'01_数值调参'!$O$42,0),IF('01_数值调参'!$P$7&lt;=$A10,-'01_数值调参'!$P$42,0),IF('01_数值调参'!$Q$7&lt;=$A10,-'01_数值调参'!$Q$42,0),IF('01_数值调参'!$R$7&lt;=$A10,-'01_数值调参'!$R$42,0)),0),IF($A10&gt;=4,(D10+$C$3)*MAX(0,IF('01_数值调参'!$S$7&lt;=$A10,-'01_数值调参'!$S$42,0),IF('01_数值调参'!$T$7&lt;=$A10,-'01_数值调参'!$T$42,0),IF('01_数值调参'!$U$7&lt;=$A10,-'01_数值调参'!$U$42,0),IF('01_数值调参'!$V$7&lt;=$A10,-'01_数值调参'!$V$42,0),IF('01_数值调参'!$W$7&lt;=$A10,-'01_数值调参'!$W$42,0)),0),IF($A10&gt;=6,(E10+$C$3)*MAX(0,IF('01_数值调参'!$X$7&lt;=$A10,-'01_数值调参'!$X$42,0),IF('01_数值调参'!$Y$7&lt;=$A10,-'01_数值调参'!$Y$42,0),IF('01_数值调参'!$Z$7&lt;=$A10,-'01_数值调参'!$Z$42,0),IF('01_数值调参'!$AA$7&lt;=$A10,-'01_数值调参'!$AA$42,0),IF('01_数值调参'!$AB$7&lt;=$A10,-'01_数值调参'!$AB$42,0),IF('01_数值调参'!$AC$7&lt;=$A10,0,0)),0),IF($A10&gt;=8,(F10+$C$3)*MAX(0,IF('01_数值调参'!$AD$7&lt;=$A10,-'01_数值调参'!$AD$42,0),IF('01_数值调参'!$AE$7&lt;=$A10,-'01_数值调参'!$AE$42,0),IF('01_数值调参'!$AF$7&lt;=$A10,-'01_数值调参'!$AF$42,0),IF('01_数值调参'!$AG$7&lt;=$A10,-'01_数值调参'!$AG$42,0)),0),IF($A10&gt;=10,(G10+$C$3)*MAX(0,IF('01_数值调参'!$AH$7&lt;=$A10,-'01_数值调参'!$AH$42,0),IF('01_数值调参'!$AI$7&lt;=$A10,-'01_数值调参'!$AI$42,0),IF('01_数值调参'!$AJ$7&lt;=$A10,-'01_数值调参'!$AJ$42,0),IF('01_数值调参'!$AK$7&lt;=$A10,-'01_数值调参'!$AK$42,0),IF('01_数值调参'!$AL$7&lt;=$A10,-'01_数值调参'!$AL$42,0),IF('01_数值调参'!$AM$7&lt;=$A10,-'01_数值调参'!$AM$42,0)),0),0)),"队列待修正"))</x:f>
        <x:v>—</x:v>
      </x:c>
      <x:c r="AG10" s="191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D$7,"—",SUM(IF($A10&gt;=2,(C10+$C$3)*MAX(0,IF('01_数值调参'!$N$7&lt;=$A10,-'01_数值调参'!$N$43,0),IF('01_数值调参'!$O$7&lt;=$A10,-'01_数值调参'!$O$43,0),IF('01_数值调参'!$P$7&lt;=$A10,-'01_数值调参'!$P$43,0),IF('01_数值调参'!$Q$7&lt;=$A10,-'01_数值调参'!$Q$43,0),IF('01_数值调参'!$R$7&lt;=$A10,-'01_数值调参'!$R$43,0)),0),IF($A10&gt;=4,(D10+$C$3)*MAX(0,IF('01_数值调参'!$S$7&lt;=$A10,-'01_数值调参'!$S$43,0),IF('01_数值调参'!$T$7&lt;=$A10,-'01_数值调参'!$T$43,0),IF('01_数值调参'!$U$7&lt;=$A10,-'01_数值调参'!$U$43,0),IF('01_数值调参'!$V$7&lt;=$A10,-'01_数值调参'!$V$43,0),IF('01_数值调参'!$W$7&lt;=$A10,-'01_数值调参'!$W$43,0)),0),IF($A10&gt;=6,(E10+$C$3)*MAX(0,IF('01_数值调参'!$X$7&lt;=$A10,-'01_数值调参'!$X$43,0),IF('01_数值调参'!$Y$7&lt;=$A10,-'01_数值调参'!$Y$43,0),IF('01_数值调参'!$Z$7&lt;=$A10,-'01_数值调参'!$Z$43,0),IF('01_数值调参'!$AA$7&lt;=$A10,-'01_数值调参'!$AA$43,0),IF('01_数值调参'!$AB$7&lt;=$A10,-'01_数值调参'!$AB$43,0),IF('01_数值调参'!$AC$7&lt;=$A10,-'01_数值调参'!$AC$43,0)),0),IF($A10&gt;=8,(F10+$C$3)*MAX(0,IF('01_数值调参'!$AD$7&lt;=$A10,0,0),IF('01_数值调参'!$AE$7&lt;=$A10,-'01_数值调参'!$AE$43,0),IF('01_数值调参'!$AF$7&lt;=$A10,-'01_数值调参'!$AF$43,0),IF('01_数值调参'!$AG$7&lt;=$A10,-'01_数值调参'!$AG$43,0)),0),IF($A10&gt;=10,(G10+$C$3)*MAX(0,IF('01_数值调参'!$AH$7&lt;=$A10,-'01_数值调参'!$AH$43,0),IF('01_数值调参'!$AI$7&lt;=$A10,-'01_数值调参'!$AI$43,0),IF('01_数值调参'!$AJ$7&lt;=$A10,-'01_数值调参'!$AJ$43,0),IF('01_数值调参'!$AK$7&lt;=$A10,-'01_数值调参'!$AK$43,0),IF('01_数值调参'!$AL$7&lt;=$A10,-'01_数值调参'!$AL$43,0),IF('01_数值调参'!$AM$7&lt;=$A10,-'01_数值调参'!$AM$43,0)),0),0)),"队列待修正"))</x:f>
        <x:v>—</x:v>
      </x:c>
      <x:c r="AH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E$7,"—",SUM(IF($A10&gt;=2,(C10+$C$3)*MAX(0,IF('01_数值调参'!$N$7&lt;=$A10,-'01_数值调参'!$N$44,0),IF('01_数值调参'!$O$7&lt;=$A10,-'01_数值调参'!$O$44,0),IF('01_数值调参'!$P$7&lt;=$A10,-'01_数值调参'!$P$44,0),IF('01_数值调参'!$Q$7&lt;=$A10,-'01_数值调参'!$Q$44,0),IF('01_数值调参'!$R$7&lt;=$A10,-'01_数值调参'!$R$44,0)),0),IF($A10&gt;=4,(D10+$C$3)*MAX(0,IF('01_数值调参'!$S$7&lt;=$A10,-'01_数值调参'!$S$44,0),IF('01_数值调参'!$T$7&lt;=$A10,-'01_数值调参'!$T$44,0),IF('01_数值调参'!$U$7&lt;=$A10,-'01_数值调参'!$U$44,0),IF('01_数值调参'!$V$7&lt;=$A10,-'01_数值调参'!$V$44,0),IF('01_数值调参'!$W$7&lt;=$A10,-'01_数值调参'!$W$44,0)),0),IF($A10&gt;=6,(E10+$C$3)*MAX(0,IF('01_数值调参'!$X$7&lt;=$A10,-'01_数值调参'!$X$44,0),IF('01_数值调参'!$Y$7&lt;=$A10,-'01_数值调参'!$Y$44,0),IF('01_数值调参'!$Z$7&lt;=$A10,-'01_数值调参'!$Z$44,0),IF('01_数值调参'!$AA$7&lt;=$A10,-'01_数值调参'!$AA$44,0),IF('01_数值调参'!$AB$7&lt;=$A10,-'01_数值调参'!$AB$44,0),IF('01_数值调参'!$AC$7&lt;=$A10,-'01_数值调参'!$AC$44,0)),0),IF($A10&gt;=8,(F10+$C$3)*MAX(0,IF('01_数值调参'!$AD$7&lt;=$A10,-'01_数值调参'!$AD$44,0),IF('01_数值调参'!$AE$7&lt;=$A10,0,0),IF('01_数值调参'!$AF$7&lt;=$A10,-'01_数值调参'!$AF$44,0),IF('01_数值调参'!$AG$7&lt;=$A10,-'01_数值调参'!$AG$44,0)),0),IF($A10&gt;=10,(G10+$C$3)*MAX(0,IF('01_数值调参'!$AH$7&lt;=$A10,-'01_数值调参'!$AH$44,0),IF('01_数值调参'!$AI$7&lt;=$A10,-'01_数值调参'!$AI$44,0),IF('01_数值调参'!$AJ$7&lt;=$A10,-'01_数值调参'!$AJ$44,0),IF('01_数值调参'!$AK$7&lt;=$A10,-'01_数值调参'!$AK$44,0),IF('01_数值调参'!$AL$7&lt;=$A10,-'01_数值调参'!$AL$44,0),IF('01_数值调参'!$AM$7&lt;=$A10,-'01_数值调参'!$AM$44,0)),0),0)),"队列待修正"))</x:f>
        <x:v>—</x:v>
      </x:c>
      <x:c r="AI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F$7,"—",SUM(IF($A10&gt;=2,(C10+$C$3)*MAX(0,IF('01_数值调参'!$N$7&lt;=$A10,-'01_数值调参'!$N$45,0),IF('01_数值调参'!$O$7&lt;=$A10,-'01_数值调参'!$O$45,0),IF('01_数值调参'!$P$7&lt;=$A10,-'01_数值调参'!$P$45,0),IF('01_数值调参'!$Q$7&lt;=$A10,-'01_数值调参'!$Q$45,0),IF('01_数值调参'!$R$7&lt;=$A10,-'01_数值调参'!$R$45,0)),0),IF($A10&gt;=4,(D10+$C$3)*MAX(0,IF('01_数值调参'!$S$7&lt;=$A10,-'01_数值调参'!$S$45,0),IF('01_数值调参'!$T$7&lt;=$A10,-'01_数值调参'!$T$45,0),IF('01_数值调参'!$U$7&lt;=$A10,-'01_数值调参'!$U$45,0),IF('01_数值调参'!$V$7&lt;=$A10,-'01_数值调参'!$V$45,0),IF('01_数值调参'!$W$7&lt;=$A10,-'01_数值调参'!$W$45,0)),0),IF($A10&gt;=6,(E10+$C$3)*MAX(0,IF('01_数值调参'!$X$7&lt;=$A10,-'01_数值调参'!$X$45,0),IF('01_数值调参'!$Y$7&lt;=$A10,-'01_数值调参'!$Y$45,0),IF('01_数值调参'!$Z$7&lt;=$A10,-'01_数值调参'!$Z$45,0),IF('01_数值调参'!$AA$7&lt;=$A10,-'01_数值调参'!$AA$45,0),IF('01_数值调参'!$AB$7&lt;=$A10,-'01_数值调参'!$AB$45,0),IF('01_数值调参'!$AC$7&lt;=$A10,-'01_数值调参'!$AC$45,0)),0),IF($A10&gt;=8,(F10+$C$3)*MAX(0,IF('01_数值调参'!$AD$7&lt;=$A10,-'01_数值调参'!$AD$45,0),IF('01_数值调参'!$AE$7&lt;=$A10,-'01_数值调参'!$AE$45,0),IF('01_数值调参'!$AF$7&lt;=$A10,0,0),IF('01_数值调参'!$AG$7&lt;=$A10,-'01_数值调参'!$AG$45,0)),0),IF($A10&gt;=10,(G10+$C$3)*MAX(0,IF('01_数值调参'!$AH$7&lt;=$A10,-'01_数值调参'!$AH$45,0),IF('01_数值调参'!$AI$7&lt;=$A10,-'01_数值调参'!$AI$45,0),IF('01_数值调参'!$AJ$7&lt;=$A10,-'01_数值调参'!$AJ$45,0),IF('01_数值调参'!$AK$7&lt;=$A10,-'01_数值调参'!$AK$45,0),IF('01_数值调参'!$AL$7&lt;=$A10,-'01_数值调参'!$AL$45,0),IF('01_数值调参'!$AM$7&lt;=$A10,-'01_数值调参'!$AM$45,0)),0),0)),"队列待修正"))</x:f>
        <x:v>—</x:v>
      </x:c>
      <x:c r="AJ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G$7,"—",SUM(IF($A10&gt;=2,(C10+$C$3)*MAX(0,IF('01_数值调参'!$N$7&lt;=$A10,-'01_数值调参'!$N$46,0),IF('01_数值调参'!$O$7&lt;=$A10,-'01_数值调参'!$O$46,0),IF('01_数值调参'!$P$7&lt;=$A10,-'01_数值调参'!$P$46,0),IF('01_数值调参'!$Q$7&lt;=$A10,-'01_数值调参'!$Q$46,0),IF('01_数值调参'!$R$7&lt;=$A10,-'01_数值调参'!$R$46,0)),0),IF($A10&gt;=4,(D10+$C$3)*MAX(0,IF('01_数值调参'!$S$7&lt;=$A10,-'01_数值调参'!$S$46,0),IF('01_数值调参'!$T$7&lt;=$A10,-'01_数值调参'!$T$46,0),IF('01_数值调参'!$U$7&lt;=$A10,-'01_数值调参'!$U$46,0),IF('01_数值调参'!$V$7&lt;=$A10,-'01_数值调参'!$V$46,0),IF('01_数值调参'!$W$7&lt;=$A10,-'01_数值调参'!$W$46,0)),0),IF($A10&gt;=6,(E10+$C$3)*MAX(0,IF('01_数值调参'!$X$7&lt;=$A10,-'01_数值调参'!$X$46,0),IF('01_数值调参'!$Y$7&lt;=$A10,-'01_数值调参'!$Y$46,0),IF('01_数值调参'!$Z$7&lt;=$A10,-'01_数值调参'!$Z$46,0),IF('01_数值调参'!$AA$7&lt;=$A10,-'01_数值调参'!$AA$46,0),IF('01_数值调参'!$AB$7&lt;=$A10,-'01_数值调参'!$AB$46,0),IF('01_数值调参'!$AC$7&lt;=$A10,-'01_数值调参'!$AC$46,0)),0),IF($A10&gt;=8,(F10+$C$3)*MAX(0,IF('01_数值调参'!$AD$7&lt;=$A10,-'01_数值调参'!$AD$46,0),IF('01_数值调参'!$AE$7&lt;=$A10,-'01_数值调参'!$AE$46,0),IF('01_数值调参'!$AF$7&lt;=$A10,-'01_数值调参'!$AF$46,0),IF('01_数值调参'!$AG$7&lt;=$A10,0,0)),0),IF($A10&gt;=10,(G10+$C$3)*MAX(0,IF('01_数值调参'!$AH$7&lt;=$A10,-'01_数值调参'!$AH$46,0),IF('01_数值调参'!$AI$7&lt;=$A10,-'01_数值调参'!$AI$46,0),IF('01_数值调参'!$AJ$7&lt;=$A10,-'01_数值调参'!$AJ$46,0),IF('01_数值调参'!$AK$7&lt;=$A10,-'01_数值调参'!$AK$46,0),IF('01_数值调参'!$AL$7&lt;=$A10,-'01_数值调参'!$AL$46,0),IF('01_数值调参'!$AM$7&lt;=$A10,-'01_数值调参'!$AM$46,0)),0),0)),"队列待修正"))</x:f>
        <x:v>—</x:v>
      </x:c>
      <x:c r="AK10" s="191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H$7,"—",SUM(IF($A10&gt;=2,(C10+$C$3)*MAX(0,IF('01_数值调参'!$N$7&lt;=$A10,-'01_数值调参'!$N$47,0),IF('01_数值调参'!$O$7&lt;=$A10,-'01_数值调参'!$O$47,0),IF('01_数值调参'!$P$7&lt;=$A10,-'01_数值调参'!$P$47,0),IF('01_数值调参'!$Q$7&lt;=$A10,-'01_数值调参'!$Q$47,0),IF('01_数值调参'!$R$7&lt;=$A10,-'01_数值调参'!$R$47,0)),0),IF($A10&gt;=4,(D10+$C$3)*MAX(0,IF('01_数值调参'!$S$7&lt;=$A10,-'01_数值调参'!$S$47,0),IF('01_数值调参'!$T$7&lt;=$A10,-'01_数值调参'!$T$47,0),IF('01_数值调参'!$U$7&lt;=$A10,-'01_数值调参'!$U$47,0),IF('01_数值调参'!$V$7&lt;=$A10,-'01_数值调参'!$V$47,0),IF('01_数值调参'!$W$7&lt;=$A10,-'01_数值调参'!$W$47,0)),0),IF($A10&gt;=6,(E10+$C$3)*MAX(0,IF('01_数值调参'!$X$7&lt;=$A10,-'01_数值调参'!$X$47,0),IF('01_数值调参'!$Y$7&lt;=$A10,-'01_数值调参'!$Y$47,0),IF('01_数值调参'!$Z$7&lt;=$A10,-'01_数值调参'!$Z$47,0),IF('01_数值调参'!$AA$7&lt;=$A10,-'01_数值调参'!$AA$47,0),IF('01_数值调参'!$AB$7&lt;=$A10,-'01_数值调参'!$AB$47,0),IF('01_数值调参'!$AC$7&lt;=$A10,-'01_数值调参'!$AC$47,0)),0),IF($A10&gt;=8,(F10+$C$3)*MAX(0,IF('01_数值调参'!$AD$7&lt;=$A10,-'01_数值调参'!$AD$47,0),IF('01_数值调参'!$AE$7&lt;=$A10,-'01_数值调参'!$AE$47,0),IF('01_数值调参'!$AF$7&lt;=$A10,-'01_数值调参'!$AF$47,0),IF('01_数值调参'!$AG$7&lt;=$A10,-'01_数值调参'!$AG$47,0)),0),IF($A10&gt;=10,(G10+$C$3)*MAX(0,IF('01_数值调参'!$AH$7&lt;=$A10,0,0),IF('01_数值调参'!$AI$7&lt;=$A10,-'01_数值调参'!$AI$47,0),IF('01_数值调参'!$AJ$7&lt;=$A10,-'01_数值调参'!$AJ$47,0),IF('01_数值调参'!$AK$7&lt;=$A10,-'01_数值调参'!$AK$47,0),IF('01_数值调参'!$AL$7&lt;=$A10,-'01_数值调参'!$AL$47,0),IF('01_数值调参'!$AM$7&lt;=$A10,-'01_数值调参'!$AM$47,0)),0),0)),"队列待修正"))</x:f>
        <x:v>—</x:v>
      </x:c>
      <x:c r="AL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I$7,"—",SUM(IF($A10&gt;=2,(C10+$C$3)*MAX(0,IF('01_数值调参'!$N$7&lt;=$A10,-'01_数值调参'!$N$48,0),IF('01_数值调参'!$O$7&lt;=$A10,-'01_数值调参'!$O$48,0),IF('01_数值调参'!$P$7&lt;=$A10,-'01_数值调参'!$P$48,0),IF('01_数值调参'!$Q$7&lt;=$A10,-'01_数值调参'!$Q$48,0),IF('01_数值调参'!$R$7&lt;=$A10,-'01_数值调参'!$R$48,0)),0),IF($A10&gt;=4,(D10+$C$3)*MAX(0,IF('01_数值调参'!$S$7&lt;=$A10,-'01_数值调参'!$S$48,0),IF('01_数值调参'!$T$7&lt;=$A10,-'01_数值调参'!$T$48,0),IF('01_数值调参'!$U$7&lt;=$A10,-'01_数值调参'!$U$48,0),IF('01_数值调参'!$V$7&lt;=$A10,-'01_数值调参'!$V$48,0),IF('01_数值调参'!$W$7&lt;=$A10,-'01_数值调参'!$W$48,0)),0),IF($A10&gt;=6,(E10+$C$3)*MAX(0,IF('01_数值调参'!$X$7&lt;=$A10,-'01_数值调参'!$X$48,0),IF('01_数值调参'!$Y$7&lt;=$A10,-'01_数值调参'!$Y$48,0),IF('01_数值调参'!$Z$7&lt;=$A10,-'01_数值调参'!$Z$48,0),IF('01_数值调参'!$AA$7&lt;=$A10,-'01_数值调参'!$AA$48,0),IF('01_数值调参'!$AB$7&lt;=$A10,-'01_数值调参'!$AB$48,0),IF('01_数值调参'!$AC$7&lt;=$A10,-'01_数值调参'!$AC$48,0)),0),IF($A10&gt;=8,(F10+$C$3)*MAX(0,IF('01_数值调参'!$AD$7&lt;=$A10,-'01_数值调参'!$AD$48,0),IF('01_数值调参'!$AE$7&lt;=$A10,-'01_数值调参'!$AE$48,0),IF('01_数值调参'!$AF$7&lt;=$A10,-'01_数值调参'!$AF$48,0),IF('01_数值调参'!$AG$7&lt;=$A10,-'01_数值调参'!$AG$48,0)),0),IF($A10&gt;=10,(G10+$C$3)*MAX(0,IF('01_数值调参'!$AH$7&lt;=$A10,-'01_数值调参'!$AH$48,0),IF('01_数值调参'!$AI$7&lt;=$A10,0,0),IF('01_数值调参'!$AJ$7&lt;=$A10,-'01_数值调参'!$AJ$48,0),IF('01_数值调参'!$AK$7&lt;=$A10,-'01_数值调参'!$AK$48,0),IF('01_数值调参'!$AL$7&lt;=$A10,-'01_数值调参'!$AL$48,0),IF('01_数值调参'!$AM$7&lt;=$A10,-'01_数值调参'!$AM$48,0)),0),0)),"队列待修正"))</x:f>
        <x:v>—</x:v>
      </x:c>
      <x:c r="AM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J$7,"—",SUM(IF($A10&gt;=2,(C10+$C$3)*MAX(0,IF('01_数值调参'!$N$7&lt;=$A10,-'01_数值调参'!$N$49,0),IF('01_数值调参'!$O$7&lt;=$A10,-'01_数值调参'!$O$49,0),IF('01_数值调参'!$P$7&lt;=$A10,-'01_数值调参'!$P$49,0),IF('01_数值调参'!$Q$7&lt;=$A10,-'01_数值调参'!$Q$49,0),IF('01_数值调参'!$R$7&lt;=$A10,-'01_数值调参'!$R$49,0)),0),IF($A10&gt;=4,(D10+$C$3)*MAX(0,IF('01_数值调参'!$S$7&lt;=$A10,-'01_数值调参'!$S$49,0),IF('01_数值调参'!$T$7&lt;=$A10,-'01_数值调参'!$T$49,0),IF('01_数值调参'!$U$7&lt;=$A10,-'01_数值调参'!$U$49,0),IF('01_数值调参'!$V$7&lt;=$A10,-'01_数值调参'!$V$49,0),IF('01_数值调参'!$W$7&lt;=$A10,-'01_数值调参'!$W$49,0)),0),IF($A10&gt;=6,(E10+$C$3)*MAX(0,IF('01_数值调参'!$X$7&lt;=$A10,-'01_数值调参'!$X$49,0),IF('01_数值调参'!$Y$7&lt;=$A10,-'01_数值调参'!$Y$49,0),IF('01_数值调参'!$Z$7&lt;=$A10,-'01_数值调参'!$Z$49,0),IF('01_数值调参'!$AA$7&lt;=$A10,-'01_数值调参'!$AA$49,0),IF('01_数值调参'!$AB$7&lt;=$A10,-'01_数值调参'!$AB$49,0),IF('01_数值调参'!$AC$7&lt;=$A10,-'01_数值调参'!$AC$49,0)),0),IF($A10&gt;=8,(F10+$C$3)*MAX(0,IF('01_数值调参'!$AD$7&lt;=$A10,-'01_数值调参'!$AD$49,0),IF('01_数值调参'!$AE$7&lt;=$A10,-'01_数值调参'!$AE$49,0),IF('01_数值调参'!$AF$7&lt;=$A10,-'01_数值调参'!$AF$49,0),IF('01_数值调参'!$AG$7&lt;=$A10,-'01_数值调参'!$AG$49,0)),0),IF($A10&gt;=10,(G10+$C$3)*MAX(0,IF('01_数值调参'!$AH$7&lt;=$A10,-'01_数值调参'!$AH$49,0),IF('01_数值调参'!$AI$7&lt;=$A10,-'01_数值调参'!$AI$49,0),IF('01_数值调参'!$AJ$7&lt;=$A10,0,0),IF('01_数值调参'!$AK$7&lt;=$A10,-'01_数值调参'!$AK$49,0),IF('01_数值调参'!$AL$7&lt;=$A10,-'01_数值调参'!$AL$49,0),IF('01_数值调参'!$AM$7&lt;=$A10,-'01_数值调参'!$AM$49,0)),0),0)),"队列待修正"))</x:f>
        <x:v>—</x:v>
      </x:c>
      <x:c r="AN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K$7,"—",SUM(IF($A10&gt;=2,(C10+$C$3)*MAX(0,IF('01_数值调参'!$N$7&lt;=$A10,-'01_数值调参'!$N$50,0),IF('01_数值调参'!$O$7&lt;=$A10,-'01_数值调参'!$O$50,0),IF('01_数值调参'!$P$7&lt;=$A10,-'01_数值调参'!$P$50,0),IF('01_数值调参'!$Q$7&lt;=$A10,-'01_数值调参'!$Q$50,0),IF('01_数值调参'!$R$7&lt;=$A10,-'01_数值调参'!$R$50,0)),0),IF($A10&gt;=4,(D10+$C$3)*MAX(0,IF('01_数值调参'!$S$7&lt;=$A10,-'01_数值调参'!$S$50,0),IF('01_数值调参'!$T$7&lt;=$A10,-'01_数值调参'!$T$50,0),IF('01_数值调参'!$U$7&lt;=$A10,-'01_数值调参'!$U$50,0),IF('01_数值调参'!$V$7&lt;=$A10,-'01_数值调参'!$V$50,0),IF('01_数值调参'!$W$7&lt;=$A10,-'01_数值调参'!$W$50,0)),0),IF($A10&gt;=6,(E10+$C$3)*MAX(0,IF('01_数值调参'!$X$7&lt;=$A10,-'01_数值调参'!$X$50,0),IF('01_数值调参'!$Y$7&lt;=$A10,-'01_数值调参'!$Y$50,0),IF('01_数值调参'!$Z$7&lt;=$A10,-'01_数值调参'!$Z$50,0),IF('01_数值调参'!$AA$7&lt;=$A10,-'01_数值调参'!$AA$50,0),IF('01_数值调参'!$AB$7&lt;=$A10,-'01_数值调参'!$AB$50,0),IF('01_数值调参'!$AC$7&lt;=$A10,-'01_数值调参'!$AC$50,0)),0),IF($A10&gt;=8,(F10+$C$3)*MAX(0,IF('01_数值调参'!$AD$7&lt;=$A10,-'01_数值调参'!$AD$50,0),IF('01_数值调参'!$AE$7&lt;=$A10,-'01_数值调参'!$AE$50,0),IF('01_数值调参'!$AF$7&lt;=$A10,-'01_数值调参'!$AF$50,0),IF('01_数值调参'!$AG$7&lt;=$A10,-'01_数值调参'!$AG$50,0)),0),IF($A10&gt;=10,(G10+$C$3)*MAX(0,IF('01_数值调参'!$AH$7&lt;=$A10,-'01_数值调参'!$AH$50,0),IF('01_数值调参'!$AI$7&lt;=$A10,-'01_数值调参'!$AI$50,0),IF('01_数值调参'!$AJ$7&lt;=$A10,-'01_数值调参'!$AJ$50,0),IF('01_数值调参'!$AK$7&lt;=$A10,0,0),IF('01_数值调参'!$AL$7&lt;=$A10,-'01_数值调参'!$AL$50,0),IF('01_数值调参'!$AM$7&lt;=$A10,-'01_数值调参'!$AM$50,0)),0),0)),"队列待修正"))</x:f>
        <x:v>—</x:v>
      </x:c>
      <x:c r="AO10" s="179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L$7,"—",SUM(IF($A10&gt;=2,(C10+$C$3)*MAX(0,IF('01_数值调参'!$N$7&lt;=$A10,-'01_数值调参'!$N$51,0),IF('01_数值调参'!$O$7&lt;=$A10,-'01_数值调参'!$O$51,0),IF('01_数值调参'!$P$7&lt;=$A10,-'01_数值调参'!$P$51,0),IF('01_数值调参'!$Q$7&lt;=$A10,-'01_数值调参'!$Q$51,0),IF('01_数值调参'!$R$7&lt;=$A10,-'01_数值调参'!$R$51,0)),0),IF($A10&gt;=4,(D10+$C$3)*MAX(0,IF('01_数值调参'!$S$7&lt;=$A10,-'01_数值调参'!$S$51,0),IF('01_数值调参'!$T$7&lt;=$A10,-'01_数值调参'!$T$51,0),IF('01_数值调参'!$U$7&lt;=$A10,-'01_数值调参'!$U$51,0),IF('01_数值调参'!$V$7&lt;=$A10,-'01_数值调参'!$V$51,0),IF('01_数值调参'!$W$7&lt;=$A10,-'01_数值调参'!$W$51,0)),0),IF($A10&gt;=6,(E10+$C$3)*MAX(0,IF('01_数值调参'!$X$7&lt;=$A10,-'01_数值调参'!$X$51,0),IF('01_数值调参'!$Y$7&lt;=$A10,-'01_数值调参'!$Y$51,0),IF('01_数值调参'!$Z$7&lt;=$A10,-'01_数值调参'!$Z$51,0),IF('01_数值调参'!$AA$7&lt;=$A10,-'01_数值调参'!$AA$51,0),IF('01_数值调参'!$AB$7&lt;=$A10,-'01_数值调参'!$AB$51,0),IF('01_数值调参'!$AC$7&lt;=$A10,-'01_数值调参'!$AC$51,0)),0),IF($A10&gt;=8,(F10+$C$3)*MAX(0,IF('01_数值调参'!$AD$7&lt;=$A10,-'01_数值调参'!$AD$51,0),IF('01_数值调参'!$AE$7&lt;=$A10,-'01_数值调参'!$AE$51,0),IF('01_数值调参'!$AF$7&lt;=$A10,-'01_数值调参'!$AF$51,0),IF('01_数值调参'!$AG$7&lt;=$A10,-'01_数值调参'!$AG$51,0)),0),IF($A10&gt;=10,(G10+$C$3)*MAX(0,IF('01_数值调参'!$AH$7&lt;=$A10,-'01_数值调参'!$AH$51,0),IF('01_数值调参'!$AI$7&lt;=$A10,-'01_数值调参'!$AI$51,0),IF('01_数值调参'!$AJ$7&lt;=$A10,-'01_数值调参'!$AJ$51,0),IF('01_数值调参'!$AK$7&lt;=$A10,-'01_数值调参'!$AK$51,0),IF('01_数值调参'!$AL$7&lt;=$A10,0,0),IF('01_数值调参'!$AM$7&lt;=$A10,-'01_数值调参'!$AM$51,0)),0),0)),"队列待修正"))</x:f>
        <x:v>—</x:v>
      </x:c>
      <x:c r="AP10" s="180" t="str">
        <x:f>IF('01_数值调参'!$D$3&lt;&gt;"配方有效","待修正",IF(AND(OR($C$3=0,$C$3=1),ISNUMBER(C10),C10&gt;=0,MOD(C10,1)=0,ISNUMBER(D10),D10&gt;=0,MOD(D10,1)=0,ISNUMBER(E10),E10&gt;=0,MOD(E10,1)=0,ISNUMBER(F10),F10&gt;=0,MOD(F10,1)=0,ISNUMBER(G10),G10&gt;=0,MOD(G10,1)=0,TRUE),IF($A10&lt;'01_数值调参'!$AM$7,"—",SUM(IF($A10&gt;=2,(C10+$C$3)*MAX(0,IF('01_数值调参'!$N$7&lt;=$A10,-'01_数值调参'!$N$52,0),IF('01_数值调参'!$O$7&lt;=$A10,-'01_数值调参'!$O$52,0),IF('01_数值调参'!$P$7&lt;=$A10,-'01_数值调参'!$P$52,0),IF('01_数值调参'!$Q$7&lt;=$A10,-'01_数值调参'!$Q$52,0),IF('01_数值调参'!$R$7&lt;=$A10,-'01_数值调参'!$R$52,0)),0),IF($A10&gt;=4,(D10+$C$3)*MAX(0,IF('01_数值调参'!$S$7&lt;=$A10,-'01_数值调参'!$S$52,0),IF('01_数值调参'!$T$7&lt;=$A10,-'01_数值调参'!$T$52,0),IF('01_数值调参'!$U$7&lt;=$A10,-'01_数值调参'!$U$52,0),IF('01_数值调参'!$V$7&lt;=$A10,-'01_数值调参'!$V$52,0),IF('01_数值调参'!$W$7&lt;=$A10,-'01_数值调参'!$W$52,0)),0),IF($A10&gt;=6,(E10+$C$3)*MAX(0,IF('01_数值调参'!$X$7&lt;=$A10,-'01_数值调参'!$X$52,0),IF('01_数值调参'!$Y$7&lt;=$A10,-'01_数值调参'!$Y$52,0),IF('01_数值调参'!$Z$7&lt;=$A10,-'01_数值调参'!$Z$52,0),IF('01_数值调参'!$AA$7&lt;=$A10,-'01_数值调参'!$AA$52,0),IF('01_数值调参'!$AB$7&lt;=$A10,-'01_数值调参'!$AB$52,0),IF('01_数值调参'!$AC$7&lt;=$A10,-'01_数值调参'!$AC$52,0)),0),IF($A10&gt;=8,(F10+$C$3)*MAX(0,IF('01_数值调参'!$AD$7&lt;=$A10,-'01_数值调参'!$AD$52,0),IF('01_数值调参'!$AE$7&lt;=$A10,-'01_数值调参'!$AE$52,0),IF('01_数值调参'!$AF$7&lt;=$A10,-'01_数值调参'!$AF$52,0),IF('01_数值调参'!$AG$7&lt;=$A10,-'01_数值调参'!$AG$52,0)),0),IF($A10&gt;=10,(G10+$C$3)*MAX(0,IF('01_数值调参'!$AH$7&lt;=$A10,-'01_数值调参'!$AH$52,0),IF('01_数值调参'!$AI$7&lt;=$A10,-'01_数值调参'!$AI$52,0),IF('01_数值调参'!$AJ$7&lt;=$A10,-'01_数值调参'!$AJ$52,0),IF('01_数值调参'!$AK$7&lt;=$A10,-'01_数值调参'!$AK$52,0),IF('01_数值调参'!$AL$7&lt;=$A10,-'01_数值调参'!$AL$52,0),IF('01_数值调参'!$AM$7&lt;=$A10,0,0)),0),0)),"队列待修正"))</x:f>
        <x:v>—</x:v>
      </x:c>
    </x:row>
    <x:row r="11" ht="25" customHeight="1">
      <x:c r="A11" s="176" t="n">
        <x:v>5</x:v>
      </x:c>
      <x:c r="B11" s="177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SUM(IF($A11&gt;=2,(C11+$C$3)*MAX(0,IF('01_数值调参'!$N$7&lt;=$A11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11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11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11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11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11&gt;=4,(D11+$C$3)*MAX(0,IF('01_数值调参'!$S$7&lt;=$A11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11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11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11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11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11&gt;=6,(E11+$C$3)*MAX(0,IF('01_数值调参'!$X$7&lt;=$A11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11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11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11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11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11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11&gt;=8,(F11+$C$3)*MAX(0,IF('01_数值调参'!$AD$7&lt;=$A11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11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11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11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11&gt;=10,(G11+$C$3)*MAX(0,IF('01_数值调参'!$AH$7&lt;=$A11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11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11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11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11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11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15</x:v>
      </x:c>
      <x:c r="C11" s="178" t="n">
        <x:v>2</x:v>
      </x:c>
      <x:c r="D11" s="178" t="n">
        <x:v>2</x:v>
      </x:c>
      <x:c r="E11" s="178" t="n">
        <x:v>2</x:v>
      </x:c>
      <x:c r="F11" s="178" t="n">
        <x:v>2</x:v>
      </x:c>
      <x:c r="G11" s="178" t="n">
        <x:v>2</x:v>
      </x:c>
      <x:c r="H11" s="191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E$7,"—",SUM(IF($A11&gt;=2,(C11+$C$3)*MAX(0,IF('01_数值调参'!$N$7&lt;=$A11,-'01_数值调参'!$N$18,0),IF('01_数值调参'!$O$7&lt;=$A11,-'01_数值调参'!$O$18,0),IF('01_数值调参'!$P$7&lt;=$A11,-'01_数值调参'!$P$18,0),IF('01_数值调参'!$Q$7&lt;=$A11,-'01_数值调参'!$Q$18,0),IF('01_数值调参'!$R$7&lt;=$A11,-'01_数值调参'!$R$18,0)),0),IF($A11&gt;=4,(D11+$C$3)*MAX(0,IF('01_数值调参'!$S$7&lt;=$A11,-'01_数值调参'!$S$18,0),IF('01_数值调参'!$T$7&lt;=$A11,-'01_数值调参'!$T$18,0),IF('01_数值调参'!$U$7&lt;=$A11,-'01_数值调参'!$U$18,0),IF('01_数值调参'!$V$7&lt;=$A11,-'01_数值调参'!$V$18,0),IF('01_数值调参'!$W$7&lt;=$A11,-'01_数值调参'!$W$18,0)),0),IF($A11&gt;=6,(E11+$C$3)*MAX(0,IF('01_数值调参'!$X$7&lt;=$A11,-'01_数值调参'!$X$18,0),IF('01_数值调参'!$Y$7&lt;=$A11,-'01_数值调参'!$Y$18,0),IF('01_数值调参'!$Z$7&lt;=$A11,-'01_数值调参'!$Z$18,0),IF('01_数值调参'!$AA$7&lt;=$A11,-'01_数值调参'!$AA$18,0),IF('01_数值调参'!$AB$7&lt;=$A11,-'01_数值调参'!$AB$18,0),IF('01_数值调参'!$AC$7&lt;=$A11,-'01_数值调参'!$AC$18,0)),0),IF($A11&gt;=8,(F11+$C$3)*MAX(0,IF('01_数值调参'!$AD$7&lt;=$A11,-'01_数值调参'!$AD$18,0),IF('01_数值调参'!$AE$7&lt;=$A11,-'01_数值调参'!$AE$18,0),IF('01_数值调参'!$AF$7&lt;=$A11,-'01_数值调参'!$AF$18,0),IF('01_数值调参'!$AG$7&lt;=$A11,-'01_数值调参'!$AG$18,0)),0),IF($A11&gt;=10,(G11+$C$3)*MAX(0,IF('01_数值调参'!$AH$7&lt;=$A11,-'01_数值调参'!$AH$18,0),IF('01_数值调参'!$AI$7&lt;=$A11,-'01_数值调参'!$AI$18,0),IF('01_数值调参'!$AJ$7&lt;=$A11,-'01_数值调参'!$AJ$18,0),IF('01_数值调参'!$AK$7&lt;=$A11,-'01_数值调参'!$AK$18,0),IF('01_数值调参'!$AL$7&lt;=$A11,-'01_数值调参'!$AL$18,0),IF('01_数值调参'!$AM$7&lt;=$A11,-'01_数值调参'!$AM$18,0)),0),0)),"队列待修正"))</x:f>
        <x:v>6</x:v>
      </x:c>
      <x:c r="I11" s="179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F$7,"—",SUM(IF($A11&gt;=2,(C11+$C$3)*MAX(0,IF('01_数值调参'!$N$7&lt;=$A11,-'01_数值调参'!$N$19,0),IF('01_数值调参'!$O$7&lt;=$A11,-'01_数值调参'!$O$19,0),IF('01_数值调参'!$P$7&lt;=$A11,-'01_数值调参'!$P$19,0),IF('01_数值调参'!$Q$7&lt;=$A11,-'01_数值调参'!$Q$19,0),IF('01_数值调参'!$R$7&lt;=$A11,-'01_数值调参'!$R$19,0)),0),IF($A11&gt;=4,(D11+$C$3)*MAX(0,IF('01_数值调参'!$S$7&lt;=$A11,-'01_数值调参'!$S$19,0),IF('01_数值调参'!$T$7&lt;=$A11,-'01_数值调参'!$T$19,0),IF('01_数值调参'!$U$7&lt;=$A11,-'01_数值调参'!$U$19,0),IF('01_数值调参'!$V$7&lt;=$A11,-'01_数值调参'!$V$19,0),IF('01_数值调参'!$W$7&lt;=$A11,-'01_数值调参'!$W$19,0)),0),IF($A11&gt;=6,(E11+$C$3)*MAX(0,IF('01_数值调参'!$X$7&lt;=$A11,-'01_数值调参'!$X$19,0),IF('01_数值调参'!$Y$7&lt;=$A11,-'01_数值调参'!$Y$19,0),IF('01_数值调参'!$Z$7&lt;=$A11,-'01_数值调参'!$Z$19,0),IF('01_数值调参'!$AA$7&lt;=$A11,-'01_数值调参'!$AA$19,0),IF('01_数值调参'!$AB$7&lt;=$A11,-'01_数值调参'!$AB$19,0),IF('01_数值调参'!$AC$7&lt;=$A11,-'01_数值调参'!$AC$19,0)),0),IF($A11&gt;=8,(F11+$C$3)*MAX(0,IF('01_数值调参'!$AD$7&lt;=$A11,-'01_数值调参'!$AD$19,0),IF('01_数值调参'!$AE$7&lt;=$A11,-'01_数值调参'!$AE$19,0),IF('01_数值调参'!$AF$7&lt;=$A11,-'01_数值调参'!$AF$19,0),IF('01_数值调参'!$AG$7&lt;=$A11,-'01_数值调参'!$AG$19,0)),0),IF($A11&gt;=10,(G11+$C$3)*MAX(0,IF('01_数值调参'!$AH$7&lt;=$A11,-'01_数值调参'!$AH$19,0),IF('01_数值调参'!$AI$7&lt;=$A11,-'01_数值调参'!$AI$19,0),IF('01_数值调参'!$AJ$7&lt;=$A11,-'01_数值调参'!$AJ$19,0),IF('01_数值调参'!$AK$7&lt;=$A11,-'01_数值调参'!$AK$19,0),IF('01_数值调参'!$AL$7&lt;=$A11,-'01_数值调参'!$AL$19,0),IF('01_数值调参'!$AM$7&lt;=$A11,-'01_数值调参'!$AM$19,0)),0),0)),"队列待修正"))</x:f>
        <x:v>3</x:v>
      </x:c>
      <x:c r="J11" s="179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G$7,"—",SUM(IF($A11&gt;=2,(C11+$C$3)*MAX(0,IF('01_数值调参'!$N$7&lt;=$A11,-'01_数值调参'!$N$20,0),IF('01_数值调参'!$O$7&lt;=$A11,-'01_数值调参'!$O$20,0),IF('01_数值调参'!$P$7&lt;=$A11,-'01_数值调参'!$P$20,0),IF('01_数值调参'!$Q$7&lt;=$A11,-'01_数值调参'!$Q$20,0),IF('01_数值调参'!$R$7&lt;=$A11,-'01_数值调参'!$R$20,0)),0),IF($A11&gt;=4,(D11+$C$3)*MAX(0,IF('01_数值调参'!$S$7&lt;=$A11,-'01_数值调参'!$S$20,0),IF('01_数值调参'!$T$7&lt;=$A11,-'01_数值调参'!$T$20,0),IF('01_数值调参'!$U$7&lt;=$A11,-'01_数值调参'!$U$20,0),IF('01_数值调参'!$V$7&lt;=$A11,-'01_数值调参'!$V$20,0),IF('01_数值调参'!$W$7&lt;=$A11,-'01_数值调参'!$W$20,0)),0),IF($A11&gt;=6,(E11+$C$3)*MAX(0,IF('01_数值调参'!$X$7&lt;=$A11,-'01_数值调参'!$X$20,0),IF('01_数值调参'!$Y$7&lt;=$A11,-'01_数值调参'!$Y$20,0),IF('01_数值调参'!$Z$7&lt;=$A11,-'01_数值调参'!$Z$20,0),IF('01_数值调参'!$AA$7&lt;=$A11,-'01_数值调参'!$AA$20,0),IF('01_数值调参'!$AB$7&lt;=$A11,-'01_数值调参'!$AB$20,0),IF('01_数值调参'!$AC$7&lt;=$A11,-'01_数值调参'!$AC$20,0)),0),IF($A11&gt;=8,(F11+$C$3)*MAX(0,IF('01_数值调参'!$AD$7&lt;=$A11,-'01_数值调参'!$AD$20,0),IF('01_数值调参'!$AE$7&lt;=$A11,-'01_数值调参'!$AE$20,0),IF('01_数值调参'!$AF$7&lt;=$A11,-'01_数值调参'!$AF$20,0),IF('01_数值调参'!$AG$7&lt;=$A11,-'01_数值调参'!$AG$20,0)),0),IF($A11&gt;=10,(G11+$C$3)*MAX(0,IF('01_数值调参'!$AH$7&lt;=$A11,-'01_数值调参'!$AH$20,0),IF('01_数值调参'!$AI$7&lt;=$A11,-'01_数值调参'!$AI$20,0),IF('01_数值调参'!$AJ$7&lt;=$A11,-'01_数值调参'!$AJ$20,0),IF('01_数值调参'!$AK$7&lt;=$A11,-'01_数值调参'!$AK$20,0),IF('01_数值调参'!$AL$7&lt;=$A11,-'01_数值调参'!$AL$20,0),IF('01_数值调参'!$AM$7&lt;=$A11,-'01_数值调参'!$AM$20,0)),0),0)),"队列待修正"))</x:f>
        <x:v>9</x:v>
      </x:c>
      <x:c r="K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H$7,"—",SUM(IF($A11&gt;=2,(C11+$C$3)*MAX(0,IF('01_数值调参'!$N$7&lt;=$A11,-'01_数值调参'!$N$21,0),IF('01_数值调参'!$O$7&lt;=$A11,-'01_数值调参'!$O$21,0),IF('01_数值调参'!$P$7&lt;=$A11,-'01_数值调参'!$P$21,0),IF('01_数值调参'!$Q$7&lt;=$A11,-'01_数值调参'!$Q$21,0),IF('01_数值调参'!$R$7&lt;=$A11,-'01_数值调参'!$R$21,0)),0),IF($A11&gt;=4,(D11+$C$3)*MAX(0,IF('01_数值调参'!$S$7&lt;=$A11,-'01_数值调参'!$S$21,0),IF('01_数值调参'!$T$7&lt;=$A11,-'01_数值调参'!$T$21,0),IF('01_数值调参'!$U$7&lt;=$A11,-'01_数值调参'!$U$21,0),IF('01_数值调参'!$V$7&lt;=$A11,-'01_数值调参'!$V$21,0),IF('01_数值调参'!$W$7&lt;=$A11,-'01_数值调参'!$W$21,0)),0),IF($A11&gt;=6,(E11+$C$3)*MAX(0,IF('01_数值调参'!$X$7&lt;=$A11,-'01_数值调参'!$X$21,0),IF('01_数值调参'!$Y$7&lt;=$A11,-'01_数值调参'!$Y$21,0),IF('01_数值调参'!$Z$7&lt;=$A11,-'01_数值调参'!$Z$21,0),IF('01_数值调参'!$AA$7&lt;=$A11,-'01_数值调参'!$AA$21,0),IF('01_数值调参'!$AB$7&lt;=$A11,-'01_数值调参'!$AB$21,0),IF('01_数值调参'!$AC$7&lt;=$A11,-'01_数值调参'!$AC$21,0)),0),IF($A11&gt;=8,(F11+$C$3)*MAX(0,IF('01_数值调参'!$AD$7&lt;=$A11,-'01_数值调参'!$AD$21,0),IF('01_数值调参'!$AE$7&lt;=$A11,-'01_数值调参'!$AE$21,0),IF('01_数值调参'!$AF$7&lt;=$A11,-'01_数值调参'!$AF$21,0),IF('01_数值调参'!$AG$7&lt;=$A11,-'01_数值调参'!$AG$21,0)),0),IF($A11&gt;=10,(G11+$C$3)*MAX(0,IF('01_数值调参'!$AH$7&lt;=$A11,-'01_数值调参'!$AH$21,0),IF('01_数值调参'!$AI$7&lt;=$A11,-'01_数值调参'!$AI$21,0),IF('01_数值调参'!$AJ$7&lt;=$A11,-'01_数值调参'!$AJ$21,0),IF('01_数值调参'!$AK$7&lt;=$A11,-'01_数值调参'!$AK$21,0),IF('01_数值调参'!$AL$7&lt;=$A11,-'01_数值调参'!$AL$21,0),IF('01_数值调参'!$AM$7&lt;=$A11,-'01_数值调参'!$AM$21,0)),0),0)),"队列待修正"))</x:f>
        <x:v>—</x:v>
      </x:c>
      <x:c r="L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I$7,"—",SUM(IF($A11&gt;=2,(C11+$C$3)*MAX(0,IF('01_数值调参'!$N$7&lt;=$A11,-'01_数值调参'!$N$22,0),IF('01_数值调参'!$O$7&lt;=$A11,-'01_数值调参'!$O$22,0),IF('01_数值调参'!$P$7&lt;=$A11,-'01_数值调参'!$P$22,0),IF('01_数值调参'!$Q$7&lt;=$A11,-'01_数值调参'!$Q$22,0),IF('01_数值调参'!$R$7&lt;=$A11,-'01_数值调参'!$R$22,0)),0),IF($A11&gt;=4,(D11+$C$3)*MAX(0,IF('01_数值调参'!$S$7&lt;=$A11,-'01_数值调参'!$S$22,0),IF('01_数值调参'!$T$7&lt;=$A11,-'01_数值调参'!$T$22,0),IF('01_数值调参'!$U$7&lt;=$A11,-'01_数值调参'!$U$22,0),IF('01_数值调参'!$V$7&lt;=$A11,-'01_数值调参'!$V$22,0),IF('01_数值调参'!$W$7&lt;=$A11,-'01_数值调参'!$W$22,0)),0),IF($A11&gt;=6,(E11+$C$3)*MAX(0,IF('01_数值调参'!$X$7&lt;=$A11,-'01_数值调参'!$X$22,0),IF('01_数值调参'!$Y$7&lt;=$A11,-'01_数值调参'!$Y$22,0),IF('01_数值调参'!$Z$7&lt;=$A11,-'01_数值调参'!$Z$22,0),IF('01_数值调参'!$AA$7&lt;=$A11,-'01_数值调参'!$AA$22,0),IF('01_数值调参'!$AB$7&lt;=$A11,-'01_数值调参'!$AB$22,0),IF('01_数值调参'!$AC$7&lt;=$A11,-'01_数值调参'!$AC$22,0)),0),IF($A11&gt;=8,(F11+$C$3)*MAX(0,IF('01_数值调参'!$AD$7&lt;=$A11,-'01_数值调参'!$AD$22,0),IF('01_数值调参'!$AE$7&lt;=$A11,-'01_数值调参'!$AE$22,0),IF('01_数值调参'!$AF$7&lt;=$A11,-'01_数值调参'!$AF$22,0),IF('01_数值调参'!$AG$7&lt;=$A11,-'01_数值调参'!$AG$22,0)),0),IF($A11&gt;=10,(G11+$C$3)*MAX(0,IF('01_数值调参'!$AH$7&lt;=$A11,-'01_数值调参'!$AH$22,0),IF('01_数值调参'!$AI$7&lt;=$A11,-'01_数值调参'!$AI$22,0),IF('01_数值调参'!$AJ$7&lt;=$A11,-'01_数值调参'!$AJ$22,0),IF('01_数值调参'!$AK$7&lt;=$A11,-'01_数值调参'!$AK$22,0),IF('01_数值调参'!$AL$7&lt;=$A11,-'01_数值调参'!$AL$22,0),IF('01_数值调参'!$AM$7&lt;=$A11,-'01_数值调参'!$AM$22,0)),0),0)),"队列待修正"))</x:f>
        <x:v>—</x:v>
      </x:c>
      <x:c r="M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J$7,"—",SUM(IF($A11&gt;=2,(C11+$C$3)*MAX(0,IF('01_数值调参'!$N$7&lt;=$A11,-'01_数值调参'!$N$23,0),IF('01_数值调参'!$O$7&lt;=$A11,-'01_数值调参'!$O$23,0),IF('01_数值调参'!$P$7&lt;=$A11,-'01_数值调参'!$P$23,0),IF('01_数值调参'!$Q$7&lt;=$A11,-'01_数值调参'!$Q$23,0),IF('01_数值调参'!$R$7&lt;=$A11,-'01_数值调参'!$R$23,0)),0),IF($A11&gt;=4,(D11+$C$3)*MAX(0,IF('01_数值调参'!$S$7&lt;=$A11,-'01_数值调参'!$S$23,0),IF('01_数值调参'!$T$7&lt;=$A11,-'01_数值调参'!$T$23,0),IF('01_数值调参'!$U$7&lt;=$A11,-'01_数值调参'!$U$23,0),IF('01_数值调参'!$V$7&lt;=$A11,-'01_数值调参'!$V$23,0),IF('01_数值调参'!$W$7&lt;=$A11,-'01_数值调参'!$W$23,0)),0),IF($A11&gt;=6,(E11+$C$3)*MAX(0,IF('01_数值调参'!$X$7&lt;=$A11,-'01_数值调参'!$X$23,0),IF('01_数值调参'!$Y$7&lt;=$A11,-'01_数值调参'!$Y$23,0),IF('01_数值调参'!$Z$7&lt;=$A11,-'01_数值调参'!$Z$23,0),IF('01_数值调参'!$AA$7&lt;=$A11,-'01_数值调参'!$AA$23,0),IF('01_数值调参'!$AB$7&lt;=$A11,-'01_数值调参'!$AB$23,0),IF('01_数值调参'!$AC$7&lt;=$A11,-'01_数值调参'!$AC$23,0)),0),IF($A11&gt;=8,(F11+$C$3)*MAX(0,IF('01_数值调参'!$AD$7&lt;=$A11,-'01_数值调参'!$AD$23,0),IF('01_数值调参'!$AE$7&lt;=$A11,-'01_数值调参'!$AE$23,0),IF('01_数值调参'!$AF$7&lt;=$A11,-'01_数值调参'!$AF$23,0),IF('01_数值调参'!$AG$7&lt;=$A11,-'01_数值调参'!$AG$23,0)),0),IF($A11&gt;=10,(G11+$C$3)*MAX(0,IF('01_数值调参'!$AH$7&lt;=$A11,-'01_数值调参'!$AH$23,0),IF('01_数值调参'!$AI$7&lt;=$A11,-'01_数值调参'!$AI$23,0),IF('01_数值调参'!$AJ$7&lt;=$A11,-'01_数值调参'!$AJ$23,0),IF('01_数值调参'!$AK$7&lt;=$A11,-'01_数值调参'!$AK$23,0),IF('01_数值调参'!$AL$7&lt;=$A11,-'01_数值调参'!$AL$23,0),IF('01_数值调参'!$AM$7&lt;=$A11,-'01_数值调参'!$AM$23,0)),0),0)),"队列待修正"))</x:f>
        <x:v>—</x:v>
      </x:c>
      <x:c r="N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K$7,"—",SUM(IF($A11&gt;=2,(C11+$C$3)*MAX(0,IF('01_数值调参'!$N$7&lt;=$A11,-'01_数值调参'!$N$24,0),IF('01_数值调参'!$O$7&lt;=$A11,-'01_数值调参'!$O$24,0),IF('01_数值调参'!$P$7&lt;=$A11,-'01_数值调参'!$P$24,0),IF('01_数值调参'!$Q$7&lt;=$A11,-'01_数值调参'!$Q$24,0),IF('01_数值调参'!$R$7&lt;=$A11,-'01_数值调参'!$R$24,0)),0),IF($A11&gt;=4,(D11+$C$3)*MAX(0,IF('01_数值调参'!$S$7&lt;=$A11,-'01_数值调参'!$S$24,0),IF('01_数值调参'!$T$7&lt;=$A11,-'01_数值调参'!$T$24,0),IF('01_数值调参'!$U$7&lt;=$A11,-'01_数值调参'!$U$24,0),IF('01_数值调参'!$V$7&lt;=$A11,-'01_数值调参'!$V$24,0),IF('01_数值调参'!$W$7&lt;=$A11,-'01_数值调参'!$W$24,0)),0),IF($A11&gt;=6,(E11+$C$3)*MAX(0,IF('01_数值调参'!$X$7&lt;=$A11,-'01_数值调参'!$X$24,0),IF('01_数值调参'!$Y$7&lt;=$A11,-'01_数值调参'!$Y$24,0),IF('01_数值调参'!$Z$7&lt;=$A11,-'01_数值调参'!$Z$24,0),IF('01_数值调参'!$AA$7&lt;=$A11,-'01_数值调参'!$AA$24,0),IF('01_数值调参'!$AB$7&lt;=$A11,-'01_数值调参'!$AB$24,0),IF('01_数值调参'!$AC$7&lt;=$A11,-'01_数值调参'!$AC$24,0)),0),IF($A11&gt;=8,(F11+$C$3)*MAX(0,IF('01_数值调参'!$AD$7&lt;=$A11,-'01_数值调参'!$AD$24,0),IF('01_数值调参'!$AE$7&lt;=$A11,-'01_数值调参'!$AE$24,0),IF('01_数值调参'!$AF$7&lt;=$A11,-'01_数值调参'!$AF$24,0),IF('01_数值调参'!$AG$7&lt;=$A11,-'01_数值调参'!$AG$24,0)),0),IF($A11&gt;=10,(G11+$C$3)*MAX(0,IF('01_数值调参'!$AH$7&lt;=$A11,-'01_数值调参'!$AH$24,0),IF('01_数值调参'!$AI$7&lt;=$A11,-'01_数值调参'!$AI$24,0),IF('01_数值调参'!$AJ$7&lt;=$A11,-'01_数值调参'!$AJ$24,0),IF('01_数值调参'!$AK$7&lt;=$A11,-'01_数值调参'!$AK$24,0),IF('01_数值调参'!$AL$7&lt;=$A11,-'01_数值调参'!$AL$24,0),IF('01_数值调参'!$AM$7&lt;=$A11,-'01_数值调参'!$AM$24,0)),0),0)),"队列待修正"))</x:f>
        <x:v>—</x:v>
      </x:c>
      <x:c r="O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L$7,"—",SUM(IF($A11&gt;=2,(C11+$C$3)*MAX(0,IF('01_数值调参'!$N$7&lt;=$A11,-'01_数值调参'!$N$25,0),IF('01_数值调参'!$O$7&lt;=$A11,-'01_数值调参'!$O$25,0),IF('01_数值调参'!$P$7&lt;=$A11,-'01_数值调参'!$P$25,0),IF('01_数值调参'!$Q$7&lt;=$A11,-'01_数值调参'!$Q$25,0),IF('01_数值调参'!$R$7&lt;=$A11,-'01_数值调参'!$R$25,0)),0),IF($A11&gt;=4,(D11+$C$3)*MAX(0,IF('01_数值调参'!$S$7&lt;=$A11,-'01_数值调参'!$S$25,0),IF('01_数值调参'!$T$7&lt;=$A11,-'01_数值调参'!$T$25,0),IF('01_数值调参'!$U$7&lt;=$A11,-'01_数值调参'!$U$25,0),IF('01_数值调参'!$V$7&lt;=$A11,-'01_数值调参'!$V$25,0),IF('01_数值调参'!$W$7&lt;=$A11,-'01_数值调参'!$W$25,0)),0),IF($A11&gt;=6,(E11+$C$3)*MAX(0,IF('01_数值调参'!$X$7&lt;=$A11,-'01_数值调参'!$X$25,0),IF('01_数值调参'!$Y$7&lt;=$A11,-'01_数值调参'!$Y$25,0),IF('01_数值调参'!$Z$7&lt;=$A11,-'01_数值调参'!$Z$25,0),IF('01_数值调参'!$AA$7&lt;=$A11,-'01_数值调参'!$AA$25,0),IF('01_数值调参'!$AB$7&lt;=$A11,-'01_数值调参'!$AB$25,0),IF('01_数值调参'!$AC$7&lt;=$A11,-'01_数值调参'!$AC$25,0)),0),IF($A11&gt;=8,(F11+$C$3)*MAX(0,IF('01_数值调参'!$AD$7&lt;=$A11,-'01_数值调参'!$AD$25,0),IF('01_数值调参'!$AE$7&lt;=$A11,-'01_数值调参'!$AE$25,0),IF('01_数值调参'!$AF$7&lt;=$A11,-'01_数值调参'!$AF$25,0),IF('01_数值调参'!$AG$7&lt;=$A11,-'01_数值调参'!$AG$25,0)),0),IF($A11&gt;=10,(G11+$C$3)*MAX(0,IF('01_数值调参'!$AH$7&lt;=$A11,-'01_数值调参'!$AH$25,0),IF('01_数值调参'!$AI$7&lt;=$A11,-'01_数值调参'!$AI$25,0),IF('01_数值调参'!$AJ$7&lt;=$A11,-'01_数值调参'!$AJ$25,0),IF('01_数值调参'!$AK$7&lt;=$A11,-'01_数值调参'!$AK$25,0),IF('01_数值调参'!$AL$7&lt;=$A11,-'01_数值调参'!$AL$25,0),IF('01_数值调参'!$AM$7&lt;=$A11,-'01_数值调参'!$AM$25,0)),0),0)),"队列待修正"))</x:f>
        <x:v>—</x:v>
      </x:c>
      <x:c r="P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M$7,"—",SUM(IF($A11&gt;=2,(C11+$C$3)*MAX(0,IF('01_数值调参'!$N$7&lt;=$A11,-'01_数值调参'!$N$26,0),IF('01_数值调参'!$O$7&lt;=$A11,-'01_数值调参'!$O$26,0),IF('01_数值调参'!$P$7&lt;=$A11,-'01_数值调参'!$P$26,0),IF('01_数值调参'!$Q$7&lt;=$A11,-'01_数值调参'!$Q$26,0),IF('01_数值调参'!$R$7&lt;=$A11,-'01_数值调参'!$R$26,0)),0),IF($A11&gt;=4,(D11+$C$3)*MAX(0,IF('01_数值调参'!$S$7&lt;=$A11,-'01_数值调参'!$S$26,0),IF('01_数值调参'!$T$7&lt;=$A11,-'01_数值调参'!$T$26,0),IF('01_数值调参'!$U$7&lt;=$A11,-'01_数值调参'!$U$26,0),IF('01_数值调参'!$V$7&lt;=$A11,-'01_数值调参'!$V$26,0),IF('01_数值调参'!$W$7&lt;=$A11,-'01_数值调参'!$W$26,0)),0),IF($A11&gt;=6,(E11+$C$3)*MAX(0,IF('01_数值调参'!$X$7&lt;=$A11,-'01_数值调参'!$X$26,0),IF('01_数值调参'!$Y$7&lt;=$A11,-'01_数值调参'!$Y$26,0),IF('01_数值调参'!$Z$7&lt;=$A11,-'01_数值调参'!$Z$26,0),IF('01_数值调参'!$AA$7&lt;=$A11,-'01_数值调参'!$AA$26,0),IF('01_数值调参'!$AB$7&lt;=$A11,-'01_数值调参'!$AB$26,0),IF('01_数值调参'!$AC$7&lt;=$A11,-'01_数值调参'!$AC$26,0)),0),IF($A11&gt;=8,(F11+$C$3)*MAX(0,IF('01_数值调参'!$AD$7&lt;=$A11,-'01_数值调参'!$AD$26,0),IF('01_数值调参'!$AE$7&lt;=$A11,-'01_数值调参'!$AE$26,0),IF('01_数值调参'!$AF$7&lt;=$A11,-'01_数值调参'!$AF$26,0),IF('01_数值调参'!$AG$7&lt;=$A11,-'01_数值调参'!$AG$26,0)),0),IF($A11&gt;=10,(G11+$C$3)*MAX(0,IF('01_数值调参'!$AH$7&lt;=$A11,-'01_数值调参'!$AH$26,0),IF('01_数值调参'!$AI$7&lt;=$A11,-'01_数值调参'!$AI$26,0),IF('01_数值调参'!$AJ$7&lt;=$A11,-'01_数值调参'!$AJ$26,0),IF('01_数值调参'!$AK$7&lt;=$A11,-'01_数值调参'!$AK$26,0),IF('01_数值调参'!$AL$7&lt;=$A11,-'01_数值调参'!$AL$26,0),IF('01_数值调参'!$AM$7&lt;=$A11,-'01_数值调参'!$AM$26,0)),0),0)),"队列待修正"))</x:f>
        <x:v>—</x:v>
      </x:c>
      <x:c r="Q11" s="191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N$7,"—",SUM(IF($A11&gt;=2,(C11+$C$3)*MAX(0,IF('01_数值调参'!$N$7&lt;=$A11,0,0),IF('01_数值调参'!$O$7&lt;=$A11,-'01_数值调参'!$O$27,0),IF('01_数值调参'!$P$7&lt;=$A11,-'01_数值调参'!$P$27,0),IF('01_数值调参'!$Q$7&lt;=$A11,-'01_数值调参'!$Q$27,0),IF('01_数值调参'!$R$7&lt;=$A11,-'01_数值调参'!$R$27,0)),0),IF($A11&gt;=4,(D11+$C$3)*MAX(0,IF('01_数值调参'!$S$7&lt;=$A11,-'01_数值调参'!$S$27,0),IF('01_数值调参'!$T$7&lt;=$A11,-'01_数值调参'!$T$27,0),IF('01_数值调参'!$U$7&lt;=$A11,-'01_数值调参'!$U$27,0),IF('01_数值调参'!$V$7&lt;=$A11,-'01_数值调参'!$V$27,0),IF('01_数值调参'!$W$7&lt;=$A11,-'01_数值调参'!$W$27,0)),0),IF($A11&gt;=6,(E11+$C$3)*MAX(0,IF('01_数值调参'!$X$7&lt;=$A11,-'01_数值调参'!$X$27,0),IF('01_数值调参'!$Y$7&lt;=$A11,-'01_数值调参'!$Y$27,0),IF('01_数值调参'!$Z$7&lt;=$A11,-'01_数值调参'!$Z$27,0),IF('01_数值调参'!$AA$7&lt;=$A11,-'01_数值调参'!$AA$27,0),IF('01_数值调参'!$AB$7&lt;=$A11,-'01_数值调参'!$AB$27,0),IF('01_数值调参'!$AC$7&lt;=$A11,-'01_数值调参'!$AC$27,0)),0),IF($A11&gt;=8,(F11+$C$3)*MAX(0,IF('01_数值调参'!$AD$7&lt;=$A11,-'01_数值调参'!$AD$27,0),IF('01_数值调参'!$AE$7&lt;=$A11,-'01_数值调参'!$AE$27,0),IF('01_数值调参'!$AF$7&lt;=$A11,-'01_数值调参'!$AF$27,0),IF('01_数值调参'!$AG$7&lt;=$A11,-'01_数值调参'!$AG$27,0)),0),IF($A11&gt;=10,(G11+$C$3)*MAX(0,IF('01_数值调参'!$AH$7&lt;=$A11,-'01_数值调参'!$AH$27,0),IF('01_数值调参'!$AI$7&lt;=$A11,-'01_数值调参'!$AI$27,0),IF('01_数值调参'!$AJ$7&lt;=$A11,-'01_数值调参'!$AJ$27,0),IF('01_数值调参'!$AK$7&lt;=$A11,-'01_数值调参'!$AK$27,0),IF('01_数值调参'!$AL$7&lt;=$A11,-'01_数值调参'!$AL$27,0),IF('01_数值调参'!$AM$7&lt;=$A11,-'01_数值调参'!$AM$27,0)),0),0)),"队列待修正"))</x:f>
        <x:v>0</x:v>
      </x:c>
      <x:c r="R11" s="179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O$7,"—",SUM(IF($A11&gt;=2,(C11+$C$3)*MAX(0,IF('01_数值调参'!$N$7&lt;=$A11,-'01_数值调参'!$N$28,0),IF('01_数值调参'!$O$7&lt;=$A11,0,0),IF('01_数值调参'!$P$7&lt;=$A11,-'01_数值调参'!$P$28,0),IF('01_数值调参'!$Q$7&lt;=$A11,-'01_数值调参'!$Q$28,0),IF('01_数值调参'!$R$7&lt;=$A11,-'01_数值调参'!$R$28,0)),0),IF($A11&gt;=4,(D11+$C$3)*MAX(0,IF('01_数值调参'!$S$7&lt;=$A11,-'01_数值调参'!$S$28,0),IF('01_数值调参'!$T$7&lt;=$A11,-'01_数值调参'!$T$28,0),IF('01_数值调参'!$U$7&lt;=$A11,-'01_数值调参'!$U$28,0),IF('01_数值调参'!$V$7&lt;=$A11,-'01_数值调参'!$V$28,0),IF('01_数值调参'!$W$7&lt;=$A11,-'01_数值调参'!$W$28,0)),0),IF($A11&gt;=6,(E11+$C$3)*MAX(0,IF('01_数值调参'!$X$7&lt;=$A11,-'01_数值调参'!$X$28,0),IF('01_数值调参'!$Y$7&lt;=$A11,-'01_数值调参'!$Y$28,0),IF('01_数值调参'!$Z$7&lt;=$A11,-'01_数值调参'!$Z$28,0),IF('01_数值调参'!$AA$7&lt;=$A11,-'01_数值调参'!$AA$28,0),IF('01_数值调参'!$AB$7&lt;=$A11,-'01_数值调参'!$AB$28,0),IF('01_数值调参'!$AC$7&lt;=$A11,-'01_数值调参'!$AC$28,0)),0),IF($A11&gt;=8,(F11+$C$3)*MAX(0,IF('01_数值调参'!$AD$7&lt;=$A11,-'01_数值调参'!$AD$28,0),IF('01_数值调参'!$AE$7&lt;=$A11,-'01_数值调参'!$AE$28,0),IF('01_数值调参'!$AF$7&lt;=$A11,-'01_数值调参'!$AF$28,0),IF('01_数值调参'!$AG$7&lt;=$A11,-'01_数值调参'!$AG$28,0)),0),IF($A11&gt;=10,(G11+$C$3)*MAX(0,IF('01_数值调参'!$AH$7&lt;=$A11,-'01_数值调参'!$AH$28,0),IF('01_数值调参'!$AI$7&lt;=$A11,-'01_数值调参'!$AI$28,0),IF('01_数值调参'!$AJ$7&lt;=$A11,-'01_数值调参'!$AJ$28,0),IF('01_数值调参'!$AK$7&lt;=$A11,-'01_数值调参'!$AK$28,0),IF('01_数值调参'!$AL$7&lt;=$A11,-'01_数值调参'!$AL$28,0),IF('01_数值调参'!$AM$7&lt;=$A11,-'01_数值调参'!$AM$28,0)),0),0)),"队列待修正"))</x:f>
        <x:v>0</x:v>
      </x:c>
      <x:c r="S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P$7,"—",SUM(IF($A11&gt;=2,(C11+$C$3)*MAX(0,IF('01_数值调参'!$N$7&lt;=$A11,-'01_数值调参'!$N$29,0),IF('01_数值调参'!$O$7&lt;=$A11,-'01_数值调参'!$O$29,0),IF('01_数值调参'!$P$7&lt;=$A11,0,0),IF('01_数值调参'!$Q$7&lt;=$A11,-'01_数值调参'!$Q$29,0),IF('01_数值调参'!$R$7&lt;=$A11,-'01_数值调参'!$R$29,0)),0),IF($A11&gt;=4,(D11+$C$3)*MAX(0,IF('01_数值调参'!$S$7&lt;=$A11,-'01_数值调参'!$S$29,0),IF('01_数值调参'!$T$7&lt;=$A11,-'01_数值调参'!$T$29,0),IF('01_数值调参'!$U$7&lt;=$A11,-'01_数值调参'!$U$29,0),IF('01_数值调参'!$V$7&lt;=$A11,-'01_数值调参'!$V$29,0),IF('01_数值调参'!$W$7&lt;=$A11,-'01_数值调参'!$W$29,0)),0),IF($A11&gt;=6,(E11+$C$3)*MAX(0,IF('01_数值调参'!$X$7&lt;=$A11,-'01_数值调参'!$X$29,0),IF('01_数值调参'!$Y$7&lt;=$A11,-'01_数值调参'!$Y$29,0),IF('01_数值调参'!$Z$7&lt;=$A11,-'01_数值调参'!$Z$29,0),IF('01_数值调参'!$AA$7&lt;=$A11,-'01_数值调参'!$AA$29,0),IF('01_数值调参'!$AB$7&lt;=$A11,-'01_数值调参'!$AB$29,0),IF('01_数值调参'!$AC$7&lt;=$A11,-'01_数值调参'!$AC$29,0)),0),IF($A11&gt;=8,(F11+$C$3)*MAX(0,IF('01_数值调参'!$AD$7&lt;=$A11,-'01_数值调参'!$AD$29,0),IF('01_数值调参'!$AE$7&lt;=$A11,-'01_数值调参'!$AE$29,0),IF('01_数值调参'!$AF$7&lt;=$A11,-'01_数值调参'!$AF$29,0),IF('01_数值调参'!$AG$7&lt;=$A11,-'01_数值调参'!$AG$29,0)),0),IF($A11&gt;=10,(G11+$C$3)*MAX(0,IF('01_数值调参'!$AH$7&lt;=$A11,-'01_数值调参'!$AH$29,0),IF('01_数值调参'!$AI$7&lt;=$A11,-'01_数值调参'!$AI$29,0),IF('01_数值调参'!$AJ$7&lt;=$A11,-'01_数值调参'!$AJ$29,0),IF('01_数值调参'!$AK$7&lt;=$A11,-'01_数值调参'!$AK$29,0),IF('01_数值调参'!$AL$7&lt;=$A11,-'01_数值调参'!$AL$29,0),IF('01_数值调参'!$AM$7&lt;=$A11,-'01_数值调参'!$AM$29,0)),0),0)),"队列待修正"))</x:f>
        <x:v>—</x:v>
      </x:c>
      <x:c r="T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Q$7,"—",SUM(IF($A11&gt;=2,(C11+$C$3)*MAX(0,IF('01_数值调参'!$N$7&lt;=$A11,-'01_数值调参'!$N$30,0),IF('01_数值调参'!$O$7&lt;=$A11,-'01_数值调参'!$O$30,0),IF('01_数值调参'!$P$7&lt;=$A11,-'01_数值调参'!$P$30,0),IF('01_数值调参'!$Q$7&lt;=$A11,0,0),IF('01_数值调参'!$R$7&lt;=$A11,-'01_数值调参'!$R$30,0)),0),IF($A11&gt;=4,(D11+$C$3)*MAX(0,IF('01_数值调参'!$S$7&lt;=$A11,-'01_数值调参'!$S$30,0),IF('01_数值调参'!$T$7&lt;=$A11,-'01_数值调参'!$T$30,0),IF('01_数值调参'!$U$7&lt;=$A11,-'01_数值调参'!$U$30,0),IF('01_数值调参'!$V$7&lt;=$A11,-'01_数值调参'!$V$30,0),IF('01_数值调参'!$W$7&lt;=$A11,-'01_数值调参'!$W$30,0)),0),IF($A11&gt;=6,(E11+$C$3)*MAX(0,IF('01_数值调参'!$X$7&lt;=$A11,-'01_数值调参'!$X$30,0),IF('01_数值调参'!$Y$7&lt;=$A11,-'01_数值调参'!$Y$30,0),IF('01_数值调参'!$Z$7&lt;=$A11,-'01_数值调参'!$Z$30,0),IF('01_数值调参'!$AA$7&lt;=$A11,-'01_数值调参'!$AA$30,0),IF('01_数值调参'!$AB$7&lt;=$A11,-'01_数值调参'!$AB$30,0),IF('01_数值调参'!$AC$7&lt;=$A11,-'01_数值调参'!$AC$30,0)),0),IF($A11&gt;=8,(F11+$C$3)*MAX(0,IF('01_数值调参'!$AD$7&lt;=$A11,-'01_数值调参'!$AD$30,0),IF('01_数值调参'!$AE$7&lt;=$A11,-'01_数值调参'!$AE$30,0),IF('01_数值调参'!$AF$7&lt;=$A11,-'01_数值调参'!$AF$30,0),IF('01_数值调参'!$AG$7&lt;=$A11,-'01_数值调参'!$AG$30,0)),0),IF($A11&gt;=10,(G11+$C$3)*MAX(0,IF('01_数值调参'!$AH$7&lt;=$A11,-'01_数值调参'!$AH$30,0),IF('01_数值调参'!$AI$7&lt;=$A11,-'01_数值调参'!$AI$30,0),IF('01_数值调参'!$AJ$7&lt;=$A11,-'01_数值调参'!$AJ$30,0),IF('01_数值调参'!$AK$7&lt;=$A11,-'01_数值调参'!$AK$30,0),IF('01_数值调参'!$AL$7&lt;=$A11,-'01_数值调参'!$AL$30,0),IF('01_数值调参'!$AM$7&lt;=$A11,-'01_数值调参'!$AM$30,0)),0),0)),"队列待修正"))</x:f>
        <x:v>—</x:v>
      </x:c>
      <x:c r="U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R$7,"—",SUM(IF($A11&gt;=2,(C11+$C$3)*MAX(0,IF('01_数值调参'!$N$7&lt;=$A11,-'01_数值调参'!$N$31,0),IF('01_数值调参'!$O$7&lt;=$A11,-'01_数值调参'!$O$31,0),IF('01_数值调参'!$P$7&lt;=$A11,-'01_数值调参'!$P$31,0),IF('01_数值调参'!$Q$7&lt;=$A11,-'01_数值调参'!$Q$31,0),IF('01_数值调参'!$R$7&lt;=$A11,0,0)),0),IF($A11&gt;=4,(D11+$C$3)*MAX(0,IF('01_数值调参'!$S$7&lt;=$A11,-'01_数值调参'!$S$31,0),IF('01_数值调参'!$T$7&lt;=$A11,-'01_数值调参'!$T$31,0),IF('01_数值调参'!$U$7&lt;=$A11,-'01_数值调参'!$U$31,0),IF('01_数值调参'!$V$7&lt;=$A11,-'01_数值调参'!$V$31,0),IF('01_数值调参'!$W$7&lt;=$A11,-'01_数值调参'!$W$31,0)),0),IF($A11&gt;=6,(E11+$C$3)*MAX(0,IF('01_数值调参'!$X$7&lt;=$A11,-'01_数值调参'!$X$31,0),IF('01_数值调参'!$Y$7&lt;=$A11,-'01_数值调参'!$Y$31,0),IF('01_数值调参'!$Z$7&lt;=$A11,-'01_数值调参'!$Z$31,0),IF('01_数值调参'!$AA$7&lt;=$A11,-'01_数值调参'!$AA$31,0),IF('01_数值调参'!$AB$7&lt;=$A11,-'01_数值调参'!$AB$31,0),IF('01_数值调参'!$AC$7&lt;=$A11,-'01_数值调参'!$AC$31,0)),0),IF($A11&gt;=8,(F11+$C$3)*MAX(0,IF('01_数值调参'!$AD$7&lt;=$A11,-'01_数值调参'!$AD$31,0),IF('01_数值调参'!$AE$7&lt;=$A11,-'01_数值调参'!$AE$31,0),IF('01_数值调参'!$AF$7&lt;=$A11,-'01_数值调参'!$AF$31,0),IF('01_数值调参'!$AG$7&lt;=$A11,-'01_数值调参'!$AG$31,0)),0),IF($A11&gt;=10,(G11+$C$3)*MAX(0,IF('01_数值调参'!$AH$7&lt;=$A11,-'01_数值调参'!$AH$31,0),IF('01_数值调参'!$AI$7&lt;=$A11,-'01_数值调参'!$AI$31,0),IF('01_数值调参'!$AJ$7&lt;=$A11,-'01_数值调参'!$AJ$31,0),IF('01_数值调参'!$AK$7&lt;=$A11,-'01_数值调参'!$AK$31,0),IF('01_数值调参'!$AL$7&lt;=$A11,-'01_数值调参'!$AL$31,0),IF('01_数值调参'!$AM$7&lt;=$A11,-'01_数值调参'!$AM$31,0)),0),0)),"队列待修正"))</x:f>
        <x:v>—</x:v>
      </x:c>
      <x:c r="V11" s="191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S$7,"—",SUM(IF($A11&gt;=2,(C11+$C$3)*MAX(0,IF('01_数值调参'!$N$7&lt;=$A11,-'01_数值调参'!$N$32,0),IF('01_数值调参'!$O$7&lt;=$A11,-'01_数值调参'!$O$32,0),IF('01_数值调参'!$P$7&lt;=$A11,-'01_数值调参'!$P$32,0),IF('01_数值调参'!$Q$7&lt;=$A11,-'01_数值调参'!$Q$32,0),IF('01_数值调参'!$R$7&lt;=$A11,-'01_数值调参'!$R$32,0)),0),IF($A11&gt;=4,(D11+$C$3)*MAX(0,IF('01_数值调参'!$S$7&lt;=$A11,0,0),IF('01_数值调参'!$T$7&lt;=$A11,-'01_数值调参'!$T$32,0),IF('01_数值调参'!$U$7&lt;=$A11,-'01_数值调参'!$U$32,0),IF('01_数值调参'!$V$7&lt;=$A11,-'01_数值调参'!$V$32,0),IF('01_数值调参'!$W$7&lt;=$A11,-'01_数值调参'!$W$32,0)),0),IF($A11&gt;=6,(E11+$C$3)*MAX(0,IF('01_数值调参'!$X$7&lt;=$A11,-'01_数值调参'!$X$32,0),IF('01_数值调参'!$Y$7&lt;=$A11,-'01_数值调参'!$Y$32,0),IF('01_数值调参'!$Z$7&lt;=$A11,-'01_数值调参'!$Z$32,0),IF('01_数值调参'!$AA$7&lt;=$A11,-'01_数值调参'!$AA$32,0),IF('01_数值调参'!$AB$7&lt;=$A11,-'01_数值调参'!$AB$32,0),IF('01_数值调参'!$AC$7&lt;=$A11,-'01_数值调参'!$AC$32,0)),0),IF($A11&gt;=8,(F11+$C$3)*MAX(0,IF('01_数值调参'!$AD$7&lt;=$A11,-'01_数值调参'!$AD$32,0),IF('01_数值调参'!$AE$7&lt;=$A11,-'01_数值调参'!$AE$32,0),IF('01_数值调参'!$AF$7&lt;=$A11,-'01_数值调参'!$AF$32,0),IF('01_数值调参'!$AG$7&lt;=$A11,-'01_数值调参'!$AG$32,0)),0),IF($A11&gt;=10,(G11+$C$3)*MAX(0,IF('01_数值调参'!$AH$7&lt;=$A11,-'01_数值调参'!$AH$32,0),IF('01_数值调参'!$AI$7&lt;=$A11,-'01_数值调参'!$AI$32,0),IF('01_数值调参'!$AJ$7&lt;=$A11,-'01_数值调参'!$AJ$32,0),IF('01_数值调参'!$AK$7&lt;=$A11,-'01_数值调参'!$AK$32,0),IF('01_数值调参'!$AL$7&lt;=$A11,-'01_数值调参'!$AL$32,0),IF('01_数值调参'!$AM$7&lt;=$A11,-'01_数值调参'!$AM$32,0)),0),0)),"队列待修正"))</x:f>
        <x:v>0</x:v>
      </x:c>
      <x:c r="W11" s="179" t="n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T$7,"—",SUM(IF($A11&gt;=2,(C11+$C$3)*MAX(0,IF('01_数值调参'!$N$7&lt;=$A11,-'01_数值调参'!$N$33,0),IF('01_数值调参'!$O$7&lt;=$A11,-'01_数值调参'!$O$33,0),IF('01_数值调参'!$P$7&lt;=$A11,-'01_数值调参'!$P$33,0),IF('01_数值调参'!$Q$7&lt;=$A11,-'01_数值调参'!$Q$33,0),IF('01_数值调参'!$R$7&lt;=$A11,-'01_数值调参'!$R$33,0)),0),IF($A11&gt;=4,(D11+$C$3)*MAX(0,IF('01_数值调参'!$S$7&lt;=$A11,-'01_数值调参'!$S$33,0),IF('01_数值调参'!$T$7&lt;=$A11,0,0),IF('01_数值调参'!$U$7&lt;=$A11,-'01_数值调参'!$U$33,0),IF('01_数值调参'!$V$7&lt;=$A11,-'01_数值调参'!$V$33,0),IF('01_数值调参'!$W$7&lt;=$A11,-'01_数值调参'!$W$33,0)),0),IF($A11&gt;=6,(E11+$C$3)*MAX(0,IF('01_数值调参'!$X$7&lt;=$A11,-'01_数值调参'!$X$33,0),IF('01_数值调参'!$Y$7&lt;=$A11,-'01_数值调参'!$Y$33,0),IF('01_数值调参'!$Z$7&lt;=$A11,-'01_数值调参'!$Z$33,0),IF('01_数值调参'!$AA$7&lt;=$A11,-'01_数值调参'!$AA$33,0),IF('01_数值调参'!$AB$7&lt;=$A11,-'01_数值调参'!$AB$33,0),IF('01_数值调参'!$AC$7&lt;=$A11,-'01_数值调参'!$AC$33,0)),0),IF($A11&gt;=8,(F11+$C$3)*MAX(0,IF('01_数值调参'!$AD$7&lt;=$A11,-'01_数值调参'!$AD$33,0),IF('01_数值调参'!$AE$7&lt;=$A11,-'01_数值调参'!$AE$33,0),IF('01_数值调参'!$AF$7&lt;=$A11,-'01_数值调参'!$AF$33,0),IF('01_数值调参'!$AG$7&lt;=$A11,-'01_数值调参'!$AG$33,0)),0),IF($A11&gt;=10,(G11+$C$3)*MAX(0,IF('01_数值调参'!$AH$7&lt;=$A11,-'01_数值调参'!$AH$33,0),IF('01_数值调参'!$AI$7&lt;=$A11,-'01_数值调参'!$AI$33,0),IF('01_数值调参'!$AJ$7&lt;=$A11,-'01_数值调参'!$AJ$33,0),IF('01_数值调参'!$AK$7&lt;=$A11,-'01_数值调参'!$AK$33,0),IF('01_数值调参'!$AL$7&lt;=$A11,-'01_数值调参'!$AL$33,0),IF('01_数值调参'!$AM$7&lt;=$A11,-'01_数值调参'!$AM$33,0)),0),0)),"队列待修正"))</x:f>
        <x:v>0</x:v>
      </x:c>
      <x:c r="X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U$7,"—",SUM(IF($A11&gt;=2,(C11+$C$3)*MAX(0,IF('01_数值调参'!$N$7&lt;=$A11,-'01_数值调参'!$N$34,0),IF('01_数值调参'!$O$7&lt;=$A11,-'01_数值调参'!$O$34,0),IF('01_数值调参'!$P$7&lt;=$A11,-'01_数值调参'!$P$34,0),IF('01_数值调参'!$Q$7&lt;=$A11,-'01_数值调参'!$Q$34,0),IF('01_数值调参'!$R$7&lt;=$A11,-'01_数值调参'!$R$34,0)),0),IF($A11&gt;=4,(D11+$C$3)*MAX(0,IF('01_数值调参'!$S$7&lt;=$A11,-'01_数值调参'!$S$34,0),IF('01_数值调参'!$T$7&lt;=$A11,-'01_数值调参'!$T$34,0),IF('01_数值调参'!$U$7&lt;=$A11,0,0),IF('01_数值调参'!$V$7&lt;=$A11,-'01_数值调参'!$V$34,0),IF('01_数值调参'!$W$7&lt;=$A11,-'01_数值调参'!$W$34,0)),0),IF($A11&gt;=6,(E11+$C$3)*MAX(0,IF('01_数值调参'!$X$7&lt;=$A11,-'01_数值调参'!$X$34,0),IF('01_数值调参'!$Y$7&lt;=$A11,-'01_数值调参'!$Y$34,0),IF('01_数值调参'!$Z$7&lt;=$A11,-'01_数值调参'!$Z$34,0),IF('01_数值调参'!$AA$7&lt;=$A11,-'01_数值调参'!$AA$34,0),IF('01_数值调参'!$AB$7&lt;=$A11,-'01_数值调参'!$AB$34,0),IF('01_数值调参'!$AC$7&lt;=$A11,-'01_数值调参'!$AC$34,0)),0),IF($A11&gt;=8,(F11+$C$3)*MAX(0,IF('01_数值调参'!$AD$7&lt;=$A11,-'01_数值调参'!$AD$34,0),IF('01_数值调参'!$AE$7&lt;=$A11,-'01_数值调参'!$AE$34,0),IF('01_数值调参'!$AF$7&lt;=$A11,-'01_数值调参'!$AF$34,0),IF('01_数值调参'!$AG$7&lt;=$A11,-'01_数值调参'!$AG$34,0)),0),IF($A11&gt;=10,(G11+$C$3)*MAX(0,IF('01_数值调参'!$AH$7&lt;=$A11,-'01_数值调参'!$AH$34,0),IF('01_数值调参'!$AI$7&lt;=$A11,-'01_数值调参'!$AI$34,0),IF('01_数值调参'!$AJ$7&lt;=$A11,-'01_数值调参'!$AJ$34,0),IF('01_数值调参'!$AK$7&lt;=$A11,-'01_数值调参'!$AK$34,0),IF('01_数值调参'!$AL$7&lt;=$A11,-'01_数值调参'!$AL$34,0),IF('01_数值调参'!$AM$7&lt;=$A11,-'01_数值调参'!$AM$34,0)),0),0)),"队列待修正"))</x:f>
        <x:v>—</x:v>
      </x:c>
      <x:c r="Y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V$7,"—",SUM(IF($A11&gt;=2,(C11+$C$3)*MAX(0,IF('01_数值调参'!$N$7&lt;=$A11,-'01_数值调参'!$N$35,0),IF('01_数值调参'!$O$7&lt;=$A11,-'01_数值调参'!$O$35,0),IF('01_数值调参'!$P$7&lt;=$A11,-'01_数值调参'!$P$35,0),IF('01_数值调参'!$Q$7&lt;=$A11,-'01_数值调参'!$Q$35,0),IF('01_数值调参'!$R$7&lt;=$A11,-'01_数值调参'!$R$35,0)),0),IF($A11&gt;=4,(D11+$C$3)*MAX(0,IF('01_数值调参'!$S$7&lt;=$A11,-'01_数值调参'!$S$35,0),IF('01_数值调参'!$T$7&lt;=$A11,-'01_数值调参'!$T$35,0),IF('01_数值调参'!$U$7&lt;=$A11,-'01_数值调参'!$U$35,0),IF('01_数值调参'!$V$7&lt;=$A11,0,0),IF('01_数值调参'!$W$7&lt;=$A11,-'01_数值调参'!$W$35,0)),0),IF($A11&gt;=6,(E11+$C$3)*MAX(0,IF('01_数值调参'!$X$7&lt;=$A11,-'01_数值调参'!$X$35,0),IF('01_数值调参'!$Y$7&lt;=$A11,-'01_数值调参'!$Y$35,0),IF('01_数值调参'!$Z$7&lt;=$A11,-'01_数值调参'!$Z$35,0),IF('01_数值调参'!$AA$7&lt;=$A11,-'01_数值调参'!$AA$35,0),IF('01_数值调参'!$AB$7&lt;=$A11,-'01_数值调参'!$AB$35,0),IF('01_数值调参'!$AC$7&lt;=$A11,-'01_数值调参'!$AC$35,0)),0),IF($A11&gt;=8,(F11+$C$3)*MAX(0,IF('01_数值调参'!$AD$7&lt;=$A11,-'01_数值调参'!$AD$35,0),IF('01_数值调参'!$AE$7&lt;=$A11,-'01_数值调参'!$AE$35,0),IF('01_数值调参'!$AF$7&lt;=$A11,-'01_数值调参'!$AF$35,0),IF('01_数值调参'!$AG$7&lt;=$A11,-'01_数值调参'!$AG$35,0)),0),IF($A11&gt;=10,(G11+$C$3)*MAX(0,IF('01_数值调参'!$AH$7&lt;=$A11,-'01_数值调参'!$AH$35,0),IF('01_数值调参'!$AI$7&lt;=$A11,-'01_数值调参'!$AI$35,0),IF('01_数值调参'!$AJ$7&lt;=$A11,-'01_数值调参'!$AJ$35,0),IF('01_数值调参'!$AK$7&lt;=$A11,-'01_数值调参'!$AK$35,0),IF('01_数值调参'!$AL$7&lt;=$A11,-'01_数值调参'!$AL$35,0),IF('01_数值调参'!$AM$7&lt;=$A11,-'01_数值调参'!$AM$35,0)),0),0)),"队列待修正"))</x:f>
        <x:v>—</x:v>
      </x:c>
      <x:c r="Z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W$7,"—",SUM(IF($A11&gt;=2,(C11+$C$3)*MAX(0,IF('01_数值调参'!$N$7&lt;=$A11,-'01_数值调参'!$N$36,0),IF('01_数值调参'!$O$7&lt;=$A11,-'01_数值调参'!$O$36,0),IF('01_数值调参'!$P$7&lt;=$A11,-'01_数值调参'!$P$36,0),IF('01_数值调参'!$Q$7&lt;=$A11,-'01_数值调参'!$Q$36,0),IF('01_数值调参'!$R$7&lt;=$A11,-'01_数值调参'!$R$36,0)),0),IF($A11&gt;=4,(D11+$C$3)*MAX(0,IF('01_数值调参'!$S$7&lt;=$A11,-'01_数值调参'!$S$36,0),IF('01_数值调参'!$T$7&lt;=$A11,-'01_数值调参'!$T$36,0),IF('01_数值调参'!$U$7&lt;=$A11,-'01_数值调参'!$U$36,0),IF('01_数值调参'!$V$7&lt;=$A11,-'01_数值调参'!$V$36,0),IF('01_数值调参'!$W$7&lt;=$A11,0,0)),0),IF($A11&gt;=6,(E11+$C$3)*MAX(0,IF('01_数值调参'!$X$7&lt;=$A11,-'01_数值调参'!$X$36,0),IF('01_数值调参'!$Y$7&lt;=$A11,-'01_数值调参'!$Y$36,0),IF('01_数值调参'!$Z$7&lt;=$A11,-'01_数值调参'!$Z$36,0),IF('01_数值调参'!$AA$7&lt;=$A11,-'01_数值调参'!$AA$36,0),IF('01_数值调参'!$AB$7&lt;=$A11,-'01_数值调参'!$AB$36,0),IF('01_数值调参'!$AC$7&lt;=$A11,-'01_数值调参'!$AC$36,0)),0),IF($A11&gt;=8,(F11+$C$3)*MAX(0,IF('01_数值调参'!$AD$7&lt;=$A11,-'01_数值调参'!$AD$36,0),IF('01_数值调参'!$AE$7&lt;=$A11,-'01_数值调参'!$AE$36,0),IF('01_数值调参'!$AF$7&lt;=$A11,-'01_数值调参'!$AF$36,0),IF('01_数值调参'!$AG$7&lt;=$A11,-'01_数值调参'!$AG$36,0)),0),IF($A11&gt;=10,(G11+$C$3)*MAX(0,IF('01_数值调参'!$AH$7&lt;=$A11,-'01_数值调参'!$AH$36,0),IF('01_数值调参'!$AI$7&lt;=$A11,-'01_数值调参'!$AI$36,0),IF('01_数值调参'!$AJ$7&lt;=$A11,-'01_数值调参'!$AJ$36,0),IF('01_数值调参'!$AK$7&lt;=$A11,-'01_数值调参'!$AK$36,0),IF('01_数值调参'!$AL$7&lt;=$A11,-'01_数值调参'!$AL$36,0),IF('01_数值调参'!$AM$7&lt;=$A11,-'01_数值调参'!$AM$36,0)),0),0)),"队列待修正"))</x:f>
        <x:v>—</x:v>
      </x:c>
      <x:c r="AA11" s="191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X$7,"—",SUM(IF($A11&gt;=2,(C11+$C$3)*MAX(0,IF('01_数值调参'!$N$7&lt;=$A11,-'01_数值调参'!$N$37,0),IF('01_数值调参'!$O$7&lt;=$A11,-'01_数值调参'!$O$37,0),IF('01_数值调参'!$P$7&lt;=$A11,-'01_数值调参'!$P$37,0),IF('01_数值调参'!$Q$7&lt;=$A11,-'01_数值调参'!$Q$37,0),IF('01_数值调参'!$R$7&lt;=$A11,-'01_数值调参'!$R$37,0)),0),IF($A11&gt;=4,(D11+$C$3)*MAX(0,IF('01_数值调参'!$S$7&lt;=$A11,-'01_数值调参'!$S$37,0),IF('01_数值调参'!$T$7&lt;=$A11,-'01_数值调参'!$T$37,0),IF('01_数值调参'!$U$7&lt;=$A11,-'01_数值调参'!$U$37,0),IF('01_数值调参'!$V$7&lt;=$A11,-'01_数值调参'!$V$37,0),IF('01_数值调参'!$W$7&lt;=$A11,-'01_数值调参'!$W$37,0)),0),IF($A11&gt;=6,(E11+$C$3)*MAX(0,IF('01_数值调参'!$X$7&lt;=$A11,0,0),IF('01_数值调参'!$Y$7&lt;=$A11,-'01_数值调参'!$Y$37,0),IF('01_数值调参'!$Z$7&lt;=$A11,-'01_数值调参'!$Z$37,0),IF('01_数值调参'!$AA$7&lt;=$A11,-'01_数值调参'!$AA$37,0),IF('01_数值调参'!$AB$7&lt;=$A11,-'01_数值调参'!$AB$37,0),IF('01_数值调参'!$AC$7&lt;=$A11,-'01_数值调参'!$AC$37,0)),0),IF($A11&gt;=8,(F11+$C$3)*MAX(0,IF('01_数值调参'!$AD$7&lt;=$A11,-'01_数值调参'!$AD$37,0),IF('01_数值调参'!$AE$7&lt;=$A11,-'01_数值调参'!$AE$37,0),IF('01_数值调参'!$AF$7&lt;=$A11,-'01_数值调参'!$AF$37,0),IF('01_数值调参'!$AG$7&lt;=$A11,-'01_数值调参'!$AG$37,0)),0),IF($A11&gt;=10,(G11+$C$3)*MAX(0,IF('01_数值调参'!$AH$7&lt;=$A11,-'01_数值调参'!$AH$37,0),IF('01_数值调参'!$AI$7&lt;=$A11,-'01_数值调参'!$AI$37,0),IF('01_数值调参'!$AJ$7&lt;=$A11,-'01_数值调参'!$AJ$37,0),IF('01_数值调参'!$AK$7&lt;=$A11,-'01_数值调参'!$AK$37,0),IF('01_数值调参'!$AL$7&lt;=$A11,-'01_数值调参'!$AL$37,0),IF('01_数值调参'!$AM$7&lt;=$A11,-'01_数值调参'!$AM$37,0)),0),0)),"队列待修正"))</x:f>
        <x:v>—</x:v>
      </x:c>
      <x:c r="AB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Y$7,"—",SUM(IF($A11&gt;=2,(C11+$C$3)*MAX(0,IF('01_数值调参'!$N$7&lt;=$A11,-'01_数值调参'!$N$38,0),IF('01_数值调参'!$O$7&lt;=$A11,-'01_数值调参'!$O$38,0),IF('01_数值调参'!$P$7&lt;=$A11,-'01_数值调参'!$P$38,0),IF('01_数值调参'!$Q$7&lt;=$A11,-'01_数值调参'!$Q$38,0),IF('01_数值调参'!$R$7&lt;=$A11,-'01_数值调参'!$R$38,0)),0),IF($A11&gt;=4,(D11+$C$3)*MAX(0,IF('01_数值调参'!$S$7&lt;=$A11,-'01_数值调参'!$S$38,0),IF('01_数值调参'!$T$7&lt;=$A11,-'01_数值调参'!$T$38,0),IF('01_数值调参'!$U$7&lt;=$A11,-'01_数值调参'!$U$38,0),IF('01_数值调参'!$V$7&lt;=$A11,-'01_数值调参'!$V$38,0),IF('01_数值调参'!$W$7&lt;=$A11,-'01_数值调参'!$W$38,0)),0),IF($A11&gt;=6,(E11+$C$3)*MAX(0,IF('01_数值调参'!$X$7&lt;=$A11,-'01_数值调参'!$X$38,0),IF('01_数值调参'!$Y$7&lt;=$A11,0,0),IF('01_数值调参'!$Z$7&lt;=$A11,-'01_数值调参'!$Z$38,0),IF('01_数值调参'!$AA$7&lt;=$A11,-'01_数值调参'!$AA$38,0),IF('01_数值调参'!$AB$7&lt;=$A11,-'01_数值调参'!$AB$38,0),IF('01_数值调参'!$AC$7&lt;=$A11,-'01_数值调参'!$AC$38,0)),0),IF($A11&gt;=8,(F11+$C$3)*MAX(0,IF('01_数值调参'!$AD$7&lt;=$A11,-'01_数值调参'!$AD$38,0),IF('01_数值调参'!$AE$7&lt;=$A11,-'01_数值调参'!$AE$38,0),IF('01_数值调参'!$AF$7&lt;=$A11,-'01_数值调参'!$AF$38,0),IF('01_数值调参'!$AG$7&lt;=$A11,-'01_数值调参'!$AG$38,0)),0),IF($A11&gt;=10,(G11+$C$3)*MAX(0,IF('01_数值调参'!$AH$7&lt;=$A11,-'01_数值调参'!$AH$38,0),IF('01_数值调参'!$AI$7&lt;=$A11,-'01_数值调参'!$AI$38,0),IF('01_数值调参'!$AJ$7&lt;=$A11,-'01_数值调参'!$AJ$38,0),IF('01_数值调参'!$AK$7&lt;=$A11,-'01_数值调参'!$AK$38,0),IF('01_数值调参'!$AL$7&lt;=$A11,-'01_数值调参'!$AL$38,0),IF('01_数值调参'!$AM$7&lt;=$A11,-'01_数值调参'!$AM$38,0)),0),0)),"队列待修正"))</x:f>
        <x:v>—</x:v>
      </x:c>
      <x:c r="AC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Z$7,"—",SUM(IF($A11&gt;=2,(C11+$C$3)*MAX(0,IF('01_数值调参'!$N$7&lt;=$A11,-'01_数值调参'!$N$39,0),IF('01_数值调参'!$O$7&lt;=$A11,-'01_数值调参'!$O$39,0),IF('01_数值调参'!$P$7&lt;=$A11,-'01_数值调参'!$P$39,0),IF('01_数值调参'!$Q$7&lt;=$A11,-'01_数值调参'!$Q$39,0),IF('01_数值调参'!$R$7&lt;=$A11,-'01_数值调参'!$R$39,0)),0),IF($A11&gt;=4,(D11+$C$3)*MAX(0,IF('01_数值调参'!$S$7&lt;=$A11,-'01_数值调参'!$S$39,0),IF('01_数值调参'!$T$7&lt;=$A11,-'01_数值调参'!$T$39,0),IF('01_数值调参'!$U$7&lt;=$A11,-'01_数值调参'!$U$39,0),IF('01_数值调参'!$V$7&lt;=$A11,-'01_数值调参'!$V$39,0),IF('01_数值调参'!$W$7&lt;=$A11,-'01_数值调参'!$W$39,0)),0),IF($A11&gt;=6,(E11+$C$3)*MAX(0,IF('01_数值调参'!$X$7&lt;=$A11,-'01_数值调参'!$X$39,0),IF('01_数值调参'!$Y$7&lt;=$A11,-'01_数值调参'!$Y$39,0),IF('01_数值调参'!$Z$7&lt;=$A11,0,0),IF('01_数值调参'!$AA$7&lt;=$A11,-'01_数值调参'!$AA$39,0),IF('01_数值调参'!$AB$7&lt;=$A11,-'01_数值调参'!$AB$39,0),IF('01_数值调参'!$AC$7&lt;=$A11,-'01_数值调参'!$AC$39,0)),0),IF($A11&gt;=8,(F11+$C$3)*MAX(0,IF('01_数值调参'!$AD$7&lt;=$A11,-'01_数值调参'!$AD$39,0),IF('01_数值调参'!$AE$7&lt;=$A11,-'01_数值调参'!$AE$39,0),IF('01_数值调参'!$AF$7&lt;=$A11,-'01_数值调参'!$AF$39,0),IF('01_数值调参'!$AG$7&lt;=$A11,-'01_数值调参'!$AG$39,0)),0),IF($A11&gt;=10,(G11+$C$3)*MAX(0,IF('01_数值调参'!$AH$7&lt;=$A11,-'01_数值调参'!$AH$39,0),IF('01_数值调参'!$AI$7&lt;=$A11,-'01_数值调参'!$AI$39,0),IF('01_数值调参'!$AJ$7&lt;=$A11,-'01_数值调参'!$AJ$39,0),IF('01_数值调参'!$AK$7&lt;=$A11,-'01_数值调参'!$AK$39,0),IF('01_数值调参'!$AL$7&lt;=$A11,-'01_数值调参'!$AL$39,0),IF('01_数值调参'!$AM$7&lt;=$A11,-'01_数值调参'!$AM$39,0)),0),0)),"队列待修正"))</x:f>
        <x:v>—</x:v>
      </x:c>
      <x:c r="AD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A$7,"—",SUM(IF($A11&gt;=2,(C11+$C$3)*MAX(0,IF('01_数值调参'!$N$7&lt;=$A11,-'01_数值调参'!$N$40,0),IF('01_数值调参'!$O$7&lt;=$A11,-'01_数值调参'!$O$40,0),IF('01_数值调参'!$P$7&lt;=$A11,-'01_数值调参'!$P$40,0),IF('01_数值调参'!$Q$7&lt;=$A11,-'01_数值调参'!$Q$40,0),IF('01_数值调参'!$R$7&lt;=$A11,-'01_数值调参'!$R$40,0)),0),IF($A11&gt;=4,(D11+$C$3)*MAX(0,IF('01_数值调参'!$S$7&lt;=$A11,-'01_数值调参'!$S$40,0),IF('01_数值调参'!$T$7&lt;=$A11,-'01_数值调参'!$T$40,0),IF('01_数值调参'!$U$7&lt;=$A11,-'01_数值调参'!$U$40,0),IF('01_数值调参'!$V$7&lt;=$A11,-'01_数值调参'!$V$40,0),IF('01_数值调参'!$W$7&lt;=$A11,-'01_数值调参'!$W$40,0)),0),IF($A11&gt;=6,(E11+$C$3)*MAX(0,IF('01_数值调参'!$X$7&lt;=$A11,-'01_数值调参'!$X$40,0),IF('01_数值调参'!$Y$7&lt;=$A11,-'01_数值调参'!$Y$40,0),IF('01_数值调参'!$Z$7&lt;=$A11,-'01_数值调参'!$Z$40,0),IF('01_数值调参'!$AA$7&lt;=$A11,0,0),IF('01_数值调参'!$AB$7&lt;=$A11,-'01_数值调参'!$AB$40,0),IF('01_数值调参'!$AC$7&lt;=$A11,-'01_数值调参'!$AC$40,0)),0),IF($A11&gt;=8,(F11+$C$3)*MAX(0,IF('01_数值调参'!$AD$7&lt;=$A11,-'01_数值调参'!$AD$40,0),IF('01_数值调参'!$AE$7&lt;=$A11,-'01_数值调参'!$AE$40,0),IF('01_数值调参'!$AF$7&lt;=$A11,-'01_数值调参'!$AF$40,0),IF('01_数值调参'!$AG$7&lt;=$A11,-'01_数值调参'!$AG$40,0)),0),IF($A11&gt;=10,(G11+$C$3)*MAX(0,IF('01_数值调参'!$AH$7&lt;=$A11,-'01_数值调参'!$AH$40,0),IF('01_数值调参'!$AI$7&lt;=$A11,-'01_数值调参'!$AI$40,0),IF('01_数值调参'!$AJ$7&lt;=$A11,-'01_数值调参'!$AJ$40,0),IF('01_数值调参'!$AK$7&lt;=$A11,-'01_数值调参'!$AK$40,0),IF('01_数值调参'!$AL$7&lt;=$A11,-'01_数值调参'!$AL$40,0),IF('01_数值调参'!$AM$7&lt;=$A11,-'01_数值调参'!$AM$40,0)),0),0)),"队列待修正"))</x:f>
        <x:v>—</x:v>
      </x:c>
      <x:c r="AE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B$7,"—",SUM(IF($A11&gt;=2,(C11+$C$3)*MAX(0,IF('01_数值调参'!$N$7&lt;=$A11,-'01_数值调参'!$N$41,0),IF('01_数值调参'!$O$7&lt;=$A11,-'01_数值调参'!$O$41,0),IF('01_数值调参'!$P$7&lt;=$A11,-'01_数值调参'!$P$41,0),IF('01_数值调参'!$Q$7&lt;=$A11,-'01_数值调参'!$Q$41,0),IF('01_数值调参'!$R$7&lt;=$A11,-'01_数值调参'!$R$41,0)),0),IF($A11&gt;=4,(D11+$C$3)*MAX(0,IF('01_数值调参'!$S$7&lt;=$A11,-'01_数值调参'!$S$41,0),IF('01_数值调参'!$T$7&lt;=$A11,-'01_数值调参'!$T$41,0),IF('01_数值调参'!$U$7&lt;=$A11,-'01_数值调参'!$U$41,0),IF('01_数值调参'!$V$7&lt;=$A11,-'01_数值调参'!$V$41,0),IF('01_数值调参'!$W$7&lt;=$A11,-'01_数值调参'!$W$41,0)),0),IF($A11&gt;=6,(E11+$C$3)*MAX(0,IF('01_数值调参'!$X$7&lt;=$A11,-'01_数值调参'!$X$41,0),IF('01_数值调参'!$Y$7&lt;=$A11,-'01_数值调参'!$Y$41,0),IF('01_数值调参'!$Z$7&lt;=$A11,-'01_数值调参'!$Z$41,0),IF('01_数值调参'!$AA$7&lt;=$A11,-'01_数值调参'!$AA$41,0),IF('01_数值调参'!$AB$7&lt;=$A11,0,0),IF('01_数值调参'!$AC$7&lt;=$A11,-'01_数值调参'!$AC$41,0)),0),IF($A11&gt;=8,(F11+$C$3)*MAX(0,IF('01_数值调参'!$AD$7&lt;=$A11,-'01_数值调参'!$AD$41,0),IF('01_数值调参'!$AE$7&lt;=$A11,-'01_数值调参'!$AE$41,0),IF('01_数值调参'!$AF$7&lt;=$A11,-'01_数值调参'!$AF$41,0),IF('01_数值调参'!$AG$7&lt;=$A11,-'01_数值调参'!$AG$41,0)),0),IF($A11&gt;=10,(G11+$C$3)*MAX(0,IF('01_数值调参'!$AH$7&lt;=$A11,-'01_数值调参'!$AH$41,0),IF('01_数值调参'!$AI$7&lt;=$A11,-'01_数值调参'!$AI$41,0),IF('01_数值调参'!$AJ$7&lt;=$A11,-'01_数值调参'!$AJ$41,0),IF('01_数值调参'!$AK$7&lt;=$A11,-'01_数值调参'!$AK$41,0),IF('01_数值调参'!$AL$7&lt;=$A11,-'01_数值调参'!$AL$41,0),IF('01_数值调参'!$AM$7&lt;=$A11,-'01_数值调参'!$AM$41,0)),0),0)),"队列待修正"))</x:f>
        <x:v>—</x:v>
      </x:c>
      <x:c r="AF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C$7,"—",SUM(IF($A11&gt;=2,(C11+$C$3)*MAX(0,IF('01_数值调参'!$N$7&lt;=$A11,-'01_数值调参'!$N$42,0),IF('01_数值调参'!$O$7&lt;=$A11,-'01_数值调参'!$O$42,0),IF('01_数值调参'!$P$7&lt;=$A11,-'01_数值调参'!$P$42,0),IF('01_数值调参'!$Q$7&lt;=$A11,-'01_数值调参'!$Q$42,0),IF('01_数值调参'!$R$7&lt;=$A11,-'01_数值调参'!$R$42,0)),0),IF($A11&gt;=4,(D11+$C$3)*MAX(0,IF('01_数值调参'!$S$7&lt;=$A11,-'01_数值调参'!$S$42,0),IF('01_数值调参'!$T$7&lt;=$A11,-'01_数值调参'!$T$42,0),IF('01_数值调参'!$U$7&lt;=$A11,-'01_数值调参'!$U$42,0),IF('01_数值调参'!$V$7&lt;=$A11,-'01_数值调参'!$V$42,0),IF('01_数值调参'!$W$7&lt;=$A11,-'01_数值调参'!$W$42,0)),0),IF($A11&gt;=6,(E11+$C$3)*MAX(0,IF('01_数值调参'!$X$7&lt;=$A11,-'01_数值调参'!$X$42,0),IF('01_数值调参'!$Y$7&lt;=$A11,-'01_数值调参'!$Y$42,0),IF('01_数值调参'!$Z$7&lt;=$A11,-'01_数值调参'!$Z$42,0),IF('01_数值调参'!$AA$7&lt;=$A11,-'01_数值调参'!$AA$42,0),IF('01_数值调参'!$AB$7&lt;=$A11,-'01_数值调参'!$AB$42,0),IF('01_数值调参'!$AC$7&lt;=$A11,0,0)),0),IF($A11&gt;=8,(F11+$C$3)*MAX(0,IF('01_数值调参'!$AD$7&lt;=$A11,-'01_数值调参'!$AD$42,0),IF('01_数值调参'!$AE$7&lt;=$A11,-'01_数值调参'!$AE$42,0),IF('01_数值调参'!$AF$7&lt;=$A11,-'01_数值调参'!$AF$42,0),IF('01_数值调参'!$AG$7&lt;=$A11,-'01_数值调参'!$AG$42,0)),0),IF($A11&gt;=10,(G11+$C$3)*MAX(0,IF('01_数值调参'!$AH$7&lt;=$A11,-'01_数值调参'!$AH$42,0),IF('01_数值调参'!$AI$7&lt;=$A11,-'01_数值调参'!$AI$42,0),IF('01_数值调参'!$AJ$7&lt;=$A11,-'01_数值调参'!$AJ$42,0),IF('01_数值调参'!$AK$7&lt;=$A11,-'01_数值调参'!$AK$42,0),IF('01_数值调参'!$AL$7&lt;=$A11,-'01_数值调参'!$AL$42,0),IF('01_数值调参'!$AM$7&lt;=$A11,-'01_数值调参'!$AM$42,0)),0),0)),"队列待修正"))</x:f>
        <x:v>—</x:v>
      </x:c>
      <x:c r="AG11" s="191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D$7,"—",SUM(IF($A11&gt;=2,(C11+$C$3)*MAX(0,IF('01_数值调参'!$N$7&lt;=$A11,-'01_数值调参'!$N$43,0),IF('01_数值调参'!$O$7&lt;=$A11,-'01_数值调参'!$O$43,0),IF('01_数值调参'!$P$7&lt;=$A11,-'01_数值调参'!$P$43,0),IF('01_数值调参'!$Q$7&lt;=$A11,-'01_数值调参'!$Q$43,0),IF('01_数值调参'!$R$7&lt;=$A11,-'01_数值调参'!$R$43,0)),0),IF($A11&gt;=4,(D11+$C$3)*MAX(0,IF('01_数值调参'!$S$7&lt;=$A11,-'01_数值调参'!$S$43,0),IF('01_数值调参'!$T$7&lt;=$A11,-'01_数值调参'!$T$43,0),IF('01_数值调参'!$U$7&lt;=$A11,-'01_数值调参'!$U$43,0),IF('01_数值调参'!$V$7&lt;=$A11,-'01_数值调参'!$V$43,0),IF('01_数值调参'!$W$7&lt;=$A11,-'01_数值调参'!$W$43,0)),0),IF($A11&gt;=6,(E11+$C$3)*MAX(0,IF('01_数值调参'!$X$7&lt;=$A11,-'01_数值调参'!$X$43,0),IF('01_数值调参'!$Y$7&lt;=$A11,-'01_数值调参'!$Y$43,0),IF('01_数值调参'!$Z$7&lt;=$A11,-'01_数值调参'!$Z$43,0),IF('01_数值调参'!$AA$7&lt;=$A11,-'01_数值调参'!$AA$43,0),IF('01_数值调参'!$AB$7&lt;=$A11,-'01_数值调参'!$AB$43,0),IF('01_数值调参'!$AC$7&lt;=$A11,-'01_数值调参'!$AC$43,0)),0),IF($A11&gt;=8,(F11+$C$3)*MAX(0,IF('01_数值调参'!$AD$7&lt;=$A11,0,0),IF('01_数值调参'!$AE$7&lt;=$A11,-'01_数值调参'!$AE$43,0),IF('01_数值调参'!$AF$7&lt;=$A11,-'01_数值调参'!$AF$43,0),IF('01_数值调参'!$AG$7&lt;=$A11,-'01_数值调参'!$AG$43,0)),0),IF($A11&gt;=10,(G11+$C$3)*MAX(0,IF('01_数值调参'!$AH$7&lt;=$A11,-'01_数值调参'!$AH$43,0),IF('01_数值调参'!$AI$7&lt;=$A11,-'01_数值调参'!$AI$43,0),IF('01_数值调参'!$AJ$7&lt;=$A11,-'01_数值调参'!$AJ$43,0),IF('01_数值调参'!$AK$7&lt;=$A11,-'01_数值调参'!$AK$43,0),IF('01_数值调参'!$AL$7&lt;=$A11,-'01_数值调参'!$AL$43,0),IF('01_数值调参'!$AM$7&lt;=$A11,-'01_数值调参'!$AM$43,0)),0),0)),"队列待修正"))</x:f>
        <x:v>—</x:v>
      </x:c>
      <x:c r="AH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E$7,"—",SUM(IF($A11&gt;=2,(C11+$C$3)*MAX(0,IF('01_数值调参'!$N$7&lt;=$A11,-'01_数值调参'!$N$44,0),IF('01_数值调参'!$O$7&lt;=$A11,-'01_数值调参'!$O$44,0),IF('01_数值调参'!$P$7&lt;=$A11,-'01_数值调参'!$P$44,0),IF('01_数值调参'!$Q$7&lt;=$A11,-'01_数值调参'!$Q$44,0),IF('01_数值调参'!$R$7&lt;=$A11,-'01_数值调参'!$R$44,0)),0),IF($A11&gt;=4,(D11+$C$3)*MAX(0,IF('01_数值调参'!$S$7&lt;=$A11,-'01_数值调参'!$S$44,0),IF('01_数值调参'!$T$7&lt;=$A11,-'01_数值调参'!$T$44,0),IF('01_数值调参'!$U$7&lt;=$A11,-'01_数值调参'!$U$44,0),IF('01_数值调参'!$V$7&lt;=$A11,-'01_数值调参'!$V$44,0),IF('01_数值调参'!$W$7&lt;=$A11,-'01_数值调参'!$W$44,0)),0),IF($A11&gt;=6,(E11+$C$3)*MAX(0,IF('01_数值调参'!$X$7&lt;=$A11,-'01_数值调参'!$X$44,0),IF('01_数值调参'!$Y$7&lt;=$A11,-'01_数值调参'!$Y$44,0),IF('01_数值调参'!$Z$7&lt;=$A11,-'01_数值调参'!$Z$44,0),IF('01_数值调参'!$AA$7&lt;=$A11,-'01_数值调参'!$AA$44,0),IF('01_数值调参'!$AB$7&lt;=$A11,-'01_数值调参'!$AB$44,0),IF('01_数值调参'!$AC$7&lt;=$A11,-'01_数值调参'!$AC$44,0)),0),IF($A11&gt;=8,(F11+$C$3)*MAX(0,IF('01_数值调参'!$AD$7&lt;=$A11,-'01_数值调参'!$AD$44,0),IF('01_数值调参'!$AE$7&lt;=$A11,0,0),IF('01_数值调参'!$AF$7&lt;=$A11,-'01_数值调参'!$AF$44,0),IF('01_数值调参'!$AG$7&lt;=$A11,-'01_数值调参'!$AG$44,0)),0),IF($A11&gt;=10,(G11+$C$3)*MAX(0,IF('01_数值调参'!$AH$7&lt;=$A11,-'01_数值调参'!$AH$44,0),IF('01_数值调参'!$AI$7&lt;=$A11,-'01_数值调参'!$AI$44,0),IF('01_数值调参'!$AJ$7&lt;=$A11,-'01_数值调参'!$AJ$44,0),IF('01_数值调参'!$AK$7&lt;=$A11,-'01_数值调参'!$AK$44,0),IF('01_数值调参'!$AL$7&lt;=$A11,-'01_数值调参'!$AL$44,0),IF('01_数值调参'!$AM$7&lt;=$A11,-'01_数值调参'!$AM$44,0)),0),0)),"队列待修正"))</x:f>
        <x:v>—</x:v>
      </x:c>
      <x:c r="AI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F$7,"—",SUM(IF($A11&gt;=2,(C11+$C$3)*MAX(0,IF('01_数值调参'!$N$7&lt;=$A11,-'01_数值调参'!$N$45,0),IF('01_数值调参'!$O$7&lt;=$A11,-'01_数值调参'!$O$45,0),IF('01_数值调参'!$P$7&lt;=$A11,-'01_数值调参'!$P$45,0),IF('01_数值调参'!$Q$7&lt;=$A11,-'01_数值调参'!$Q$45,0),IF('01_数值调参'!$R$7&lt;=$A11,-'01_数值调参'!$R$45,0)),0),IF($A11&gt;=4,(D11+$C$3)*MAX(0,IF('01_数值调参'!$S$7&lt;=$A11,-'01_数值调参'!$S$45,0),IF('01_数值调参'!$T$7&lt;=$A11,-'01_数值调参'!$T$45,0),IF('01_数值调参'!$U$7&lt;=$A11,-'01_数值调参'!$U$45,0),IF('01_数值调参'!$V$7&lt;=$A11,-'01_数值调参'!$V$45,0),IF('01_数值调参'!$W$7&lt;=$A11,-'01_数值调参'!$W$45,0)),0),IF($A11&gt;=6,(E11+$C$3)*MAX(0,IF('01_数值调参'!$X$7&lt;=$A11,-'01_数值调参'!$X$45,0),IF('01_数值调参'!$Y$7&lt;=$A11,-'01_数值调参'!$Y$45,0),IF('01_数值调参'!$Z$7&lt;=$A11,-'01_数值调参'!$Z$45,0),IF('01_数值调参'!$AA$7&lt;=$A11,-'01_数值调参'!$AA$45,0),IF('01_数值调参'!$AB$7&lt;=$A11,-'01_数值调参'!$AB$45,0),IF('01_数值调参'!$AC$7&lt;=$A11,-'01_数值调参'!$AC$45,0)),0),IF($A11&gt;=8,(F11+$C$3)*MAX(0,IF('01_数值调参'!$AD$7&lt;=$A11,-'01_数值调参'!$AD$45,0),IF('01_数值调参'!$AE$7&lt;=$A11,-'01_数值调参'!$AE$45,0),IF('01_数值调参'!$AF$7&lt;=$A11,0,0),IF('01_数值调参'!$AG$7&lt;=$A11,-'01_数值调参'!$AG$45,0)),0),IF($A11&gt;=10,(G11+$C$3)*MAX(0,IF('01_数值调参'!$AH$7&lt;=$A11,-'01_数值调参'!$AH$45,0),IF('01_数值调参'!$AI$7&lt;=$A11,-'01_数值调参'!$AI$45,0),IF('01_数值调参'!$AJ$7&lt;=$A11,-'01_数值调参'!$AJ$45,0),IF('01_数值调参'!$AK$7&lt;=$A11,-'01_数值调参'!$AK$45,0),IF('01_数值调参'!$AL$7&lt;=$A11,-'01_数值调参'!$AL$45,0),IF('01_数值调参'!$AM$7&lt;=$A11,-'01_数值调参'!$AM$45,0)),0),0)),"队列待修正"))</x:f>
        <x:v>—</x:v>
      </x:c>
      <x:c r="AJ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G$7,"—",SUM(IF($A11&gt;=2,(C11+$C$3)*MAX(0,IF('01_数值调参'!$N$7&lt;=$A11,-'01_数值调参'!$N$46,0),IF('01_数值调参'!$O$7&lt;=$A11,-'01_数值调参'!$O$46,0),IF('01_数值调参'!$P$7&lt;=$A11,-'01_数值调参'!$P$46,0),IF('01_数值调参'!$Q$7&lt;=$A11,-'01_数值调参'!$Q$46,0),IF('01_数值调参'!$R$7&lt;=$A11,-'01_数值调参'!$R$46,0)),0),IF($A11&gt;=4,(D11+$C$3)*MAX(0,IF('01_数值调参'!$S$7&lt;=$A11,-'01_数值调参'!$S$46,0),IF('01_数值调参'!$T$7&lt;=$A11,-'01_数值调参'!$T$46,0),IF('01_数值调参'!$U$7&lt;=$A11,-'01_数值调参'!$U$46,0),IF('01_数值调参'!$V$7&lt;=$A11,-'01_数值调参'!$V$46,0),IF('01_数值调参'!$W$7&lt;=$A11,-'01_数值调参'!$W$46,0)),0),IF($A11&gt;=6,(E11+$C$3)*MAX(0,IF('01_数值调参'!$X$7&lt;=$A11,-'01_数值调参'!$X$46,0),IF('01_数值调参'!$Y$7&lt;=$A11,-'01_数值调参'!$Y$46,0),IF('01_数值调参'!$Z$7&lt;=$A11,-'01_数值调参'!$Z$46,0),IF('01_数值调参'!$AA$7&lt;=$A11,-'01_数值调参'!$AA$46,0),IF('01_数值调参'!$AB$7&lt;=$A11,-'01_数值调参'!$AB$46,0),IF('01_数值调参'!$AC$7&lt;=$A11,-'01_数值调参'!$AC$46,0)),0),IF($A11&gt;=8,(F11+$C$3)*MAX(0,IF('01_数值调参'!$AD$7&lt;=$A11,-'01_数值调参'!$AD$46,0),IF('01_数值调参'!$AE$7&lt;=$A11,-'01_数值调参'!$AE$46,0),IF('01_数值调参'!$AF$7&lt;=$A11,-'01_数值调参'!$AF$46,0),IF('01_数值调参'!$AG$7&lt;=$A11,0,0)),0),IF($A11&gt;=10,(G11+$C$3)*MAX(0,IF('01_数值调参'!$AH$7&lt;=$A11,-'01_数值调参'!$AH$46,0),IF('01_数值调参'!$AI$7&lt;=$A11,-'01_数值调参'!$AI$46,0),IF('01_数值调参'!$AJ$7&lt;=$A11,-'01_数值调参'!$AJ$46,0),IF('01_数值调参'!$AK$7&lt;=$A11,-'01_数值调参'!$AK$46,0),IF('01_数值调参'!$AL$7&lt;=$A11,-'01_数值调参'!$AL$46,0),IF('01_数值调参'!$AM$7&lt;=$A11,-'01_数值调参'!$AM$46,0)),0),0)),"队列待修正"))</x:f>
        <x:v>—</x:v>
      </x:c>
      <x:c r="AK11" s="191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H$7,"—",SUM(IF($A11&gt;=2,(C11+$C$3)*MAX(0,IF('01_数值调参'!$N$7&lt;=$A11,-'01_数值调参'!$N$47,0),IF('01_数值调参'!$O$7&lt;=$A11,-'01_数值调参'!$O$47,0),IF('01_数值调参'!$P$7&lt;=$A11,-'01_数值调参'!$P$47,0),IF('01_数值调参'!$Q$7&lt;=$A11,-'01_数值调参'!$Q$47,0),IF('01_数值调参'!$R$7&lt;=$A11,-'01_数值调参'!$R$47,0)),0),IF($A11&gt;=4,(D11+$C$3)*MAX(0,IF('01_数值调参'!$S$7&lt;=$A11,-'01_数值调参'!$S$47,0),IF('01_数值调参'!$T$7&lt;=$A11,-'01_数值调参'!$T$47,0),IF('01_数值调参'!$U$7&lt;=$A11,-'01_数值调参'!$U$47,0),IF('01_数值调参'!$V$7&lt;=$A11,-'01_数值调参'!$V$47,0),IF('01_数值调参'!$W$7&lt;=$A11,-'01_数值调参'!$W$47,0)),0),IF($A11&gt;=6,(E11+$C$3)*MAX(0,IF('01_数值调参'!$X$7&lt;=$A11,-'01_数值调参'!$X$47,0),IF('01_数值调参'!$Y$7&lt;=$A11,-'01_数值调参'!$Y$47,0),IF('01_数值调参'!$Z$7&lt;=$A11,-'01_数值调参'!$Z$47,0),IF('01_数值调参'!$AA$7&lt;=$A11,-'01_数值调参'!$AA$47,0),IF('01_数值调参'!$AB$7&lt;=$A11,-'01_数值调参'!$AB$47,0),IF('01_数值调参'!$AC$7&lt;=$A11,-'01_数值调参'!$AC$47,0)),0),IF($A11&gt;=8,(F11+$C$3)*MAX(0,IF('01_数值调参'!$AD$7&lt;=$A11,-'01_数值调参'!$AD$47,0),IF('01_数值调参'!$AE$7&lt;=$A11,-'01_数值调参'!$AE$47,0),IF('01_数值调参'!$AF$7&lt;=$A11,-'01_数值调参'!$AF$47,0),IF('01_数值调参'!$AG$7&lt;=$A11,-'01_数值调参'!$AG$47,0)),0),IF($A11&gt;=10,(G11+$C$3)*MAX(0,IF('01_数值调参'!$AH$7&lt;=$A11,0,0),IF('01_数值调参'!$AI$7&lt;=$A11,-'01_数值调参'!$AI$47,0),IF('01_数值调参'!$AJ$7&lt;=$A11,-'01_数值调参'!$AJ$47,0),IF('01_数值调参'!$AK$7&lt;=$A11,-'01_数值调参'!$AK$47,0),IF('01_数值调参'!$AL$7&lt;=$A11,-'01_数值调参'!$AL$47,0),IF('01_数值调参'!$AM$7&lt;=$A11,-'01_数值调参'!$AM$47,0)),0),0)),"队列待修正"))</x:f>
        <x:v>—</x:v>
      </x:c>
      <x:c r="AL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I$7,"—",SUM(IF($A11&gt;=2,(C11+$C$3)*MAX(0,IF('01_数值调参'!$N$7&lt;=$A11,-'01_数值调参'!$N$48,0),IF('01_数值调参'!$O$7&lt;=$A11,-'01_数值调参'!$O$48,0),IF('01_数值调参'!$P$7&lt;=$A11,-'01_数值调参'!$P$48,0),IF('01_数值调参'!$Q$7&lt;=$A11,-'01_数值调参'!$Q$48,0),IF('01_数值调参'!$R$7&lt;=$A11,-'01_数值调参'!$R$48,0)),0),IF($A11&gt;=4,(D11+$C$3)*MAX(0,IF('01_数值调参'!$S$7&lt;=$A11,-'01_数值调参'!$S$48,0),IF('01_数值调参'!$T$7&lt;=$A11,-'01_数值调参'!$T$48,0),IF('01_数值调参'!$U$7&lt;=$A11,-'01_数值调参'!$U$48,0),IF('01_数值调参'!$V$7&lt;=$A11,-'01_数值调参'!$V$48,0),IF('01_数值调参'!$W$7&lt;=$A11,-'01_数值调参'!$W$48,0)),0),IF($A11&gt;=6,(E11+$C$3)*MAX(0,IF('01_数值调参'!$X$7&lt;=$A11,-'01_数值调参'!$X$48,0),IF('01_数值调参'!$Y$7&lt;=$A11,-'01_数值调参'!$Y$48,0),IF('01_数值调参'!$Z$7&lt;=$A11,-'01_数值调参'!$Z$48,0),IF('01_数值调参'!$AA$7&lt;=$A11,-'01_数值调参'!$AA$48,0),IF('01_数值调参'!$AB$7&lt;=$A11,-'01_数值调参'!$AB$48,0),IF('01_数值调参'!$AC$7&lt;=$A11,-'01_数值调参'!$AC$48,0)),0),IF($A11&gt;=8,(F11+$C$3)*MAX(0,IF('01_数值调参'!$AD$7&lt;=$A11,-'01_数值调参'!$AD$48,0),IF('01_数值调参'!$AE$7&lt;=$A11,-'01_数值调参'!$AE$48,0),IF('01_数值调参'!$AF$7&lt;=$A11,-'01_数值调参'!$AF$48,0),IF('01_数值调参'!$AG$7&lt;=$A11,-'01_数值调参'!$AG$48,0)),0),IF($A11&gt;=10,(G11+$C$3)*MAX(0,IF('01_数值调参'!$AH$7&lt;=$A11,-'01_数值调参'!$AH$48,0),IF('01_数值调参'!$AI$7&lt;=$A11,0,0),IF('01_数值调参'!$AJ$7&lt;=$A11,-'01_数值调参'!$AJ$48,0),IF('01_数值调参'!$AK$7&lt;=$A11,-'01_数值调参'!$AK$48,0),IF('01_数值调参'!$AL$7&lt;=$A11,-'01_数值调参'!$AL$48,0),IF('01_数值调参'!$AM$7&lt;=$A11,-'01_数值调参'!$AM$48,0)),0),0)),"队列待修正"))</x:f>
        <x:v>—</x:v>
      </x:c>
      <x:c r="AM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J$7,"—",SUM(IF($A11&gt;=2,(C11+$C$3)*MAX(0,IF('01_数值调参'!$N$7&lt;=$A11,-'01_数值调参'!$N$49,0),IF('01_数值调参'!$O$7&lt;=$A11,-'01_数值调参'!$O$49,0),IF('01_数值调参'!$P$7&lt;=$A11,-'01_数值调参'!$P$49,0),IF('01_数值调参'!$Q$7&lt;=$A11,-'01_数值调参'!$Q$49,0),IF('01_数值调参'!$R$7&lt;=$A11,-'01_数值调参'!$R$49,0)),0),IF($A11&gt;=4,(D11+$C$3)*MAX(0,IF('01_数值调参'!$S$7&lt;=$A11,-'01_数值调参'!$S$49,0),IF('01_数值调参'!$T$7&lt;=$A11,-'01_数值调参'!$T$49,0),IF('01_数值调参'!$U$7&lt;=$A11,-'01_数值调参'!$U$49,0),IF('01_数值调参'!$V$7&lt;=$A11,-'01_数值调参'!$V$49,0),IF('01_数值调参'!$W$7&lt;=$A11,-'01_数值调参'!$W$49,0)),0),IF($A11&gt;=6,(E11+$C$3)*MAX(0,IF('01_数值调参'!$X$7&lt;=$A11,-'01_数值调参'!$X$49,0),IF('01_数值调参'!$Y$7&lt;=$A11,-'01_数值调参'!$Y$49,0),IF('01_数值调参'!$Z$7&lt;=$A11,-'01_数值调参'!$Z$49,0),IF('01_数值调参'!$AA$7&lt;=$A11,-'01_数值调参'!$AA$49,0),IF('01_数值调参'!$AB$7&lt;=$A11,-'01_数值调参'!$AB$49,0),IF('01_数值调参'!$AC$7&lt;=$A11,-'01_数值调参'!$AC$49,0)),0),IF($A11&gt;=8,(F11+$C$3)*MAX(0,IF('01_数值调参'!$AD$7&lt;=$A11,-'01_数值调参'!$AD$49,0),IF('01_数值调参'!$AE$7&lt;=$A11,-'01_数值调参'!$AE$49,0),IF('01_数值调参'!$AF$7&lt;=$A11,-'01_数值调参'!$AF$49,0),IF('01_数值调参'!$AG$7&lt;=$A11,-'01_数值调参'!$AG$49,0)),0),IF($A11&gt;=10,(G11+$C$3)*MAX(0,IF('01_数值调参'!$AH$7&lt;=$A11,-'01_数值调参'!$AH$49,0),IF('01_数值调参'!$AI$7&lt;=$A11,-'01_数值调参'!$AI$49,0),IF('01_数值调参'!$AJ$7&lt;=$A11,0,0),IF('01_数值调参'!$AK$7&lt;=$A11,-'01_数值调参'!$AK$49,0),IF('01_数值调参'!$AL$7&lt;=$A11,-'01_数值调参'!$AL$49,0),IF('01_数值调参'!$AM$7&lt;=$A11,-'01_数值调参'!$AM$49,0)),0),0)),"队列待修正"))</x:f>
        <x:v>—</x:v>
      </x:c>
      <x:c r="AN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K$7,"—",SUM(IF($A11&gt;=2,(C11+$C$3)*MAX(0,IF('01_数值调参'!$N$7&lt;=$A11,-'01_数值调参'!$N$50,0),IF('01_数值调参'!$O$7&lt;=$A11,-'01_数值调参'!$O$50,0),IF('01_数值调参'!$P$7&lt;=$A11,-'01_数值调参'!$P$50,0),IF('01_数值调参'!$Q$7&lt;=$A11,-'01_数值调参'!$Q$50,0),IF('01_数值调参'!$R$7&lt;=$A11,-'01_数值调参'!$R$50,0)),0),IF($A11&gt;=4,(D11+$C$3)*MAX(0,IF('01_数值调参'!$S$7&lt;=$A11,-'01_数值调参'!$S$50,0),IF('01_数值调参'!$T$7&lt;=$A11,-'01_数值调参'!$T$50,0),IF('01_数值调参'!$U$7&lt;=$A11,-'01_数值调参'!$U$50,0),IF('01_数值调参'!$V$7&lt;=$A11,-'01_数值调参'!$V$50,0),IF('01_数值调参'!$W$7&lt;=$A11,-'01_数值调参'!$W$50,0)),0),IF($A11&gt;=6,(E11+$C$3)*MAX(0,IF('01_数值调参'!$X$7&lt;=$A11,-'01_数值调参'!$X$50,0),IF('01_数值调参'!$Y$7&lt;=$A11,-'01_数值调参'!$Y$50,0),IF('01_数值调参'!$Z$7&lt;=$A11,-'01_数值调参'!$Z$50,0),IF('01_数值调参'!$AA$7&lt;=$A11,-'01_数值调参'!$AA$50,0),IF('01_数值调参'!$AB$7&lt;=$A11,-'01_数值调参'!$AB$50,0),IF('01_数值调参'!$AC$7&lt;=$A11,-'01_数值调参'!$AC$50,0)),0),IF($A11&gt;=8,(F11+$C$3)*MAX(0,IF('01_数值调参'!$AD$7&lt;=$A11,-'01_数值调参'!$AD$50,0),IF('01_数值调参'!$AE$7&lt;=$A11,-'01_数值调参'!$AE$50,0),IF('01_数值调参'!$AF$7&lt;=$A11,-'01_数值调参'!$AF$50,0),IF('01_数值调参'!$AG$7&lt;=$A11,-'01_数值调参'!$AG$50,0)),0),IF($A11&gt;=10,(G11+$C$3)*MAX(0,IF('01_数值调参'!$AH$7&lt;=$A11,-'01_数值调参'!$AH$50,0),IF('01_数值调参'!$AI$7&lt;=$A11,-'01_数值调参'!$AI$50,0),IF('01_数值调参'!$AJ$7&lt;=$A11,-'01_数值调参'!$AJ$50,0),IF('01_数值调参'!$AK$7&lt;=$A11,0,0),IF('01_数值调参'!$AL$7&lt;=$A11,-'01_数值调参'!$AL$50,0),IF('01_数值调参'!$AM$7&lt;=$A11,-'01_数值调参'!$AM$50,0)),0),0)),"队列待修正"))</x:f>
        <x:v>—</x:v>
      </x:c>
      <x:c r="AO11" s="179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L$7,"—",SUM(IF($A11&gt;=2,(C11+$C$3)*MAX(0,IF('01_数值调参'!$N$7&lt;=$A11,-'01_数值调参'!$N$51,0),IF('01_数值调参'!$O$7&lt;=$A11,-'01_数值调参'!$O$51,0),IF('01_数值调参'!$P$7&lt;=$A11,-'01_数值调参'!$P$51,0),IF('01_数值调参'!$Q$7&lt;=$A11,-'01_数值调参'!$Q$51,0),IF('01_数值调参'!$R$7&lt;=$A11,-'01_数值调参'!$R$51,0)),0),IF($A11&gt;=4,(D11+$C$3)*MAX(0,IF('01_数值调参'!$S$7&lt;=$A11,-'01_数值调参'!$S$51,0),IF('01_数值调参'!$T$7&lt;=$A11,-'01_数值调参'!$T$51,0),IF('01_数值调参'!$U$7&lt;=$A11,-'01_数值调参'!$U$51,0),IF('01_数值调参'!$V$7&lt;=$A11,-'01_数值调参'!$V$51,0),IF('01_数值调参'!$W$7&lt;=$A11,-'01_数值调参'!$W$51,0)),0),IF($A11&gt;=6,(E11+$C$3)*MAX(0,IF('01_数值调参'!$X$7&lt;=$A11,-'01_数值调参'!$X$51,0),IF('01_数值调参'!$Y$7&lt;=$A11,-'01_数值调参'!$Y$51,0),IF('01_数值调参'!$Z$7&lt;=$A11,-'01_数值调参'!$Z$51,0),IF('01_数值调参'!$AA$7&lt;=$A11,-'01_数值调参'!$AA$51,0),IF('01_数值调参'!$AB$7&lt;=$A11,-'01_数值调参'!$AB$51,0),IF('01_数值调参'!$AC$7&lt;=$A11,-'01_数值调参'!$AC$51,0)),0),IF($A11&gt;=8,(F11+$C$3)*MAX(0,IF('01_数值调参'!$AD$7&lt;=$A11,-'01_数值调参'!$AD$51,0),IF('01_数值调参'!$AE$7&lt;=$A11,-'01_数值调参'!$AE$51,0),IF('01_数值调参'!$AF$7&lt;=$A11,-'01_数值调参'!$AF$51,0),IF('01_数值调参'!$AG$7&lt;=$A11,-'01_数值调参'!$AG$51,0)),0),IF($A11&gt;=10,(G11+$C$3)*MAX(0,IF('01_数值调参'!$AH$7&lt;=$A11,-'01_数值调参'!$AH$51,0),IF('01_数值调参'!$AI$7&lt;=$A11,-'01_数值调参'!$AI$51,0),IF('01_数值调参'!$AJ$7&lt;=$A11,-'01_数值调参'!$AJ$51,0),IF('01_数值调参'!$AK$7&lt;=$A11,-'01_数值调参'!$AK$51,0),IF('01_数值调参'!$AL$7&lt;=$A11,0,0),IF('01_数值调参'!$AM$7&lt;=$A11,-'01_数值调参'!$AM$51,0)),0),0)),"队列待修正"))</x:f>
        <x:v>—</x:v>
      </x:c>
      <x:c r="AP11" s="180" t="str">
        <x:f>IF('01_数值调参'!$D$3&lt;&gt;"配方有效","待修正",IF(AND(OR($C$3=0,$C$3=1),ISNUMBER(C11),C11&gt;=0,MOD(C11,1)=0,ISNUMBER(D11),D11&gt;=0,MOD(D11,1)=0,ISNUMBER(E11),E11&gt;=0,MOD(E11,1)=0,ISNUMBER(F11),F11&gt;=0,MOD(F11,1)=0,ISNUMBER(G11),G11&gt;=0,MOD(G11,1)=0,TRUE),IF($A11&lt;'01_数值调参'!$AM$7,"—",SUM(IF($A11&gt;=2,(C11+$C$3)*MAX(0,IF('01_数值调参'!$N$7&lt;=$A11,-'01_数值调参'!$N$52,0),IF('01_数值调参'!$O$7&lt;=$A11,-'01_数值调参'!$O$52,0),IF('01_数值调参'!$P$7&lt;=$A11,-'01_数值调参'!$P$52,0),IF('01_数值调参'!$Q$7&lt;=$A11,-'01_数值调参'!$Q$52,0),IF('01_数值调参'!$R$7&lt;=$A11,-'01_数值调参'!$R$52,0)),0),IF($A11&gt;=4,(D11+$C$3)*MAX(0,IF('01_数值调参'!$S$7&lt;=$A11,-'01_数值调参'!$S$52,0),IF('01_数值调参'!$T$7&lt;=$A11,-'01_数值调参'!$T$52,0),IF('01_数值调参'!$U$7&lt;=$A11,-'01_数值调参'!$U$52,0),IF('01_数值调参'!$V$7&lt;=$A11,-'01_数值调参'!$V$52,0),IF('01_数值调参'!$W$7&lt;=$A11,-'01_数值调参'!$W$52,0)),0),IF($A11&gt;=6,(E11+$C$3)*MAX(0,IF('01_数值调参'!$X$7&lt;=$A11,-'01_数值调参'!$X$52,0),IF('01_数值调参'!$Y$7&lt;=$A11,-'01_数值调参'!$Y$52,0),IF('01_数值调参'!$Z$7&lt;=$A11,-'01_数值调参'!$Z$52,0),IF('01_数值调参'!$AA$7&lt;=$A11,-'01_数值调参'!$AA$52,0),IF('01_数值调参'!$AB$7&lt;=$A11,-'01_数值调参'!$AB$52,0),IF('01_数值调参'!$AC$7&lt;=$A11,-'01_数值调参'!$AC$52,0)),0),IF($A11&gt;=8,(F11+$C$3)*MAX(0,IF('01_数值调参'!$AD$7&lt;=$A11,-'01_数值调参'!$AD$52,0),IF('01_数值调参'!$AE$7&lt;=$A11,-'01_数值调参'!$AE$52,0),IF('01_数值调参'!$AF$7&lt;=$A11,-'01_数值调参'!$AF$52,0),IF('01_数值调参'!$AG$7&lt;=$A11,-'01_数值调参'!$AG$52,0)),0),IF($A11&gt;=10,(G11+$C$3)*MAX(0,IF('01_数值调参'!$AH$7&lt;=$A11,-'01_数值调参'!$AH$52,0),IF('01_数值调参'!$AI$7&lt;=$A11,-'01_数值调参'!$AI$52,0),IF('01_数值调参'!$AJ$7&lt;=$A11,-'01_数值调参'!$AJ$52,0),IF('01_数值调参'!$AK$7&lt;=$A11,-'01_数值调参'!$AK$52,0),IF('01_数值调参'!$AL$7&lt;=$A11,-'01_数值调参'!$AL$52,0),IF('01_数值调参'!$AM$7&lt;=$A11,0,0)),0),0)),"队列待修正"))</x:f>
        <x:v>—</x:v>
      </x:c>
    </x:row>
    <x:row r="12" ht="25" customHeight="1">
      <x:c r="A12" s="213" t="n">
        <x:v>6</x:v>
      </x:c>
      <x:c r="B12" s="214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SUM(IF($A12&gt;=2,(C12+$C$3)*MAX(0,IF('01_数值调参'!$N$7&lt;=$A12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12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12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12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12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12&gt;=4,(D12+$C$3)*MAX(0,IF('01_数值调参'!$S$7&lt;=$A12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12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12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12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12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12&gt;=6,(E12+$C$3)*MAX(0,IF('01_数值调参'!$X$7&lt;=$A12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12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12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12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12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12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12&gt;=8,(F12+$C$3)*MAX(0,IF('01_数值调参'!$AD$7&lt;=$A12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12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12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12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12&gt;=10,(G12+$C$3)*MAX(0,IF('01_数值调参'!$AH$7&lt;=$A12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12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12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12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12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12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21</x:v>
      </x:c>
      <x:c r="C12" s="215" t="n">
        <x:v>2</x:v>
      </x:c>
      <x:c r="D12" s="215" t="n">
        <x:v>2</x:v>
      </x:c>
      <x:c r="E12" s="215" t="n">
        <x:v>2</x:v>
      </x:c>
      <x:c r="F12" s="215" t="n">
        <x:v>2</x:v>
      </x:c>
      <x:c r="G12" s="215" t="n">
        <x:v>2</x:v>
      </x:c>
      <x:c r="H12" s="216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E$7,"—",SUM(IF($A12&gt;=2,(C12+$C$3)*MAX(0,IF('01_数值调参'!$N$7&lt;=$A12,-'01_数值调参'!$N$18,0),IF('01_数值调参'!$O$7&lt;=$A12,-'01_数值调参'!$O$18,0),IF('01_数值调参'!$P$7&lt;=$A12,-'01_数值调参'!$P$18,0),IF('01_数值调参'!$Q$7&lt;=$A12,-'01_数值调参'!$Q$18,0),IF('01_数值调参'!$R$7&lt;=$A12,-'01_数值调参'!$R$18,0)),0),IF($A12&gt;=4,(D12+$C$3)*MAX(0,IF('01_数值调参'!$S$7&lt;=$A12,-'01_数值调参'!$S$18,0),IF('01_数值调参'!$T$7&lt;=$A12,-'01_数值调参'!$T$18,0),IF('01_数值调参'!$U$7&lt;=$A12,-'01_数值调参'!$U$18,0),IF('01_数值调参'!$V$7&lt;=$A12,-'01_数值调参'!$V$18,0),IF('01_数值调参'!$W$7&lt;=$A12,-'01_数值调参'!$W$18,0)),0),IF($A12&gt;=6,(E12+$C$3)*MAX(0,IF('01_数值调参'!$X$7&lt;=$A12,-'01_数值调参'!$X$18,0),IF('01_数值调参'!$Y$7&lt;=$A12,-'01_数值调参'!$Y$18,0),IF('01_数值调参'!$Z$7&lt;=$A12,-'01_数值调参'!$Z$18,0),IF('01_数值调参'!$AA$7&lt;=$A12,-'01_数值调参'!$AA$18,0),IF('01_数值调参'!$AB$7&lt;=$A12,-'01_数值调参'!$AB$18,0),IF('01_数值调参'!$AC$7&lt;=$A12,-'01_数值调参'!$AC$18,0)),0),IF($A12&gt;=8,(F12+$C$3)*MAX(0,IF('01_数值调参'!$AD$7&lt;=$A12,-'01_数值调参'!$AD$18,0),IF('01_数值调参'!$AE$7&lt;=$A12,-'01_数值调参'!$AE$18,0),IF('01_数值调参'!$AF$7&lt;=$A12,-'01_数值调参'!$AF$18,0),IF('01_数值调参'!$AG$7&lt;=$A12,-'01_数值调参'!$AG$18,0)),0),IF($A12&gt;=10,(G12+$C$3)*MAX(0,IF('01_数值调参'!$AH$7&lt;=$A12,-'01_数值调参'!$AH$18,0),IF('01_数值调参'!$AI$7&lt;=$A12,-'01_数值调参'!$AI$18,0),IF('01_数值调参'!$AJ$7&lt;=$A12,-'01_数值调参'!$AJ$18,0),IF('01_数值调参'!$AK$7&lt;=$A12,-'01_数值调参'!$AK$18,0),IF('01_数值调参'!$AL$7&lt;=$A12,-'01_数值调参'!$AL$18,0),IF('01_数值调参'!$AM$7&lt;=$A12,-'01_数值调参'!$AM$18,0)),0),0)),"队列待修正"))</x:f>
        <x:v>6</x:v>
      </x:c>
      <x:c r="I12" s="217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F$7,"—",SUM(IF($A12&gt;=2,(C12+$C$3)*MAX(0,IF('01_数值调参'!$N$7&lt;=$A12,-'01_数值调参'!$N$19,0),IF('01_数值调参'!$O$7&lt;=$A12,-'01_数值调参'!$O$19,0),IF('01_数值调参'!$P$7&lt;=$A12,-'01_数值调参'!$P$19,0),IF('01_数值调参'!$Q$7&lt;=$A12,-'01_数值调参'!$Q$19,0),IF('01_数值调参'!$R$7&lt;=$A12,-'01_数值调参'!$R$19,0)),0),IF($A12&gt;=4,(D12+$C$3)*MAX(0,IF('01_数值调参'!$S$7&lt;=$A12,-'01_数值调参'!$S$19,0),IF('01_数值调参'!$T$7&lt;=$A12,-'01_数值调参'!$T$19,0),IF('01_数值调参'!$U$7&lt;=$A12,-'01_数值调参'!$U$19,0),IF('01_数值调参'!$V$7&lt;=$A12,-'01_数值调参'!$V$19,0),IF('01_数值调参'!$W$7&lt;=$A12,-'01_数值调参'!$W$19,0)),0),IF($A12&gt;=6,(E12+$C$3)*MAX(0,IF('01_数值调参'!$X$7&lt;=$A12,-'01_数值调参'!$X$19,0),IF('01_数值调参'!$Y$7&lt;=$A12,-'01_数值调参'!$Y$19,0),IF('01_数值调参'!$Z$7&lt;=$A12,-'01_数值调参'!$Z$19,0),IF('01_数值调参'!$AA$7&lt;=$A12,-'01_数值调参'!$AA$19,0),IF('01_数值调参'!$AB$7&lt;=$A12,-'01_数值调参'!$AB$19,0),IF('01_数值调参'!$AC$7&lt;=$A12,-'01_数值调参'!$AC$19,0)),0),IF($A12&gt;=8,(F12+$C$3)*MAX(0,IF('01_数值调参'!$AD$7&lt;=$A12,-'01_数值调参'!$AD$19,0),IF('01_数值调参'!$AE$7&lt;=$A12,-'01_数值调参'!$AE$19,0),IF('01_数值调参'!$AF$7&lt;=$A12,-'01_数值调参'!$AF$19,0),IF('01_数值调参'!$AG$7&lt;=$A12,-'01_数值调参'!$AG$19,0)),0),IF($A12&gt;=10,(G12+$C$3)*MAX(0,IF('01_数值调参'!$AH$7&lt;=$A12,-'01_数值调参'!$AH$19,0),IF('01_数值调参'!$AI$7&lt;=$A12,-'01_数值调参'!$AI$19,0),IF('01_数值调参'!$AJ$7&lt;=$A12,-'01_数值调参'!$AJ$19,0),IF('01_数值调参'!$AK$7&lt;=$A12,-'01_数值调参'!$AK$19,0),IF('01_数值调参'!$AL$7&lt;=$A12,-'01_数值调参'!$AL$19,0),IF('01_数值调参'!$AM$7&lt;=$A12,-'01_数值调参'!$AM$19,0)),0),0)),"队列待修正"))</x:f>
        <x:v>3</x:v>
      </x:c>
      <x:c r="J12" s="217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G$7,"—",SUM(IF($A12&gt;=2,(C12+$C$3)*MAX(0,IF('01_数值调参'!$N$7&lt;=$A12,-'01_数值调参'!$N$20,0),IF('01_数值调参'!$O$7&lt;=$A12,-'01_数值调参'!$O$20,0),IF('01_数值调参'!$P$7&lt;=$A12,-'01_数值调参'!$P$20,0),IF('01_数值调参'!$Q$7&lt;=$A12,-'01_数值调参'!$Q$20,0),IF('01_数值调参'!$R$7&lt;=$A12,-'01_数值调参'!$R$20,0)),0),IF($A12&gt;=4,(D12+$C$3)*MAX(0,IF('01_数值调参'!$S$7&lt;=$A12,-'01_数值调参'!$S$20,0),IF('01_数值调参'!$T$7&lt;=$A12,-'01_数值调参'!$T$20,0),IF('01_数值调参'!$U$7&lt;=$A12,-'01_数值调参'!$U$20,0),IF('01_数值调参'!$V$7&lt;=$A12,-'01_数值调参'!$V$20,0),IF('01_数值调参'!$W$7&lt;=$A12,-'01_数值调参'!$W$20,0)),0),IF($A12&gt;=6,(E12+$C$3)*MAX(0,IF('01_数值调参'!$X$7&lt;=$A12,-'01_数值调参'!$X$20,0),IF('01_数值调参'!$Y$7&lt;=$A12,-'01_数值调参'!$Y$20,0),IF('01_数值调参'!$Z$7&lt;=$A12,-'01_数值调参'!$Z$20,0),IF('01_数值调参'!$AA$7&lt;=$A12,-'01_数值调参'!$AA$20,0),IF('01_数值调参'!$AB$7&lt;=$A12,-'01_数值调参'!$AB$20,0),IF('01_数值调参'!$AC$7&lt;=$A12,-'01_数值调参'!$AC$20,0)),0),IF($A12&gt;=8,(F12+$C$3)*MAX(0,IF('01_数值调参'!$AD$7&lt;=$A12,-'01_数值调参'!$AD$20,0),IF('01_数值调参'!$AE$7&lt;=$A12,-'01_数值调参'!$AE$20,0),IF('01_数值调参'!$AF$7&lt;=$A12,-'01_数值调参'!$AF$20,0),IF('01_数值调参'!$AG$7&lt;=$A12,-'01_数值调参'!$AG$20,0)),0),IF($A12&gt;=10,(G12+$C$3)*MAX(0,IF('01_数值调参'!$AH$7&lt;=$A12,-'01_数值调参'!$AH$20,0),IF('01_数值调参'!$AI$7&lt;=$A12,-'01_数值调参'!$AI$20,0),IF('01_数值调参'!$AJ$7&lt;=$A12,-'01_数值调参'!$AJ$20,0),IF('01_数值调参'!$AK$7&lt;=$A12,-'01_数值调参'!$AK$20,0),IF('01_数值调参'!$AL$7&lt;=$A12,-'01_数值调参'!$AL$20,0),IF('01_数值调参'!$AM$7&lt;=$A12,-'01_数值调参'!$AM$20,0)),0),0)),"队列待修正"))</x:f>
        <x:v>9</x:v>
      </x:c>
      <x:c r="K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H$7,"—",SUM(IF($A12&gt;=2,(C12+$C$3)*MAX(0,IF('01_数值调参'!$N$7&lt;=$A12,-'01_数值调参'!$N$21,0),IF('01_数值调参'!$O$7&lt;=$A12,-'01_数值调参'!$O$21,0),IF('01_数值调参'!$P$7&lt;=$A12,-'01_数值调参'!$P$21,0),IF('01_数值调参'!$Q$7&lt;=$A12,-'01_数值调参'!$Q$21,0),IF('01_数值调参'!$R$7&lt;=$A12,-'01_数值调参'!$R$21,0)),0),IF($A12&gt;=4,(D12+$C$3)*MAX(0,IF('01_数值调参'!$S$7&lt;=$A12,-'01_数值调参'!$S$21,0),IF('01_数值调参'!$T$7&lt;=$A12,-'01_数值调参'!$T$21,0),IF('01_数值调参'!$U$7&lt;=$A12,-'01_数值调参'!$U$21,0),IF('01_数值调参'!$V$7&lt;=$A12,-'01_数值调参'!$V$21,0),IF('01_数值调参'!$W$7&lt;=$A12,-'01_数值调参'!$W$21,0)),0),IF($A12&gt;=6,(E12+$C$3)*MAX(0,IF('01_数值调参'!$X$7&lt;=$A12,-'01_数值调参'!$X$21,0),IF('01_数值调参'!$Y$7&lt;=$A12,-'01_数值调参'!$Y$21,0),IF('01_数值调参'!$Z$7&lt;=$A12,-'01_数值调参'!$Z$21,0),IF('01_数值调参'!$AA$7&lt;=$A12,-'01_数值调参'!$AA$21,0),IF('01_数值调参'!$AB$7&lt;=$A12,-'01_数值调参'!$AB$21,0),IF('01_数值调参'!$AC$7&lt;=$A12,-'01_数值调参'!$AC$21,0)),0),IF($A12&gt;=8,(F12+$C$3)*MAX(0,IF('01_数值调参'!$AD$7&lt;=$A12,-'01_数值调参'!$AD$21,0),IF('01_数值调参'!$AE$7&lt;=$A12,-'01_数值调参'!$AE$21,0),IF('01_数值调参'!$AF$7&lt;=$A12,-'01_数值调参'!$AF$21,0),IF('01_数值调参'!$AG$7&lt;=$A12,-'01_数值调参'!$AG$21,0)),0),IF($A12&gt;=10,(G12+$C$3)*MAX(0,IF('01_数值调参'!$AH$7&lt;=$A12,-'01_数值调参'!$AH$21,0),IF('01_数值调参'!$AI$7&lt;=$A12,-'01_数值调参'!$AI$21,0),IF('01_数值调参'!$AJ$7&lt;=$A12,-'01_数值调参'!$AJ$21,0),IF('01_数值调参'!$AK$7&lt;=$A12,-'01_数值调参'!$AK$21,0),IF('01_数值调参'!$AL$7&lt;=$A12,-'01_数值调参'!$AL$21,0),IF('01_数值调参'!$AM$7&lt;=$A12,-'01_数值调参'!$AM$21,0)),0),0)),"队列待修正"))</x:f>
        <x:v>—</x:v>
      </x:c>
      <x:c r="L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I$7,"—",SUM(IF($A12&gt;=2,(C12+$C$3)*MAX(0,IF('01_数值调参'!$N$7&lt;=$A12,-'01_数值调参'!$N$22,0),IF('01_数值调参'!$O$7&lt;=$A12,-'01_数值调参'!$O$22,0),IF('01_数值调参'!$P$7&lt;=$A12,-'01_数值调参'!$P$22,0),IF('01_数值调参'!$Q$7&lt;=$A12,-'01_数值调参'!$Q$22,0),IF('01_数值调参'!$R$7&lt;=$A12,-'01_数值调参'!$R$22,0)),0),IF($A12&gt;=4,(D12+$C$3)*MAX(0,IF('01_数值调参'!$S$7&lt;=$A12,-'01_数值调参'!$S$22,0),IF('01_数值调参'!$T$7&lt;=$A12,-'01_数值调参'!$T$22,0),IF('01_数值调参'!$U$7&lt;=$A12,-'01_数值调参'!$U$22,0),IF('01_数值调参'!$V$7&lt;=$A12,-'01_数值调参'!$V$22,0),IF('01_数值调参'!$W$7&lt;=$A12,-'01_数值调参'!$W$22,0)),0),IF($A12&gt;=6,(E12+$C$3)*MAX(0,IF('01_数值调参'!$X$7&lt;=$A12,-'01_数值调参'!$X$22,0),IF('01_数值调参'!$Y$7&lt;=$A12,-'01_数值调参'!$Y$22,0),IF('01_数值调参'!$Z$7&lt;=$A12,-'01_数值调参'!$Z$22,0),IF('01_数值调参'!$AA$7&lt;=$A12,-'01_数值调参'!$AA$22,0),IF('01_数值调参'!$AB$7&lt;=$A12,-'01_数值调参'!$AB$22,0),IF('01_数值调参'!$AC$7&lt;=$A12,-'01_数值调参'!$AC$22,0)),0),IF($A12&gt;=8,(F12+$C$3)*MAX(0,IF('01_数值调参'!$AD$7&lt;=$A12,-'01_数值调参'!$AD$22,0),IF('01_数值调参'!$AE$7&lt;=$A12,-'01_数值调参'!$AE$22,0),IF('01_数值调参'!$AF$7&lt;=$A12,-'01_数值调参'!$AF$22,0),IF('01_数值调参'!$AG$7&lt;=$A12,-'01_数值调参'!$AG$22,0)),0),IF($A12&gt;=10,(G12+$C$3)*MAX(0,IF('01_数值调参'!$AH$7&lt;=$A12,-'01_数值调参'!$AH$22,0),IF('01_数值调参'!$AI$7&lt;=$A12,-'01_数值调参'!$AI$22,0),IF('01_数值调参'!$AJ$7&lt;=$A12,-'01_数值调参'!$AJ$22,0),IF('01_数值调参'!$AK$7&lt;=$A12,-'01_数值调参'!$AK$22,0),IF('01_数值调参'!$AL$7&lt;=$A12,-'01_数值调参'!$AL$22,0),IF('01_数值调参'!$AM$7&lt;=$A12,-'01_数值调参'!$AM$22,0)),0),0)),"队列待修正"))</x:f>
        <x:v>—</x:v>
      </x:c>
      <x:c r="M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J$7,"—",SUM(IF($A12&gt;=2,(C12+$C$3)*MAX(0,IF('01_数值调参'!$N$7&lt;=$A12,-'01_数值调参'!$N$23,0),IF('01_数值调参'!$O$7&lt;=$A12,-'01_数值调参'!$O$23,0),IF('01_数值调参'!$P$7&lt;=$A12,-'01_数值调参'!$P$23,0),IF('01_数值调参'!$Q$7&lt;=$A12,-'01_数值调参'!$Q$23,0),IF('01_数值调参'!$R$7&lt;=$A12,-'01_数值调参'!$R$23,0)),0),IF($A12&gt;=4,(D12+$C$3)*MAX(0,IF('01_数值调参'!$S$7&lt;=$A12,-'01_数值调参'!$S$23,0),IF('01_数值调参'!$T$7&lt;=$A12,-'01_数值调参'!$T$23,0),IF('01_数值调参'!$U$7&lt;=$A12,-'01_数值调参'!$U$23,0),IF('01_数值调参'!$V$7&lt;=$A12,-'01_数值调参'!$V$23,0),IF('01_数值调参'!$W$7&lt;=$A12,-'01_数值调参'!$W$23,0)),0),IF($A12&gt;=6,(E12+$C$3)*MAX(0,IF('01_数值调参'!$X$7&lt;=$A12,-'01_数值调参'!$X$23,0),IF('01_数值调参'!$Y$7&lt;=$A12,-'01_数值调参'!$Y$23,0),IF('01_数值调参'!$Z$7&lt;=$A12,-'01_数值调参'!$Z$23,0),IF('01_数值调参'!$AA$7&lt;=$A12,-'01_数值调参'!$AA$23,0),IF('01_数值调参'!$AB$7&lt;=$A12,-'01_数值调参'!$AB$23,0),IF('01_数值调参'!$AC$7&lt;=$A12,-'01_数值调参'!$AC$23,0)),0),IF($A12&gt;=8,(F12+$C$3)*MAX(0,IF('01_数值调参'!$AD$7&lt;=$A12,-'01_数值调参'!$AD$23,0),IF('01_数值调参'!$AE$7&lt;=$A12,-'01_数值调参'!$AE$23,0),IF('01_数值调参'!$AF$7&lt;=$A12,-'01_数值调参'!$AF$23,0),IF('01_数值调参'!$AG$7&lt;=$A12,-'01_数值调参'!$AG$23,0)),0),IF($A12&gt;=10,(G12+$C$3)*MAX(0,IF('01_数值调参'!$AH$7&lt;=$A12,-'01_数值调参'!$AH$23,0),IF('01_数值调参'!$AI$7&lt;=$A12,-'01_数值调参'!$AI$23,0),IF('01_数值调参'!$AJ$7&lt;=$A12,-'01_数值调参'!$AJ$23,0),IF('01_数值调参'!$AK$7&lt;=$A12,-'01_数值调参'!$AK$23,0),IF('01_数值调参'!$AL$7&lt;=$A12,-'01_数值调参'!$AL$23,0),IF('01_数值调参'!$AM$7&lt;=$A12,-'01_数值调参'!$AM$23,0)),0),0)),"队列待修正"))</x:f>
        <x:v>—</x:v>
      </x:c>
      <x:c r="N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K$7,"—",SUM(IF($A12&gt;=2,(C12+$C$3)*MAX(0,IF('01_数值调参'!$N$7&lt;=$A12,-'01_数值调参'!$N$24,0),IF('01_数值调参'!$O$7&lt;=$A12,-'01_数值调参'!$O$24,0),IF('01_数值调参'!$P$7&lt;=$A12,-'01_数值调参'!$P$24,0),IF('01_数值调参'!$Q$7&lt;=$A12,-'01_数值调参'!$Q$24,0),IF('01_数值调参'!$R$7&lt;=$A12,-'01_数值调参'!$R$24,0)),0),IF($A12&gt;=4,(D12+$C$3)*MAX(0,IF('01_数值调参'!$S$7&lt;=$A12,-'01_数值调参'!$S$24,0),IF('01_数值调参'!$T$7&lt;=$A12,-'01_数值调参'!$T$24,0),IF('01_数值调参'!$U$7&lt;=$A12,-'01_数值调参'!$U$24,0),IF('01_数值调参'!$V$7&lt;=$A12,-'01_数值调参'!$V$24,0),IF('01_数值调参'!$W$7&lt;=$A12,-'01_数值调参'!$W$24,0)),0),IF($A12&gt;=6,(E12+$C$3)*MAX(0,IF('01_数值调参'!$X$7&lt;=$A12,-'01_数值调参'!$X$24,0),IF('01_数值调参'!$Y$7&lt;=$A12,-'01_数值调参'!$Y$24,0),IF('01_数值调参'!$Z$7&lt;=$A12,-'01_数值调参'!$Z$24,0),IF('01_数值调参'!$AA$7&lt;=$A12,-'01_数值调参'!$AA$24,0),IF('01_数值调参'!$AB$7&lt;=$A12,-'01_数值调参'!$AB$24,0),IF('01_数值调参'!$AC$7&lt;=$A12,-'01_数值调参'!$AC$24,0)),0),IF($A12&gt;=8,(F12+$C$3)*MAX(0,IF('01_数值调参'!$AD$7&lt;=$A12,-'01_数值调参'!$AD$24,0),IF('01_数值调参'!$AE$7&lt;=$A12,-'01_数值调参'!$AE$24,0),IF('01_数值调参'!$AF$7&lt;=$A12,-'01_数值调参'!$AF$24,0),IF('01_数值调参'!$AG$7&lt;=$A12,-'01_数值调参'!$AG$24,0)),0),IF($A12&gt;=10,(G12+$C$3)*MAX(0,IF('01_数值调参'!$AH$7&lt;=$A12,-'01_数值调参'!$AH$24,0),IF('01_数值调参'!$AI$7&lt;=$A12,-'01_数值调参'!$AI$24,0),IF('01_数值调参'!$AJ$7&lt;=$A12,-'01_数值调参'!$AJ$24,0),IF('01_数值调参'!$AK$7&lt;=$A12,-'01_数值调参'!$AK$24,0),IF('01_数值调参'!$AL$7&lt;=$A12,-'01_数值调参'!$AL$24,0),IF('01_数值调参'!$AM$7&lt;=$A12,-'01_数值调参'!$AM$24,0)),0),0)),"队列待修正"))</x:f>
        <x:v>—</x:v>
      </x:c>
      <x:c r="O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L$7,"—",SUM(IF($A12&gt;=2,(C12+$C$3)*MAX(0,IF('01_数值调参'!$N$7&lt;=$A12,-'01_数值调参'!$N$25,0),IF('01_数值调参'!$O$7&lt;=$A12,-'01_数值调参'!$O$25,0),IF('01_数值调参'!$P$7&lt;=$A12,-'01_数值调参'!$P$25,0),IF('01_数值调参'!$Q$7&lt;=$A12,-'01_数值调参'!$Q$25,0),IF('01_数值调参'!$R$7&lt;=$A12,-'01_数值调参'!$R$25,0)),0),IF($A12&gt;=4,(D12+$C$3)*MAX(0,IF('01_数值调参'!$S$7&lt;=$A12,-'01_数值调参'!$S$25,0),IF('01_数值调参'!$T$7&lt;=$A12,-'01_数值调参'!$T$25,0),IF('01_数值调参'!$U$7&lt;=$A12,-'01_数值调参'!$U$25,0),IF('01_数值调参'!$V$7&lt;=$A12,-'01_数值调参'!$V$25,0),IF('01_数值调参'!$W$7&lt;=$A12,-'01_数值调参'!$W$25,0)),0),IF($A12&gt;=6,(E12+$C$3)*MAX(0,IF('01_数值调参'!$X$7&lt;=$A12,-'01_数值调参'!$X$25,0),IF('01_数值调参'!$Y$7&lt;=$A12,-'01_数值调参'!$Y$25,0),IF('01_数值调参'!$Z$7&lt;=$A12,-'01_数值调参'!$Z$25,0),IF('01_数值调参'!$AA$7&lt;=$A12,-'01_数值调参'!$AA$25,0),IF('01_数值调参'!$AB$7&lt;=$A12,-'01_数值调参'!$AB$25,0),IF('01_数值调参'!$AC$7&lt;=$A12,-'01_数值调参'!$AC$25,0)),0),IF($A12&gt;=8,(F12+$C$3)*MAX(0,IF('01_数值调参'!$AD$7&lt;=$A12,-'01_数值调参'!$AD$25,0),IF('01_数值调参'!$AE$7&lt;=$A12,-'01_数值调参'!$AE$25,0),IF('01_数值调参'!$AF$7&lt;=$A12,-'01_数值调参'!$AF$25,0),IF('01_数值调参'!$AG$7&lt;=$A12,-'01_数值调参'!$AG$25,0)),0),IF($A12&gt;=10,(G12+$C$3)*MAX(0,IF('01_数值调参'!$AH$7&lt;=$A12,-'01_数值调参'!$AH$25,0),IF('01_数值调参'!$AI$7&lt;=$A12,-'01_数值调参'!$AI$25,0),IF('01_数值调参'!$AJ$7&lt;=$A12,-'01_数值调参'!$AJ$25,0),IF('01_数值调参'!$AK$7&lt;=$A12,-'01_数值调参'!$AK$25,0),IF('01_数值调参'!$AL$7&lt;=$A12,-'01_数值调参'!$AL$25,0),IF('01_数值调参'!$AM$7&lt;=$A12,-'01_数值调参'!$AM$25,0)),0),0)),"队列待修正"))</x:f>
        <x:v>—</x:v>
      </x:c>
      <x:c r="P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M$7,"—",SUM(IF($A12&gt;=2,(C12+$C$3)*MAX(0,IF('01_数值调参'!$N$7&lt;=$A12,-'01_数值调参'!$N$26,0),IF('01_数值调参'!$O$7&lt;=$A12,-'01_数值调参'!$O$26,0),IF('01_数值调参'!$P$7&lt;=$A12,-'01_数值调参'!$P$26,0),IF('01_数值调参'!$Q$7&lt;=$A12,-'01_数值调参'!$Q$26,0),IF('01_数值调参'!$R$7&lt;=$A12,-'01_数值调参'!$R$26,0)),0),IF($A12&gt;=4,(D12+$C$3)*MAX(0,IF('01_数值调参'!$S$7&lt;=$A12,-'01_数值调参'!$S$26,0),IF('01_数值调参'!$T$7&lt;=$A12,-'01_数值调参'!$T$26,0),IF('01_数值调参'!$U$7&lt;=$A12,-'01_数值调参'!$U$26,0),IF('01_数值调参'!$V$7&lt;=$A12,-'01_数值调参'!$V$26,0),IF('01_数值调参'!$W$7&lt;=$A12,-'01_数值调参'!$W$26,0)),0),IF($A12&gt;=6,(E12+$C$3)*MAX(0,IF('01_数值调参'!$X$7&lt;=$A12,-'01_数值调参'!$X$26,0),IF('01_数值调参'!$Y$7&lt;=$A12,-'01_数值调参'!$Y$26,0),IF('01_数值调参'!$Z$7&lt;=$A12,-'01_数值调参'!$Z$26,0),IF('01_数值调参'!$AA$7&lt;=$A12,-'01_数值调参'!$AA$26,0),IF('01_数值调参'!$AB$7&lt;=$A12,-'01_数值调参'!$AB$26,0),IF('01_数值调参'!$AC$7&lt;=$A12,-'01_数值调参'!$AC$26,0)),0),IF($A12&gt;=8,(F12+$C$3)*MAX(0,IF('01_数值调参'!$AD$7&lt;=$A12,-'01_数值调参'!$AD$26,0),IF('01_数值调参'!$AE$7&lt;=$A12,-'01_数值调参'!$AE$26,0),IF('01_数值调参'!$AF$7&lt;=$A12,-'01_数值调参'!$AF$26,0),IF('01_数值调参'!$AG$7&lt;=$A12,-'01_数值调参'!$AG$26,0)),0),IF($A12&gt;=10,(G12+$C$3)*MAX(0,IF('01_数值调参'!$AH$7&lt;=$A12,-'01_数值调参'!$AH$26,0),IF('01_数值调参'!$AI$7&lt;=$A12,-'01_数值调参'!$AI$26,0),IF('01_数值调参'!$AJ$7&lt;=$A12,-'01_数值调参'!$AJ$26,0),IF('01_数值调参'!$AK$7&lt;=$A12,-'01_数值调参'!$AK$26,0),IF('01_数值调参'!$AL$7&lt;=$A12,-'01_数值调参'!$AL$26,0),IF('01_数值调参'!$AM$7&lt;=$A12,-'01_数值调参'!$AM$26,0)),0),0)),"队列待修正"))</x:f>
        <x:v>—</x:v>
      </x:c>
      <x:c r="Q12" s="216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N$7,"—",SUM(IF($A12&gt;=2,(C12+$C$3)*MAX(0,IF('01_数值调参'!$N$7&lt;=$A12,0,0),IF('01_数值调参'!$O$7&lt;=$A12,-'01_数值调参'!$O$27,0),IF('01_数值调参'!$P$7&lt;=$A12,-'01_数值调参'!$P$27,0),IF('01_数值调参'!$Q$7&lt;=$A12,-'01_数值调参'!$Q$27,0),IF('01_数值调参'!$R$7&lt;=$A12,-'01_数值调参'!$R$27,0)),0),IF($A12&gt;=4,(D12+$C$3)*MAX(0,IF('01_数值调参'!$S$7&lt;=$A12,-'01_数值调参'!$S$27,0),IF('01_数值调参'!$T$7&lt;=$A12,-'01_数值调参'!$T$27,0),IF('01_数值调参'!$U$7&lt;=$A12,-'01_数值调参'!$U$27,0),IF('01_数值调参'!$V$7&lt;=$A12,-'01_数值调参'!$V$27,0),IF('01_数值调参'!$W$7&lt;=$A12,-'01_数值调参'!$W$27,0)),0),IF($A12&gt;=6,(E12+$C$3)*MAX(0,IF('01_数值调参'!$X$7&lt;=$A12,-'01_数值调参'!$X$27,0),IF('01_数值调参'!$Y$7&lt;=$A12,-'01_数值调参'!$Y$27,0),IF('01_数值调参'!$Z$7&lt;=$A12,-'01_数值调参'!$Z$27,0),IF('01_数值调参'!$AA$7&lt;=$A12,-'01_数值调参'!$AA$27,0),IF('01_数值调参'!$AB$7&lt;=$A12,-'01_数值调参'!$AB$27,0),IF('01_数值调参'!$AC$7&lt;=$A12,-'01_数值调参'!$AC$27,0)),0),IF($A12&gt;=8,(F12+$C$3)*MAX(0,IF('01_数值调参'!$AD$7&lt;=$A12,-'01_数值调参'!$AD$27,0),IF('01_数值调参'!$AE$7&lt;=$A12,-'01_数值调参'!$AE$27,0),IF('01_数值调参'!$AF$7&lt;=$A12,-'01_数值调参'!$AF$27,0),IF('01_数值调参'!$AG$7&lt;=$A12,-'01_数值调参'!$AG$27,0)),0),IF($A12&gt;=10,(G12+$C$3)*MAX(0,IF('01_数值调参'!$AH$7&lt;=$A12,-'01_数值调参'!$AH$27,0),IF('01_数值调参'!$AI$7&lt;=$A12,-'01_数值调参'!$AI$27,0),IF('01_数值调参'!$AJ$7&lt;=$A12,-'01_数值调参'!$AJ$27,0),IF('01_数值调参'!$AK$7&lt;=$A12,-'01_数值调参'!$AK$27,0),IF('01_数值调参'!$AL$7&lt;=$A12,-'01_数值调参'!$AL$27,0),IF('01_数值调参'!$AM$7&lt;=$A12,-'01_数值调参'!$AM$27,0)),0),0)),"队列待修正"))</x:f>
        <x:v>3</x:v>
      </x:c>
      <x:c r="R12" s="217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O$7,"—",SUM(IF($A12&gt;=2,(C12+$C$3)*MAX(0,IF('01_数值调参'!$N$7&lt;=$A12,-'01_数值调参'!$N$28,0),IF('01_数值调参'!$O$7&lt;=$A12,0,0),IF('01_数值调参'!$P$7&lt;=$A12,-'01_数值调参'!$P$28,0),IF('01_数值调参'!$Q$7&lt;=$A12,-'01_数值调参'!$Q$28,0),IF('01_数值调参'!$R$7&lt;=$A12,-'01_数值调参'!$R$28,0)),0),IF($A12&gt;=4,(D12+$C$3)*MAX(0,IF('01_数值调参'!$S$7&lt;=$A12,-'01_数值调参'!$S$28,0),IF('01_数值调参'!$T$7&lt;=$A12,-'01_数值调参'!$T$28,0),IF('01_数值调参'!$U$7&lt;=$A12,-'01_数值调参'!$U$28,0),IF('01_数值调参'!$V$7&lt;=$A12,-'01_数值调参'!$V$28,0),IF('01_数值调参'!$W$7&lt;=$A12,-'01_数值调参'!$W$28,0)),0),IF($A12&gt;=6,(E12+$C$3)*MAX(0,IF('01_数值调参'!$X$7&lt;=$A12,-'01_数值调参'!$X$28,0),IF('01_数值调参'!$Y$7&lt;=$A12,-'01_数值调参'!$Y$28,0),IF('01_数值调参'!$Z$7&lt;=$A12,-'01_数值调参'!$Z$28,0),IF('01_数值调参'!$AA$7&lt;=$A12,-'01_数值调参'!$AA$28,0),IF('01_数值调参'!$AB$7&lt;=$A12,-'01_数值调参'!$AB$28,0),IF('01_数值调参'!$AC$7&lt;=$A12,-'01_数值调参'!$AC$28,0)),0),IF($A12&gt;=8,(F12+$C$3)*MAX(0,IF('01_数值调参'!$AD$7&lt;=$A12,-'01_数值调参'!$AD$28,0),IF('01_数值调参'!$AE$7&lt;=$A12,-'01_数值调参'!$AE$28,0),IF('01_数值调参'!$AF$7&lt;=$A12,-'01_数值调参'!$AF$28,0),IF('01_数值调参'!$AG$7&lt;=$A12,-'01_数值调参'!$AG$28,0)),0),IF($A12&gt;=10,(G12+$C$3)*MAX(0,IF('01_数值调参'!$AH$7&lt;=$A12,-'01_数值调参'!$AH$28,0),IF('01_数值调参'!$AI$7&lt;=$A12,-'01_数值调参'!$AI$28,0),IF('01_数值调参'!$AJ$7&lt;=$A12,-'01_数值调参'!$AJ$28,0),IF('01_数值调参'!$AK$7&lt;=$A12,-'01_数值调参'!$AK$28,0),IF('01_数值调参'!$AL$7&lt;=$A12,-'01_数值调参'!$AL$28,0),IF('01_数值调参'!$AM$7&lt;=$A12,-'01_数值调参'!$AM$28,0)),0),0)),"队列待修正"))</x:f>
        <x:v>0</x:v>
      </x:c>
      <x:c r="S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P$7,"—",SUM(IF($A12&gt;=2,(C12+$C$3)*MAX(0,IF('01_数值调参'!$N$7&lt;=$A12,-'01_数值调参'!$N$29,0),IF('01_数值调参'!$O$7&lt;=$A12,-'01_数值调参'!$O$29,0),IF('01_数值调参'!$P$7&lt;=$A12,0,0),IF('01_数值调参'!$Q$7&lt;=$A12,-'01_数值调参'!$Q$29,0),IF('01_数值调参'!$R$7&lt;=$A12,-'01_数值调参'!$R$29,0)),0),IF($A12&gt;=4,(D12+$C$3)*MAX(0,IF('01_数值调参'!$S$7&lt;=$A12,-'01_数值调参'!$S$29,0),IF('01_数值调参'!$T$7&lt;=$A12,-'01_数值调参'!$T$29,0),IF('01_数值调参'!$U$7&lt;=$A12,-'01_数值调参'!$U$29,0),IF('01_数值调参'!$V$7&lt;=$A12,-'01_数值调参'!$V$29,0),IF('01_数值调参'!$W$7&lt;=$A12,-'01_数值调参'!$W$29,0)),0),IF($A12&gt;=6,(E12+$C$3)*MAX(0,IF('01_数值调参'!$X$7&lt;=$A12,-'01_数值调参'!$X$29,0),IF('01_数值调参'!$Y$7&lt;=$A12,-'01_数值调参'!$Y$29,0),IF('01_数值调参'!$Z$7&lt;=$A12,-'01_数值调参'!$Z$29,0),IF('01_数值调参'!$AA$7&lt;=$A12,-'01_数值调参'!$AA$29,0),IF('01_数值调参'!$AB$7&lt;=$A12,-'01_数值调参'!$AB$29,0),IF('01_数值调参'!$AC$7&lt;=$A12,-'01_数值调参'!$AC$29,0)),0),IF($A12&gt;=8,(F12+$C$3)*MAX(0,IF('01_数值调参'!$AD$7&lt;=$A12,-'01_数值调参'!$AD$29,0),IF('01_数值调参'!$AE$7&lt;=$A12,-'01_数值调参'!$AE$29,0),IF('01_数值调参'!$AF$7&lt;=$A12,-'01_数值调参'!$AF$29,0),IF('01_数值调参'!$AG$7&lt;=$A12,-'01_数值调参'!$AG$29,0)),0),IF($A12&gt;=10,(G12+$C$3)*MAX(0,IF('01_数值调参'!$AH$7&lt;=$A12,-'01_数值调参'!$AH$29,0),IF('01_数值调参'!$AI$7&lt;=$A12,-'01_数值调参'!$AI$29,0),IF('01_数值调参'!$AJ$7&lt;=$A12,-'01_数值调参'!$AJ$29,0),IF('01_数值调参'!$AK$7&lt;=$A12,-'01_数值调参'!$AK$29,0),IF('01_数值调参'!$AL$7&lt;=$A12,-'01_数值调参'!$AL$29,0),IF('01_数值调参'!$AM$7&lt;=$A12,-'01_数值调参'!$AM$29,0)),0),0)),"队列待修正"))</x:f>
        <x:v>—</x:v>
      </x:c>
      <x:c r="T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Q$7,"—",SUM(IF($A12&gt;=2,(C12+$C$3)*MAX(0,IF('01_数值调参'!$N$7&lt;=$A12,-'01_数值调参'!$N$30,0),IF('01_数值调参'!$O$7&lt;=$A12,-'01_数值调参'!$O$30,0),IF('01_数值调参'!$P$7&lt;=$A12,-'01_数值调参'!$P$30,0),IF('01_数值调参'!$Q$7&lt;=$A12,0,0),IF('01_数值调参'!$R$7&lt;=$A12,-'01_数值调参'!$R$30,0)),0),IF($A12&gt;=4,(D12+$C$3)*MAX(0,IF('01_数值调参'!$S$7&lt;=$A12,-'01_数值调参'!$S$30,0),IF('01_数值调参'!$T$7&lt;=$A12,-'01_数值调参'!$T$30,0),IF('01_数值调参'!$U$7&lt;=$A12,-'01_数值调参'!$U$30,0),IF('01_数值调参'!$V$7&lt;=$A12,-'01_数值调参'!$V$30,0),IF('01_数值调参'!$W$7&lt;=$A12,-'01_数值调参'!$W$30,0)),0),IF($A12&gt;=6,(E12+$C$3)*MAX(0,IF('01_数值调参'!$X$7&lt;=$A12,-'01_数值调参'!$X$30,0),IF('01_数值调参'!$Y$7&lt;=$A12,-'01_数值调参'!$Y$30,0),IF('01_数值调参'!$Z$7&lt;=$A12,-'01_数值调参'!$Z$30,0),IF('01_数值调参'!$AA$7&lt;=$A12,-'01_数值调参'!$AA$30,0),IF('01_数值调参'!$AB$7&lt;=$A12,-'01_数值调参'!$AB$30,0),IF('01_数值调参'!$AC$7&lt;=$A12,-'01_数值调参'!$AC$30,0)),0),IF($A12&gt;=8,(F12+$C$3)*MAX(0,IF('01_数值调参'!$AD$7&lt;=$A12,-'01_数值调参'!$AD$30,0),IF('01_数值调参'!$AE$7&lt;=$A12,-'01_数值调参'!$AE$30,0),IF('01_数值调参'!$AF$7&lt;=$A12,-'01_数值调参'!$AF$30,0),IF('01_数值调参'!$AG$7&lt;=$A12,-'01_数值调参'!$AG$30,0)),0),IF($A12&gt;=10,(G12+$C$3)*MAX(0,IF('01_数值调参'!$AH$7&lt;=$A12,-'01_数值调参'!$AH$30,0),IF('01_数值调参'!$AI$7&lt;=$A12,-'01_数值调参'!$AI$30,0),IF('01_数值调参'!$AJ$7&lt;=$A12,-'01_数值调参'!$AJ$30,0),IF('01_数值调参'!$AK$7&lt;=$A12,-'01_数值调参'!$AK$30,0),IF('01_数值调参'!$AL$7&lt;=$A12,-'01_数值调参'!$AL$30,0),IF('01_数值调参'!$AM$7&lt;=$A12,-'01_数值调参'!$AM$30,0)),0),0)),"队列待修正"))</x:f>
        <x:v>—</x:v>
      </x:c>
      <x:c r="U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R$7,"—",SUM(IF($A12&gt;=2,(C12+$C$3)*MAX(0,IF('01_数值调参'!$N$7&lt;=$A12,-'01_数值调参'!$N$31,0),IF('01_数值调参'!$O$7&lt;=$A12,-'01_数值调参'!$O$31,0),IF('01_数值调参'!$P$7&lt;=$A12,-'01_数值调参'!$P$31,0),IF('01_数值调参'!$Q$7&lt;=$A12,-'01_数值调参'!$Q$31,0),IF('01_数值调参'!$R$7&lt;=$A12,0,0)),0),IF($A12&gt;=4,(D12+$C$3)*MAX(0,IF('01_数值调参'!$S$7&lt;=$A12,-'01_数值调参'!$S$31,0),IF('01_数值调参'!$T$7&lt;=$A12,-'01_数值调参'!$T$31,0),IF('01_数值调参'!$U$7&lt;=$A12,-'01_数值调参'!$U$31,0),IF('01_数值调参'!$V$7&lt;=$A12,-'01_数值调参'!$V$31,0),IF('01_数值调参'!$W$7&lt;=$A12,-'01_数值调参'!$W$31,0)),0),IF($A12&gt;=6,(E12+$C$3)*MAX(0,IF('01_数值调参'!$X$7&lt;=$A12,-'01_数值调参'!$X$31,0),IF('01_数值调参'!$Y$7&lt;=$A12,-'01_数值调参'!$Y$31,0),IF('01_数值调参'!$Z$7&lt;=$A12,-'01_数值调参'!$Z$31,0),IF('01_数值调参'!$AA$7&lt;=$A12,-'01_数值调参'!$AA$31,0),IF('01_数值调参'!$AB$7&lt;=$A12,-'01_数值调参'!$AB$31,0),IF('01_数值调参'!$AC$7&lt;=$A12,-'01_数值调参'!$AC$31,0)),0),IF($A12&gt;=8,(F12+$C$3)*MAX(0,IF('01_数值调参'!$AD$7&lt;=$A12,-'01_数值调参'!$AD$31,0),IF('01_数值调参'!$AE$7&lt;=$A12,-'01_数值调参'!$AE$31,0),IF('01_数值调参'!$AF$7&lt;=$A12,-'01_数值调参'!$AF$31,0),IF('01_数值调参'!$AG$7&lt;=$A12,-'01_数值调参'!$AG$31,0)),0),IF($A12&gt;=10,(G12+$C$3)*MAX(0,IF('01_数值调参'!$AH$7&lt;=$A12,-'01_数值调参'!$AH$31,0),IF('01_数值调参'!$AI$7&lt;=$A12,-'01_数值调参'!$AI$31,0),IF('01_数值调参'!$AJ$7&lt;=$A12,-'01_数值调参'!$AJ$31,0),IF('01_数值调参'!$AK$7&lt;=$A12,-'01_数值调参'!$AK$31,0),IF('01_数值调参'!$AL$7&lt;=$A12,-'01_数值调参'!$AL$31,0),IF('01_数值调参'!$AM$7&lt;=$A12,-'01_数值调参'!$AM$31,0)),0),0)),"队列待修正"))</x:f>
        <x:v>—</x:v>
      </x:c>
      <x:c r="V12" s="216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S$7,"—",SUM(IF($A12&gt;=2,(C12+$C$3)*MAX(0,IF('01_数值调参'!$N$7&lt;=$A12,-'01_数值调参'!$N$32,0),IF('01_数值调参'!$O$7&lt;=$A12,-'01_数值调参'!$O$32,0),IF('01_数值调参'!$P$7&lt;=$A12,-'01_数值调参'!$P$32,0),IF('01_数值调参'!$Q$7&lt;=$A12,-'01_数值调参'!$Q$32,0),IF('01_数值调参'!$R$7&lt;=$A12,-'01_数值调参'!$R$32,0)),0),IF($A12&gt;=4,(D12+$C$3)*MAX(0,IF('01_数值调参'!$S$7&lt;=$A12,0,0),IF('01_数值调参'!$T$7&lt;=$A12,-'01_数值调参'!$T$32,0),IF('01_数值调参'!$U$7&lt;=$A12,-'01_数值调参'!$U$32,0),IF('01_数值调参'!$V$7&lt;=$A12,-'01_数值调参'!$V$32,0),IF('01_数值调参'!$W$7&lt;=$A12,-'01_数值调参'!$W$32,0)),0),IF($A12&gt;=6,(E12+$C$3)*MAX(0,IF('01_数值调参'!$X$7&lt;=$A12,-'01_数值调参'!$X$32,0),IF('01_数值调参'!$Y$7&lt;=$A12,-'01_数值调参'!$Y$32,0),IF('01_数值调参'!$Z$7&lt;=$A12,-'01_数值调参'!$Z$32,0),IF('01_数值调参'!$AA$7&lt;=$A12,-'01_数值调参'!$AA$32,0),IF('01_数值调参'!$AB$7&lt;=$A12,-'01_数值调参'!$AB$32,0),IF('01_数值调参'!$AC$7&lt;=$A12,-'01_数值调参'!$AC$32,0)),0),IF($A12&gt;=8,(F12+$C$3)*MAX(0,IF('01_数值调参'!$AD$7&lt;=$A12,-'01_数值调参'!$AD$32,0),IF('01_数值调参'!$AE$7&lt;=$A12,-'01_数值调参'!$AE$32,0),IF('01_数值调参'!$AF$7&lt;=$A12,-'01_数值调参'!$AF$32,0),IF('01_数值调参'!$AG$7&lt;=$A12,-'01_数值调参'!$AG$32,0)),0),IF($A12&gt;=10,(G12+$C$3)*MAX(0,IF('01_数值调参'!$AH$7&lt;=$A12,-'01_数值调参'!$AH$32,0),IF('01_数值调参'!$AI$7&lt;=$A12,-'01_数值调参'!$AI$32,0),IF('01_数值调参'!$AJ$7&lt;=$A12,-'01_数值调参'!$AJ$32,0),IF('01_数值调参'!$AK$7&lt;=$A12,-'01_数值调参'!$AK$32,0),IF('01_数值调参'!$AL$7&lt;=$A12,-'01_数值调参'!$AL$32,0),IF('01_数值调参'!$AM$7&lt;=$A12,-'01_数值调参'!$AM$32,0)),0),0)),"队列待修正"))</x:f>
        <x:v>3</x:v>
      </x:c>
      <x:c r="W12" s="217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T$7,"—",SUM(IF($A12&gt;=2,(C12+$C$3)*MAX(0,IF('01_数值调参'!$N$7&lt;=$A12,-'01_数值调参'!$N$33,0),IF('01_数值调参'!$O$7&lt;=$A12,-'01_数值调参'!$O$33,0),IF('01_数值调参'!$P$7&lt;=$A12,-'01_数值调参'!$P$33,0),IF('01_数值调参'!$Q$7&lt;=$A12,-'01_数值调参'!$Q$33,0),IF('01_数值调参'!$R$7&lt;=$A12,-'01_数值调参'!$R$33,0)),0),IF($A12&gt;=4,(D12+$C$3)*MAX(0,IF('01_数值调参'!$S$7&lt;=$A12,-'01_数值调参'!$S$33,0),IF('01_数值调参'!$T$7&lt;=$A12,0,0),IF('01_数值调参'!$U$7&lt;=$A12,-'01_数值调参'!$U$33,0),IF('01_数值调参'!$V$7&lt;=$A12,-'01_数值调参'!$V$33,0),IF('01_数值调参'!$W$7&lt;=$A12,-'01_数值调参'!$W$33,0)),0),IF($A12&gt;=6,(E12+$C$3)*MAX(0,IF('01_数值调参'!$X$7&lt;=$A12,-'01_数值调参'!$X$33,0),IF('01_数值调参'!$Y$7&lt;=$A12,-'01_数值调参'!$Y$33,0),IF('01_数值调参'!$Z$7&lt;=$A12,-'01_数值调参'!$Z$33,0),IF('01_数值调参'!$AA$7&lt;=$A12,-'01_数值调参'!$AA$33,0),IF('01_数值调参'!$AB$7&lt;=$A12,-'01_数值调参'!$AB$33,0),IF('01_数值调参'!$AC$7&lt;=$A12,-'01_数值调参'!$AC$33,0)),0),IF($A12&gt;=8,(F12+$C$3)*MAX(0,IF('01_数值调参'!$AD$7&lt;=$A12,-'01_数值调参'!$AD$33,0),IF('01_数值调参'!$AE$7&lt;=$A12,-'01_数值调参'!$AE$33,0),IF('01_数值调参'!$AF$7&lt;=$A12,-'01_数值调参'!$AF$33,0),IF('01_数值调参'!$AG$7&lt;=$A12,-'01_数值调参'!$AG$33,0)),0),IF($A12&gt;=10,(G12+$C$3)*MAX(0,IF('01_数值调参'!$AH$7&lt;=$A12,-'01_数值调参'!$AH$33,0),IF('01_数值调参'!$AI$7&lt;=$A12,-'01_数值调参'!$AI$33,0),IF('01_数值调参'!$AJ$7&lt;=$A12,-'01_数值调参'!$AJ$33,0),IF('01_数值调参'!$AK$7&lt;=$A12,-'01_数值调参'!$AK$33,0),IF('01_数值调参'!$AL$7&lt;=$A12,-'01_数值调参'!$AL$33,0),IF('01_数值调参'!$AM$7&lt;=$A12,-'01_数值调参'!$AM$33,0)),0),0)),"队列待修正"))</x:f>
        <x:v>0</x:v>
      </x:c>
      <x:c r="X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U$7,"—",SUM(IF($A12&gt;=2,(C12+$C$3)*MAX(0,IF('01_数值调参'!$N$7&lt;=$A12,-'01_数值调参'!$N$34,0),IF('01_数值调参'!$O$7&lt;=$A12,-'01_数值调参'!$O$34,0),IF('01_数值调参'!$P$7&lt;=$A12,-'01_数值调参'!$P$34,0),IF('01_数值调参'!$Q$7&lt;=$A12,-'01_数值调参'!$Q$34,0),IF('01_数值调参'!$R$7&lt;=$A12,-'01_数值调参'!$R$34,0)),0),IF($A12&gt;=4,(D12+$C$3)*MAX(0,IF('01_数值调参'!$S$7&lt;=$A12,-'01_数值调参'!$S$34,0),IF('01_数值调参'!$T$7&lt;=$A12,-'01_数值调参'!$T$34,0),IF('01_数值调参'!$U$7&lt;=$A12,0,0),IF('01_数值调参'!$V$7&lt;=$A12,-'01_数值调参'!$V$34,0),IF('01_数值调参'!$W$7&lt;=$A12,-'01_数值调参'!$W$34,0)),0),IF($A12&gt;=6,(E12+$C$3)*MAX(0,IF('01_数值调参'!$X$7&lt;=$A12,-'01_数值调参'!$X$34,0),IF('01_数值调参'!$Y$7&lt;=$A12,-'01_数值调参'!$Y$34,0),IF('01_数值调参'!$Z$7&lt;=$A12,-'01_数值调参'!$Z$34,0),IF('01_数值调参'!$AA$7&lt;=$A12,-'01_数值调参'!$AA$34,0),IF('01_数值调参'!$AB$7&lt;=$A12,-'01_数值调参'!$AB$34,0),IF('01_数值调参'!$AC$7&lt;=$A12,-'01_数值调参'!$AC$34,0)),0),IF($A12&gt;=8,(F12+$C$3)*MAX(0,IF('01_数值调参'!$AD$7&lt;=$A12,-'01_数值调参'!$AD$34,0),IF('01_数值调参'!$AE$7&lt;=$A12,-'01_数值调参'!$AE$34,0),IF('01_数值调参'!$AF$7&lt;=$A12,-'01_数值调参'!$AF$34,0),IF('01_数值调参'!$AG$7&lt;=$A12,-'01_数值调参'!$AG$34,0)),0),IF($A12&gt;=10,(G12+$C$3)*MAX(0,IF('01_数值调参'!$AH$7&lt;=$A12,-'01_数值调参'!$AH$34,0),IF('01_数值调参'!$AI$7&lt;=$A12,-'01_数值调参'!$AI$34,0),IF('01_数值调参'!$AJ$7&lt;=$A12,-'01_数值调参'!$AJ$34,0),IF('01_数值调参'!$AK$7&lt;=$A12,-'01_数值调参'!$AK$34,0),IF('01_数值调参'!$AL$7&lt;=$A12,-'01_数值调参'!$AL$34,0),IF('01_数值调参'!$AM$7&lt;=$A12,-'01_数值调参'!$AM$34,0)),0),0)),"队列待修正"))</x:f>
        <x:v>—</x:v>
      </x:c>
      <x:c r="Y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V$7,"—",SUM(IF($A12&gt;=2,(C12+$C$3)*MAX(0,IF('01_数值调参'!$N$7&lt;=$A12,-'01_数值调参'!$N$35,0),IF('01_数值调参'!$O$7&lt;=$A12,-'01_数值调参'!$O$35,0),IF('01_数值调参'!$P$7&lt;=$A12,-'01_数值调参'!$P$35,0),IF('01_数值调参'!$Q$7&lt;=$A12,-'01_数值调参'!$Q$35,0),IF('01_数值调参'!$R$7&lt;=$A12,-'01_数值调参'!$R$35,0)),0),IF($A12&gt;=4,(D12+$C$3)*MAX(0,IF('01_数值调参'!$S$7&lt;=$A12,-'01_数值调参'!$S$35,0),IF('01_数值调参'!$T$7&lt;=$A12,-'01_数值调参'!$T$35,0),IF('01_数值调参'!$U$7&lt;=$A12,-'01_数值调参'!$U$35,0),IF('01_数值调参'!$V$7&lt;=$A12,0,0),IF('01_数值调参'!$W$7&lt;=$A12,-'01_数值调参'!$W$35,0)),0),IF($A12&gt;=6,(E12+$C$3)*MAX(0,IF('01_数值调参'!$X$7&lt;=$A12,-'01_数值调参'!$X$35,0),IF('01_数值调参'!$Y$7&lt;=$A12,-'01_数值调参'!$Y$35,0),IF('01_数值调参'!$Z$7&lt;=$A12,-'01_数值调参'!$Z$35,0),IF('01_数值调参'!$AA$7&lt;=$A12,-'01_数值调参'!$AA$35,0),IF('01_数值调参'!$AB$7&lt;=$A12,-'01_数值调参'!$AB$35,0),IF('01_数值调参'!$AC$7&lt;=$A12,-'01_数值调参'!$AC$35,0)),0),IF($A12&gt;=8,(F12+$C$3)*MAX(0,IF('01_数值调参'!$AD$7&lt;=$A12,-'01_数值调参'!$AD$35,0),IF('01_数值调参'!$AE$7&lt;=$A12,-'01_数值调参'!$AE$35,0),IF('01_数值调参'!$AF$7&lt;=$A12,-'01_数值调参'!$AF$35,0),IF('01_数值调参'!$AG$7&lt;=$A12,-'01_数值调参'!$AG$35,0)),0),IF($A12&gt;=10,(G12+$C$3)*MAX(0,IF('01_数值调参'!$AH$7&lt;=$A12,-'01_数值调参'!$AH$35,0),IF('01_数值调参'!$AI$7&lt;=$A12,-'01_数值调参'!$AI$35,0),IF('01_数值调参'!$AJ$7&lt;=$A12,-'01_数值调参'!$AJ$35,0),IF('01_数值调参'!$AK$7&lt;=$A12,-'01_数值调参'!$AK$35,0),IF('01_数值调参'!$AL$7&lt;=$A12,-'01_数值调参'!$AL$35,0),IF('01_数值调参'!$AM$7&lt;=$A12,-'01_数值调参'!$AM$35,0)),0),0)),"队列待修正"))</x:f>
        <x:v>—</x:v>
      </x:c>
      <x:c r="Z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W$7,"—",SUM(IF($A12&gt;=2,(C12+$C$3)*MAX(0,IF('01_数值调参'!$N$7&lt;=$A12,-'01_数值调参'!$N$36,0),IF('01_数值调参'!$O$7&lt;=$A12,-'01_数值调参'!$O$36,0),IF('01_数值调参'!$P$7&lt;=$A12,-'01_数值调参'!$P$36,0),IF('01_数值调参'!$Q$7&lt;=$A12,-'01_数值调参'!$Q$36,0),IF('01_数值调参'!$R$7&lt;=$A12,-'01_数值调参'!$R$36,0)),0),IF($A12&gt;=4,(D12+$C$3)*MAX(0,IF('01_数值调参'!$S$7&lt;=$A12,-'01_数值调参'!$S$36,0),IF('01_数值调参'!$T$7&lt;=$A12,-'01_数值调参'!$T$36,0),IF('01_数值调参'!$U$7&lt;=$A12,-'01_数值调参'!$U$36,0),IF('01_数值调参'!$V$7&lt;=$A12,-'01_数值调参'!$V$36,0),IF('01_数值调参'!$W$7&lt;=$A12,0,0)),0),IF($A12&gt;=6,(E12+$C$3)*MAX(0,IF('01_数值调参'!$X$7&lt;=$A12,-'01_数值调参'!$X$36,0),IF('01_数值调参'!$Y$7&lt;=$A12,-'01_数值调参'!$Y$36,0),IF('01_数值调参'!$Z$7&lt;=$A12,-'01_数值调参'!$Z$36,0),IF('01_数值调参'!$AA$7&lt;=$A12,-'01_数值调参'!$AA$36,0),IF('01_数值调参'!$AB$7&lt;=$A12,-'01_数值调参'!$AB$36,0),IF('01_数值调参'!$AC$7&lt;=$A12,-'01_数值调参'!$AC$36,0)),0),IF($A12&gt;=8,(F12+$C$3)*MAX(0,IF('01_数值调参'!$AD$7&lt;=$A12,-'01_数值调参'!$AD$36,0),IF('01_数值调参'!$AE$7&lt;=$A12,-'01_数值调参'!$AE$36,0),IF('01_数值调参'!$AF$7&lt;=$A12,-'01_数值调参'!$AF$36,0),IF('01_数值调参'!$AG$7&lt;=$A12,-'01_数值调参'!$AG$36,0)),0),IF($A12&gt;=10,(G12+$C$3)*MAX(0,IF('01_数值调参'!$AH$7&lt;=$A12,-'01_数值调参'!$AH$36,0),IF('01_数值调参'!$AI$7&lt;=$A12,-'01_数值调参'!$AI$36,0),IF('01_数值调参'!$AJ$7&lt;=$A12,-'01_数值调参'!$AJ$36,0),IF('01_数值调参'!$AK$7&lt;=$A12,-'01_数值调参'!$AK$36,0),IF('01_数值调参'!$AL$7&lt;=$A12,-'01_数值调参'!$AL$36,0),IF('01_数值调参'!$AM$7&lt;=$A12,-'01_数值调参'!$AM$36,0)),0),0)),"队列待修正"))</x:f>
        <x:v>—</x:v>
      </x:c>
      <x:c r="AA12" s="216" t="n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X$7,"—",SUM(IF($A12&gt;=2,(C12+$C$3)*MAX(0,IF('01_数值调参'!$N$7&lt;=$A12,-'01_数值调参'!$N$37,0),IF('01_数值调参'!$O$7&lt;=$A12,-'01_数值调参'!$O$37,0),IF('01_数值调参'!$P$7&lt;=$A12,-'01_数值调参'!$P$37,0),IF('01_数值调参'!$Q$7&lt;=$A12,-'01_数值调参'!$Q$37,0),IF('01_数值调参'!$R$7&lt;=$A12,-'01_数值调参'!$R$37,0)),0),IF($A12&gt;=4,(D12+$C$3)*MAX(0,IF('01_数值调参'!$S$7&lt;=$A12,-'01_数值调参'!$S$37,0),IF('01_数值调参'!$T$7&lt;=$A12,-'01_数值调参'!$T$37,0),IF('01_数值调参'!$U$7&lt;=$A12,-'01_数值调参'!$U$37,0),IF('01_数值调参'!$V$7&lt;=$A12,-'01_数值调参'!$V$37,0),IF('01_数值调参'!$W$7&lt;=$A12,-'01_数值调参'!$W$37,0)),0),IF($A12&gt;=6,(E12+$C$3)*MAX(0,IF('01_数值调参'!$X$7&lt;=$A12,0,0),IF('01_数值调参'!$Y$7&lt;=$A12,-'01_数值调参'!$Y$37,0),IF('01_数值调参'!$Z$7&lt;=$A12,-'01_数值调参'!$Z$37,0),IF('01_数值调参'!$AA$7&lt;=$A12,-'01_数值调参'!$AA$37,0),IF('01_数值调参'!$AB$7&lt;=$A12,-'01_数值调参'!$AB$37,0),IF('01_数值调参'!$AC$7&lt;=$A12,-'01_数值调参'!$AC$37,0)),0),IF($A12&gt;=8,(F12+$C$3)*MAX(0,IF('01_数值调参'!$AD$7&lt;=$A12,-'01_数值调参'!$AD$37,0),IF('01_数值调参'!$AE$7&lt;=$A12,-'01_数值调参'!$AE$37,0),IF('01_数值调参'!$AF$7&lt;=$A12,-'01_数值调参'!$AF$37,0),IF('01_数值调参'!$AG$7&lt;=$A12,-'01_数值调参'!$AG$37,0)),0),IF($A12&gt;=10,(G12+$C$3)*MAX(0,IF('01_数值调参'!$AH$7&lt;=$A12,-'01_数值调参'!$AH$37,0),IF('01_数值调参'!$AI$7&lt;=$A12,-'01_数值调参'!$AI$37,0),IF('01_数值调参'!$AJ$7&lt;=$A12,-'01_数值调参'!$AJ$37,0),IF('01_数值调参'!$AK$7&lt;=$A12,-'01_数值调参'!$AK$37,0),IF('01_数值调参'!$AL$7&lt;=$A12,-'01_数值调参'!$AL$37,0),IF('01_数值调参'!$AM$7&lt;=$A12,-'01_数值调参'!$AM$37,0)),0),0)),"队列待修正"))</x:f>
        <x:v>0</x:v>
      </x:c>
      <x:c r="AB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Y$7,"—",SUM(IF($A12&gt;=2,(C12+$C$3)*MAX(0,IF('01_数值调参'!$N$7&lt;=$A12,-'01_数值调参'!$N$38,0),IF('01_数值调参'!$O$7&lt;=$A12,-'01_数值调参'!$O$38,0),IF('01_数值调参'!$P$7&lt;=$A12,-'01_数值调参'!$P$38,0),IF('01_数值调参'!$Q$7&lt;=$A12,-'01_数值调参'!$Q$38,0),IF('01_数值调参'!$R$7&lt;=$A12,-'01_数值调参'!$R$38,0)),0),IF($A12&gt;=4,(D12+$C$3)*MAX(0,IF('01_数值调参'!$S$7&lt;=$A12,-'01_数值调参'!$S$38,0),IF('01_数值调参'!$T$7&lt;=$A12,-'01_数值调参'!$T$38,0),IF('01_数值调参'!$U$7&lt;=$A12,-'01_数值调参'!$U$38,0),IF('01_数值调参'!$V$7&lt;=$A12,-'01_数值调参'!$V$38,0),IF('01_数值调参'!$W$7&lt;=$A12,-'01_数值调参'!$W$38,0)),0),IF($A12&gt;=6,(E12+$C$3)*MAX(0,IF('01_数值调参'!$X$7&lt;=$A12,-'01_数值调参'!$X$38,0),IF('01_数值调参'!$Y$7&lt;=$A12,0,0),IF('01_数值调参'!$Z$7&lt;=$A12,-'01_数值调参'!$Z$38,0),IF('01_数值调参'!$AA$7&lt;=$A12,-'01_数值调参'!$AA$38,0),IF('01_数值调参'!$AB$7&lt;=$A12,-'01_数值调参'!$AB$38,0),IF('01_数值调参'!$AC$7&lt;=$A12,-'01_数值调参'!$AC$38,0)),0),IF($A12&gt;=8,(F12+$C$3)*MAX(0,IF('01_数值调参'!$AD$7&lt;=$A12,-'01_数值调参'!$AD$38,0),IF('01_数值调参'!$AE$7&lt;=$A12,-'01_数值调参'!$AE$38,0),IF('01_数值调参'!$AF$7&lt;=$A12,-'01_数值调参'!$AF$38,0),IF('01_数值调参'!$AG$7&lt;=$A12,-'01_数值调参'!$AG$38,0)),0),IF($A12&gt;=10,(G12+$C$3)*MAX(0,IF('01_数值调参'!$AH$7&lt;=$A12,-'01_数值调参'!$AH$38,0),IF('01_数值调参'!$AI$7&lt;=$A12,-'01_数值调参'!$AI$38,0),IF('01_数值调参'!$AJ$7&lt;=$A12,-'01_数值调参'!$AJ$38,0),IF('01_数值调参'!$AK$7&lt;=$A12,-'01_数值调参'!$AK$38,0),IF('01_数值调参'!$AL$7&lt;=$A12,-'01_数值调参'!$AL$38,0),IF('01_数值调参'!$AM$7&lt;=$A12,-'01_数值调参'!$AM$38,0)),0),0)),"队列待修正"))</x:f>
        <x:v>—</x:v>
      </x:c>
      <x:c r="AC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Z$7,"—",SUM(IF($A12&gt;=2,(C12+$C$3)*MAX(0,IF('01_数值调参'!$N$7&lt;=$A12,-'01_数值调参'!$N$39,0),IF('01_数值调参'!$O$7&lt;=$A12,-'01_数值调参'!$O$39,0),IF('01_数值调参'!$P$7&lt;=$A12,-'01_数值调参'!$P$39,0),IF('01_数值调参'!$Q$7&lt;=$A12,-'01_数值调参'!$Q$39,0),IF('01_数值调参'!$R$7&lt;=$A12,-'01_数值调参'!$R$39,0)),0),IF($A12&gt;=4,(D12+$C$3)*MAX(0,IF('01_数值调参'!$S$7&lt;=$A12,-'01_数值调参'!$S$39,0),IF('01_数值调参'!$T$7&lt;=$A12,-'01_数值调参'!$T$39,0),IF('01_数值调参'!$U$7&lt;=$A12,-'01_数值调参'!$U$39,0),IF('01_数值调参'!$V$7&lt;=$A12,-'01_数值调参'!$V$39,0),IF('01_数值调参'!$W$7&lt;=$A12,-'01_数值调参'!$W$39,0)),0),IF($A12&gt;=6,(E12+$C$3)*MAX(0,IF('01_数值调参'!$X$7&lt;=$A12,-'01_数值调参'!$X$39,0),IF('01_数值调参'!$Y$7&lt;=$A12,-'01_数值调参'!$Y$39,0),IF('01_数值调参'!$Z$7&lt;=$A12,0,0),IF('01_数值调参'!$AA$7&lt;=$A12,-'01_数值调参'!$AA$39,0),IF('01_数值调参'!$AB$7&lt;=$A12,-'01_数值调参'!$AB$39,0),IF('01_数值调参'!$AC$7&lt;=$A12,-'01_数值调参'!$AC$39,0)),0),IF($A12&gt;=8,(F12+$C$3)*MAX(0,IF('01_数值调参'!$AD$7&lt;=$A12,-'01_数值调参'!$AD$39,0),IF('01_数值调参'!$AE$7&lt;=$A12,-'01_数值调参'!$AE$39,0),IF('01_数值调参'!$AF$7&lt;=$A12,-'01_数值调参'!$AF$39,0),IF('01_数值调参'!$AG$7&lt;=$A12,-'01_数值调参'!$AG$39,0)),0),IF($A12&gt;=10,(G12+$C$3)*MAX(0,IF('01_数值调参'!$AH$7&lt;=$A12,-'01_数值调参'!$AH$39,0),IF('01_数值调参'!$AI$7&lt;=$A12,-'01_数值调参'!$AI$39,0),IF('01_数值调参'!$AJ$7&lt;=$A12,-'01_数值调参'!$AJ$39,0),IF('01_数值调参'!$AK$7&lt;=$A12,-'01_数值调参'!$AK$39,0),IF('01_数值调参'!$AL$7&lt;=$A12,-'01_数值调参'!$AL$39,0),IF('01_数值调参'!$AM$7&lt;=$A12,-'01_数值调参'!$AM$39,0)),0),0)),"队列待修正"))</x:f>
        <x:v>—</x:v>
      </x:c>
      <x:c r="AD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A$7,"—",SUM(IF($A12&gt;=2,(C12+$C$3)*MAX(0,IF('01_数值调参'!$N$7&lt;=$A12,-'01_数值调参'!$N$40,0),IF('01_数值调参'!$O$7&lt;=$A12,-'01_数值调参'!$O$40,0),IF('01_数值调参'!$P$7&lt;=$A12,-'01_数值调参'!$P$40,0),IF('01_数值调参'!$Q$7&lt;=$A12,-'01_数值调参'!$Q$40,0),IF('01_数值调参'!$R$7&lt;=$A12,-'01_数值调参'!$R$40,0)),0),IF($A12&gt;=4,(D12+$C$3)*MAX(0,IF('01_数值调参'!$S$7&lt;=$A12,-'01_数值调参'!$S$40,0),IF('01_数值调参'!$T$7&lt;=$A12,-'01_数值调参'!$T$40,0),IF('01_数值调参'!$U$7&lt;=$A12,-'01_数值调参'!$U$40,0),IF('01_数值调参'!$V$7&lt;=$A12,-'01_数值调参'!$V$40,0),IF('01_数值调参'!$W$7&lt;=$A12,-'01_数值调参'!$W$40,0)),0),IF($A12&gt;=6,(E12+$C$3)*MAX(0,IF('01_数值调参'!$X$7&lt;=$A12,-'01_数值调参'!$X$40,0),IF('01_数值调参'!$Y$7&lt;=$A12,-'01_数值调参'!$Y$40,0),IF('01_数值调参'!$Z$7&lt;=$A12,-'01_数值调参'!$Z$40,0),IF('01_数值调参'!$AA$7&lt;=$A12,0,0),IF('01_数值调参'!$AB$7&lt;=$A12,-'01_数值调参'!$AB$40,0),IF('01_数值调参'!$AC$7&lt;=$A12,-'01_数值调参'!$AC$40,0)),0),IF($A12&gt;=8,(F12+$C$3)*MAX(0,IF('01_数值调参'!$AD$7&lt;=$A12,-'01_数值调参'!$AD$40,0),IF('01_数值调参'!$AE$7&lt;=$A12,-'01_数值调参'!$AE$40,0),IF('01_数值调参'!$AF$7&lt;=$A12,-'01_数值调参'!$AF$40,0),IF('01_数值调参'!$AG$7&lt;=$A12,-'01_数值调参'!$AG$40,0)),0),IF($A12&gt;=10,(G12+$C$3)*MAX(0,IF('01_数值调参'!$AH$7&lt;=$A12,-'01_数值调参'!$AH$40,0),IF('01_数值调参'!$AI$7&lt;=$A12,-'01_数值调参'!$AI$40,0),IF('01_数值调参'!$AJ$7&lt;=$A12,-'01_数值调参'!$AJ$40,0),IF('01_数值调参'!$AK$7&lt;=$A12,-'01_数值调参'!$AK$40,0),IF('01_数值调参'!$AL$7&lt;=$A12,-'01_数值调参'!$AL$40,0),IF('01_数值调参'!$AM$7&lt;=$A12,-'01_数值调参'!$AM$40,0)),0),0)),"队列待修正"))</x:f>
        <x:v>—</x:v>
      </x:c>
      <x:c r="AE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B$7,"—",SUM(IF($A12&gt;=2,(C12+$C$3)*MAX(0,IF('01_数值调参'!$N$7&lt;=$A12,-'01_数值调参'!$N$41,0),IF('01_数值调参'!$O$7&lt;=$A12,-'01_数值调参'!$O$41,0),IF('01_数值调参'!$P$7&lt;=$A12,-'01_数值调参'!$P$41,0),IF('01_数值调参'!$Q$7&lt;=$A12,-'01_数值调参'!$Q$41,0),IF('01_数值调参'!$R$7&lt;=$A12,-'01_数值调参'!$R$41,0)),0),IF($A12&gt;=4,(D12+$C$3)*MAX(0,IF('01_数值调参'!$S$7&lt;=$A12,-'01_数值调参'!$S$41,0),IF('01_数值调参'!$T$7&lt;=$A12,-'01_数值调参'!$T$41,0),IF('01_数值调参'!$U$7&lt;=$A12,-'01_数值调参'!$U$41,0),IF('01_数值调参'!$V$7&lt;=$A12,-'01_数值调参'!$V$41,0),IF('01_数值调参'!$W$7&lt;=$A12,-'01_数值调参'!$W$41,0)),0),IF($A12&gt;=6,(E12+$C$3)*MAX(0,IF('01_数值调参'!$X$7&lt;=$A12,-'01_数值调参'!$X$41,0),IF('01_数值调参'!$Y$7&lt;=$A12,-'01_数值调参'!$Y$41,0),IF('01_数值调参'!$Z$7&lt;=$A12,-'01_数值调参'!$Z$41,0),IF('01_数值调参'!$AA$7&lt;=$A12,-'01_数值调参'!$AA$41,0),IF('01_数值调参'!$AB$7&lt;=$A12,0,0),IF('01_数值调参'!$AC$7&lt;=$A12,-'01_数值调参'!$AC$41,0)),0),IF($A12&gt;=8,(F12+$C$3)*MAX(0,IF('01_数值调参'!$AD$7&lt;=$A12,-'01_数值调参'!$AD$41,0),IF('01_数值调参'!$AE$7&lt;=$A12,-'01_数值调参'!$AE$41,0),IF('01_数值调参'!$AF$7&lt;=$A12,-'01_数值调参'!$AF$41,0),IF('01_数值调参'!$AG$7&lt;=$A12,-'01_数值调参'!$AG$41,0)),0),IF($A12&gt;=10,(G12+$C$3)*MAX(0,IF('01_数值调参'!$AH$7&lt;=$A12,-'01_数值调参'!$AH$41,0),IF('01_数值调参'!$AI$7&lt;=$A12,-'01_数值调参'!$AI$41,0),IF('01_数值调参'!$AJ$7&lt;=$A12,-'01_数值调参'!$AJ$41,0),IF('01_数值调参'!$AK$7&lt;=$A12,-'01_数值调参'!$AK$41,0),IF('01_数值调参'!$AL$7&lt;=$A12,-'01_数值调参'!$AL$41,0),IF('01_数值调参'!$AM$7&lt;=$A12,-'01_数值调参'!$AM$41,0)),0),0)),"队列待修正"))</x:f>
        <x:v>—</x:v>
      </x:c>
      <x:c r="AF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C$7,"—",SUM(IF($A12&gt;=2,(C12+$C$3)*MAX(0,IF('01_数值调参'!$N$7&lt;=$A12,-'01_数值调参'!$N$42,0),IF('01_数值调参'!$O$7&lt;=$A12,-'01_数值调参'!$O$42,0),IF('01_数值调参'!$P$7&lt;=$A12,-'01_数值调参'!$P$42,0),IF('01_数值调参'!$Q$7&lt;=$A12,-'01_数值调参'!$Q$42,0),IF('01_数值调参'!$R$7&lt;=$A12,-'01_数值调参'!$R$42,0)),0),IF($A12&gt;=4,(D12+$C$3)*MAX(0,IF('01_数值调参'!$S$7&lt;=$A12,-'01_数值调参'!$S$42,0),IF('01_数值调参'!$T$7&lt;=$A12,-'01_数值调参'!$T$42,0),IF('01_数值调参'!$U$7&lt;=$A12,-'01_数值调参'!$U$42,0),IF('01_数值调参'!$V$7&lt;=$A12,-'01_数值调参'!$V$42,0),IF('01_数值调参'!$W$7&lt;=$A12,-'01_数值调参'!$W$42,0)),0),IF($A12&gt;=6,(E12+$C$3)*MAX(0,IF('01_数值调参'!$X$7&lt;=$A12,-'01_数值调参'!$X$42,0),IF('01_数值调参'!$Y$7&lt;=$A12,-'01_数值调参'!$Y$42,0),IF('01_数值调参'!$Z$7&lt;=$A12,-'01_数值调参'!$Z$42,0),IF('01_数值调参'!$AA$7&lt;=$A12,-'01_数值调参'!$AA$42,0),IF('01_数值调参'!$AB$7&lt;=$A12,-'01_数值调参'!$AB$42,0),IF('01_数值调参'!$AC$7&lt;=$A12,0,0)),0),IF($A12&gt;=8,(F12+$C$3)*MAX(0,IF('01_数值调参'!$AD$7&lt;=$A12,-'01_数值调参'!$AD$42,0),IF('01_数值调参'!$AE$7&lt;=$A12,-'01_数值调参'!$AE$42,0),IF('01_数值调参'!$AF$7&lt;=$A12,-'01_数值调参'!$AF$42,0),IF('01_数值调参'!$AG$7&lt;=$A12,-'01_数值调参'!$AG$42,0)),0),IF($A12&gt;=10,(G12+$C$3)*MAX(0,IF('01_数值调参'!$AH$7&lt;=$A12,-'01_数值调参'!$AH$42,0),IF('01_数值调参'!$AI$7&lt;=$A12,-'01_数值调参'!$AI$42,0),IF('01_数值调参'!$AJ$7&lt;=$A12,-'01_数值调参'!$AJ$42,0),IF('01_数值调参'!$AK$7&lt;=$A12,-'01_数值调参'!$AK$42,0),IF('01_数值调参'!$AL$7&lt;=$A12,-'01_数值调参'!$AL$42,0),IF('01_数值调参'!$AM$7&lt;=$A12,-'01_数值调参'!$AM$42,0)),0),0)),"队列待修正"))</x:f>
        <x:v>—</x:v>
      </x:c>
      <x:c r="AG12" s="216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D$7,"—",SUM(IF($A12&gt;=2,(C12+$C$3)*MAX(0,IF('01_数值调参'!$N$7&lt;=$A12,-'01_数值调参'!$N$43,0),IF('01_数值调参'!$O$7&lt;=$A12,-'01_数值调参'!$O$43,0),IF('01_数值调参'!$P$7&lt;=$A12,-'01_数值调参'!$P$43,0),IF('01_数值调参'!$Q$7&lt;=$A12,-'01_数值调参'!$Q$43,0),IF('01_数值调参'!$R$7&lt;=$A12,-'01_数值调参'!$R$43,0)),0),IF($A12&gt;=4,(D12+$C$3)*MAX(0,IF('01_数值调参'!$S$7&lt;=$A12,-'01_数值调参'!$S$43,0),IF('01_数值调参'!$T$7&lt;=$A12,-'01_数值调参'!$T$43,0),IF('01_数值调参'!$U$7&lt;=$A12,-'01_数值调参'!$U$43,0),IF('01_数值调参'!$V$7&lt;=$A12,-'01_数值调参'!$V$43,0),IF('01_数值调参'!$W$7&lt;=$A12,-'01_数值调参'!$W$43,0)),0),IF($A12&gt;=6,(E12+$C$3)*MAX(0,IF('01_数值调参'!$X$7&lt;=$A12,-'01_数值调参'!$X$43,0),IF('01_数值调参'!$Y$7&lt;=$A12,-'01_数值调参'!$Y$43,0),IF('01_数值调参'!$Z$7&lt;=$A12,-'01_数值调参'!$Z$43,0),IF('01_数值调参'!$AA$7&lt;=$A12,-'01_数值调参'!$AA$43,0),IF('01_数值调参'!$AB$7&lt;=$A12,-'01_数值调参'!$AB$43,0),IF('01_数值调参'!$AC$7&lt;=$A12,-'01_数值调参'!$AC$43,0)),0),IF($A12&gt;=8,(F12+$C$3)*MAX(0,IF('01_数值调参'!$AD$7&lt;=$A12,0,0),IF('01_数值调参'!$AE$7&lt;=$A12,-'01_数值调参'!$AE$43,0),IF('01_数值调参'!$AF$7&lt;=$A12,-'01_数值调参'!$AF$43,0),IF('01_数值调参'!$AG$7&lt;=$A12,-'01_数值调参'!$AG$43,0)),0),IF($A12&gt;=10,(G12+$C$3)*MAX(0,IF('01_数值调参'!$AH$7&lt;=$A12,-'01_数值调参'!$AH$43,0),IF('01_数值调参'!$AI$7&lt;=$A12,-'01_数值调参'!$AI$43,0),IF('01_数值调参'!$AJ$7&lt;=$A12,-'01_数值调参'!$AJ$43,0),IF('01_数值调参'!$AK$7&lt;=$A12,-'01_数值调参'!$AK$43,0),IF('01_数值调参'!$AL$7&lt;=$A12,-'01_数值调参'!$AL$43,0),IF('01_数值调参'!$AM$7&lt;=$A12,-'01_数值调参'!$AM$43,0)),0),0)),"队列待修正"))</x:f>
        <x:v>—</x:v>
      </x:c>
      <x:c r="AH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E$7,"—",SUM(IF($A12&gt;=2,(C12+$C$3)*MAX(0,IF('01_数值调参'!$N$7&lt;=$A12,-'01_数值调参'!$N$44,0),IF('01_数值调参'!$O$7&lt;=$A12,-'01_数值调参'!$O$44,0),IF('01_数值调参'!$P$7&lt;=$A12,-'01_数值调参'!$P$44,0),IF('01_数值调参'!$Q$7&lt;=$A12,-'01_数值调参'!$Q$44,0),IF('01_数值调参'!$R$7&lt;=$A12,-'01_数值调参'!$R$44,0)),0),IF($A12&gt;=4,(D12+$C$3)*MAX(0,IF('01_数值调参'!$S$7&lt;=$A12,-'01_数值调参'!$S$44,0),IF('01_数值调参'!$T$7&lt;=$A12,-'01_数值调参'!$T$44,0),IF('01_数值调参'!$U$7&lt;=$A12,-'01_数值调参'!$U$44,0),IF('01_数值调参'!$V$7&lt;=$A12,-'01_数值调参'!$V$44,0),IF('01_数值调参'!$W$7&lt;=$A12,-'01_数值调参'!$W$44,0)),0),IF($A12&gt;=6,(E12+$C$3)*MAX(0,IF('01_数值调参'!$X$7&lt;=$A12,-'01_数值调参'!$X$44,0),IF('01_数值调参'!$Y$7&lt;=$A12,-'01_数值调参'!$Y$44,0),IF('01_数值调参'!$Z$7&lt;=$A12,-'01_数值调参'!$Z$44,0),IF('01_数值调参'!$AA$7&lt;=$A12,-'01_数值调参'!$AA$44,0),IF('01_数值调参'!$AB$7&lt;=$A12,-'01_数值调参'!$AB$44,0),IF('01_数值调参'!$AC$7&lt;=$A12,-'01_数值调参'!$AC$44,0)),0),IF($A12&gt;=8,(F12+$C$3)*MAX(0,IF('01_数值调参'!$AD$7&lt;=$A12,-'01_数值调参'!$AD$44,0),IF('01_数值调参'!$AE$7&lt;=$A12,0,0),IF('01_数值调参'!$AF$7&lt;=$A12,-'01_数值调参'!$AF$44,0),IF('01_数值调参'!$AG$7&lt;=$A12,-'01_数值调参'!$AG$44,0)),0),IF($A12&gt;=10,(G12+$C$3)*MAX(0,IF('01_数值调参'!$AH$7&lt;=$A12,-'01_数值调参'!$AH$44,0),IF('01_数值调参'!$AI$7&lt;=$A12,-'01_数值调参'!$AI$44,0),IF('01_数值调参'!$AJ$7&lt;=$A12,-'01_数值调参'!$AJ$44,0),IF('01_数值调参'!$AK$7&lt;=$A12,-'01_数值调参'!$AK$44,0),IF('01_数值调参'!$AL$7&lt;=$A12,-'01_数值调参'!$AL$44,0),IF('01_数值调参'!$AM$7&lt;=$A12,-'01_数值调参'!$AM$44,0)),0),0)),"队列待修正"))</x:f>
        <x:v>—</x:v>
      </x:c>
      <x:c r="AI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F$7,"—",SUM(IF($A12&gt;=2,(C12+$C$3)*MAX(0,IF('01_数值调参'!$N$7&lt;=$A12,-'01_数值调参'!$N$45,0),IF('01_数值调参'!$O$7&lt;=$A12,-'01_数值调参'!$O$45,0),IF('01_数值调参'!$P$7&lt;=$A12,-'01_数值调参'!$P$45,0),IF('01_数值调参'!$Q$7&lt;=$A12,-'01_数值调参'!$Q$45,0),IF('01_数值调参'!$R$7&lt;=$A12,-'01_数值调参'!$R$45,0)),0),IF($A12&gt;=4,(D12+$C$3)*MAX(0,IF('01_数值调参'!$S$7&lt;=$A12,-'01_数值调参'!$S$45,0),IF('01_数值调参'!$T$7&lt;=$A12,-'01_数值调参'!$T$45,0),IF('01_数值调参'!$U$7&lt;=$A12,-'01_数值调参'!$U$45,0),IF('01_数值调参'!$V$7&lt;=$A12,-'01_数值调参'!$V$45,0),IF('01_数值调参'!$W$7&lt;=$A12,-'01_数值调参'!$W$45,0)),0),IF($A12&gt;=6,(E12+$C$3)*MAX(0,IF('01_数值调参'!$X$7&lt;=$A12,-'01_数值调参'!$X$45,0),IF('01_数值调参'!$Y$7&lt;=$A12,-'01_数值调参'!$Y$45,0),IF('01_数值调参'!$Z$7&lt;=$A12,-'01_数值调参'!$Z$45,0),IF('01_数值调参'!$AA$7&lt;=$A12,-'01_数值调参'!$AA$45,0),IF('01_数值调参'!$AB$7&lt;=$A12,-'01_数值调参'!$AB$45,0),IF('01_数值调参'!$AC$7&lt;=$A12,-'01_数值调参'!$AC$45,0)),0),IF($A12&gt;=8,(F12+$C$3)*MAX(0,IF('01_数值调参'!$AD$7&lt;=$A12,-'01_数值调参'!$AD$45,0),IF('01_数值调参'!$AE$7&lt;=$A12,-'01_数值调参'!$AE$45,0),IF('01_数值调参'!$AF$7&lt;=$A12,0,0),IF('01_数值调参'!$AG$7&lt;=$A12,-'01_数值调参'!$AG$45,0)),0),IF($A12&gt;=10,(G12+$C$3)*MAX(0,IF('01_数值调参'!$AH$7&lt;=$A12,-'01_数值调参'!$AH$45,0),IF('01_数值调参'!$AI$7&lt;=$A12,-'01_数值调参'!$AI$45,0),IF('01_数值调参'!$AJ$7&lt;=$A12,-'01_数值调参'!$AJ$45,0),IF('01_数值调参'!$AK$7&lt;=$A12,-'01_数值调参'!$AK$45,0),IF('01_数值调参'!$AL$7&lt;=$A12,-'01_数值调参'!$AL$45,0),IF('01_数值调参'!$AM$7&lt;=$A12,-'01_数值调参'!$AM$45,0)),0),0)),"队列待修正"))</x:f>
        <x:v>—</x:v>
      </x:c>
      <x:c r="AJ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G$7,"—",SUM(IF($A12&gt;=2,(C12+$C$3)*MAX(0,IF('01_数值调参'!$N$7&lt;=$A12,-'01_数值调参'!$N$46,0),IF('01_数值调参'!$O$7&lt;=$A12,-'01_数值调参'!$O$46,0),IF('01_数值调参'!$P$7&lt;=$A12,-'01_数值调参'!$P$46,0),IF('01_数值调参'!$Q$7&lt;=$A12,-'01_数值调参'!$Q$46,0),IF('01_数值调参'!$R$7&lt;=$A12,-'01_数值调参'!$R$46,0)),0),IF($A12&gt;=4,(D12+$C$3)*MAX(0,IF('01_数值调参'!$S$7&lt;=$A12,-'01_数值调参'!$S$46,0),IF('01_数值调参'!$T$7&lt;=$A12,-'01_数值调参'!$T$46,0),IF('01_数值调参'!$U$7&lt;=$A12,-'01_数值调参'!$U$46,0),IF('01_数值调参'!$V$7&lt;=$A12,-'01_数值调参'!$V$46,0),IF('01_数值调参'!$W$7&lt;=$A12,-'01_数值调参'!$W$46,0)),0),IF($A12&gt;=6,(E12+$C$3)*MAX(0,IF('01_数值调参'!$X$7&lt;=$A12,-'01_数值调参'!$X$46,0),IF('01_数值调参'!$Y$7&lt;=$A12,-'01_数值调参'!$Y$46,0),IF('01_数值调参'!$Z$7&lt;=$A12,-'01_数值调参'!$Z$46,0),IF('01_数值调参'!$AA$7&lt;=$A12,-'01_数值调参'!$AA$46,0),IF('01_数值调参'!$AB$7&lt;=$A12,-'01_数值调参'!$AB$46,0),IF('01_数值调参'!$AC$7&lt;=$A12,-'01_数值调参'!$AC$46,0)),0),IF($A12&gt;=8,(F12+$C$3)*MAX(0,IF('01_数值调参'!$AD$7&lt;=$A12,-'01_数值调参'!$AD$46,0),IF('01_数值调参'!$AE$7&lt;=$A12,-'01_数值调参'!$AE$46,0),IF('01_数值调参'!$AF$7&lt;=$A12,-'01_数值调参'!$AF$46,0),IF('01_数值调参'!$AG$7&lt;=$A12,0,0)),0),IF($A12&gt;=10,(G12+$C$3)*MAX(0,IF('01_数值调参'!$AH$7&lt;=$A12,-'01_数值调参'!$AH$46,0),IF('01_数值调参'!$AI$7&lt;=$A12,-'01_数值调参'!$AI$46,0),IF('01_数值调参'!$AJ$7&lt;=$A12,-'01_数值调参'!$AJ$46,0),IF('01_数值调参'!$AK$7&lt;=$A12,-'01_数值调参'!$AK$46,0),IF('01_数值调参'!$AL$7&lt;=$A12,-'01_数值调参'!$AL$46,0),IF('01_数值调参'!$AM$7&lt;=$A12,-'01_数值调参'!$AM$46,0)),0),0)),"队列待修正"))</x:f>
        <x:v>—</x:v>
      </x:c>
      <x:c r="AK12" s="216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H$7,"—",SUM(IF($A12&gt;=2,(C12+$C$3)*MAX(0,IF('01_数值调参'!$N$7&lt;=$A12,-'01_数值调参'!$N$47,0),IF('01_数值调参'!$O$7&lt;=$A12,-'01_数值调参'!$O$47,0),IF('01_数值调参'!$P$7&lt;=$A12,-'01_数值调参'!$P$47,0),IF('01_数值调参'!$Q$7&lt;=$A12,-'01_数值调参'!$Q$47,0),IF('01_数值调参'!$R$7&lt;=$A12,-'01_数值调参'!$R$47,0)),0),IF($A12&gt;=4,(D12+$C$3)*MAX(0,IF('01_数值调参'!$S$7&lt;=$A12,-'01_数值调参'!$S$47,0),IF('01_数值调参'!$T$7&lt;=$A12,-'01_数值调参'!$T$47,0),IF('01_数值调参'!$U$7&lt;=$A12,-'01_数值调参'!$U$47,0),IF('01_数值调参'!$V$7&lt;=$A12,-'01_数值调参'!$V$47,0),IF('01_数值调参'!$W$7&lt;=$A12,-'01_数值调参'!$W$47,0)),0),IF($A12&gt;=6,(E12+$C$3)*MAX(0,IF('01_数值调参'!$X$7&lt;=$A12,-'01_数值调参'!$X$47,0),IF('01_数值调参'!$Y$7&lt;=$A12,-'01_数值调参'!$Y$47,0),IF('01_数值调参'!$Z$7&lt;=$A12,-'01_数值调参'!$Z$47,0),IF('01_数值调参'!$AA$7&lt;=$A12,-'01_数值调参'!$AA$47,0),IF('01_数值调参'!$AB$7&lt;=$A12,-'01_数值调参'!$AB$47,0),IF('01_数值调参'!$AC$7&lt;=$A12,-'01_数值调参'!$AC$47,0)),0),IF($A12&gt;=8,(F12+$C$3)*MAX(0,IF('01_数值调参'!$AD$7&lt;=$A12,-'01_数值调参'!$AD$47,0),IF('01_数值调参'!$AE$7&lt;=$A12,-'01_数值调参'!$AE$47,0),IF('01_数值调参'!$AF$7&lt;=$A12,-'01_数值调参'!$AF$47,0),IF('01_数值调参'!$AG$7&lt;=$A12,-'01_数值调参'!$AG$47,0)),0),IF($A12&gt;=10,(G12+$C$3)*MAX(0,IF('01_数值调参'!$AH$7&lt;=$A12,0,0),IF('01_数值调参'!$AI$7&lt;=$A12,-'01_数值调参'!$AI$47,0),IF('01_数值调参'!$AJ$7&lt;=$A12,-'01_数值调参'!$AJ$47,0),IF('01_数值调参'!$AK$7&lt;=$A12,-'01_数值调参'!$AK$47,0),IF('01_数值调参'!$AL$7&lt;=$A12,-'01_数值调参'!$AL$47,0),IF('01_数值调参'!$AM$7&lt;=$A12,-'01_数值调参'!$AM$47,0)),0),0)),"队列待修正"))</x:f>
        <x:v>—</x:v>
      </x:c>
      <x:c r="AL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I$7,"—",SUM(IF($A12&gt;=2,(C12+$C$3)*MAX(0,IF('01_数值调参'!$N$7&lt;=$A12,-'01_数值调参'!$N$48,0),IF('01_数值调参'!$O$7&lt;=$A12,-'01_数值调参'!$O$48,0),IF('01_数值调参'!$P$7&lt;=$A12,-'01_数值调参'!$P$48,0),IF('01_数值调参'!$Q$7&lt;=$A12,-'01_数值调参'!$Q$48,0),IF('01_数值调参'!$R$7&lt;=$A12,-'01_数值调参'!$R$48,0)),0),IF($A12&gt;=4,(D12+$C$3)*MAX(0,IF('01_数值调参'!$S$7&lt;=$A12,-'01_数值调参'!$S$48,0),IF('01_数值调参'!$T$7&lt;=$A12,-'01_数值调参'!$T$48,0),IF('01_数值调参'!$U$7&lt;=$A12,-'01_数值调参'!$U$48,0),IF('01_数值调参'!$V$7&lt;=$A12,-'01_数值调参'!$V$48,0),IF('01_数值调参'!$W$7&lt;=$A12,-'01_数值调参'!$W$48,0)),0),IF($A12&gt;=6,(E12+$C$3)*MAX(0,IF('01_数值调参'!$X$7&lt;=$A12,-'01_数值调参'!$X$48,0),IF('01_数值调参'!$Y$7&lt;=$A12,-'01_数值调参'!$Y$48,0),IF('01_数值调参'!$Z$7&lt;=$A12,-'01_数值调参'!$Z$48,0),IF('01_数值调参'!$AA$7&lt;=$A12,-'01_数值调参'!$AA$48,0),IF('01_数值调参'!$AB$7&lt;=$A12,-'01_数值调参'!$AB$48,0),IF('01_数值调参'!$AC$7&lt;=$A12,-'01_数值调参'!$AC$48,0)),0),IF($A12&gt;=8,(F12+$C$3)*MAX(0,IF('01_数值调参'!$AD$7&lt;=$A12,-'01_数值调参'!$AD$48,0),IF('01_数值调参'!$AE$7&lt;=$A12,-'01_数值调参'!$AE$48,0),IF('01_数值调参'!$AF$7&lt;=$A12,-'01_数值调参'!$AF$48,0),IF('01_数值调参'!$AG$7&lt;=$A12,-'01_数值调参'!$AG$48,0)),0),IF($A12&gt;=10,(G12+$C$3)*MAX(0,IF('01_数值调参'!$AH$7&lt;=$A12,-'01_数值调参'!$AH$48,0),IF('01_数值调参'!$AI$7&lt;=$A12,0,0),IF('01_数值调参'!$AJ$7&lt;=$A12,-'01_数值调参'!$AJ$48,0),IF('01_数值调参'!$AK$7&lt;=$A12,-'01_数值调参'!$AK$48,0),IF('01_数值调参'!$AL$7&lt;=$A12,-'01_数值调参'!$AL$48,0),IF('01_数值调参'!$AM$7&lt;=$A12,-'01_数值调参'!$AM$48,0)),0),0)),"队列待修正"))</x:f>
        <x:v>—</x:v>
      </x:c>
      <x:c r="AM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J$7,"—",SUM(IF($A12&gt;=2,(C12+$C$3)*MAX(0,IF('01_数值调参'!$N$7&lt;=$A12,-'01_数值调参'!$N$49,0),IF('01_数值调参'!$O$7&lt;=$A12,-'01_数值调参'!$O$49,0),IF('01_数值调参'!$P$7&lt;=$A12,-'01_数值调参'!$P$49,0),IF('01_数值调参'!$Q$7&lt;=$A12,-'01_数值调参'!$Q$49,0),IF('01_数值调参'!$R$7&lt;=$A12,-'01_数值调参'!$R$49,0)),0),IF($A12&gt;=4,(D12+$C$3)*MAX(0,IF('01_数值调参'!$S$7&lt;=$A12,-'01_数值调参'!$S$49,0),IF('01_数值调参'!$T$7&lt;=$A12,-'01_数值调参'!$T$49,0),IF('01_数值调参'!$U$7&lt;=$A12,-'01_数值调参'!$U$49,0),IF('01_数值调参'!$V$7&lt;=$A12,-'01_数值调参'!$V$49,0),IF('01_数值调参'!$W$7&lt;=$A12,-'01_数值调参'!$W$49,0)),0),IF($A12&gt;=6,(E12+$C$3)*MAX(0,IF('01_数值调参'!$X$7&lt;=$A12,-'01_数值调参'!$X$49,0),IF('01_数值调参'!$Y$7&lt;=$A12,-'01_数值调参'!$Y$49,0),IF('01_数值调参'!$Z$7&lt;=$A12,-'01_数值调参'!$Z$49,0),IF('01_数值调参'!$AA$7&lt;=$A12,-'01_数值调参'!$AA$49,0),IF('01_数值调参'!$AB$7&lt;=$A12,-'01_数值调参'!$AB$49,0),IF('01_数值调参'!$AC$7&lt;=$A12,-'01_数值调参'!$AC$49,0)),0),IF($A12&gt;=8,(F12+$C$3)*MAX(0,IF('01_数值调参'!$AD$7&lt;=$A12,-'01_数值调参'!$AD$49,0),IF('01_数值调参'!$AE$7&lt;=$A12,-'01_数值调参'!$AE$49,0),IF('01_数值调参'!$AF$7&lt;=$A12,-'01_数值调参'!$AF$49,0),IF('01_数值调参'!$AG$7&lt;=$A12,-'01_数值调参'!$AG$49,0)),0),IF($A12&gt;=10,(G12+$C$3)*MAX(0,IF('01_数值调参'!$AH$7&lt;=$A12,-'01_数值调参'!$AH$49,0),IF('01_数值调参'!$AI$7&lt;=$A12,-'01_数值调参'!$AI$49,0),IF('01_数值调参'!$AJ$7&lt;=$A12,0,0),IF('01_数值调参'!$AK$7&lt;=$A12,-'01_数值调参'!$AK$49,0),IF('01_数值调参'!$AL$7&lt;=$A12,-'01_数值调参'!$AL$49,0),IF('01_数值调参'!$AM$7&lt;=$A12,-'01_数值调参'!$AM$49,0)),0),0)),"队列待修正"))</x:f>
        <x:v>—</x:v>
      </x:c>
      <x:c r="AN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K$7,"—",SUM(IF($A12&gt;=2,(C12+$C$3)*MAX(0,IF('01_数值调参'!$N$7&lt;=$A12,-'01_数值调参'!$N$50,0),IF('01_数值调参'!$O$7&lt;=$A12,-'01_数值调参'!$O$50,0),IF('01_数值调参'!$P$7&lt;=$A12,-'01_数值调参'!$P$50,0),IF('01_数值调参'!$Q$7&lt;=$A12,-'01_数值调参'!$Q$50,0),IF('01_数值调参'!$R$7&lt;=$A12,-'01_数值调参'!$R$50,0)),0),IF($A12&gt;=4,(D12+$C$3)*MAX(0,IF('01_数值调参'!$S$7&lt;=$A12,-'01_数值调参'!$S$50,0),IF('01_数值调参'!$T$7&lt;=$A12,-'01_数值调参'!$T$50,0),IF('01_数值调参'!$U$7&lt;=$A12,-'01_数值调参'!$U$50,0),IF('01_数值调参'!$V$7&lt;=$A12,-'01_数值调参'!$V$50,0),IF('01_数值调参'!$W$7&lt;=$A12,-'01_数值调参'!$W$50,0)),0),IF($A12&gt;=6,(E12+$C$3)*MAX(0,IF('01_数值调参'!$X$7&lt;=$A12,-'01_数值调参'!$X$50,0),IF('01_数值调参'!$Y$7&lt;=$A12,-'01_数值调参'!$Y$50,0),IF('01_数值调参'!$Z$7&lt;=$A12,-'01_数值调参'!$Z$50,0),IF('01_数值调参'!$AA$7&lt;=$A12,-'01_数值调参'!$AA$50,0),IF('01_数值调参'!$AB$7&lt;=$A12,-'01_数值调参'!$AB$50,0),IF('01_数值调参'!$AC$7&lt;=$A12,-'01_数值调参'!$AC$50,0)),0),IF($A12&gt;=8,(F12+$C$3)*MAX(0,IF('01_数值调参'!$AD$7&lt;=$A12,-'01_数值调参'!$AD$50,0),IF('01_数值调参'!$AE$7&lt;=$A12,-'01_数值调参'!$AE$50,0),IF('01_数值调参'!$AF$7&lt;=$A12,-'01_数值调参'!$AF$50,0),IF('01_数值调参'!$AG$7&lt;=$A12,-'01_数值调参'!$AG$50,0)),0),IF($A12&gt;=10,(G12+$C$3)*MAX(0,IF('01_数值调参'!$AH$7&lt;=$A12,-'01_数值调参'!$AH$50,0),IF('01_数值调参'!$AI$7&lt;=$A12,-'01_数值调参'!$AI$50,0),IF('01_数值调参'!$AJ$7&lt;=$A12,-'01_数值调参'!$AJ$50,0),IF('01_数值调参'!$AK$7&lt;=$A12,0,0),IF('01_数值调参'!$AL$7&lt;=$A12,-'01_数值调参'!$AL$50,0),IF('01_数值调参'!$AM$7&lt;=$A12,-'01_数值调参'!$AM$50,0)),0),0)),"队列待修正"))</x:f>
        <x:v>—</x:v>
      </x:c>
      <x:c r="AO12" s="217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L$7,"—",SUM(IF($A12&gt;=2,(C12+$C$3)*MAX(0,IF('01_数值调参'!$N$7&lt;=$A12,-'01_数值调参'!$N$51,0),IF('01_数值调参'!$O$7&lt;=$A12,-'01_数值调参'!$O$51,0),IF('01_数值调参'!$P$7&lt;=$A12,-'01_数值调参'!$P$51,0),IF('01_数值调参'!$Q$7&lt;=$A12,-'01_数值调参'!$Q$51,0),IF('01_数值调参'!$R$7&lt;=$A12,-'01_数值调参'!$R$51,0)),0),IF($A12&gt;=4,(D12+$C$3)*MAX(0,IF('01_数值调参'!$S$7&lt;=$A12,-'01_数值调参'!$S$51,0),IF('01_数值调参'!$T$7&lt;=$A12,-'01_数值调参'!$T$51,0),IF('01_数值调参'!$U$7&lt;=$A12,-'01_数值调参'!$U$51,0),IF('01_数值调参'!$V$7&lt;=$A12,-'01_数值调参'!$V$51,0),IF('01_数值调参'!$W$7&lt;=$A12,-'01_数值调参'!$W$51,0)),0),IF($A12&gt;=6,(E12+$C$3)*MAX(0,IF('01_数值调参'!$X$7&lt;=$A12,-'01_数值调参'!$X$51,0),IF('01_数值调参'!$Y$7&lt;=$A12,-'01_数值调参'!$Y$51,0),IF('01_数值调参'!$Z$7&lt;=$A12,-'01_数值调参'!$Z$51,0),IF('01_数值调参'!$AA$7&lt;=$A12,-'01_数值调参'!$AA$51,0),IF('01_数值调参'!$AB$7&lt;=$A12,-'01_数值调参'!$AB$51,0),IF('01_数值调参'!$AC$7&lt;=$A12,-'01_数值调参'!$AC$51,0)),0),IF($A12&gt;=8,(F12+$C$3)*MAX(0,IF('01_数值调参'!$AD$7&lt;=$A12,-'01_数值调参'!$AD$51,0),IF('01_数值调参'!$AE$7&lt;=$A12,-'01_数值调参'!$AE$51,0),IF('01_数值调参'!$AF$7&lt;=$A12,-'01_数值调参'!$AF$51,0),IF('01_数值调参'!$AG$7&lt;=$A12,-'01_数值调参'!$AG$51,0)),0),IF($A12&gt;=10,(G12+$C$3)*MAX(0,IF('01_数值调参'!$AH$7&lt;=$A12,-'01_数值调参'!$AH$51,0),IF('01_数值调参'!$AI$7&lt;=$A12,-'01_数值调参'!$AI$51,0),IF('01_数值调参'!$AJ$7&lt;=$A12,-'01_数值调参'!$AJ$51,0),IF('01_数值调参'!$AK$7&lt;=$A12,-'01_数值调参'!$AK$51,0),IF('01_数值调参'!$AL$7&lt;=$A12,0,0),IF('01_数值调参'!$AM$7&lt;=$A12,-'01_数值调参'!$AM$51,0)),0),0)),"队列待修正"))</x:f>
        <x:v>—</x:v>
      </x:c>
      <x:c r="AP12" s="218" t="str">
        <x:f>IF('01_数值调参'!$D$3&lt;&gt;"配方有效","待修正",IF(AND(OR($C$3=0,$C$3=1),ISNUMBER(C12),C12&gt;=0,MOD(C12,1)=0,ISNUMBER(D12),D12&gt;=0,MOD(D12,1)=0,ISNUMBER(E12),E12&gt;=0,MOD(E12,1)=0,ISNUMBER(F12),F12&gt;=0,MOD(F12,1)=0,ISNUMBER(G12),G12&gt;=0,MOD(G12,1)=0,TRUE),IF($A12&lt;'01_数值调参'!$AM$7,"—",SUM(IF($A12&gt;=2,(C12+$C$3)*MAX(0,IF('01_数值调参'!$N$7&lt;=$A12,-'01_数值调参'!$N$52,0),IF('01_数值调参'!$O$7&lt;=$A12,-'01_数值调参'!$O$52,0),IF('01_数值调参'!$P$7&lt;=$A12,-'01_数值调参'!$P$52,0),IF('01_数值调参'!$Q$7&lt;=$A12,-'01_数值调参'!$Q$52,0),IF('01_数值调参'!$R$7&lt;=$A12,-'01_数值调参'!$R$52,0)),0),IF($A12&gt;=4,(D12+$C$3)*MAX(0,IF('01_数值调参'!$S$7&lt;=$A12,-'01_数值调参'!$S$52,0),IF('01_数值调参'!$T$7&lt;=$A12,-'01_数值调参'!$T$52,0),IF('01_数值调参'!$U$7&lt;=$A12,-'01_数值调参'!$U$52,0),IF('01_数值调参'!$V$7&lt;=$A12,-'01_数值调参'!$V$52,0),IF('01_数值调参'!$W$7&lt;=$A12,-'01_数值调参'!$W$52,0)),0),IF($A12&gt;=6,(E12+$C$3)*MAX(0,IF('01_数值调参'!$X$7&lt;=$A12,-'01_数值调参'!$X$52,0),IF('01_数值调参'!$Y$7&lt;=$A12,-'01_数值调参'!$Y$52,0),IF('01_数值调参'!$Z$7&lt;=$A12,-'01_数值调参'!$Z$52,0),IF('01_数值调参'!$AA$7&lt;=$A12,-'01_数值调参'!$AA$52,0),IF('01_数值调参'!$AB$7&lt;=$A12,-'01_数值调参'!$AB$52,0),IF('01_数值调参'!$AC$7&lt;=$A12,-'01_数值调参'!$AC$52,0)),0),IF($A12&gt;=8,(F12+$C$3)*MAX(0,IF('01_数值调参'!$AD$7&lt;=$A12,-'01_数值调参'!$AD$52,0),IF('01_数值调参'!$AE$7&lt;=$A12,-'01_数值调参'!$AE$52,0),IF('01_数值调参'!$AF$7&lt;=$A12,-'01_数值调参'!$AF$52,0),IF('01_数值调参'!$AG$7&lt;=$A12,-'01_数值调参'!$AG$52,0)),0),IF($A12&gt;=10,(G12+$C$3)*MAX(0,IF('01_数值调参'!$AH$7&lt;=$A12,-'01_数值调参'!$AH$52,0),IF('01_数值调参'!$AI$7&lt;=$A12,-'01_数值调参'!$AI$52,0),IF('01_数值调参'!$AJ$7&lt;=$A12,-'01_数值调参'!$AJ$52,0),IF('01_数值调参'!$AK$7&lt;=$A12,-'01_数值调参'!$AK$52,0),IF('01_数值调参'!$AL$7&lt;=$A12,-'01_数值调参'!$AL$52,0),IF('01_数值调参'!$AM$7&lt;=$A12,0,0)),0),0)),"队列待修正"))</x:f>
        <x:v>—</x:v>
      </x:c>
    </x:row>
    <x:row r="13" ht="25" customHeight="1">
      <x:c r="A13" s="176" t="n">
        <x:v>7</x:v>
      </x:c>
      <x:c r="B13" s="177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SUM(IF($A13&gt;=2,(C13+$C$3)*MAX(0,IF('01_数值调参'!$N$7&lt;=$A13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13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13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13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13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13&gt;=4,(D13+$C$3)*MAX(0,IF('01_数值调参'!$S$7&lt;=$A13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13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13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13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13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13&gt;=6,(E13+$C$3)*MAX(0,IF('01_数值调参'!$X$7&lt;=$A13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13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13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13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13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13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13&gt;=8,(F13+$C$3)*MAX(0,IF('01_数值调参'!$AD$7&lt;=$A13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13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13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13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13&gt;=10,(G13+$C$3)*MAX(0,IF('01_数值调参'!$AH$7&lt;=$A13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13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13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13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13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13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21</x:v>
      </x:c>
      <x:c r="C13" s="178" t="n">
        <x:v>2</x:v>
      </x:c>
      <x:c r="D13" s="178" t="n">
        <x:v>2</x:v>
      </x:c>
      <x:c r="E13" s="178" t="n">
        <x:v>2</x:v>
      </x:c>
      <x:c r="F13" s="178" t="n">
        <x:v>2</x:v>
      </x:c>
      <x:c r="G13" s="178" t="n">
        <x:v>2</x:v>
      </x:c>
      <x:c r="H13" s="191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E$7,"—",SUM(IF($A13&gt;=2,(C13+$C$3)*MAX(0,IF('01_数值调参'!$N$7&lt;=$A13,-'01_数值调参'!$N$18,0),IF('01_数值调参'!$O$7&lt;=$A13,-'01_数值调参'!$O$18,0),IF('01_数值调参'!$P$7&lt;=$A13,-'01_数值调参'!$P$18,0),IF('01_数值调参'!$Q$7&lt;=$A13,-'01_数值调参'!$Q$18,0),IF('01_数值调参'!$R$7&lt;=$A13,-'01_数值调参'!$R$18,0)),0),IF($A13&gt;=4,(D13+$C$3)*MAX(0,IF('01_数值调参'!$S$7&lt;=$A13,-'01_数值调参'!$S$18,0),IF('01_数值调参'!$T$7&lt;=$A13,-'01_数值调参'!$T$18,0),IF('01_数值调参'!$U$7&lt;=$A13,-'01_数值调参'!$U$18,0),IF('01_数值调参'!$V$7&lt;=$A13,-'01_数值调参'!$V$18,0),IF('01_数值调参'!$W$7&lt;=$A13,-'01_数值调参'!$W$18,0)),0),IF($A13&gt;=6,(E13+$C$3)*MAX(0,IF('01_数值调参'!$X$7&lt;=$A13,-'01_数值调参'!$X$18,0),IF('01_数值调参'!$Y$7&lt;=$A13,-'01_数值调参'!$Y$18,0),IF('01_数值调参'!$Z$7&lt;=$A13,-'01_数值调参'!$Z$18,0),IF('01_数值调参'!$AA$7&lt;=$A13,-'01_数值调参'!$AA$18,0),IF('01_数值调参'!$AB$7&lt;=$A13,-'01_数值调参'!$AB$18,0),IF('01_数值调参'!$AC$7&lt;=$A13,-'01_数值调参'!$AC$18,0)),0),IF($A13&gt;=8,(F13+$C$3)*MAX(0,IF('01_数值调参'!$AD$7&lt;=$A13,-'01_数值调参'!$AD$18,0),IF('01_数值调参'!$AE$7&lt;=$A13,-'01_数值调参'!$AE$18,0),IF('01_数值调参'!$AF$7&lt;=$A13,-'01_数值调参'!$AF$18,0),IF('01_数值调参'!$AG$7&lt;=$A13,-'01_数值调参'!$AG$18,0)),0),IF($A13&gt;=10,(G13+$C$3)*MAX(0,IF('01_数值调参'!$AH$7&lt;=$A13,-'01_数值调参'!$AH$18,0),IF('01_数值调参'!$AI$7&lt;=$A13,-'01_数值调参'!$AI$18,0),IF('01_数值调参'!$AJ$7&lt;=$A13,-'01_数值调参'!$AJ$18,0),IF('01_数值调参'!$AK$7&lt;=$A13,-'01_数值调参'!$AK$18,0),IF('01_数值调参'!$AL$7&lt;=$A13,-'01_数值调参'!$AL$18,0),IF('01_数值调参'!$AM$7&lt;=$A13,-'01_数值调参'!$AM$18,0)),0),0)),"队列待修正"))</x:f>
        <x:v>6</x:v>
      </x:c>
      <x:c r="I13" s="179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F$7,"—",SUM(IF($A13&gt;=2,(C13+$C$3)*MAX(0,IF('01_数值调参'!$N$7&lt;=$A13,-'01_数值调参'!$N$19,0),IF('01_数值调参'!$O$7&lt;=$A13,-'01_数值调参'!$O$19,0),IF('01_数值调参'!$P$7&lt;=$A13,-'01_数值调参'!$P$19,0),IF('01_数值调参'!$Q$7&lt;=$A13,-'01_数值调参'!$Q$19,0),IF('01_数值调参'!$R$7&lt;=$A13,-'01_数值调参'!$R$19,0)),0),IF($A13&gt;=4,(D13+$C$3)*MAX(0,IF('01_数值调参'!$S$7&lt;=$A13,-'01_数值调参'!$S$19,0),IF('01_数值调参'!$T$7&lt;=$A13,-'01_数值调参'!$T$19,0),IF('01_数值调参'!$U$7&lt;=$A13,-'01_数值调参'!$U$19,0),IF('01_数值调参'!$V$7&lt;=$A13,-'01_数值调参'!$V$19,0),IF('01_数值调参'!$W$7&lt;=$A13,-'01_数值调参'!$W$19,0)),0),IF($A13&gt;=6,(E13+$C$3)*MAX(0,IF('01_数值调参'!$X$7&lt;=$A13,-'01_数值调参'!$X$19,0),IF('01_数值调参'!$Y$7&lt;=$A13,-'01_数值调参'!$Y$19,0),IF('01_数值调参'!$Z$7&lt;=$A13,-'01_数值调参'!$Z$19,0),IF('01_数值调参'!$AA$7&lt;=$A13,-'01_数值调参'!$AA$19,0),IF('01_数值调参'!$AB$7&lt;=$A13,-'01_数值调参'!$AB$19,0),IF('01_数值调参'!$AC$7&lt;=$A13,-'01_数值调参'!$AC$19,0)),0),IF($A13&gt;=8,(F13+$C$3)*MAX(0,IF('01_数值调参'!$AD$7&lt;=$A13,-'01_数值调参'!$AD$19,0),IF('01_数值调参'!$AE$7&lt;=$A13,-'01_数值调参'!$AE$19,0),IF('01_数值调参'!$AF$7&lt;=$A13,-'01_数值调参'!$AF$19,0),IF('01_数值调参'!$AG$7&lt;=$A13,-'01_数值调参'!$AG$19,0)),0),IF($A13&gt;=10,(G13+$C$3)*MAX(0,IF('01_数值调参'!$AH$7&lt;=$A13,-'01_数值调参'!$AH$19,0),IF('01_数值调参'!$AI$7&lt;=$A13,-'01_数值调参'!$AI$19,0),IF('01_数值调参'!$AJ$7&lt;=$A13,-'01_数值调参'!$AJ$19,0),IF('01_数值调参'!$AK$7&lt;=$A13,-'01_数值调参'!$AK$19,0),IF('01_数值调参'!$AL$7&lt;=$A13,-'01_数值调参'!$AL$19,0),IF('01_数值调参'!$AM$7&lt;=$A13,-'01_数值调参'!$AM$19,0)),0),0)),"队列待修正"))</x:f>
        <x:v>3</x:v>
      </x:c>
      <x:c r="J13" s="179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G$7,"—",SUM(IF($A13&gt;=2,(C13+$C$3)*MAX(0,IF('01_数值调参'!$N$7&lt;=$A13,-'01_数值调参'!$N$20,0),IF('01_数值调参'!$O$7&lt;=$A13,-'01_数值调参'!$O$20,0),IF('01_数值调参'!$P$7&lt;=$A13,-'01_数值调参'!$P$20,0),IF('01_数值调参'!$Q$7&lt;=$A13,-'01_数值调参'!$Q$20,0),IF('01_数值调参'!$R$7&lt;=$A13,-'01_数值调参'!$R$20,0)),0),IF($A13&gt;=4,(D13+$C$3)*MAX(0,IF('01_数值调参'!$S$7&lt;=$A13,-'01_数值调参'!$S$20,0),IF('01_数值调参'!$T$7&lt;=$A13,-'01_数值调参'!$T$20,0),IF('01_数值调参'!$U$7&lt;=$A13,-'01_数值调参'!$U$20,0),IF('01_数值调参'!$V$7&lt;=$A13,-'01_数值调参'!$V$20,0),IF('01_数值调参'!$W$7&lt;=$A13,-'01_数值调参'!$W$20,0)),0),IF($A13&gt;=6,(E13+$C$3)*MAX(0,IF('01_数值调参'!$X$7&lt;=$A13,-'01_数值调参'!$X$20,0),IF('01_数值调参'!$Y$7&lt;=$A13,-'01_数值调参'!$Y$20,0),IF('01_数值调参'!$Z$7&lt;=$A13,-'01_数值调参'!$Z$20,0),IF('01_数值调参'!$AA$7&lt;=$A13,-'01_数值调参'!$AA$20,0),IF('01_数值调参'!$AB$7&lt;=$A13,-'01_数值调参'!$AB$20,0),IF('01_数值调参'!$AC$7&lt;=$A13,-'01_数值调参'!$AC$20,0)),0),IF($A13&gt;=8,(F13+$C$3)*MAX(0,IF('01_数值调参'!$AD$7&lt;=$A13,-'01_数值调参'!$AD$20,0),IF('01_数值调参'!$AE$7&lt;=$A13,-'01_数值调参'!$AE$20,0),IF('01_数值调参'!$AF$7&lt;=$A13,-'01_数值调参'!$AF$20,0),IF('01_数值调参'!$AG$7&lt;=$A13,-'01_数值调参'!$AG$20,0)),0),IF($A13&gt;=10,(G13+$C$3)*MAX(0,IF('01_数值调参'!$AH$7&lt;=$A13,-'01_数值调参'!$AH$20,0),IF('01_数值调参'!$AI$7&lt;=$A13,-'01_数值调参'!$AI$20,0),IF('01_数值调参'!$AJ$7&lt;=$A13,-'01_数值调参'!$AJ$20,0),IF('01_数值调参'!$AK$7&lt;=$A13,-'01_数值调参'!$AK$20,0),IF('01_数值调参'!$AL$7&lt;=$A13,-'01_数值调参'!$AL$20,0),IF('01_数值调参'!$AM$7&lt;=$A13,-'01_数值调参'!$AM$20,0)),0),0)),"队列待修正"))</x:f>
        <x:v>9</x:v>
      </x:c>
      <x:c r="K13" s="179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H$7,"—",SUM(IF($A13&gt;=2,(C13+$C$3)*MAX(0,IF('01_数值调参'!$N$7&lt;=$A13,-'01_数值调参'!$N$21,0),IF('01_数值调参'!$O$7&lt;=$A13,-'01_数值调参'!$O$21,0),IF('01_数值调参'!$P$7&lt;=$A13,-'01_数值调参'!$P$21,0),IF('01_数值调参'!$Q$7&lt;=$A13,-'01_数值调参'!$Q$21,0),IF('01_数值调参'!$R$7&lt;=$A13,-'01_数值调参'!$R$21,0)),0),IF($A13&gt;=4,(D13+$C$3)*MAX(0,IF('01_数值调参'!$S$7&lt;=$A13,-'01_数值调参'!$S$21,0),IF('01_数值调参'!$T$7&lt;=$A13,-'01_数值调参'!$T$21,0),IF('01_数值调参'!$U$7&lt;=$A13,-'01_数值调参'!$U$21,0),IF('01_数值调参'!$V$7&lt;=$A13,-'01_数值调参'!$V$21,0),IF('01_数值调参'!$W$7&lt;=$A13,-'01_数值调参'!$W$21,0)),0),IF($A13&gt;=6,(E13+$C$3)*MAX(0,IF('01_数值调参'!$X$7&lt;=$A13,-'01_数值调参'!$X$21,0),IF('01_数值调参'!$Y$7&lt;=$A13,-'01_数值调参'!$Y$21,0),IF('01_数值调参'!$Z$7&lt;=$A13,-'01_数值调参'!$Z$21,0),IF('01_数值调参'!$AA$7&lt;=$A13,-'01_数值调参'!$AA$21,0),IF('01_数值调参'!$AB$7&lt;=$A13,-'01_数值调参'!$AB$21,0),IF('01_数值调参'!$AC$7&lt;=$A13,-'01_数值调参'!$AC$21,0)),0),IF($A13&gt;=8,(F13+$C$3)*MAX(0,IF('01_数值调参'!$AD$7&lt;=$A13,-'01_数值调参'!$AD$21,0),IF('01_数值调参'!$AE$7&lt;=$A13,-'01_数值调参'!$AE$21,0),IF('01_数值调参'!$AF$7&lt;=$A13,-'01_数值调参'!$AF$21,0),IF('01_数值调参'!$AG$7&lt;=$A13,-'01_数值调参'!$AG$21,0)),0),IF($A13&gt;=10,(G13+$C$3)*MAX(0,IF('01_数值调参'!$AH$7&lt;=$A13,-'01_数值调参'!$AH$21,0),IF('01_数值调参'!$AI$7&lt;=$A13,-'01_数值调参'!$AI$21,0),IF('01_数值调参'!$AJ$7&lt;=$A13,-'01_数值调参'!$AJ$21,0),IF('01_数值调参'!$AK$7&lt;=$A13,-'01_数值调参'!$AK$21,0),IF('01_数值调参'!$AL$7&lt;=$A13,-'01_数值调参'!$AL$21,0),IF('01_数值调参'!$AM$7&lt;=$A13,-'01_数值调参'!$AM$21,0)),0),0)),"队列待修正"))</x:f>
        <x:v>6</x:v>
      </x:c>
      <x:c r="L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I$7,"—",SUM(IF($A13&gt;=2,(C13+$C$3)*MAX(0,IF('01_数值调参'!$N$7&lt;=$A13,-'01_数值调参'!$N$22,0),IF('01_数值调参'!$O$7&lt;=$A13,-'01_数值调参'!$O$22,0),IF('01_数值调参'!$P$7&lt;=$A13,-'01_数值调参'!$P$22,0),IF('01_数值调参'!$Q$7&lt;=$A13,-'01_数值调参'!$Q$22,0),IF('01_数值调参'!$R$7&lt;=$A13,-'01_数值调参'!$R$22,0)),0),IF($A13&gt;=4,(D13+$C$3)*MAX(0,IF('01_数值调参'!$S$7&lt;=$A13,-'01_数值调参'!$S$22,0),IF('01_数值调参'!$T$7&lt;=$A13,-'01_数值调参'!$T$22,0),IF('01_数值调参'!$U$7&lt;=$A13,-'01_数值调参'!$U$22,0),IF('01_数值调参'!$V$7&lt;=$A13,-'01_数值调参'!$V$22,0),IF('01_数值调参'!$W$7&lt;=$A13,-'01_数值调参'!$W$22,0)),0),IF($A13&gt;=6,(E13+$C$3)*MAX(0,IF('01_数值调参'!$X$7&lt;=$A13,-'01_数值调参'!$X$22,0),IF('01_数值调参'!$Y$7&lt;=$A13,-'01_数值调参'!$Y$22,0),IF('01_数值调参'!$Z$7&lt;=$A13,-'01_数值调参'!$Z$22,0),IF('01_数值调参'!$AA$7&lt;=$A13,-'01_数值调参'!$AA$22,0),IF('01_数值调参'!$AB$7&lt;=$A13,-'01_数值调参'!$AB$22,0),IF('01_数值调参'!$AC$7&lt;=$A13,-'01_数值调参'!$AC$22,0)),0),IF($A13&gt;=8,(F13+$C$3)*MAX(0,IF('01_数值调参'!$AD$7&lt;=$A13,-'01_数值调参'!$AD$22,0),IF('01_数值调参'!$AE$7&lt;=$A13,-'01_数值调参'!$AE$22,0),IF('01_数值调参'!$AF$7&lt;=$A13,-'01_数值调参'!$AF$22,0),IF('01_数值调参'!$AG$7&lt;=$A13,-'01_数值调参'!$AG$22,0)),0),IF($A13&gt;=10,(G13+$C$3)*MAX(0,IF('01_数值调参'!$AH$7&lt;=$A13,-'01_数值调参'!$AH$22,0),IF('01_数值调参'!$AI$7&lt;=$A13,-'01_数值调参'!$AI$22,0),IF('01_数值调参'!$AJ$7&lt;=$A13,-'01_数值调参'!$AJ$22,0),IF('01_数值调参'!$AK$7&lt;=$A13,-'01_数值调参'!$AK$22,0),IF('01_数值调参'!$AL$7&lt;=$A13,-'01_数值调参'!$AL$22,0),IF('01_数值调参'!$AM$7&lt;=$A13,-'01_数值调参'!$AM$22,0)),0),0)),"队列待修正"))</x:f>
        <x:v>—</x:v>
      </x:c>
      <x:c r="M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J$7,"—",SUM(IF($A13&gt;=2,(C13+$C$3)*MAX(0,IF('01_数值调参'!$N$7&lt;=$A13,-'01_数值调参'!$N$23,0),IF('01_数值调参'!$O$7&lt;=$A13,-'01_数值调参'!$O$23,0),IF('01_数值调参'!$P$7&lt;=$A13,-'01_数值调参'!$P$23,0),IF('01_数值调参'!$Q$7&lt;=$A13,-'01_数值调参'!$Q$23,0),IF('01_数值调参'!$R$7&lt;=$A13,-'01_数值调参'!$R$23,0)),0),IF($A13&gt;=4,(D13+$C$3)*MAX(0,IF('01_数值调参'!$S$7&lt;=$A13,-'01_数值调参'!$S$23,0),IF('01_数值调参'!$T$7&lt;=$A13,-'01_数值调参'!$T$23,0),IF('01_数值调参'!$U$7&lt;=$A13,-'01_数值调参'!$U$23,0),IF('01_数值调参'!$V$7&lt;=$A13,-'01_数值调参'!$V$23,0),IF('01_数值调参'!$W$7&lt;=$A13,-'01_数值调参'!$W$23,0)),0),IF($A13&gt;=6,(E13+$C$3)*MAX(0,IF('01_数值调参'!$X$7&lt;=$A13,-'01_数值调参'!$X$23,0),IF('01_数值调参'!$Y$7&lt;=$A13,-'01_数值调参'!$Y$23,0),IF('01_数值调参'!$Z$7&lt;=$A13,-'01_数值调参'!$Z$23,0),IF('01_数值调参'!$AA$7&lt;=$A13,-'01_数值调参'!$AA$23,0),IF('01_数值调参'!$AB$7&lt;=$A13,-'01_数值调参'!$AB$23,0),IF('01_数值调参'!$AC$7&lt;=$A13,-'01_数值调参'!$AC$23,0)),0),IF($A13&gt;=8,(F13+$C$3)*MAX(0,IF('01_数值调参'!$AD$7&lt;=$A13,-'01_数值调参'!$AD$23,0),IF('01_数值调参'!$AE$7&lt;=$A13,-'01_数值调参'!$AE$23,0),IF('01_数值调参'!$AF$7&lt;=$A13,-'01_数值调参'!$AF$23,0),IF('01_数值调参'!$AG$7&lt;=$A13,-'01_数值调参'!$AG$23,0)),0),IF($A13&gt;=10,(G13+$C$3)*MAX(0,IF('01_数值调参'!$AH$7&lt;=$A13,-'01_数值调参'!$AH$23,0),IF('01_数值调参'!$AI$7&lt;=$A13,-'01_数值调参'!$AI$23,0),IF('01_数值调参'!$AJ$7&lt;=$A13,-'01_数值调参'!$AJ$23,0),IF('01_数值调参'!$AK$7&lt;=$A13,-'01_数值调参'!$AK$23,0),IF('01_数值调参'!$AL$7&lt;=$A13,-'01_数值调参'!$AL$23,0),IF('01_数值调参'!$AM$7&lt;=$A13,-'01_数值调参'!$AM$23,0)),0),0)),"队列待修正"))</x:f>
        <x:v>—</x:v>
      </x:c>
      <x:c r="N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K$7,"—",SUM(IF($A13&gt;=2,(C13+$C$3)*MAX(0,IF('01_数值调参'!$N$7&lt;=$A13,-'01_数值调参'!$N$24,0),IF('01_数值调参'!$O$7&lt;=$A13,-'01_数值调参'!$O$24,0),IF('01_数值调参'!$P$7&lt;=$A13,-'01_数值调参'!$P$24,0),IF('01_数值调参'!$Q$7&lt;=$A13,-'01_数值调参'!$Q$24,0),IF('01_数值调参'!$R$7&lt;=$A13,-'01_数值调参'!$R$24,0)),0),IF($A13&gt;=4,(D13+$C$3)*MAX(0,IF('01_数值调参'!$S$7&lt;=$A13,-'01_数值调参'!$S$24,0),IF('01_数值调参'!$T$7&lt;=$A13,-'01_数值调参'!$T$24,0),IF('01_数值调参'!$U$7&lt;=$A13,-'01_数值调参'!$U$24,0),IF('01_数值调参'!$V$7&lt;=$A13,-'01_数值调参'!$V$24,0),IF('01_数值调参'!$W$7&lt;=$A13,-'01_数值调参'!$W$24,0)),0),IF($A13&gt;=6,(E13+$C$3)*MAX(0,IF('01_数值调参'!$X$7&lt;=$A13,-'01_数值调参'!$X$24,0),IF('01_数值调参'!$Y$7&lt;=$A13,-'01_数值调参'!$Y$24,0),IF('01_数值调参'!$Z$7&lt;=$A13,-'01_数值调参'!$Z$24,0),IF('01_数值调参'!$AA$7&lt;=$A13,-'01_数值调参'!$AA$24,0),IF('01_数值调参'!$AB$7&lt;=$A13,-'01_数值调参'!$AB$24,0),IF('01_数值调参'!$AC$7&lt;=$A13,-'01_数值调参'!$AC$24,0)),0),IF($A13&gt;=8,(F13+$C$3)*MAX(0,IF('01_数值调参'!$AD$7&lt;=$A13,-'01_数值调参'!$AD$24,0),IF('01_数值调参'!$AE$7&lt;=$A13,-'01_数值调参'!$AE$24,0),IF('01_数值调参'!$AF$7&lt;=$A13,-'01_数值调参'!$AF$24,0),IF('01_数值调参'!$AG$7&lt;=$A13,-'01_数值调参'!$AG$24,0)),0),IF($A13&gt;=10,(G13+$C$3)*MAX(0,IF('01_数值调参'!$AH$7&lt;=$A13,-'01_数值调参'!$AH$24,0),IF('01_数值调参'!$AI$7&lt;=$A13,-'01_数值调参'!$AI$24,0),IF('01_数值调参'!$AJ$7&lt;=$A13,-'01_数值调参'!$AJ$24,0),IF('01_数值调参'!$AK$7&lt;=$A13,-'01_数值调参'!$AK$24,0),IF('01_数值调参'!$AL$7&lt;=$A13,-'01_数值调参'!$AL$24,0),IF('01_数值调参'!$AM$7&lt;=$A13,-'01_数值调参'!$AM$24,0)),0),0)),"队列待修正"))</x:f>
        <x:v>—</x:v>
      </x:c>
      <x:c r="O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L$7,"—",SUM(IF($A13&gt;=2,(C13+$C$3)*MAX(0,IF('01_数值调参'!$N$7&lt;=$A13,-'01_数值调参'!$N$25,0),IF('01_数值调参'!$O$7&lt;=$A13,-'01_数值调参'!$O$25,0),IF('01_数值调参'!$P$7&lt;=$A13,-'01_数值调参'!$P$25,0),IF('01_数值调参'!$Q$7&lt;=$A13,-'01_数值调参'!$Q$25,0),IF('01_数值调参'!$R$7&lt;=$A13,-'01_数值调参'!$R$25,0)),0),IF($A13&gt;=4,(D13+$C$3)*MAX(0,IF('01_数值调参'!$S$7&lt;=$A13,-'01_数值调参'!$S$25,0),IF('01_数值调参'!$T$7&lt;=$A13,-'01_数值调参'!$T$25,0),IF('01_数值调参'!$U$7&lt;=$A13,-'01_数值调参'!$U$25,0),IF('01_数值调参'!$V$7&lt;=$A13,-'01_数值调参'!$V$25,0),IF('01_数值调参'!$W$7&lt;=$A13,-'01_数值调参'!$W$25,0)),0),IF($A13&gt;=6,(E13+$C$3)*MAX(0,IF('01_数值调参'!$X$7&lt;=$A13,-'01_数值调参'!$X$25,0),IF('01_数值调参'!$Y$7&lt;=$A13,-'01_数值调参'!$Y$25,0),IF('01_数值调参'!$Z$7&lt;=$A13,-'01_数值调参'!$Z$25,0),IF('01_数值调参'!$AA$7&lt;=$A13,-'01_数值调参'!$AA$25,0),IF('01_数值调参'!$AB$7&lt;=$A13,-'01_数值调参'!$AB$25,0),IF('01_数值调参'!$AC$7&lt;=$A13,-'01_数值调参'!$AC$25,0)),0),IF($A13&gt;=8,(F13+$C$3)*MAX(0,IF('01_数值调参'!$AD$7&lt;=$A13,-'01_数值调参'!$AD$25,0),IF('01_数值调参'!$AE$7&lt;=$A13,-'01_数值调参'!$AE$25,0),IF('01_数值调参'!$AF$7&lt;=$A13,-'01_数值调参'!$AF$25,0),IF('01_数值调参'!$AG$7&lt;=$A13,-'01_数值调参'!$AG$25,0)),0),IF($A13&gt;=10,(G13+$C$3)*MAX(0,IF('01_数值调参'!$AH$7&lt;=$A13,-'01_数值调参'!$AH$25,0),IF('01_数值调参'!$AI$7&lt;=$A13,-'01_数值调参'!$AI$25,0),IF('01_数值调参'!$AJ$7&lt;=$A13,-'01_数值调参'!$AJ$25,0),IF('01_数值调参'!$AK$7&lt;=$A13,-'01_数值调参'!$AK$25,0),IF('01_数值调参'!$AL$7&lt;=$A13,-'01_数值调参'!$AL$25,0),IF('01_数值调参'!$AM$7&lt;=$A13,-'01_数值调参'!$AM$25,0)),0),0)),"队列待修正"))</x:f>
        <x:v>—</x:v>
      </x:c>
      <x:c r="P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M$7,"—",SUM(IF($A13&gt;=2,(C13+$C$3)*MAX(0,IF('01_数值调参'!$N$7&lt;=$A13,-'01_数值调参'!$N$26,0),IF('01_数值调参'!$O$7&lt;=$A13,-'01_数值调参'!$O$26,0),IF('01_数值调参'!$P$7&lt;=$A13,-'01_数值调参'!$P$26,0),IF('01_数值调参'!$Q$7&lt;=$A13,-'01_数值调参'!$Q$26,0),IF('01_数值调参'!$R$7&lt;=$A13,-'01_数值调参'!$R$26,0)),0),IF($A13&gt;=4,(D13+$C$3)*MAX(0,IF('01_数值调参'!$S$7&lt;=$A13,-'01_数值调参'!$S$26,0),IF('01_数值调参'!$T$7&lt;=$A13,-'01_数值调参'!$T$26,0),IF('01_数值调参'!$U$7&lt;=$A13,-'01_数值调参'!$U$26,0),IF('01_数值调参'!$V$7&lt;=$A13,-'01_数值调参'!$V$26,0),IF('01_数值调参'!$W$7&lt;=$A13,-'01_数值调参'!$W$26,0)),0),IF($A13&gt;=6,(E13+$C$3)*MAX(0,IF('01_数值调参'!$X$7&lt;=$A13,-'01_数值调参'!$X$26,0),IF('01_数值调参'!$Y$7&lt;=$A13,-'01_数值调参'!$Y$26,0),IF('01_数值调参'!$Z$7&lt;=$A13,-'01_数值调参'!$Z$26,0),IF('01_数值调参'!$AA$7&lt;=$A13,-'01_数值调参'!$AA$26,0),IF('01_数值调参'!$AB$7&lt;=$A13,-'01_数值调参'!$AB$26,0),IF('01_数值调参'!$AC$7&lt;=$A13,-'01_数值调参'!$AC$26,0)),0),IF($A13&gt;=8,(F13+$C$3)*MAX(0,IF('01_数值调参'!$AD$7&lt;=$A13,-'01_数值调参'!$AD$26,0),IF('01_数值调参'!$AE$7&lt;=$A13,-'01_数值调参'!$AE$26,0),IF('01_数值调参'!$AF$7&lt;=$A13,-'01_数值调参'!$AF$26,0),IF('01_数值调参'!$AG$7&lt;=$A13,-'01_数值调参'!$AG$26,0)),0),IF($A13&gt;=10,(G13+$C$3)*MAX(0,IF('01_数值调参'!$AH$7&lt;=$A13,-'01_数值调参'!$AH$26,0),IF('01_数值调参'!$AI$7&lt;=$A13,-'01_数值调参'!$AI$26,0),IF('01_数值调参'!$AJ$7&lt;=$A13,-'01_数值调参'!$AJ$26,0),IF('01_数值调参'!$AK$7&lt;=$A13,-'01_数值调参'!$AK$26,0),IF('01_数值调参'!$AL$7&lt;=$A13,-'01_数值调参'!$AL$26,0),IF('01_数值调参'!$AM$7&lt;=$A13,-'01_数值调参'!$AM$26,0)),0),0)),"队列待修正"))</x:f>
        <x:v>—</x:v>
      </x:c>
      <x:c r="Q13" s="191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N$7,"—",SUM(IF($A13&gt;=2,(C13+$C$3)*MAX(0,IF('01_数值调参'!$N$7&lt;=$A13,0,0),IF('01_数值调参'!$O$7&lt;=$A13,-'01_数值调参'!$O$27,0),IF('01_数值调参'!$P$7&lt;=$A13,-'01_数值调参'!$P$27,0),IF('01_数值调参'!$Q$7&lt;=$A13,-'01_数值调参'!$Q$27,0),IF('01_数值调参'!$R$7&lt;=$A13,-'01_数值调参'!$R$27,0)),0),IF($A13&gt;=4,(D13+$C$3)*MAX(0,IF('01_数值调参'!$S$7&lt;=$A13,-'01_数值调参'!$S$27,0),IF('01_数值调参'!$T$7&lt;=$A13,-'01_数值调参'!$T$27,0),IF('01_数值调参'!$U$7&lt;=$A13,-'01_数值调参'!$U$27,0),IF('01_数值调参'!$V$7&lt;=$A13,-'01_数值调参'!$V$27,0),IF('01_数值调参'!$W$7&lt;=$A13,-'01_数值调参'!$W$27,0)),0),IF($A13&gt;=6,(E13+$C$3)*MAX(0,IF('01_数值调参'!$X$7&lt;=$A13,-'01_数值调参'!$X$27,0),IF('01_数值调参'!$Y$7&lt;=$A13,-'01_数值调参'!$Y$27,0),IF('01_数值调参'!$Z$7&lt;=$A13,-'01_数值调参'!$Z$27,0),IF('01_数值调参'!$AA$7&lt;=$A13,-'01_数值调参'!$AA$27,0),IF('01_数值调参'!$AB$7&lt;=$A13,-'01_数值调参'!$AB$27,0),IF('01_数值调参'!$AC$7&lt;=$A13,-'01_数值调参'!$AC$27,0)),0),IF($A13&gt;=8,(F13+$C$3)*MAX(0,IF('01_数值调参'!$AD$7&lt;=$A13,-'01_数值调参'!$AD$27,0),IF('01_数值调参'!$AE$7&lt;=$A13,-'01_数值调参'!$AE$27,0),IF('01_数值调参'!$AF$7&lt;=$A13,-'01_数值调参'!$AF$27,0),IF('01_数值调参'!$AG$7&lt;=$A13,-'01_数值调参'!$AG$27,0)),0),IF($A13&gt;=10,(G13+$C$3)*MAX(0,IF('01_数值调参'!$AH$7&lt;=$A13,-'01_数值调参'!$AH$27,0),IF('01_数值调参'!$AI$7&lt;=$A13,-'01_数值调参'!$AI$27,0),IF('01_数值调参'!$AJ$7&lt;=$A13,-'01_数值调参'!$AJ$27,0),IF('01_数值调参'!$AK$7&lt;=$A13,-'01_数值调参'!$AK$27,0),IF('01_数值调参'!$AL$7&lt;=$A13,-'01_数值调参'!$AL$27,0),IF('01_数值调参'!$AM$7&lt;=$A13,-'01_数值调参'!$AM$27,0)),0),0)),"队列待修正"))</x:f>
        <x:v>3</x:v>
      </x:c>
      <x:c r="R13" s="179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O$7,"—",SUM(IF($A13&gt;=2,(C13+$C$3)*MAX(0,IF('01_数值调参'!$N$7&lt;=$A13,-'01_数值调参'!$N$28,0),IF('01_数值调参'!$O$7&lt;=$A13,0,0),IF('01_数值调参'!$P$7&lt;=$A13,-'01_数值调参'!$P$28,0),IF('01_数值调参'!$Q$7&lt;=$A13,-'01_数值调参'!$Q$28,0),IF('01_数值调参'!$R$7&lt;=$A13,-'01_数值调参'!$R$28,0)),0),IF($A13&gt;=4,(D13+$C$3)*MAX(0,IF('01_数值调参'!$S$7&lt;=$A13,-'01_数值调参'!$S$28,0),IF('01_数值调参'!$T$7&lt;=$A13,-'01_数值调参'!$T$28,0),IF('01_数值调参'!$U$7&lt;=$A13,-'01_数值调参'!$U$28,0),IF('01_数值调参'!$V$7&lt;=$A13,-'01_数值调参'!$V$28,0),IF('01_数值调参'!$W$7&lt;=$A13,-'01_数值调参'!$W$28,0)),0),IF($A13&gt;=6,(E13+$C$3)*MAX(0,IF('01_数值调参'!$X$7&lt;=$A13,-'01_数值调参'!$X$28,0),IF('01_数值调参'!$Y$7&lt;=$A13,-'01_数值调参'!$Y$28,0),IF('01_数值调参'!$Z$7&lt;=$A13,-'01_数值调参'!$Z$28,0),IF('01_数值调参'!$AA$7&lt;=$A13,-'01_数值调参'!$AA$28,0),IF('01_数值调参'!$AB$7&lt;=$A13,-'01_数值调参'!$AB$28,0),IF('01_数值调参'!$AC$7&lt;=$A13,-'01_数值调参'!$AC$28,0)),0),IF($A13&gt;=8,(F13+$C$3)*MAX(0,IF('01_数值调参'!$AD$7&lt;=$A13,-'01_数值调参'!$AD$28,0),IF('01_数值调参'!$AE$7&lt;=$A13,-'01_数值调参'!$AE$28,0),IF('01_数值调参'!$AF$7&lt;=$A13,-'01_数值调参'!$AF$28,0),IF('01_数值调参'!$AG$7&lt;=$A13,-'01_数值调参'!$AG$28,0)),0),IF($A13&gt;=10,(G13+$C$3)*MAX(0,IF('01_数值调参'!$AH$7&lt;=$A13,-'01_数值调参'!$AH$28,0),IF('01_数值调参'!$AI$7&lt;=$A13,-'01_数值调参'!$AI$28,0),IF('01_数值调参'!$AJ$7&lt;=$A13,-'01_数值调参'!$AJ$28,0),IF('01_数值调参'!$AK$7&lt;=$A13,-'01_数值调参'!$AK$28,0),IF('01_数值调参'!$AL$7&lt;=$A13,-'01_数值调参'!$AL$28,0),IF('01_数值调参'!$AM$7&lt;=$A13,-'01_数值调参'!$AM$28,0)),0),0)),"队列待修正"))</x:f>
        <x:v>0</x:v>
      </x:c>
      <x:c r="S13" s="179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P$7,"—",SUM(IF($A13&gt;=2,(C13+$C$3)*MAX(0,IF('01_数值调参'!$N$7&lt;=$A13,-'01_数值调参'!$N$29,0),IF('01_数值调参'!$O$7&lt;=$A13,-'01_数值调参'!$O$29,0),IF('01_数值调参'!$P$7&lt;=$A13,0,0),IF('01_数值调参'!$Q$7&lt;=$A13,-'01_数值调参'!$Q$29,0),IF('01_数值调参'!$R$7&lt;=$A13,-'01_数值调参'!$R$29,0)),0),IF($A13&gt;=4,(D13+$C$3)*MAX(0,IF('01_数值调参'!$S$7&lt;=$A13,-'01_数值调参'!$S$29,0),IF('01_数值调参'!$T$7&lt;=$A13,-'01_数值调参'!$T$29,0),IF('01_数值调参'!$U$7&lt;=$A13,-'01_数值调参'!$U$29,0),IF('01_数值调参'!$V$7&lt;=$A13,-'01_数值调参'!$V$29,0),IF('01_数值调参'!$W$7&lt;=$A13,-'01_数值调参'!$W$29,0)),0),IF($A13&gt;=6,(E13+$C$3)*MAX(0,IF('01_数值调参'!$X$7&lt;=$A13,-'01_数值调参'!$X$29,0),IF('01_数值调参'!$Y$7&lt;=$A13,-'01_数值调参'!$Y$29,0),IF('01_数值调参'!$Z$7&lt;=$A13,-'01_数值调参'!$Z$29,0),IF('01_数值调参'!$AA$7&lt;=$A13,-'01_数值调参'!$AA$29,0),IF('01_数值调参'!$AB$7&lt;=$A13,-'01_数值调参'!$AB$29,0),IF('01_数值调参'!$AC$7&lt;=$A13,-'01_数值调参'!$AC$29,0)),0),IF($A13&gt;=8,(F13+$C$3)*MAX(0,IF('01_数值调参'!$AD$7&lt;=$A13,-'01_数值调参'!$AD$29,0),IF('01_数值调参'!$AE$7&lt;=$A13,-'01_数值调参'!$AE$29,0),IF('01_数值调参'!$AF$7&lt;=$A13,-'01_数值调参'!$AF$29,0),IF('01_数值调参'!$AG$7&lt;=$A13,-'01_数值调参'!$AG$29,0)),0),IF($A13&gt;=10,(G13+$C$3)*MAX(0,IF('01_数值调参'!$AH$7&lt;=$A13,-'01_数值调参'!$AH$29,0),IF('01_数值调参'!$AI$7&lt;=$A13,-'01_数值调参'!$AI$29,0),IF('01_数值调参'!$AJ$7&lt;=$A13,-'01_数值调参'!$AJ$29,0),IF('01_数值调参'!$AK$7&lt;=$A13,-'01_数值调参'!$AK$29,0),IF('01_数值调参'!$AL$7&lt;=$A13,-'01_数值调参'!$AL$29,0),IF('01_数值调参'!$AM$7&lt;=$A13,-'01_数值调参'!$AM$29,0)),0),0)),"队列待修正"))</x:f>
        <x:v>0</x:v>
      </x:c>
      <x:c r="T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Q$7,"—",SUM(IF($A13&gt;=2,(C13+$C$3)*MAX(0,IF('01_数值调参'!$N$7&lt;=$A13,-'01_数值调参'!$N$30,0),IF('01_数值调参'!$O$7&lt;=$A13,-'01_数值调参'!$O$30,0),IF('01_数值调参'!$P$7&lt;=$A13,-'01_数值调参'!$P$30,0),IF('01_数值调参'!$Q$7&lt;=$A13,0,0),IF('01_数值调参'!$R$7&lt;=$A13,-'01_数值调参'!$R$30,0)),0),IF($A13&gt;=4,(D13+$C$3)*MAX(0,IF('01_数值调参'!$S$7&lt;=$A13,-'01_数值调参'!$S$30,0),IF('01_数值调参'!$T$7&lt;=$A13,-'01_数值调参'!$T$30,0),IF('01_数值调参'!$U$7&lt;=$A13,-'01_数值调参'!$U$30,0),IF('01_数值调参'!$V$7&lt;=$A13,-'01_数值调参'!$V$30,0),IF('01_数值调参'!$W$7&lt;=$A13,-'01_数值调参'!$W$30,0)),0),IF($A13&gt;=6,(E13+$C$3)*MAX(0,IF('01_数值调参'!$X$7&lt;=$A13,-'01_数值调参'!$X$30,0),IF('01_数值调参'!$Y$7&lt;=$A13,-'01_数值调参'!$Y$30,0),IF('01_数值调参'!$Z$7&lt;=$A13,-'01_数值调参'!$Z$30,0),IF('01_数值调参'!$AA$7&lt;=$A13,-'01_数值调参'!$AA$30,0),IF('01_数值调参'!$AB$7&lt;=$A13,-'01_数值调参'!$AB$30,0),IF('01_数值调参'!$AC$7&lt;=$A13,-'01_数值调参'!$AC$30,0)),0),IF($A13&gt;=8,(F13+$C$3)*MAX(0,IF('01_数值调参'!$AD$7&lt;=$A13,-'01_数值调参'!$AD$30,0),IF('01_数值调参'!$AE$7&lt;=$A13,-'01_数值调参'!$AE$30,0),IF('01_数值调参'!$AF$7&lt;=$A13,-'01_数值调参'!$AF$30,0),IF('01_数值调参'!$AG$7&lt;=$A13,-'01_数值调参'!$AG$30,0)),0),IF($A13&gt;=10,(G13+$C$3)*MAX(0,IF('01_数值调参'!$AH$7&lt;=$A13,-'01_数值调参'!$AH$30,0),IF('01_数值调参'!$AI$7&lt;=$A13,-'01_数值调参'!$AI$30,0),IF('01_数值调参'!$AJ$7&lt;=$A13,-'01_数值调参'!$AJ$30,0),IF('01_数值调参'!$AK$7&lt;=$A13,-'01_数值调参'!$AK$30,0),IF('01_数值调参'!$AL$7&lt;=$A13,-'01_数值调参'!$AL$30,0),IF('01_数值调参'!$AM$7&lt;=$A13,-'01_数值调参'!$AM$30,0)),0),0)),"队列待修正"))</x:f>
        <x:v>—</x:v>
      </x:c>
      <x:c r="U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R$7,"—",SUM(IF($A13&gt;=2,(C13+$C$3)*MAX(0,IF('01_数值调参'!$N$7&lt;=$A13,-'01_数值调参'!$N$31,0),IF('01_数值调参'!$O$7&lt;=$A13,-'01_数值调参'!$O$31,0),IF('01_数值调参'!$P$7&lt;=$A13,-'01_数值调参'!$P$31,0),IF('01_数值调参'!$Q$7&lt;=$A13,-'01_数值调参'!$Q$31,0),IF('01_数值调参'!$R$7&lt;=$A13,0,0)),0),IF($A13&gt;=4,(D13+$C$3)*MAX(0,IF('01_数值调参'!$S$7&lt;=$A13,-'01_数值调参'!$S$31,0),IF('01_数值调参'!$T$7&lt;=$A13,-'01_数值调参'!$T$31,0),IF('01_数值调参'!$U$7&lt;=$A13,-'01_数值调参'!$U$31,0),IF('01_数值调参'!$V$7&lt;=$A13,-'01_数值调参'!$V$31,0),IF('01_数值调参'!$W$7&lt;=$A13,-'01_数值调参'!$W$31,0)),0),IF($A13&gt;=6,(E13+$C$3)*MAX(0,IF('01_数值调参'!$X$7&lt;=$A13,-'01_数值调参'!$X$31,0),IF('01_数值调参'!$Y$7&lt;=$A13,-'01_数值调参'!$Y$31,0),IF('01_数值调参'!$Z$7&lt;=$A13,-'01_数值调参'!$Z$31,0),IF('01_数值调参'!$AA$7&lt;=$A13,-'01_数值调参'!$AA$31,0),IF('01_数值调参'!$AB$7&lt;=$A13,-'01_数值调参'!$AB$31,0),IF('01_数值调参'!$AC$7&lt;=$A13,-'01_数值调参'!$AC$31,0)),0),IF($A13&gt;=8,(F13+$C$3)*MAX(0,IF('01_数值调参'!$AD$7&lt;=$A13,-'01_数值调参'!$AD$31,0),IF('01_数值调参'!$AE$7&lt;=$A13,-'01_数值调参'!$AE$31,0),IF('01_数值调参'!$AF$7&lt;=$A13,-'01_数值调参'!$AF$31,0),IF('01_数值调参'!$AG$7&lt;=$A13,-'01_数值调参'!$AG$31,0)),0),IF($A13&gt;=10,(G13+$C$3)*MAX(0,IF('01_数值调参'!$AH$7&lt;=$A13,-'01_数值调参'!$AH$31,0),IF('01_数值调参'!$AI$7&lt;=$A13,-'01_数值调参'!$AI$31,0),IF('01_数值调参'!$AJ$7&lt;=$A13,-'01_数值调参'!$AJ$31,0),IF('01_数值调参'!$AK$7&lt;=$A13,-'01_数值调参'!$AK$31,0),IF('01_数值调参'!$AL$7&lt;=$A13,-'01_数值调参'!$AL$31,0),IF('01_数值调参'!$AM$7&lt;=$A13,-'01_数值调参'!$AM$31,0)),0),0)),"队列待修正"))</x:f>
        <x:v>—</x:v>
      </x:c>
      <x:c r="V13" s="191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S$7,"—",SUM(IF($A13&gt;=2,(C13+$C$3)*MAX(0,IF('01_数值调参'!$N$7&lt;=$A13,-'01_数值调参'!$N$32,0),IF('01_数值调参'!$O$7&lt;=$A13,-'01_数值调参'!$O$32,0),IF('01_数值调参'!$P$7&lt;=$A13,-'01_数值调参'!$P$32,0),IF('01_数值调参'!$Q$7&lt;=$A13,-'01_数值调参'!$Q$32,0),IF('01_数值调参'!$R$7&lt;=$A13,-'01_数值调参'!$R$32,0)),0),IF($A13&gt;=4,(D13+$C$3)*MAX(0,IF('01_数值调参'!$S$7&lt;=$A13,0,0),IF('01_数值调参'!$T$7&lt;=$A13,-'01_数值调参'!$T$32,0),IF('01_数值调参'!$U$7&lt;=$A13,-'01_数值调参'!$U$32,0),IF('01_数值调参'!$V$7&lt;=$A13,-'01_数值调参'!$V$32,0),IF('01_数值调参'!$W$7&lt;=$A13,-'01_数值调参'!$W$32,0)),0),IF($A13&gt;=6,(E13+$C$3)*MAX(0,IF('01_数值调参'!$X$7&lt;=$A13,-'01_数值调参'!$X$32,0),IF('01_数值调参'!$Y$7&lt;=$A13,-'01_数值调参'!$Y$32,0),IF('01_数值调参'!$Z$7&lt;=$A13,-'01_数值调参'!$Z$32,0),IF('01_数值调参'!$AA$7&lt;=$A13,-'01_数值调参'!$AA$32,0),IF('01_数值调参'!$AB$7&lt;=$A13,-'01_数值调参'!$AB$32,0),IF('01_数值调参'!$AC$7&lt;=$A13,-'01_数值调参'!$AC$32,0)),0),IF($A13&gt;=8,(F13+$C$3)*MAX(0,IF('01_数值调参'!$AD$7&lt;=$A13,-'01_数值调参'!$AD$32,0),IF('01_数值调参'!$AE$7&lt;=$A13,-'01_数值调参'!$AE$32,0),IF('01_数值调参'!$AF$7&lt;=$A13,-'01_数值调参'!$AF$32,0),IF('01_数值调参'!$AG$7&lt;=$A13,-'01_数值调参'!$AG$32,0)),0),IF($A13&gt;=10,(G13+$C$3)*MAX(0,IF('01_数值调参'!$AH$7&lt;=$A13,-'01_数值调参'!$AH$32,0),IF('01_数值调参'!$AI$7&lt;=$A13,-'01_数值调参'!$AI$32,0),IF('01_数值调参'!$AJ$7&lt;=$A13,-'01_数值调参'!$AJ$32,0),IF('01_数值调参'!$AK$7&lt;=$A13,-'01_数值调参'!$AK$32,0),IF('01_数值调参'!$AL$7&lt;=$A13,-'01_数值调参'!$AL$32,0),IF('01_数值调参'!$AM$7&lt;=$A13,-'01_数值调参'!$AM$32,0)),0),0)),"队列待修正"))</x:f>
        <x:v>3</x:v>
      </x:c>
      <x:c r="W13" s="179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T$7,"—",SUM(IF($A13&gt;=2,(C13+$C$3)*MAX(0,IF('01_数值调参'!$N$7&lt;=$A13,-'01_数值调参'!$N$33,0),IF('01_数值调参'!$O$7&lt;=$A13,-'01_数值调参'!$O$33,0),IF('01_数值调参'!$P$7&lt;=$A13,-'01_数值调参'!$P$33,0),IF('01_数值调参'!$Q$7&lt;=$A13,-'01_数值调参'!$Q$33,0),IF('01_数值调参'!$R$7&lt;=$A13,-'01_数值调参'!$R$33,0)),0),IF($A13&gt;=4,(D13+$C$3)*MAX(0,IF('01_数值调参'!$S$7&lt;=$A13,-'01_数值调参'!$S$33,0),IF('01_数值调参'!$T$7&lt;=$A13,0,0),IF('01_数值调参'!$U$7&lt;=$A13,-'01_数值调参'!$U$33,0),IF('01_数值调参'!$V$7&lt;=$A13,-'01_数值调参'!$V$33,0),IF('01_数值调参'!$W$7&lt;=$A13,-'01_数值调参'!$W$33,0)),0),IF($A13&gt;=6,(E13+$C$3)*MAX(0,IF('01_数值调参'!$X$7&lt;=$A13,-'01_数值调参'!$X$33,0),IF('01_数值调参'!$Y$7&lt;=$A13,-'01_数值调参'!$Y$33,0),IF('01_数值调参'!$Z$7&lt;=$A13,-'01_数值调参'!$Z$33,0),IF('01_数值调参'!$AA$7&lt;=$A13,-'01_数值调参'!$AA$33,0),IF('01_数值调参'!$AB$7&lt;=$A13,-'01_数值调参'!$AB$33,0),IF('01_数值调参'!$AC$7&lt;=$A13,-'01_数值调参'!$AC$33,0)),0),IF($A13&gt;=8,(F13+$C$3)*MAX(0,IF('01_数值调参'!$AD$7&lt;=$A13,-'01_数值调参'!$AD$33,0),IF('01_数值调参'!$AE$7&lt;=$A13,-'01_数值调参'!$AE$33,0),IF('01_数值调参'!$AF$7&lt;=$A13,-'01_数值调参'!$AF$33,0),IF('01_数值调参'!$AG$7&lt;=$A13,-'01_数值调参'!$AG$33,0)),0),IF($A13&gt;=10,(G13+$C$3)*MAX(0,IF('01_数值调参'!$AH$7&lt;=$A13,-'01_数值调参'!$AH$33,0),IF('01_数值调参'!$AI$7&lt;=$A13,-'01_数值调参'!$AI$33,0),IF('01_数值调参'!$AJ$7&lt;=$A13,-'01_数值调参'!$AJ$33,0),IF('01_数值调参'!$AK$7&lt;=$A13,-'01_数值调参'!$AK$33,0),IF('01_数值调参'!$AL$7&lt;=$A13,-'01_数值调参'!$AL$33,0),IF('01_数值调参'!$AM$7&lt;=$A13,-'01_数值调参'!$AM$33,0)),0),0)),"队列待修正"))</x:f>
        <x:v>0</x:v>
      </x:c>
      <x:c r="X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U$7,"—",SUM(IF($A13&gt;=2,(C13+$C$3)*MAX(0,IF('01_数值调参'!$N$7&lt;=$A13,-'01_数值调参'!$N$34,0),IF('01_数值调参'!$O$7&lt;=$A13,-'01_数值调参'!$O$34,0),IF('01_数值调参'!$P$7&lt;=$A13,-'01_数值调参'!$P$34,0),IF('01_数值调参'!$Q$7&lt;=$A13,-'01_数值调参'!$Q$34,0),IF('01_数值调参'!$R$7&lt;=$A13,-'01_数值调参'!$R$34,0)),0),IF($A13&gt;=4,(D13+$C$3)*MAX(0,IF('01_数值调参'!$S$7&lt;=$A13,-'01_数值调参'!$S$34,0),IF('01_数值调参'!$T$7&lt;=$A13,-'01_数值调参'!$T$34,0),IF('01_数值调参'!$U$7&lt;=$A13,0,0),IF('01_数值调参'!$V$7&lt;=$A13,-'01_数值调参'!$V$34,0),IF('01_数值调参'!$W$7&lt;=$A13,-'01_数值调参'!$W$34,0)),0),IF($A13&gt;=6,(E13+$C$3)*MAX(0,IF('01_数值调参'!$X$7&lt;=$A13,-'01_数值调参'!$X$34,0),IF('01_数值调参'!$Y$7&lt;=$A13,-'01_数值调参'!$Y$34,0),IF('01_数值调参'!$Z$7&lt;=$A13,-'01_数值调参'!$Z$34,0),IF('01_数值调参'!$AA$7&lt;=$A13,-'01_数值调参'!$AA$34,0),IF('01_数值调参'!$AB$7&lt;=$A13,-'01_数值调参'!$AB$34,0),IF('01_数值调参'!$AC$7&lt;=$A13,-'01_数值调参'!$AC$34,0)),0),IF($A13&gt;=8,(F13+$C$3)*MAX(0,IF('01_数值调参'!$AD$7&lt;=$A13,-'01_数值调参'!$AD$34,0),IF('01_数值调参'!$AE$7&lt;=$A13,-'01_数值调参'!$AE$34,0),IF('01_数值调参'!$AF$7&lt;=$A13,-'01_数值调参'!$AF$34,0),IF('01_数值调参'!$AG$7&lt;=$A13,-'01_数值调参'!$AG$34,0)),0),IF($A13&gt;=10,(G13+$C$3)*MAX(0,IF('01_数值调参'!$AH$7&lt;=$A13,-'01_数值调参'!$AH$34,0),IF('01_数值调参'!$AI$7&lt;=$A13,-'01_数值调参'!$AI$34,0),IF('01_数值调参'!$AJ$7&lt;=$A13,-'01_数值调参'!$AJ$34,0),IF('01_数值调参'!$AK$7&lt;=$A13,-'01_数值调参'!$AK$34,0),IF('01_数值调参'!$AL$7&lt;=$A13,-'01_数值调参'!$AL$34,0),IF('01_数值调参'!$AM$7&lt;=$A13,-'01_数值调参'!$AM$34,0)),0),0)),"队列待修正"))</x:f>
        <x:v>—</x:v>
      </x:c>
      <x:c r="Y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V$7,"—",SUM(IF($A13&gt;=2,(C13+$C$3)*MAX(0,IF('01_数值调参'!$N$7&lt;=$A13,-'01_数值调参'!$N$35,0),IF('01_数值调参'!$O$7&lt;=$A13,-'01_数值调参'!$O$35,0),IF('01_数值调参'!$P$7&lt;=$A13,-'01_数值调参'!$P$35,0),IF('01_数值调参'!$Q$7&lt;=$A13,-'01_数值调参'!$Q$35,0),IF('01_数值调参'!$R$7&lt;=$A13,-'01_数值调参'!$R$35,0)),0),IF($A13&gt;=4,(D13+$C$3)*MAX(0,IF('01_数值调参'!$S$7&lt;=$A13,-'01_数值调参'!$S$35,0),IF('01_数值调参'!$T$7&lt;=$A13,-'01_数值调参'!$T$35,0),IF('01_数值调参'!$U$7&lt;=$A13,-'01_数值调参'!$U$35,0),IF('01_数值调参'!$V$7&lt;=$A13,0,0),IF('01_数值调参'!$W$7&lt;=$A13,-'01_数值调参'!$W$35,0)),0),IF($A13&gt;=6,(E13+$C$3)*MAX(0,IF('01_数值调参'!$X$7&lt;=$A13,-'01_数值调参'!$X$35,0),IF('01_数值调参'!$Y$7&lt;=$A13,-'01_数值调参'!$Y$35,0),IF('01_数值调参'!$Z$7&lt;=$A13,-'01_数值调参'!$Z$35,0),IF('01_数值调参'!$AA$7&lt;=$A13,-'01_数值调参'!$AA$35,0),IF('01_数值调参'!$AB$7&lt;=$A13,-'01_数值调参'!$AB$35,0),IF('01_数值调参'!$AC$7&lt;=$A13,-'01_数值调参'!$AC$35,0)),0),IF($A13&gt;=8,(F13+$C$3)*MAX(0,IF('01_数值调参'!$AD$7&lt;=$A13,-'01_数值调参'!$AD$35,0),IF('01_数值调参'!$AE$7&lt;=$A13,-'01_数值调参'!$AE$35,0),IF('01_数值调参'!$AF$7&lt;=$A13,-'01_数值调参'!$AF$35,0),IF('01_数值调参'!$AG$7&lt;=$A13,-'01_数值调参'!$AG$35,0)),0),IF($A13&gt;=10,(G13+$C$3)*MAX(0,IF('01_数值调参'!$AH$7&lt;=$A13,-'01_数值调参'!$AH$35,0),IF('01_数值调参'!$AI$7&lt;=$A13,-'01_数值调参'!$AI$35,0),IF('01_数值调参'!$AJ$7&lt;=$A13,-'01_数值调参'!$AJ$35,0),IF('01_数值调参'!$AK$7&lt;=$A13,-'01_数值调参'!$AK$35,0),IF('01_数值调参'!$AL$7&lt;=$A13,-'01_数值调参'!$AL$35,0),IF('01_数值调参'!$AM$7&lt;=$A13,-'01_数值调参'!$AM$35,0)),0),0)),"队列待修正"))</x:f>
        <x:v>—</x:v>
      </x:c>
      <x:c r="Z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W$7,"—",SUM(IF($A13&gt;=2,(C13+$C$3)*MAX(0,IF('01_数值调参'!$N$7&lt;=$A13,-'01_数值调参'!$N$36,0),IF('01_数值调参'!$O$7&lt;=$A13,-'01_数值调参'!$O$36,0),IF('01_数值调参'!$P$7&lt;=$A13,-'01_数值调参'!$P$36,0),IF('01_数值调参'!$Q$7&lt;=$A13,-'01_数值调参'!$Q$36,0),IF('01_数值调参'!$R$7&lt;=$A13,-'01_数值调参'!$R$36,0)),0),IF($A13&gt;=4,(D13+$C$3)*MAX(0,IF('01_数值调参'!$S$7&lt;=$A13,-'01_数值调参'!$S$36,0),IF('01_数值调参'!$T$7&lt;=$A13,-'01_数值调参'!$T$36,0),IF('01_数值调参'!$U$7&lt;=$A13,-'01_数值调参'!$U$36,0),IF('01_数值调参'!$V$7&lt;=$A13,-'01_数值调参'!$V$36,0),IF('01_数值调参'!$W$7&lt;=$A13,0,0)),0),IF($A13&gt;=6,(E13+$C$3)*MAX(0,IF('01_数值调参'!$X$7&lt;=$A13,-'01_数值调参'!$X$36,0),IF('01_数值调参'!$Y$7&lt;=$A13,-'01_数值调参'!$Y$36,0),IF('01_数值调参'!$Z$7&lt;=$A13,-'01_数值调参'!$Z$36,0),IF('01_数值调参'!$AA$7&lt;=$A13,-'01_数值调参'!$AA$36,0),IF('01_数值调参'!$AB$7&lt;=$A13,-'01_数值调参'!$AB$36,0),IF('01_数值调参'!$AC$7&lt;=$A13,-'01_数值调参'!$AC$36,0)),0),IF($A13&gt;=8,(F13+$C$3)*MAX(0,IF('01_数值调参'!$AD$7&lt;=$A13,-'01_数值调参'!$AD$36,0),IF('01_数值调参'!$AE$7&lt;=$A13,-'01_数值调参'!$AE$36,0),IF('01_数值调参'!$AF$7&lt;=$A13,-'01_数值调参'!$AF$36,0),IF('01_数值调参'!$AG$7&lt;=$A13,-'01_数值调参'!$AG$36,0)),0),IF($A13&gt;=10,(G13+$C$3)*MAX(0,IF('01_数值调参'!$AH$7&lt;=$A13,-'01_数值调参'!$AH$36,0),IF('01_数值调参'!$AI$7&lt;=$A13,-'01_数值调参'!$AI$36,0),IF('01_数值调参'!$AJ$7&lt;=$A13,-'01_数值调参'!$AJ$36,0),IF('01_数值调参'!$AK$7&lt;=$A13,-'01_数值调参'!$AK$36,0),IF('01_数值调参'!$AL$7&lt;=$A13,-'01_数值调参'!$AL$36,0),IF('01_数值调参'!$AM$7&lt;=$A13,-'01_数值调参'!$AM$36,0)),0),0)),"队列待修正"))</x:f>
        <x:v>—</x:v>
      </x:c>
      <x:c r="AA13" s="191" t="n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X$7,"—",SUM(IF($A13&gt;=2,(C13+$C$3)*MAX(0,IF('01_数值调参'!$N$7&lt;=$A13,-'01_数值调参'!$N$37,0),IF('01_数值调参'!$O$7&lt;=$A13,-'01_数值调参'!$O$37,0),IF('01_数值调参'!$P$7&lt;=$A13,-'01_数值调参'!$P$37,0),IF('01_数值调参'!$Q$7&lt;=$A13,-'01_数值调参'!$Q$37,0),IF('01_数值调参'!$R$7&lt;=$A13,-'01_数值调参'!$R$37,0)),0),IF($A13&gt;=4,(D13+$C$3)*MAX(0,IF('01_数值调参'!$S$7&lt;=$A13,-'01_数值调参'!$S$37,0),IF('01_数值调参'!$T$7&lt;=$A13,-'01_数值调参'!$T$37,0),IF('01_数值调参'!$U$7&lt;=$A13,-'01_数值调参'!$U$37,0),IF('01_数值调参'!$V$7&lt;=$A13,-'01_数值调参'!$V$37,0),IF('01_数值调参'!$W$7&lt;=$A13,-'01_数值调参'!$W$37,0)),0),IF($A13&gt;=6,(E13+$C$3)*MAX(0,IF('01_数值调参'!$X$7&lt;=$A13,0,0),IF('01_数值调参'!$Y$7&lt;=$A13,-'01_数值调参'!$Y$37,0),IF('01_数值调参'!$Z$7&lt;=$A13,-'01_数值调参'!$Z$37,0),IF('01_数值调参'!$AA$7&lt;=$A13,-'01_数值调参'!$AA$37,0),IF('01_数值调参'!$AB$7&lt;=$A13,-'01_数值调参'!$AB$37,0),IF('01_数值调参'!$AC$7&lt;=$A13,-'01_数值调参'!$AC$37,0)),0),IF($A13&gt;=8,(F13+$C$3)*MAX(0,IF('01_数值调参'!$AD$7&lt;=$A13,-'01_数值调参'!$AD$37,0),IF('01_数值调参'!$AE$7&lt;=$A13,-'01_数值调参'!$AE$37,0),IF('01_数值调参'!$AF$7&lt;=$A13,-'01_数值调参'!$AF$37,0),IF('01_数值调参'!$AG$7&lt;=$A13,-'01_数值调参'!$AG$37,0)),0),IF($A13&gt;=10,(G13+$C$3)*MAX(0,IF('01_数值调参'!$AH$7&lt;=$A13,-'01_数值调参'!$AH$37,0),IF('01_数值调参'!$AI$7&lt;=$A13,-'01_数值调参'!$AI$37,0),IF('01_数值调参'!$AJ$7&lt;=$A13,-'01_数值调参'!$AJ$37,0),IF('01_数值调参'!$AK$7&lt;=$A13,-'01_数值调参'!$AK$37,0),IF('01_数值调参'!$AL$7&lt;=$A13,-'01_数值调参'!$AL$37,0),IF('01_数值调参'!$AM$7&lt;=$A13,-'01_数值调参'!$AM$37,0)),0),0)),"队列待修正"))</x:f>
        <x:v>0</x:v>
      </x:c>
      <x:c r="AB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Y$7,"—",SUM(IF($A13&gt;=2,(C13+$C$3)*MAX(0,IF('01_数值调参'!$N$7&lt;=$A13,-'01_数值调参'!$N$38,0),IF('01_数值调参'!$O$7&lt;=$A13,-'01_数值调参'!$O$38,0),IF('01_数值调参'!$P$7&lt;=$A13,-'01_数值调参'!$P$38,0),IF('01_数值调参'!$Q$7&lt;=$A13,-'01_数值调参'!$Q$38,0),IF('01_数值调参'!$R$7&lt;=$A13,-'01_数值调参'!$R$38,0)),0),IF($A13&gt;=4,(D13+$C$3)*MAX(0,IF('01_数值调参'!$S$7&lt;=$A13,-'01_数值调参'!$S$38,0),IF('01_数值调参'!$T$7&lt;=$A13,-'01_数值调参'!$T$38,0),IF('01_数值调参'!$U$7&lt;=$A13,-'01_数值调参'!$U$38,0),IF('01_数值调参'!$V$7&lt;=$A13,-'01_数值调参'!$V$38,0),IF('01_数值调参'!$W$7&lt;=$A13,-'01_数值调参'!$W$38,0)),0),IF($A13&gt;=6,(E13+$C$3)*MAX(0,IF('01_数值调参'!$X$7&lt;=$A13,-'01_数值调参'!$X$38,0),IF('01_数值调参'!$Y$7&lt;=$A13,0,0),IF('01_数值调参'!$Z$7&lt;=$A13,-'01_数值调参'!$Z$38,0),IF('01_数值调参'!$AA$7&lt;=$A13,-'01_数值调参'!$AA$38,0),IF('01_数值调参'!$AB$7&lt;=$A13,-'01_数值调参'!$AB$38,0),IF('01_数值调参'!$AC$7&lt;=$A13,-'01_数值调参'!$AC$38,0)),0),IF($A13&gt;=8,(F13+$C$3)*MAX(0,IF('01_数值调参'!$AD$7&lt;=$A13,-'01_数值调参'!$AD$38,0),IF('01_数值调参'!$AE$7&lt;=$A13,-'01_数值调参'!$AE$38,0),IF('01_数值调参'!$AF$7&lt;=$A13,-'01_数值调参'!$AF$38,0),IF('01_数值调参'!$AG$7&lt;=$A13,-'01_数值调参'!$AG$38,0)),0),IF($A13&gt;=10,(G13+$C$3)*MAX(0,IF('01_数值调参'!$AH$7&lt;=$A13,-'01_数值调参'!$AH$38,0),IF('01_数值调参'!$AI$7&lt;=$A13,-'01_数值调参'!$AI$38,0),IF('01_数值调参'!$AJ$7&lt;=$A13,-'01_数值调参'!$AJ$38,0),IF('01_数值调参'!$AK$7&lt;=$A13,-'01_数值调参'!$AK$38,0),IF('01_数值调参'!$AL$7&lt;=$A13,-'01_数值调参'!$AL$38,0),IF('01_数值调参'!$AM$7&lt;=$A13,-'01_数值调参'!$AM$38,0)),0),0)),"队列待修正"))</x:f>
        <x:v>—</x:v>
      </x:c>
      <x:c r="AC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Z$7,"—",SUM(IF($A13&gt;=2,(C13+$C$3)*MAX(0,IF('01_数值调参'!$N$7&lt;=$A13,-'01_数值调参'!$N$39,0),IF('01_数值调参'!$O$7&lt;=$A13,-'01_数值调参'!$O$39,0),IF('01_数值调参'!$P$7&lt;=$A13,-'01_数值调参'!$P$39,0),IF('01_数值调参'!$Q$7&lt;=$A13,-'01_数值调参'!$Q$39,0),IF('01_数值调参'!$R$7&lt;=$A13,-'01_数值调参'!$R$39,0)),0),IF($A13&gt;=4,(D13+$C$3)*MAX(0,IF('01_数值调参'!$S$7&lt;=$A13,-'01_数值调参'!$S$39,0),IF('01_数值调参'!$T$7&lt;=$A13,-'01_数值调参'!$T$39,0),IF('01_数值调参'!$U$7&lt;=$A13,-'01_数值调参'!$U$39,0),IF('01_数值调参'!$V$7&lt;=$A13,-'01_数值调参'!$V$39,0),IF('01_数值调参'!$W$7&lt;=$A13,-'01_数值调参'!$W$39,0)),0),IF($A13&gt;=6,(E13+$C$3)*MAX(0,IF('01_数值调参'!$X$7&lt;=$A13,-'01_数值调参'!$X$39,0),IF('01_数值调参'!$Y$7&lt;=$A13,-'01_数值调参'!$Y$39,0),IF('01_数值调参'!$Z$7&lt;=$A13,0,0),IF('01_数值调参'!$AA$7&lt;=$A13,-'01_数值调参'!$AA$39,0),IF('01_数值调参'!$AB$7&lt;=$A13,-'01_数值调参'!$AB$39,0),IF('01_数值调参'!$AC$7&lt;=$A13,-'01_数值调参'!$AC$39,0)),0),IF($A13&gt;=8,(F13+$C$3)*MAX(0,IF('01_数值调参'!$AD$7&lt;=$A13,-'01_数值调参'!$AD$39,0),IF('01_数值调参'!$AE$7&lt;=$A13,-'01_数值调参'!$AE$39,0),IF('01_数值调参'!$AF$7&lt;=$A13,-'01_数值调参'!$AF$39,0),IF('01_数值调参'!$AG$7&lt;=$A13,-'01_数值调参'!$AG$39,0)),0),IF($A13&gt;=10,(G13+$C$3)*MAX(0,IF('01_数值调参'!$AH$7&lt;=$A13,-'01_数值调参'!$AH$39,0),IF('01_数值调参'!$AI$7&lt;=$A13,-'01_数值调参'!$AI$39,0),IF('01_数值调参'!$AJ$7&lt;=$A13,-'01_数值调参'!$AJ$39,0),IF('01_数值调参'!$AK$7&lt;=$A13,-'01_数值调参'!$AK$39,0),IF('01_数值调参'!$AL$7&lt;=$A13,-'01_数值调参'!$AL$39,0),IF('01_数值调参'!$AM$7&lt;=$A13,-'01_数值调参'!$AM$39,0)),0),0)),"队列待修正"))</x:f>
        <x:v>—</x:v>
      </x:c>
      <x:c r="AD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A$7,"—",SUM(IF($A13&gt;=2,(C13+$C$3)*MAX(0,IF('01_数值调参'!$N$7&lt;=$A13,-'01_数值调参'!$N$40,0),IF('01_数值调参'!$O$7&lt;=$A13,-'01_数值调参'!$O$40,0),IF('01_数值调参'!$P$7&lt;=$A13,-'01_数值调参'!$P$40,0),IF('01_数值调参'!$Q$7&lt;=$A13,-'01_数值调参'!$Q$40,0),IF('01_数值调参'!$R$7&lt;=$A13,-'01_数值调参'!$R$40,0)),0),IF($A13&gt;=4,(D13+$C$3)*MAX(0,IF('01_数值调参'!$S$7&lt;=$A13,-'01_数值调参'!$S$40,0),IF('01_数值调参'!$T$7&lt;=$A13,-'01_数值调参'!$T$40,0),IF('01_数值调参'!$U$7&lt;=$A13,-'01_数值调参'!$U$40,0),IF('01_数值调参'!$V$7&lt;=$A13,-'01_数值调参'!$V$40,0),IF('01_数值调参'!$W$7&lt;=$A13,-'01_数值调参'!$W$40,0)),0),IF($A13&gt;=6,(E13+$C$3)*MAX(0,IF('01_数值调参'!$X$7&lt;=$A13,-'01_数值调参'!$X$40,0),IF('01_数值调参'!$Y$7&lt;=$A13,-'01_数值调参'!$Y$40,0),IF('01_数值调参'!$Z$7&lt;=$A13,-'01_数值调参'!$Z$40,0),IF('01_数值调参'!$AA$7&lt;=$A13,0,0),IF('01_数值调参'!$AB$7&lt;=$A13,-'01_数值调参'!$AB$40,0),IF('01_数值调参'!$AC$7&lt;=$A13,-'01_数值调参'!$AC$40,0)),0),IF($A13&gt;=8,(F13+$C$3)*MAX(0,IF('01_数值调参'!$AD$7&lt;=$A13,-'01_数值调参'!$AD$40,0),IF('01_数值调参'!$AE$7&lt;=$A13,-'01_数值调参'!$AE$40,0),IF('01_数值调参'!$AF$7&lt;=$A13,-'01_数值调参'!$AF$40,0),IF('01_数值调参'!$AG$7&lt;=$A13,-'01_数值调参'!$AG$40,0)),0),IF($A13&gt;=10,(G13+$C$3)*MAX(0,IF('01_数值调参'!$AH$7&lt;=$A13,-'01_数值调参'!$AH$40,0),IF('01_数值调参'!$AI$7&lt;=$A13,-'01_数值调参'!$AI$40,0),IF('01_数值调参'!$AJ$7&lt;=$A13,-'01_数值调参'!$AJ$40,0),IF('01_数值调参'!$AK$7&lt;=$A13,-'01_数值调参'!$AK$40,0),IF('01_数值调参'!$AL$7&lt;=$A13,-'01_数值调参'!$AL$40,0),IF('01_数值调参'!$AM$7&lt;=$A13,-'01_数值调参'!$AM$40,0)),0),0)),"队列待修正"))</x:f>
        <x:v>—</x:v>
      </x:c>
      <x:c r="AE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B$7,"—",SUM(IF($A13&gt;=2,(C13+$C$3)*MAX(0,IF('01_数值调参'!$N$7&lt;=$A13,-'01_数值调参'!$N$41,0),IF('01_数值调参'!$O$7&lt;=$A13,-'01_数值调参'!$O$41,0),IF('01_数值调参'!$P$7&lt;=$A13,-'01_数值调参'!$P$41,0),IF('01_数值调参'!$Q$7&lt;=$A13,-'01_数值调参'!$Q$41,0),IF('01_数值调参'!$R$7&lt;=$A13,-'01_数值调参'!$R$41,0)),0),IF($A13&gt;=4,(D13+$C$3)*MAX(0,IF('01_数值调参'!$S$7&lt;=$A13,-'01_数值调参'!$S$41,0),IF('01_数值调参'!$T$7&lt;=$A13,-'01_数值调参'!$T$41,0),IF('01_数值调参'!$U$7&lt;=$A13,-'01_数值调参'!$U$41,0),IF('01_数值调参'!$V$7&lt;=$A13,-'01_数值调参'!$V$41,0),IF('01_数值调参'!$W$7&lt;=$A13,-'01_数值调参'!$W$41,0)),0),IF($A13&gt;=6,(E13+$C$3)*MAX(0,IF('01_数值调参'!$X$7&lt;=$A13,-'01_数值调参'!$X$41,0),IF('01_数值调参'!$Y$7&lt;=$A13,-'01_数值调参'!$Y$41,0),IF('01_数值调参'!$Z$7&lt;=$A13,-'01_数值调参'!$Z$41,0),IF('01_数值调参'!$AA$7&lt;=$A13,-'01_数值调参'!$AA$41,0),IF('01_数值调参'!$AB$7&lt;=$A13,0,0),IF('01_数值调参'!$AC$7&lt;=$A13,-'01_数值调参'!$AC$41,0)),0),IF($A13&gt;=8,(F13+$C$3)*MAX(0,IF('01_数值调参'!$AD$7&lt;=$A13,-'01_数值调参'!$AD$41,0),IF('01_数值调参'!$AE$7&lt;=$A13,-'01_数值调参'!$AE$41,0),IF('01_数值调参'!$AF$7&lt;=$A13,-'01_数值调参'!$AF$41,0),IF('01_数值调参'!$AG$7&lt;=$A13,-'01_数值调参'!$AG$41,0)),0),IF($A13&gt;=10,(G13+$C$3)*MAX(0,IF('01_数值调参'!$AH$7&lt;=$A13,-'01_数值调参'!$AH$41,0),IF('01_数值调参'!$AI$7&lt;=$A13,-'01_数值调参'!$AI$41,0),IF('01_数值调参'!$AJ$7&lt;=$A13,-'01_数值调参'!$AJ$41,0),IF('01_数值调参'!$AK$7&lt;=$A13,-'01_数值调参'!$AK$41,0),IF('01_数值调参'!$AL$7&lt;=$A13,-'01_数值调参'!$AL$41,0),IF('01_数值调参'!$AM$7&lt;=$A13,-'01_数值调参'!$AM$41,0)),0),0)),"队列待修正"))</x:f>
        <x:v>—</x:v>
      </x:c>
      <x:c r="AF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C$7,"—",SUM(IF($A13&gt;=2,(C13+$C$3)*MAX(0,IF('01_数值调参'!$N$7&lt;=$A13,-'01_数值调参'!$N$42,0),IF('01_数值调参'!$O$7&lt;=$A13,-'01_数值调参'!$O$42,0),IF('01_数值调参'!$P$7&lt;=$A13,-'01_数值调参'!$P$42,0),IF('01_数值调参'!$Q$7&lt;=$A13,-'01_数值调参'!$Q$42,0),IF('01_数值调参'!$R$7&lt;=$A13,-'01_数值调参'!$R$42,0)),0),IF($A13&gt;=4,(D13+$C$3)*MAX(0,IF('01_数值调参'!$S$7&lt;=$A13,-'01_数值调参'!$S$42,0),IF('01_数值调参'!$T$7&lt;=$A13,-'01_数值调参'!$T$42,0),IF('01_数值调参'!$U$7&lt;=$A13,-'01_数值调参'!$U$42,0),IF('01_数值调参'!$V$7&lt;=$A13,-'01_数值调参'!$V$42,0),IF('01_数值调参'!$W$7&lt;=$A13,-'01_数值调参'!$W$42,0)),0),IF($A13&gt;=6,(E13+$C$3)*MAX(0,IF('01_数值调参'!$X$7&lt;=$A13,-'01_数值调参'!$X$42,0),IF('01_数值调参'!$Y$7&lt;=$A13,-'01_数值调参'!$Y$42,0),IF('01_数值调参'!$Z$7&lt;=$A13,-'01_数值调参'!$Z$42,0),IF('01_数值调参'!$AA$7&lt;=$A13,-'01_数值调参'!$AA$42,0),IF('01_数值调参'!$AB$7&lt;=$A13,-'01_数值调参'!$AB$42,0),IF('01_数值调参'!$AC$7&lt;=$A13,0,0)),0),IF($A13&gt;=8,(F13+$C$3)*MAX(0,IF('01_数值调参'!$AD$7&lt;=$A13,-'01_数值调参'!$AD$42,0),IF('01_数值调参'!$AE$7&lt;=$A13,-'01_数值调参'!$AE$42,0),IF('01_数值调参'!$AF$7&lt;=$A13,-'01_数值调参'!$AF$42,0),IF('01_数值调参'!$AG$7&lt;=$A13,-'01_数值调参'!$AG$42,0)),0),IF($A13&gt;=10,(G13+$C$3)*MAX(0,IF('01_数值调参'!$AH$7&lt;=$A13,-'01_数值调参'!$AH$42,0),IF('01_数值调参'!$AI$7&lt;=$A13,-'01_数值调参'!$AI$42,0),IF('01_数值调参'!$AJ$7&lt;=$A13,-'01_数值调参'!$AJ$42,0),IF('01_数值调参'!$AK$7&lt;=$A13,-'01_数值调参'!$AK$42,0),IF('01_数值调参'!$AL$7&lt;=$A13,-'01_数值调参'!$AL$42,0),IF('01_数值调参'!$AM$7&lt;=$A13,-'01_数值调参'!$AM$42,0)),0),0)),"队列待修正"))</x:f>
        <x:v>—</x:v>
      </x:c>
      <x:c r="AG13" s="191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D$7,"—",SUM(IF($A13&gt;=2,(C13+$C$3)*MAX(0,IF('01_数值调参'!$N$7&lt;=$A13,-'01_数值调参'!$N$43,0),IF('01_数值调参'!$O$7&lt;=$A13,-'01_数值调参'!$O$43,0),IF('01_数值调参'!$P$7&lt;=$A13,-'01_数值调参'!$P$43,0),IF('01_数值调参'!$Q$7&lt;=$A13,-'01_数值调参'!$Q$43,0),IF('01_数值调参'!$R$7&lt;=$A13,-'01_数值调参'!$R$43,0)),0),IF($A13&gt;=4,(D13+$C$3)*MAX(0,IF('01_数值调参'!$S$7&lt;=$A13,-'01_数值调参'!$S$43,0),IF('01_数值调参'!$T$7&lt;=$A13,-'01_数值调参'!$T$43,0),IF('01_数值调参'!$U$7&lt;=$A13,-'01_数值调参'!$U$43,0),IF('01_数值调参'!$V$7&lt;=$A13,-'01_数值调参'!$V$43,0),IF('01_数值调参'!$W$7&lt;=$A13,-'01_数值调参'!$W$43,0)),0),IF($A13&gt;=6,(E13+$C$3)*MAX(0,IF('01_数值调参'!$X$7&lt;=$A13,-'01_数值调参'!$X$43,0),IF('01_数值调参'!$Y$7&lt;=$A13,-'01_数值调参'!$Y$43,0),IF('01_数值调参'!$Z$7&lt;=$A13,-'01_数值调参'!$Z$43,0),IF('01_数值调参'!$AA$7&lt;=$A13,-'01_数值调参'!$AA$43,0),IF('01_数值调参'!$AB$7&lt;=$A13,-'01_数值调参'!$AB$43,0),IF('01_数值调参'!$AC$7&lt;=$A13,-'01_数值调参'!$AC$43,0)),0),IF($A13&gt;=8,(F13+$C$3)*MAX(0,IF('01_数值调参'!$AD$7&lt;=$A13,0,0),IF('01_数值调参'!$AE$7&lt;=$A13,-'01_数值调参'!$AE$43,0),IF('01_数值调参'!$AF$7&lt;=$A13,-'01_数值调参'!$AF$43,0),IF('01_数值调参'!$AG$7&lt;=$A13,-'01_数值调参'!$AG$43,0)),0),IF($A13&gt;=10,(G13+$C$3)*MAX(0,IF('01_数值调参'!$AH$7&lt;=$A13,-'01_数值调参'!$AH$43,0),IF('01_数值调参'!$AI$7&lt;=$A13,-'01_数值调参'!$AI$43,0),IF('01_数值调参'!$AJ$7&lt;=$A13,-'01_数值调参'!$AJ$43,0),IF('01_数值调参'!$AK$7&lt;=$A13,-'01_数值调参'!$AK$43,0),IF('01_数值调参'!$AL$7&lt;=$A13,-'01_数值调参'!$AL$43,0),IF('01_数值调参'!$AM$7&lt;=$A13,-'01_数值调参'!$AM$43,0)),0),0)),"队列待修正"))</x:f>
        <x:v>—</x:v>
      </x:c>
      <x:c r="AH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E$7,"—",SUM(IF($A13&gt;=2,(C13+$C$3)*MAX(0,IF('01_数值调参'!$N$7&lt;=$A13,-'01_数值调参'!$N$44,0),IF('01_数值调参'!$O$7&lt;=$A13,-'01_数值调参'!$O$44,0),IF('01_数值调参'!$P$7&lt;=$A13,-'01_数值调参'!$P$44,0),IF('01_数值调参'!$Q$7&lt;=$A13,-'01_数值调参'!$Q$44,0),IF('01_数值调参'!$R$7&lt;=$A13,-'01_数值调参'!$R$44,0)),0),IF($A13&gt;=4,(D13+$C$3)*MAX(0,IF('01_数值调参'!$S$7&lt;=$A13,-'01_数值调参'!$S$44,0),IF('01_数值调参'!$T$7&lt;=$A13,-'01_数值调参'!$T$44,0),IF('01_数值调参'!$U$7&lt;=$A13,-'01_数值调参'!$U$44,0),IF('01_数值调参'!$V$7&lt;=$A13,-'01_数值调参'!$V$44,0),IF('01_数值调参'!$W$7&lt;=$A13,-'01_数值调参'!$W$44,0)),0),IF($A13&gt;=6,(E13+$C$3)*MAX(0,IF('01_数值调参'!$X$7&lt;=$A13,-'01_数值调参'!$X$44,0),IF('01_数值调参'!$Y$7&lt;=$A13,-'01_数值调参'!$Y$44,0),IF('01_数值调参'!$Z$7&lt;=$A13,-'01_数值调参'!$Z$44,0),IF('01_数值调参'!$AA$7&lt;=$A13,-'01_数值调参'!$AA$44,0),IF('01_数值调参'!$AB$7&lt;=$A13,-'01_数值调参'!$AB$44,0),IF('01_数值调参'!$AC$7&lt;=$A13,-'01_数值调参'!$AC$44,0)),0),IF($A13&gt;=8,(F13+$C$3)*MAX(0,IF('01_数值调参'!$AD$7&lt;=$A13,-'01_数值调参'!$AD$44,0),IF('01_数值调参'!$AE$7&lt;=$A13,0,0),IF('01_数值调参'!$AF$7&lt;=$A13,-'01_数值调参'!$AF$44,0),IF('01_数值调参'!$AG$7&lt;=$A13,-'01_数值调参'!$AG$44,0)),0),IF($A13&gt;=10,(G13+$C$3)*MAX(0,IF('01_数值调参'!$AH$7&lt;=$A13,-'01_数值调参'!$AH$44,0),IF('01_数值调参'!$AI$7&lt;=$A13,-'01_数值调参'!$AI$44,0),IF('01_数值调参'!$AJ$7&lt;=$A13,-'01_数值调参'!$AJ$44,0),IF('01_数值调参'!$AK$7&lt;=$A13,-'01_数值调参'!$AK$44,0),IF('01_数值调参'!$AL$7&lt;=$A13,-'01_数值调参'!$AL$44,0),IF('01_数值调参'!$AM$7&lt;=$A13,-'01_数值调参'!$AM$44,0)),0),0)),"队列待修正"))</x:f>
        <x:v>—</x:v>
      </x:c>
      <x:c r="AI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F$7,"—",SUM(IF($A13&gt;=2,(C13+$C$3)*MAX(0,IF('01_数值调参'!$N$7&lt;=$A13,-'01_数值调参'!$N$45,0),IF('01_数值调参'!$O$7&lt;=$A13,-'01_数值调参'!$O$45,0),IF('01_数值调参'!$P$7&lt;=$A13,-'01_数值调参'!$P$45,0),IF('01_数值调参'!$Q$7&lt;=$A13,-'01_数值调参'!$Q$45,0),IF('01_数值调参'!$R$7&lt;=$A13,-'01_数值调参'!$R$45,0)),0),IF($A13&gt;=4,(D13+$C$3)*MAX(0,IF('01_数值调参'!$S$7&lt;=$A13,-'01_数值调参'!$S$45,0),IF('01_数值调参'!$T$7&lt;=$A13,-'01_数值调参'!$T$45,0),IF('01_数值调参'!$U$7&lt;=$A13,-'01_数值调参'!$U$45,0),IF('01_数值调参'!$V$7&lt;=$A13,-'01_数值调参'!$V$45,0),IF('01_数值调参'!$W$7&lt;=$A13,-'01_数值调参'!$W$45,0)),0),IF($A13&gt;=6,(E13+$C$3)*MAX(0,IF('01_数值调参'!$X$7&lt;=$A13,-'01_数值调参'!$X$45,0),IF('01_数值调参'!$Y$7&lt;=$A13,-'01_数值调参'!$Y$45,0),IF('01_数值调参'!$Z$7&lt;=$A13,-'01_数值调参'!$Z$45,0),IF('01_数值调参'!$AA$7&lt;=$A13,-'01_数值调参'!$AA$45,0),IF('01_数值调参'!$AB$7&lt;=$A13,-'01_数值调参'!$AB$45,0),IF('01_数值调参'!$AC$7&lt;=$A13,-'01_数值调参'!$AC$45,0)),0),IF($A13&gt;=8,(F13+$C$3)*MAX(0,IF('01_数值调参'!$AD$7&lt;=$A13,-'01_数值调参'!$AD$45,0),IF('01_数值调参'!$AE$7&lt;=$A13,-'01_数值调参'!$AE$45,0),IF('01_数值调参'!$AF$7&lt;=$A13,0,0),IF('01_数值调参'!$AG$7&lt;=$A13,-'01_数值调参'!$AG$45,0)),0),IF($A13&gt;=10,(G13+$C$3)*MAX(0,IF('01_数值调参'!$AH$7&lt;=$A13,-'01_数值调参'!$AH$45,0),IF('01_数值调参'!$AI$7&lt;=$A13,-'01_数值调参'!$AI$45,0),IF('01_数值调参'!$AJ$7&lt;=$A13,-'01_数值调参'!$AJ$45,0),IF('01_数值调参'!$AK$7&lt;=$A13,-'01_数值调参'!$AK$45,0),IF('01_数值调参'!$AL$7&lt;=$A13,-'01_数值调参'!$AL$45,0),IF('01_数值调参'!$AM$7&lt;=$A13,-'01_数值调参'!$AM$45,0)),0),0)),"队列待修正"))</x:f>
        <x:v>—</x:v>
      </x:c>
      <x:c r="AJ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G$7,"—",SUM(IF($A13&gt;=2,(C13+$C$3)*MAX(0,IF('01_数值调参'!$N$7&lt;=$A13,-'01_数值调参'!$N$46,0),IF('01_数值调参'!$O$7&lt;=$A13,-'01_数值调参'!$O$46,0),IF('01_数值调参'!$P$7&lt;=$A13,-'01_数值调参'!$P$46,0),IF('01_数值调参'!$Q$7&lt;=$A13,-'01_数值调参'!$Q$46,0),IF('01_数值调参'!$R$7&lt;=$A13,-'01_数值调参'!$R$46,0)),0),IF($A13&gt;=4,(D13+$C$3)*MAX(0,IF('01_数值调参'!$S$7&lt;=$A13,-'01_数值调参'!$S$46,0),IF('01_数值调参'!$T$7&lt;=$A13,-'01_数值调参'!$T$46,0),IF('01_数值调参'!$U$7&lt;=$A13,-'01_数值调参'!$U$46,0),IF('01_数值调参'!$V$7&lt;=$A13,-'01_数值调参'!$V$46,0),IF('01_数值调参'!$W$7&lt;=$A13,-'01_数值调参'!$W$46,0)),0),IF($A13&gt;=6,(E13+$C$3)*MAX(0,IF('01_数值调参'!$X$7&lt;=$A13,-'01_数值调参'!$X$46,0),IF('01_数值调参'!$Y$7&lt;=$A13,-'01_数值调参'!$Y$46,0),IF('01_数值调参'!$Z$7&lt;=$A13,-'01_数值调参'!$Z$46,0),IF('01_数值调参'!$AA$7&lt;=$A13,-'01_数值调参'!$AA$46,0),IF('01_数值调参'!$AB$7&lt;=$A13,-'01_数值调参'!$AB$46,0),IF('01_数值调参'!$AC$7&lt;=$A13,-'01_数值调参'!$AC$46,0)),0),IF($A13&gt;=8,(F13+$C$3)*MAX(0,IF('01_数值调参'!$AD$7&lt;=$A13,-'01_数值调参'!$AD$46,0),IF('01_数值调参'!$AE$7&lt;=$A13,-'01_数值调参'!$AE$46,0),IF('01_数值调参'!$AF$7&lt;=$A13,-'01_数值调参'!$AF$46,0),IF('01_数值调参'!$AG$7&lt;=$A13,0,0)),0),IF($A13&gt;=10,(G13+$C$3)*MAX(0,IF('01_数值调参'!$AH$7&lt;=$A13,-'01_数值调参'!$AH$46,0),IF('01_数值调参'!$AI$7&lt;=$A13,-'01_数值调参'!$AI$46,0),IF('01_数值调参'!$AJ$7&lt;=$A13,-'01_数值调参'!$AJ$46,0),IF('01_数值调参'!$AK$7&lt;=$A13,-'01_数值调参'!$AK$46,0),IF('01_数值调参'!$AL$7&lt;=$A13,-'01_数值调参'!$AL$46,0),IF('01_数值调参'!$AM$7&lt;=$A13,-'01_数值调参'!$AM$46,0)),0),0)),"队列待修正"))</x:f>
        <x:v>—</x:v>
      </x:c>
      <x:c r="AK13" s="191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H$7,"—",SUM(IF($A13&gt;=2,(C13+$C$3)*MAX(0,IF('01_数值调参'!$N$7&lt;=$A13,-'01_数值调参'!$N$47,0),IF('01_数值调参'!$O$7&lt;=$A13,-'01_数值调参'!$O$47,0),IF('01_数值调参'!$P$7&lt;=$A13,-'01_数值调参'!$P$47,0),IF('01_数值调参'!$Q$7&lt;=$A13,-'01_数值调参'!$Q$47,0),IF('01_数值调参'!$R$7&lt;=$A13,-'01_数值调参'!$R$47,0)),0),IF($A13&gt;=4,(D13+$C$3)*MAX(0,IF('01_数值调参'!$S$7&lt;=$A13,-'01_数值调参'!$S$47,0),IF('01_数值调参'!$T$7&lt;=$A13,-'01_数值调参'!$T$47,0),IF('01_数值调参'!$U$7&lt;=$A13,-'01_数值调参'!$U$47,0),IF('01_数值调参'!$V$7&lt;=$A13,-'01_数值调参'!$V$47,0),IF('01_数值调参'!$W$7&lt;=$A13,-'01_数值调参'!$W$47,0)),0),IF($A13&gt;=6,(E13+$C$3)*MAX(0,IF('01_数值调参'!$X$7&lt;=$A13,-'01_数值调参'!$X$47,0),IF('01_数值调参'!$Y$7&lt;=$A13,-'01_数值调参'!$Y$47,0),IF('01_数值调参'!$Z$7&lt;=$A13,-'01_数值调参'!$Z$47,0),IF('01_数值调参'!$AA$7&lt;=$A13,-'01_数值调参'!$AA$47,0),IF('01_数值调参'!$AB$7&lt;=$A13,-'01_数值调参'!$AB$47,0),IF('01_数值调参'!$AC$7&lt;=$A13,-'01_数值调参'!$AC$47,0)),0),IF($A13&gt;=8,(F13+$C$3)*MAX(0,IF('01_数值调参'!$AD$7&lt;=$A13,-'01_数值调参'!$AD$47,0),IF('01_数值调参'!$AE$7&lt;=$A13,-'01_数值调参'!$AE$47,0),IF('01_数值调参'!$AF$7&lt;=$A13,-'01_数值调参'!$AF$47,0),IF('01_数值调参'!$AG$7&lt;=$A13,-'01_数值调参'!$AG$47,0)),0),IF($A13&gt;=10,(G13+$C$3)*MAX(0,IF('01_数值调参'!$AH$7&lt;=$A13,0,0),IF('01_数值调参'!$AI$7&lt;=$A13,-'01_数值调参'!$AI$47,0),IF('01_数值调参'!$AJ$7&lt;=$A13,-'01_数值调参'!$AJ$47,0),IF('01_数值调参'!$AK$7&lt;=$A13,-'01_数值调参'!$AK$47,0),IF('01_数值调参'!$AL$7&lt;=$A13,-'01_数值调参'!$AL$47,0),IF('01_数值调参'!$AM$7&lt;=$A13,-'01_数值调参'!$AM$47,0)),0),0)),"队列待修正"))</x:f>
        <x:v>—</x:v>
      </x:c>
      <x:c r="AL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I$7,"—",SUM(IF($A13&gt;=2,(C13+$C$3)*MAX(0,IF('01_数值调参'!$N$7&lt;=$A13,-'01_数值调参'!$N$48,0),IF('01_数值调参'!$O$7&lt;=$A13,-'01_数值调参'!$O$48,0),IF('01_数值调参'!$P$7&lt;=$A13,-'01_数值调参'!$P$48,0),IF('01_数值调参'!$Q$7&lt;=$A13,-'01_数值调参'!$Q$48,0),IF('01_数值调参'!$R$7&lt;=$A13,-'01_数值调参'!$R$48,0)),0),IF($A13&gt;=4,(D13+$C$3)*MAX(0,IF('01_数值调参'!$S$7&lt;=$A13,-'01_数值调参'!$S$48,0),IF('01_数值调参'!$T$7&lt;=$A13,-'01_数值调参'!$T$48,0),IF('01_数值调参'!$U$7&lt;=$A13,-'01_数值调参'!$U$48,0),IF('01_数值调参'!$V$7&lt;=$A13,-'01_数值调参'!$V$48,0),IF('01_数值调参'!$W$7&lt;=$A13,-'01_数值调参'!$W$48,0)),0),IF($A13&gt;=6,(E13+$C$3)*MAX(0,IF('01_数值调参'!$X$7&lt;=$A13,-'01_数值调参'!$X$48,0),IF('01_数值调参'!$Y$7&lt;=$A13,-'01_数值调参'!$Y$48,0),IF('01_数值调参'!$Z$7&lt;=$A13,-'01_数值调参'!$Z$48,0),IF('01_数值调参'!$AA$7&lt;=$A13,-'01_数值调参'!$AA$48,0),IF('01_数值调参'!$AB$7&lt;=$A13,-'01_数值调参'!$AB$48,0),IF('01_数值调参'!$AC$7&lt;=$A13,-'01_数值调参'!$AC$48,0)),0),IF($A13&gt;=8,(F13+$C$3)*MAX(0,IF('01_数值调参'!$AD$7&lt;=$A13,-'01_数值调参'!$AD$48,0),IF('01_数值调参'!$AE$7&lt;=$A13,-'01_数值调参'!$AE$48,0),IF('01_数值调参'!$AF$7&lt;=$A13,-'01_数值调参'!$AF$48,0),IF('01_数值调参'!$AG$7&lt;=$A13,-'01_数值调参'!$AG$48,0)),0),IF($A13&gt;=10,(G13+$C$3)*MAX(0,IF('01_数值调参'!$AH$7&lt;=$A13,-'01_数值调参'!$AH$48,0),IF('01_数值调参'!$AI$7&lt;=$A13,0,0),IF('01_数值调参'!$AJ$7&lt;=$A13,-'01_数值调参'!$AJ$48,0),IF('01_数值调参'!$AK$7&lt;=$A13,-'01_数值调参'!$AK$48,0),IF('01_数值调参'!$AL$7&lt;=$A13,-'01_数值调参'!$AL$48,0),IF('01_数值调参'!$AM$7&lt;=$A13,-'01_数值调参'!$AM$48,0)),0),0)),"队列待修正"))</x:f>
        <x:v>—</x:v>
      </x:c>
      <x:c r="AM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J$7,"—",SUM(IF($A13&gt;=2,(C13+$C$3)*MAX(0,IF('01_数值调参'!$N$7&lt;=$A13,-'01_数值调参'!$N$49,0),IF('01_数值调参'!$O$7&lt;=$A13,-'01_数值调参'!$O$49,0),IF('01_数值调参'!$P$7&lt;=$A13,-'01_数值调参'!$P$49,0),IF('01_数值调参'!$Q$7&lt;=$A13,-'01_数值调参'!$Q$49,0),IF('01_数值调参'!$R$7&lt;=$A13,-'01_数值调参'!$R$49,0)),0),IF($A13&gt;=4,(D13+$C$3)*MAX(0,IF('01_数值调参'!$S$7&lt;=$A13,-'01_数值调参'!$S$49,0),IF('01_数值调参'!$T$7&lt;=$A13,-'01_数值调参'!$T$49,0),IF('01_数值调参'!$U$7&lt;=$A13,-'01_数值调参'!$U$49,0),IF('01_数值调参'!$V$7&lt;=$A13,-'01_数值调参'!$V$49,0),IF('01_数值调参'!$W$7&lt;=$A13,-'01_数值调参'!$W$49,0)),0),IF($A13&gt;=6,(E13+$C$3)*MAX(0,IF('01_数值调参'!$X$7&lt;=$A13,-'01_数值调参'!$X$49,0),IF('01_数值调参'!$Y$7&lt;=$A13,-'01_数值调参'!$Y$49,0),IF('01_数值调参'!$Z$7&lt;=$A13,-'01_数值调参'!$Z$49,0),IF('01_数值调参'!$AA$7&lt;=$A13,-'01_数值调参'!$AA$49,0),IF('01_数值调参'!$AB$7&lt;=$A13,-'01_数值调参'!$AB$49,0),IF('01_数值调参'!$AC$7&lt;=$A13,-'01_数值调参'!$AC$49,0)),0),IF($A13&gt;=8,(F13+$C$3)*MAX(0,IF('01_数值调参'!$AD$7&lt;=$A13,-'01_数值调参'!$AD$49,0),IF('01_数值调参'!$AE$7&lt;=$A13,-'01_数值调参'!$AE$49,0),IF('01_数值调参'!$AF$7&lt;=$A13,-'01_数值调参'!$AF$49,0),IF('01_数值调参'!$AG$7&lt;=$A13,-'01_数值调参'!$AG$49,0)),0),IF($A13&gt;=10,(G13+$C$3)*MAX(0,IF('01_数值调参'!$AH$7&lt;=$A13,-'01_数值调参'!$AH$49,0),IF('01_数值调参'!$AI$7&lt;=$A13,-'01_数值调参'!$AI$49,0),IF('01_数值调参'!$AJ$7&lt;=$A13,0,0),IF('01_数值调参'!$AK$7&lt;=$A13,-'01_数值调参'!$AK$49,0),IF('01_数值调参'!$AL$7&lt;=$A13,-'01_数值调参'!$AL$49,0),IF('01_数值调参'!$AM$7&lt;=$A13,-'01_数值调参'!$AM$49,0)),0),0)),"队列待修正"))</x:f>
        <x:v>—</x:v>
      </x:c>
      <x:c r="AN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K$7,"—",SUM(IF($A13&gt;=2,(C13+$C$3)*MAX(0,IF('01_数值调参'!$N$7&lt;=$A13,-'01_数值调参'!$N$50,0),IF('01_数值调参'!$O$7&lt;=$A13,-'01_数值调参'!$O$50,0),IF('01_数值调参'!$P$7&lt;=$A13,-'01_数值调参'!$P$50,0),IF('01_数值调参'!$Q$7&lt;=$A13,-'01_数值调参'!$Q$50,0),IF('01_数值调参'!$R$7&lt;=$A13,-'01_数值调参'!$R$50,0)),0),IF($A13&gt;=4,(D13+$C$3)*MAX(0,IF('01_数值调参'!$S$7&lt;=$A13,-'01_数值调参'!$S$50,0),IF('01_数值调参'!$T$7&lt;=$A13,-'01_数值调参'!$T$50,0),IF('01_数值调参'!$U$7&lt;=$A13,-'01_数值调参'!$U$50,0),IF('01_数值调参'!$V$7&lt;=$A13,-'01_数值调参'!$V$50,0),IF('01_数值调参'!$W$7&lt;=$A13,-'01_数值调参'!$W$50,0)),0),IF($A13&gt;=6,(E13+$C$3)*MAX(0,IF('01_数值调参'!$X$7&lt;=$A13,-'01_数值调参'!$X$50,0),IF('01_数值调参'!$Y$7&lt;=$A13,-'01_数值调参'!$Y$50,0),IF('01_数值调参'!$Z$7&lt;=$A13,-'01_数值调参'!$Z$50,0),IF('01_数值调参'!$AA$7&lt;=$A13,-'01_数值调参'!$AA$50,0),IF('01_数值调参'!$AB$7&lt;=$A13,-'01_数值调参'!$AB$50,0),IF('01_数值调参'!$AC$7&lt;=$A13,-'01_数值调参'!$AC$50,0)),0),IF($A13&gt;=8,(F13+$C$3)*MAX(0,IF('01_数值调参'!$AD$7&lt;=$A13,-'01_数值调参'!$AD$50,0),IF('01_数值调参'!$AE$7&lt;=$A13,-'01_数值调参'!$AE$50,0),IF('01_数值调参'!$AF$7&lt;=$A13,-'01_数值调参'!$AF$50,0),IF('01_数值调参'!$AG$7&lt;=$A13,-'01_数值调参'!$AG$50,0)),0),IF($A13&gt;=10,(G13+$C$3)*MAX(0,IF('01_数值调参'!$AH$7&lt;=$A13,-'01_数值调参'!$AH$50,0),IF('01_数值调参'!$AI$7&lt;=$A13,-'01_数值调参'!$AI$50,0),IF('01_数值调参'!$AJ$7&lt;=$A13,-'01_数值调参'!$AJ$50,0),IF('01_数值调参'!$AK$7&lt;=$A13,0,0),IF('01_数值调参'!$AL$7&lt;=$A13,-'01_数值调参'!$AL$50,0),IF('01_数值调参'!$AM$7&lt;=$A13,-'01_数值调参'!$AM$50,0)),0),0)),"队列待修正"))</x:f>
        <x:v>—</x:v>
      </x:c>
      <x:c r="AO13" s="179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L$7,"—",SUM(IF($A13&gt;=2,(C13+$C$3)*MAX(0,IF('01_数值调参'!$N$7&lt;=$A13,-'01_数值调参'!$N$51,0),IF('01_数值调参'!$O$7&lt;=$A13,-'01_数值调参'!$O$51,0),IF('01_数值调参'!$P$7&lt;=$A13,-'01_数值调参'!$P$51,0),IF('01_数值调参'!$Q$7&lt;=$A13,-'01_数值调参'!$Q$51,0),IF('01_数值调参'!$R$7&lt;=$A13,-'01_数值调参'!$R$51,0)),0),IF($A13&gt;=4,(D13+$C$3)*MAX(0,IF('01_数值调参'!$S$7&lt;=$A13,-'01_数值调参'!$S$51,0),IF('01_数值调参'!$T$7&lt;=$A13,-'01_数值调参'!$T$51,0),IF('01_数值调参'!$U$7&lt;=$A13,-'01_数值调参'!$U$51,0),IF('01_数值调参'!$V$7&lt;=$A13,-'01_数值调参'!$V$51,0),IF('01_数值调参'!$W$7&lt;=$A13,-'01_数值调参'!$W$51,0)),0),IF($A13&gt;=6,(E13+$C$3)*MAX(0,IF('01_数值调参'!$X$7&lt;=$A13,-'01_数值调参'!$X$51,0),IF('01_数值调参'!$Y$7&lt;=$A13,-'01_数值调参'!$Y$51,0),IF('01_数值调参'!$Z$7&lt;=$A13,-'01_数值调参'!$Z$51,0),IF('01_数值调参'!$AA$7&lt;=$A13,-'01_数值调参'!$AA$51,0),IF('01_数值调参'!$AB$7&lt;=$A13,-'01_数值调参'!$AB$51,0),IF('01_数值调参'!$AC$7&lt;=$A13,-'01_数值调参'!$AC$51,0)),0),IF($A13&gt;=8,(F13+$C$3)*MAX(0,IF('01_数值调参'!$AD$7&lt;=$A13,-'01_数值调参'!$AD$51,0),IF('01_数值调参'!$AE$7&lt;=$A13,-'01_数值调参'!$AE$51,0),IF('01_数值调参'!$AF$7&lt;=$A13,-'01_数值调参'!$AF$51,0),IF('01_数值调参'!$AG$7&lt;=$A13,-'01_数值调参'!$AG$51,0)),0),IF($A13&gt;=10,(G13+$C$3)*MAX(0,IF('01_数值调参'!$AH$7&lt;=$A13,-'01_数值调参'!$AH$51,0),IF('01_数值调参'!$AI$7&lt;=$A13,-'01_数值调参'!$AI$51,0),IF('01_数值调参'!$AJ$7&lt;=$A13,-'01_数值调参'!$AJ$51,0),IF('01_数值调参'!$AK$7&lt;=$A13,-'01_数值调参'!$AK$51,0),IF('01_数值调参'!$AL$7&lt;=$A13,0,0),IF('01_数值调参'!$AM$7&lt;=$A13,-'01_数值调参'!$AM$51,0)),0),0)),"队列待修正"))</x:f>
        <x:v>—</x:v>
      </x:c>
      <x:c r="AP13" s="180" t="str">
        <x:f>IF('01_数值调参'!$D$3&lt;&gt;"配方有效","待修正",IF(AND(OR($C$3=0,$C$3=1),ISNUMBER(C13),C13&gt;=0,MOD(C13,1)=0,ISNUMBER(D13),D13&gt;=0,MOD(D13,1)=0,ISNUMBER(E13),E13&gt;=0,MOD(E13,1)=0,ISNUMBER(F13),F13&gt;=0,MOD(F13,1)=0,ISNUMBER(G13),G13&gt;=0,MOD(G13,1)=0,TRUE),IF($A13&lt;'01_数值调参'!$AM$7,"—",SUM(IF($A13&gt;=2,(C13+$C$3)*MAX(0,IF('01_数值调参'!$N$7&lt;=$A13,-'01_数值调参'!$N$52,0),IF('01_数值调参'!$O$7&lt;=$A13,-'01_数值调参'!$O$52,0),IF('01_数值调参'!$P$7&lt;=$A13,-'01_数值调参'!$P$52,0),IF('01_数值调参'!$Q$7&lt;=$A13,-'01_数值调参'!$Q$52,0),IF('01_数值调参'!$R$7&lt;=$A13,-'01_数值调参'!$R$52,0)),0),IF($A13&gt;=4,(D13+$C$3)*MAX(0,IF('01_数值调参'!$S$7&lt;=$A13,-'01_数值调参'!$S$52,0),IF('01_数值调参'!$T$7&lt;=$A13,-'01_数值调参'!$T$52,0),IF('01_数值调参'!$U$7&lt;=$A13,-'01_数值调参'!$U$52,0),IF('01_数值调参'!$V$7&lt;=$A13,-'01_数值调参'!$V$52,0),IF('01_数值调参'!$W$7&lt;=$A13,-'01_数值调参'!$W$52,0)),0),IF($A13&gt;=6,(E13+$C$3)*MAX(0,IF('01_数值调参'!$X$7&lt;=$A13,-'01_数值调参'!$X$52,0),IF('01_数值调参'!$Y$7&lt;=$A13,-'01_数值调参'!$Y$52,0),IF('01_数值调参'!$Z$7&lt;=$A13,-'01_数值调参'!$Z$52,0),IF('01_数值调参'!$AA$7&lt;=$A13,-'01_数值调参'!$AA$52,0),IF('01_数值调参'!$AB$7&lt;=$A13,-'01_数值调参'!$AB$52,0),IF('01_数值调参'!$AC$7&lt;=$A13,-'01_数值调参'!$AC$52,0)),0),IF($A13&gt;=8,(F13+$C$3)*MAX(0,IF('01_数值调参'!$AD$7&lt;=$A13,-'01_数值调参'!$AD$52,0),IF('01_数值调参'!$AE$7&lt;=$A13,-'01_数值调参'!$AE$52,0),IF('01_数值调参'!$AF$7&lt;=$A13,-'01_数值调参'!$AF$52,0),IF('01_数值调参'!$AG$7&lt;=$A13,-'01_数值调参'!$AG$52,0)),0),IF($A13&gt;=10,(G13+$C$3)*MAX(0,IF('01_数值调参'!$AH$7&lt;=$A13,-'01_数值调参'!$AH$52,0),IF('01_数值调参'!$AI$7&lt;=$A13,-'01_数值调参'!$AI$52,0),IF('01_数值调参'!$AJ$7&lt;=$A13,-'01_数值调参'!$AJ$52,0),IF('01_数值调参'!$AK$7&lt;=$A13,-'01_数值调参'!$AK$52,0),IF('01_数值调参'!$AL$7&lt;=$A13,-'01_数值调参'!$AL$52,0),IF('01_数值调参'!$AM$7&lt;=$A13,0,0)),0),0)),"队列待修正"))</x:f>
        <x:v>—</x:v>
      </x:c>
    </x:row>
    <x:row r="14" ht="25" customHeight="1">
      <x:c r="A14" s="176" t="n">
        <x:v>8</x:v>
      </x:c>
      <x:c r="B14" s="177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SUM(IF($A14&gt;=2,(C14+$C$3)*MAX(0,IF('01_数值调参'!$N$7&lt;=$A14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14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14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14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14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14&gt;=4,(D14+$C$3)*MAX(0,IF('01_数值调参'!$S$7&lt;=$A14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14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14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14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14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14&gt;=6,(E14+$C$3)*MAX(0,IF('01_数值调参'!$X$7&lt;=$A14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14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14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14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14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14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14&gt;=8,(F14+$C$3)*MAX(0,IF('01_数值调参'!$AD$7&lt;=$A14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14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14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14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14&gt;=10,(G14+$C$3)*MAX(0,IF('01_数值调参'!$AH$7&lt;=$A14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14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14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14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14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14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27</x:v>
      </x:c>
      <x:c r="C14" s="178" t="n">
        <x:v>2</x:v>
      </x:c>
      <x:c r="D14" s="178" t="n">
        <x:v>2</x:v>
      </x:c>
      <x:c r="E14" s="178" t="n">
        <x:v>2</x:v>
      </x:c>
      <x:c r="F14" s="178" t="n">
        <x:v>2</x:v>
      </x:c>
      <x:c r="G14" s="178" t="n">
        <x:v>2</x:v>
      </x:c>
      <x:c r="H14" s="191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E$7,"—",SUM(IF($A14&gt;=2,(C14+$C$3)*MAX(0,IF('01_数值调参'!$N$7&lt;=$A14,-'01_数值调参'!$N$18,0),IF('01_数值调参'!$O$7&lt;=$A14,-'01_数值调参'!$O$18,0),IF('01_数值调参'!$P$7&lt;=$A14,-'01_数值调参'!$P$18,0),IF('01_数值调参'!$Q$7&lt;=$A14,-'01_数值调参'!$Q$18,0),IF('01_数值调参'!$R$7&lt;=$A14,-'01_数值调参'!$R$18,0)),0),IF($A14&gt;=4,(D14+$C$3)*MAX(0,IF('01_数值调参'!$S$7&lt;=$A14,-'01_数值调参'!$S$18,0),IF('01_数值调参'!$T$7&lt;=$A14,-'01_数值调参'!$T$18,0),IF('01_数值调参'!$U$7&lt;=$A14,-'01_数值调参'!$U$18,0),IF('01_数值调参'!$V$7&lt;=$A14,-'01_数值调参'!$V$18,0),IF('01_数值调参'!$W$7&lt;=$A14,-'01_数值调参'!$W$18,0)),0),IF($A14&gt;=6,(E14+$C$3)*MAX(0,IF('01_数值调参'!$X$7&lt;=$A14,-'01_数值调参'!$X$18,0),IF('01_数值调参'!$Y$7&lt;=$A14,-'01_数值调参'!$Y$18,0),IF('01_数值调参'!$Z$7&lt;=$A14,-'01_数值调参'!$Z$18,0),IF('01_数值调参'!$AA$7&lt;=$A14,-'01_数值调参'!$AA$18,0),IF('01_数值调参'!$AB$7&lt;=$A14,-'01_数值调参'!$AB$18,0),IF('01_数值调参'!$AC$7&lt;=$A14,-'01_数值调参'!$AC$18,0)),0),IF($A14&gt;=8,(F14+$C$3)*MAX(0,IF('01_数值调参'!$AD$7&lt;=$A14,-'01_数值调参'!$AD$18,0),IF('01_数值调参'!$AE$7&lt;=$A14,-'01_数值调参'!$AE$18,0),IF('01_数值调参'!$AF$7&lt;=$A14,-'01_数值调参'!$AF$18,0),IF('01_数值调参'!$AG$7&lt;=$A14,-'01_数值调参'!$AG$18,0)),0),IF($A14&gt;=10,(G14+$C$3)*MAX(0,IF('01_数值调参'!$AH$7&lt;=$A14,-'01_数值调参'!$AH$18,0),IF('01_数值调参'!$AI$7&lt;=$A14,-'01_数值调参'!$AI$18,0),IF('01_数值调参'!$AJ$7&lt;=$A14,-'01_数值调参'!$AJ$18,0),IF('01_数值调参'!$AK$7&lt;=$A14,-'01_数值调参'!$AK$18,0),IF('01_数值调参'!$AL$7&lt;=$A14,-'01_数值调参'!$AL$18,0),IF('01_数值调参'!$AM$7&lt;=$A14,-'01_数值调参'!$AM$18,0)),0),0)),"队列待修正"))</x:f>
        <x:v>6</x:v>
      </x:c>
      <x:c r="I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F$7,"—",SUM(IF($A14&gt;=2,(C14+$C$3)*MAX(0,IF('01_数值调参'!$N$7&lt;=$A14,-'01_数值调参'!$N$19,0),IF('01_数值调参'!$O$7&lt;=$A14,-'01_数值调参'!$O$19,0),IF('01_数值调参'!$P$7&lt;=$A14,-'01_数值调参'!$P$19,0),IF('01_数值调参'!$Q$7&lt;=$A14,-'01_数值调参'!$Q$19,0),IF('01_数值调参'!$R$7&lt;=$A14,-'01_数值调参'!$R$19,0)),0),IF($A14&gt;=4,(D14+$C$3)*MAX(0,IF('01_数值调参'!$S$7&lt;=$A14,-'01_数值调参'!$S$19,0),IF('01_数值调参'!$T$7&lt;=$A14,-'01_数值调参'!$T$19,0),IF('01_数值调参'!$U$7&lt;=$A14,-'01_数值调参'!$U$19,0),IF('01_数值调参'!$V$7&lt;=$A14,-'01_数值调参'!$V$19,0),IF('01_数值调参'!$W$7&lt;=$A14,-'01_数值调参'!$W$19,0)),0),IF($A14&gt;=6,(E14+$C$3)*MAX(0,IF('01_数值调参'!$X$7&lt;=$A14,-'01_数值调参'!$X$19,0),IF('01_数值调参'!$Y$7&lt;=$A14,-'01_数值调参'!$Y$19,0),IF('01_数值调参'!$Z$7&lt;=$A14,-'01_数值调参'!$Z$19,0),IF('01_数值调参'!$AA$7&lt;=$A14,-'01_数值调参'!$AA$19,0),IF('01_数值调参'!$AB$7&lt;=$A14,-'01_数值调参'!$AB$19,0),IF('01_数值调参'!$AC$7&lt;=$A14,-'01_数值调参'!$AC$19,0)),0),IF($A14&gt;=8,(F14+$C$3)*MAX(0,IF('01_数值调参'!$AD$7&lt;=$A14,-'01_数值调参'!$AD$19,0),IF('01_数值调参'!$AE$7&lt;=$A14,-'01_数值调参'!$AE$19,0),IF('01_数值调参'!$AF$7&lt;=$A14,-'01_数值调参'!$AF$19,0),IF('01_数值调参'!$AG$7&lt;=$A14,-'01_数值调参'!$AG$19,0)),0),IF($A14&gt;=10,(G14+$C$3)*MAX(0,IF('01_数值调参'!$AH$7&lt;=$A14,-'01_数值调参'!$AH$19,0),IF('01_数值调参'!$AI$7&lt;=$A14,-'01_数值调参'!$AI$19,0),IF('01_数值调参'!$AJ$7&lt;=$A14,-'01_数值调参'!$AJ$19,0),IF('01_数值调参'!$AK$7&lt;=$A14,-'01_数值调参'!$AK$19,0),IF('01_数值调参'!$AL$7&lt;=$A14,-'01_数值调参'!$AL$19,0),IF('01_数值调参'!$AM$7&lt;=$A14,-'01_数值调参'!$AM$19,0)),0),0)),"队列待修正"))</x:f>
        <x:v>3</x:v>
      </x:c>
      <x:c r="J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G$7,"—",SUM(IF($A14&gt;=2,(C14+$C$3)*MAX(0,IF('01_数值调参'!$N$7&lt;=$A14,-'01_数值调参'!$N$20,0),IF('01_数值调参'!$O$7&lt;=$A14,-'01_数值调参'!$O$20,0),IF('01_数值调参'!$P$7&lt;=$A14,-'01_数值调参'!$P$20,0),IF('01_数值调参'!$Q$7&lt;=$A14,-'01_数值调参'!$Q$20,0),IF('01_数值调参'!$R$7&lt;=$A14,-'01_数值调参'!$R$20,0)),0),IF($A14&gt;=4,(D14+$C$3)*MAX(0,IF('01_数值调参'!$S$7&lt;=$A14,-'01_数值调参'!$S$20,0),IF('01_数值调参'!$T$7&lt;=$A14,-'01_数值调参'!$T$20,0),IF('01_数值调参'!$U$7&lt;=$A14,-'01_数值调参'!$U$20,0),IF('01_数值调参'!$V$7&lt;=$A14,-'01_数值调参'!$V$20,0),IF('01_数值调参'!$W$7&lt;=$A14,-'01_数值调参'!$W$20,0)),0),IF($A14&gt;=6,(E14+$C$3)*MAX(0,IF('01_数值调参'!$X$7&lt;=$A14,-'01_数值调参'!$X$20,0),IF('01_数值调参'!$Y$7&lt;=$A14,-'01_数值调参'!$Y$20,0),IF('01_数值调参'!$Z$7&lt;=$A14,-'01_数值调参'!$Z$20,0),IF('01_数值调参'!$AA$7&lt;=$A14,-'01_数值调参'!$AA$20,0),IF('01_数值调参'!$AB$7&lt;=$A14,-'01_数值调参'!$AB$20,0),IF('01_数值调参'!$AC$7&lt;=$A14,-'01_数值调参'!$AC$20,0)),0),IF($A14&gt;=8,(F14+$C$3)*MAX(0,IF('01_数值调参'!$AD$7&lt;=$A14,-'01_数值调参'!$AD$20,0),IF('01_数值调参'!$AE$7&lt;=$A14,-'01_数值调参'!$AE$20,0),IF('01_数值调参'!$AF$7&lt;=$A14,-'01_数值调参'!$AF$20,0),IF('01_数值调参'!$AG$7&lt;=$A14,-'01_数值调参'!$AG$20,0)),0),IF($A14&gt;=10,(G14+$C$3)*MAX(0,IF('01_数值调参'!$AH$7&lt;=$A14,-'01_数值调参'!$AH$20,0),IF('01_数值调参'!$AI$7&lt;=$A14,-'01_数值调参'!$AI$20,0),IF('01_数值调参'!$AJ$7&lt;=$A14,-'01_数值调参'!$AJ$20,0),IF('01_数值调参'!$AK$7&lt;=$A14,-'01_数值调参'!$AK$20,0),IF('01_数值调参'!$AL$7&lt;=$A14,-'01_数值调参'!$AL$20,0),IF('01_数值调参'!$AM$7&lt;=$A14,-'01_数值调参'!$AM$20,0)),0),0)),"队列待修正"))</x:f>
        <x:v>9</x:v>
      </x:c>
      <x:c r="K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H$7,"—",SUM(IF($A14&gt;=2,(C14+$C$3)*MAX(0,IF('01_数值调参'!$N$7&lt;=$A14,-'01_数值调参'!$N$21,0),IF('01_数值调参'!$O$7&lt;=$A14,-'01_数值调参'!$O$21,0),IF('01_数值调参'!$P$7&lt;=$A14,-'01_数值调参'!$P$21,0),IF('01_数值调参'!$Q$7&lt;=$A14,-'01_数值调参'!$Q$21,0),IF('01_数值调参'!$R$7&lt;=$A14,-'01_数值调参'!$R$21,0)),0),IF($A14&gt;=4,(D14+$C$3)*MAX(0,IF('01_数值调参'!$S$7&lt;=$A14,-'01_数值调参'!$S$21,0),IF('01_数值调参'!$T$7&lt;=$A14,-'01_数值调参'!$T$21,0),IF('01_数值调参'!$U$7&lt;=$A14,-'01_数值调参'!$U$21,0),IF('01_数值调参'!$V$7&lt;=$A14,-'01_数值调参'!$V$21,0),IF('01_数值调参'!$W$7&lt;=$A14,-'01_数值调参'!$W$21,0)),0),IF($A14&gt;=6,(E14+$C$3)*MAX(0,IF('01_数值调参'!$X$7&lt;=$A14,-'01_数值调参'!$X$21,0),IF('01_数值调参'!$Y$7&lt;=$A14,-'01_数值调参'!$Y$21,0),IF('01_数值调参'!$Z$7&lt;=$A14,-'01_数值调参'!$Z$21,0),IF('01_数值调参'!$AA$7&lt;=$A14,-'01_数值调参'!$AA$21,0),IF('01_数值调参'!$AB$7&lt;=$A14,-'01_数值调参'!$AB$21,0),IF('01_数值调参'!$AC$7&lt;=$A14,-'01_数值调参'!$AC$21,0)),0),IF($A14&gt;=8,(F14+$C$3)*MAX(0,IF('01_数值调参'!$AD$7&lt;=$A14,-'01_数值调参'!$AD$21,0),IF('01_数值调参'!$AE$7&lt;=$A14,-'01_数值调参'!$AE$21,0),IF('01_数值调参'!$AF$7&lt;=$A14,-'01_数值调参'!$AF$21,0),IF('01_数值调参'!$AG$7&lt;=$A14,-'01_数值调参'!$AG$21,0)),0),IF($A14&gt;=10,(G14+$C$3)*MAX(0,IF('01_数值调参'!$AH$7&lt;=$A14,-'01_数值调参'!$AH$21,0),IF('01_数值调参'!$AI$7&lt;=$A14,-'01_数值调参'!$AI$21,0),IF('01_数值调参'!$AJ$7&lt;=$A14,-'01_数值调参'!$AJ$21,0),IF('01_数值调参'!$AK$7&lt;=$A14,-'01_数值调参'!$AK$21,0),IF('01_数值调参'!$AL$7&lt;=$A14,-'01_数值调参'!$AL$21,0),IF('01_数值调参'!$AM$7&lt;=$A14,-'01_数值调参'!$AM$21,0)),0),0)),"队列待修正"))</x:f>
        <x:v>6</x:v>
      </x:c>
      <x:c r="L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I$7,"—",SUM(IF($A14&gt;=2,(C14+$C$3)*MAX(0,IF('01_数值调参'!$N$7&lt;=$A14,-'01_数值调参'!$N$22,0),IF('01_数值调参'!$O$7&lt;=$A14,-'01_数值调参'!$O$22,0),IF('01_数值调参'!$P$7&lt;=$A14,-'01_数值调参'!$P$22,0),IF('01_数值调参'!$Q$7&lt;=$A14,-'01_数值调参'!$Q$22,0),IF('01_数值调参'!$R$7&lt;=$A14,-'01_数值调参'!$R$22,0)),0),IF($A14&gt;=4,(D14+$C$3)*MAX(0,IF('01_数值调参'!$S$7&lt;=$A14,-'01_数值调参'!$S$22,0),IF('01_数值调参'!$T$7&lt;=$A14,-'01_数值调参'!$T$22,0),IF('01_数值调参'!$U$7&lt;=$A14,-'01_数值调参'!$U$22,0),IF('01_数值调参'!$V$7&lt;=$A14,-'01_数值调参'!$V$22,0),IF('01_数值调参'!$W$7&lt;=$A14,-'01_数值调参'!$W$22,0)),0),IF($A14&gt;=6,(E14+$C$3)*MAX(0,IF('01_数值调参'!$X$7&lt;=$A14,-'01_数值调参'!$X$22,0),IF('01_数值调参'!$Y$7&lt;=$A14,-'01_数值调参'!$Y$22,0),IF('01_数值调参'!$Z$7&lt;=$A14,-'01_数值调参'!$Z$22,0),IF('01_数值调参'!$AA$7&lt;=$A14,-'01_数值调参'!$AA$22,0),IF('01_数值调参'!$AB$7&lt;=$A14,-'01_数值调参'!$AB$22,0),IF('01_数值调参'!$AC$7&lt;=$A14,-'01_数值调参'!$AC$22,0)),0),IF($A14&gt;=8,(F14+$C$3)*MAX(0,IF('01_数值调参'!$AD$7&lt;=$A14,-'01_数值调参'!$AD$22,0),IF('01_数值调参'!$AE$7&lt;=$A14,-'01_数值调参'!$AE$22,0),IF('01_数值调参'!$AF$7&lt;=$A14,-'01_数值调参'!$AF$22,0),IF('01_数值调参'!$AG$7&lt;=$A14,-'01_数值调参'!$AG$22,0)),0),IF($A14&gt;=10,(G14+$C$3)*MAX(0,IF('01_数值调参'!$AH$7&lt;=$A14,-'01_数值调参'!$AH$22,0),IF('01_数值调参'!$AI$7&lt;=$A14,-'01_数值调参'!$AI$22,0),IF('01_数值调参'!$AJ$7&lt;=$A14,-'01_数值调参'!$AJ$22,0),IF('01_数值调参'!$AK$7&lt;=$A14,-'01_数值调参'!$AK$22,0),IF('01_数值调参'!$AL$7&lt;=$A14,-'01_数值调参'!$AL$22,0),IF('01_数值调参'!$AM$7&lt;=$A14,-'01_数值调参'!$AM$22,0)),0),0)),"队列待修正"))</x:f>
        <x:v>6</x:v>
      </x:c>
      <x:c r="M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J$7,"—",SUM(IF($A14&gt;=2,(C14+$C$3)*MAX(0,IF('01_数值调参'!$N$7&lt;=$A14,-'01_数值调参'!$N$23,0),IF('01_数值调参'!$O$7&lt;=$A14,-'01_数值调参'!$O$23,0),IF('01_数值调参'!$P$7&lt;=$A14,-'01_数值调参'!$P$23,0),IF('01_数值调参'!$Q$7&lt;=$A14,-'01_数值调参'!$Q$23,0),IF('01_数值调参'!$R$7&lt;=$A14,-'01_数值调参'!$R$23,0)),0),IF($A14&gt;=4,(D14+$C$3)*MAX(0,IF('01_数值调参'!$S$7&lt;=$A14,-'01_数值调参'!$S$23,0),IF('01_数值调参'!$T$7&lt;=$A14,-'01_数值调参'!$T$23,0),IF('01_数值调参'!$U$7&lt;=$A14,-'01_数值调参'!$U$23,0),IF('01_数值调参'!$V$7&lt;=$A14,-'01_数值调参'!$V$23,0),IF('01_数值调参'!$W$7&lt;=$A14,-'01_数值调参'!$W$23,0)),0),IF($A14&gt;=6,(E14+$C$3)*MAX(0,IF('01_数值调参'!$X$7&lt;=$A14,-'01_数值调参'!$X$23,0),IF('01_数值调参'!$Y$7&lt;=$A14,-'01_数值调参'!$Y$23,0),IF('01_数值调参'!$Z$7&lt;=$A14,-'01_数值调参'!$Z$23,0),IF('01_数值调参'!$AA$7&lt;=$A14,-'01_数值调参'!$AA$23,0),IF('01_数值调参'!$AB$7&lt;=$A14,-'01_数值调参'!$AB$23,0),IF('01_数值调参'!$AC$7&lt;=$A14,-'01_数值调参'!$AC$23,0)),0),IF($A14&gt;=8,(F14+$C$3)*MAX(0,IF('01_数值调参'!$AD$7&lt;=$A14,-'01_数值调参'!$AD$23,0),IF('01_数值调参'!$AE$7&lt;=$A14,-'01_数值调参'!$AE$23,0),IF('01_数值调参'!$AF$7&lt;=$A14,-'01_数值调参'!$AF$23,0),IF('01_数值调参'!$AG$7&lt;=$A14,-'01_数值调参'!$AG$23,0)),0),IF($A14&gt;=10,(G14+$C$3)*MAX(0,IF('01_数值调参'!$AH$7&lt;=$A14,-'01_数值调参'!$AH$23,0),IF('01_数值调参'!$AI$7&lt;=$A14,-'01_数值调参'!$AI$23,0),IF('01_数值调参'!$AJ$7&lt;=$A14,-'01_数值调参'!$AJ$23,0),IF('01_数值调参'!$AK$7&lt;=$A14,-'01_数值调参'!$AK$23,0),IF('01_数值调参'!$AL$7&lt;=$A14,-'01_数值调参'!$AL$23,0),IF('01_数值调参'!$AM$7&lt;=$A14,-'01_数值调参'!$AM$23,0)),0),0)),"队列待修正"))</x:f>
        <x:v>—</x:v>
      </x:c>
      <x:c r="N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K$7,"—",SUM(IF($A14&gt;=2,(C14+$C$3)*MAX(0,IF('01_数值调参'!$N$7&lt;=$A14,-'01_数值调参'!$N$24,0),IF('01_数值调参'!$O$7&lt;=$A14,-'01_数值调参'!$O$24,0),IF('01_数值调参'!$P$7&lt;=$A14,-'01_数值调参'!$P$24,0),IF('01_数值调参'!$Q$7&lt;=$A14,-'01_数值调参'!$Q$24,0),IF('01_数值调参'!$R$7&lt;=$A14,-'01_数值调参'!$R$24,0)),0),IF($A14&gt;=4,(D14+$C$3)*MAX(0,IF('01_数值调参'!$S$7&lt;=$A14,-'01_数值调参'!$S$24,0),IF('01_数值调参'!$T$7&lt;=$A14,-'01_数值调参'!$T$24,0),IF('01_数值调参'!$U$7&lt;=$A14,-'01_数值调参'!$U$24,0),IF('01_数值调参'!$V$7&lt;=$A14,-'01_数值调参'!$V$24,0),IF('01_数值调参'!$W$7&lt;=$A14,-'01_数值调参'!$W$24,0)),0),IF($A14&gt;=6,(E14+$C$3)*MAX(0,IF('01_数值调参'!$X$7&lt;=$A14,-'01_数值调参'!$X$24,0),IF('01_数值调参'!$Y$7&lt;=$A14,-'01_数值调参'!$Y$24,0),IF('01_数值调参'!$Z$7&lt;=$A14,-'01_数值调参'!$Z$24,0),IF('01_数值调参'!$AA$7&lt;=$A14,-'01_数值调参'!$AA$24,0),IF('01_数值调参'!$AB$7&lt;=$A14,-'01_数值调参'!$AB$24,0),IF('01_数值调参'!$AC$7&lt;=$A14,-'01_数值调参'!$AC$24,0)),0),IF($A14&gt;=8,(F14+$C$3)*MAX(0,IF('01_数值调参'!$AD$7&lt;=$A14,-'01_数值调参'!$AD$24,0),IF('01_数值调参'!$AE$7&lt;=$A14,-'01_数值调参'!$AE$24,0),IF('01_数值调参'!$AF$7&lt;=$A14,-'01_数值调参'!$AF$24,0),IF('01_数值调参'!$AG$7&lt;=$A14,-'01_数值调参'!$AG$24,0)),0),IF($A14&gt;=10,(G14+$C$3)*MAX(0,IF('01_数值调参'!$AH$7&lt;=$A14,-'01_数值调参'!$AH$24,0),IF('01_数值调参'!$AI$7&lt;=$A14,-'01_数值调参'!$AI$24,0),IF('01_数值调参'!$AJ$7&lt;=$A14,-'01_数值调参'!$AJ$24,0),IF('01_数值调参'!$AK$7&lt;=$A14,-'01_数值调参'!$AK$24,0),IF('01_数值调参'!$AL$7&lt;=$A14,-'01_数值调参'!$AL$24,0),IF('01_数值调参'!$AM$7&lt;=$A14,-'01_数值调参'!$AM$24,0)),0),0)),"队列待修正"))</x:f>
        <x:v>—</x:v>
      </x:c>
      <x:c r="O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L$7,"—",SUM(IF($A14&gt;=2,(C14+$C$3)*MAX(0,IF('01_数值调参'!$N$7&lt;=$A14,-'01_数值调参'!$N$25,0),IF('01_数值调参'!$O$7&lt;=$A14,-'01_数值调参'!$O$25,0),IF('01_数值调参'!$P$7&lt;=$A14,-'01_数值调参'!$P$25,0),IF('01_数值调参'!$Q$7&lt;=$A14,-'01_数值调参'!$Q$25,0),IF('01_数值调参'!$R$7&lt;=$A14,-'01_数值调参'!$R$25,0)),0),IF($A14&gt;=4,(D14+$C$3)*MAX(0,IF('01_数值调参'!$S$7&lt;=$A14,-'01_数值调参'!$S$25,0),IF('01_数值调参'!$T$7&lt;=$A14,-'01_数值调参'!$T$25,0),IF('01_数值调参'!$U$7&lt;=$A14,-'01_数值调参'!$U$25,0),IF('01_数值调参'!$V$7&lt;=$A14,-'01_数值调参'!$V$25,0),IF('01_数值调参'!$W$7&lt;=$A14,-'01_数值调参'!$W$25,0)),0),IF($A14&gt;=6,(E14+$C$3)*MAX(0,IF('01_数值调参'!$X$7&lt;=$A14,-'01_数值调参'!$X$25,0),IF('01_数值调参'!$Y$7&lt;=$A14,-'01_数值调参'!$Y$25,0),IF('01_数值调参'!$Z$7&lt;=$A14,-'01_数值调参'!$Z$25,0),IF('01_数值调参'!$AA$7&lt;=$A14,-'01_数值调参'!$AA$25,0),IF('01_数值调参'!$AB$7&lt;=$A14,-'01_数值调参'!$AB$25,0),IF('01_数值调参'!$AC$7&lt;=$A14,-'01_数值调参'!$AC$25,0)),0),IF($A14&gt;=8,(F14+$C$3)*MAX(0,IF('01_数值调参'!$AD$7&lt;=$A14,-'01_数值调参'!$AD$25,0),IF('01_数值调参'!$AE$7&lt;=$A14,-'01_数值调参'!$AE$25,0),IF('01_数值调参'!$AF$7&lt;=$A14,-'01_数值调参'!$AF$25,0),IF('01_数值调参'!$AG$7&lt;=$A14,-'01_数值调参'!$AG$25,0)),0),IF($A14&gt;=10,(G14+$C$3)*MAX(0,IF('01_数值调参'!$AH$7&lt;=$A14,-'01_数值调参'!$AH$25,0),IF('01_数值调参'!$AI$7&lt;=$A14,-'01_数值调参'!$AI$25,0),IF('01_数值调参'!$AJ$7&lt;=$A14,-'01_数值调参'!$AJ$25,0),IF('01_数值调参'!$AK$7&lt;=$A14,-'01_数值调参'!$AK$25,0),IF('01_数值调参'!$AL$7&lt;=$A14,-'01_数值调参'!$AL$25,0),IF('01_数值调参'!$AM$7&lt;=$A14,-'01_数值调参'!$AM$25,0)),0),0)),"队列待修正"))</x:f>
        <x:v>—</x:v>
      </x:c>
      <x:c r="P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M$7,"—",SUM(IF($A14&gt;=2,(C14+$C$3)*MAX(0,IF('01_数值调参'!$N$7&lt;=$A14,-'01_数值调参'!$N$26,0),IF('01_数值调参'!$O$7&lt;=$A14,-'01_数值调参'!$O$26,0),IF('01_数值调参'!$P$7&lt;=$A14,-'01_数值调参'!$P$26,0),IF('01_数值调参'!$Q$7&lt;=$A14,-'01_数值调参'!$Q$26,0),IF('01_数值调参'!$R$7&lt;=$A14,-'01_数值调参'!$R$26,0)),0),IF($A14&gt;=4,(D14+$C$3)*MAX(0,IF('01_数值调参'!$S$7&lt;=$A14,-'01_数值调参'!$S$26,0),IF('01_数值调参'!$T$7&lt;=$A14,-'01_数值调参'!$T$26,0),IF('01_数值调参'!$U$7&lt;=$A14,-'01_数值调参'!$U$26,0),IF('01_数值调参'!$V$7&lt;=$A14,-'01_数值调参'!$V$26,0),IF('01_数值调参'!$W$7&lt;=$A14,-'01_数值调参'!$W$26,0)),0),IF($A14&gt;=6,(E14+$C$3)*MAX(0,IF('01_数值调参'!$X$7&lt;=$A14,-'01_数值调参'!$X$26,0),IF('01_数值调参'!$Y$7&lt;=$A14,-'01_数值调参'!$Y$26,0),IF('01_数值调参'!$Z$7&lt;=$A14,-'01_数值调参'!$Z$26,0),IF('01_数值调参'!$AA$7&lt;=$A14,-'01_数值调参'!$AA$26,0),IF('01_数值调参'!$AB$7&lt;=$A14,-'01_数值调参'!$AB$26,0),IF('01_数值调参'!$AC$7&lt;=$A14,-'01_数值调参'!$AC$26,0)),0),IF($A14&gt;=8,(F14+$C$3)*MAX(0,IF('01_数值调参'!$AD$7&lt;=$A14,-'01_数值调参'!$AD$26,0),IF('01_数值调参'!$AE$7&lt;=$A14,-'01_数值调参'!$AE$26,0),IF('01_数值调参'!$AF$7&lt;=$A14,-'01_数值调参'!$AF$26,0),IF('01_数值调参'!$AG$7&lt;=$A14,-'01_数值调参'!$AG$26,0)),0),IF($A14&gt;=10,(G14+$C$3)*MAX(0,IF('01_数值调参'!$AH$7&lt;=$A14,-'01_数值调参'!$AH$26,0),IF('01_数值调参'!$AI$7&lt;=$A14,-'01_数值调参'!$AI$26,0),IF('01_数值调参'!$AJ$7&lt;=$A14,-'01_数值调参'!$AJ$26,0),IF('01_数值调参'!$AK$7&lt;=$A14,-'01_数值调参'!$AK$26,0),IF('01_数值调参'!$AL$7&lt;=$A14,-'01_数值调参'!$AL$26,0),IF('01_数值调参'!$AM$7&lt;=$A14,-'01_数值调参'!$AM$26,0)),0),0)),"队列待修正"))</x:f>
        <x:v>—</x:v>
      </x:c>
      <x:c r="Q14" s="191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N$7,"—",SUM(IF($A14&gt;=2,(C14+$C$3)*MAX(0,IF('01_数值调参'!$N$7&lt;=$A14,0,0),IF('01_数值调参'!$O$7&lt;=$A14,-'01_数值调参'!$O$27,0),IF('01_数值调参'!$P$7&lt;=$A14,-'01_数值调参'!$P$27,0),IF('01_数值调参'!$Q$7&lt;=$A14,-'01_数值调参'!$Q$27,0),IF('01_数值调参'!$R$7&lt;=$A14,-'01_数值调参'!$R$27,0)),0),IF($A14&gt;=4,(D14+$C$3)*MAX(0,IF('01_数值调参'!$S$7&lt;=$A14,-'01_数值调参'!$S$27,0),IF('01_数值调参'!$T$7&lt;=$A14,-'01_数值调参'!$T$27,0),IF('01_数值调参'!$U$7&lt;=$A14,-'01_数值调参'!$U$27,0),IF('01_数值调参'!$V$7&lt;=$A14,-'01_数值调参'!$V$27,0),IF('01_数值调参'!$W$7&lt;=$A14,-'01_数值调参'!$W$27,0)),0),IF($A14&gt;=6,(E14+$C$3)*MAX(0,IF('01_数值调参'!$X$7&lt;=$A14,-'01_数值调参'!$X$27,0),IF('01_数值调参'!$Y$7&lt;=$A14,-'01_数值调参'!$Y$27,0),IF('01_数值调参'!$Z$7&lt;=$A14,-'01_数值调参'!$Z$27,0),IF('01_数值调参'!$AA$7&lt;=$A14,-'01_数值调参'!$AA$27,0),IF('01_数值调参'!$AB$7&lt;=$A14,-'01_数值调参'!$AB$27,0),IF('01_数值调参'!$AC$7&lt;=$A14,-'01_数值调参'!$AC$27,0)),0),IF($A14&gt;=8,(F14+$C$3)*MAX(0,IF('01_数值调参'!$AD$7&lt;=$A14,-'01_数值调参'!$AD$27,0),IF('01_数值调参'!$AE$7&lt;=$A14,-'01_数值调参'!$AE$27,0),IF('01_数值调参'!$AF$7&lt;=$A14,-'01_数值调参'!$AF$27,0),IF('01_数值调参'!$AG$7&lt;=$A14,-'01_数值调参'!$AG$27,0)),0),IF($A14&gt;=10,(G14+$C$3)*MAX(0,IF('01_数值调参'!$AH$7&lt;=$A14,-'01_数值调参'!$AH$27,0),IF('01_数值调参'!$AI$7&lt;=$A14,-'01_数值调参'!$AI$27,0),IF('01_数值调参'!$AJ$7&lt;=$A14,-'01_数值调参'!$AJ$27,0),IF('01_数值调参'!$AK$7&lt;=$A14,-'01_数值调参'!$AK$27,0),IF('01_数值调参'!$AL$7&lt;=$A14,-'01_数值调参'!$AL$27,0),IF('01_数值调参'!$AM$7&lt;=$A14,-'01_数值调参'!$AM$27,0)),0),0)),"队列待修正"))</x:f>
        <x:v>3</x:v>
      </x:c>
      <x:c r="R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O$7,"—",SUM(IF($A14&gt;=2,(C14+$C$3)*MAX(0,IF('01_数值调参'!$N$7&lt;=$A14,-'01_数值调参'!$N$28,0),IF('01_数值调参'!$O$7&lt;=$A14,0,0),IF('01_数值调参'!$P$7&lt;=$A14,-'01_数值调参'!$P$28,0),IF('01_数值调参'!$Q$7&lt;=$A14,-'01_数值调参'!$Q$28,0),IF('01_数值调参'!$R$7&lt;=$A14,-'01_数值调参'!$R$28,0)),0),IF($A14&gt;=4,(D14+$C$3)*MAX(0,IF('01_数值调参'!$S$7&lt;=$A14,-'01_数值调参'!$S$28,0),IF('01_数值调参'!$T$7&lt;=$A14,-'01_数值调参'!$T$28,0),IF('01_数值调参'!$U$7&lt;=$A14,-'01_数值调参'!$U$28,0),IF('01_数值调参'!$V$7&lt;=$A14,-'01_数值调参'!$V$28,0),IF('01_数值调参'!$W$7&lt;=$A14,-'01_数值调参'!$W$28,0)),0),IF($A14&gt;=6,(E14+$C$3)*MAX(0,IF('01_数值调参'!$X$7&lt;=$A14,-'01_数值调参'!$X$28,0),IF('01_数值调参'!$Y$7&lt;=$A14,-'01_数值调参'!$Y$28,0),IF('01_数值调参'!$Z$7&lt;=$A14,-'01_数值调参'!$Z$28,0),IF('01_数值调参'!$AA$7&lt;=$A14,-'01_数值调参'!$AA$28,0),IF('01_数值调参'!$AB$7&lt;=$A14,-'01_数值调参'!$AB$28,0),IF('01_数值调参'!$AC$7&lt;=$A14,-'01_数值调参'!$AC$28,0)),0),IF($A14&gt;=8,(F14+$C$3)*MAX(0,IF('01_数值调参'!$AD$7&lt;=$A14,-'01_数值调参'!$AD$28,0),IF('01_数值调参'!$AE$7&lt;=$A14,-'01_数值调参'!$AE$28,0),IF('01_数值调参'!$AF$7&lt;=$A14,-'01_数值调参'!$AF$28,0),IF('01_数值调参'!$AG$7&lt;=$A14,-'01_数值调参'!$AG$28,0)),0),IF($A14&gt;=10,(G14+$C$3)*MAX(0,IF('01_数值调参'!$AH$7&lt;=$A14,-'01_数值调参'!$AH$28,0),IF('01_数值调参'!$AI$7&lt;=$A14,-'01_数值调参'!$AI$28,0),IF('01_数值调参'!$AJ$7&lt;=$A14,-'01_数值调参'!$AJ$28,0),IF('01_数值调参'!$AK$7&lt;=$A14,-'01_数值调参'!$AK$28,0),IF('01_数值调参'!$AL$7&lt;=$A14,-'01_数值调参'!$AL$28,0),IF('01_数值调参'!$AM$7&lt;=$A14,-'01_数值调参'!$AM$28,0)),0),0)),"队列待修正"))</x:f>
        <x:v>0</x:v>
      </x:c>
      <x:c r="S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P$7,"—",SUM(IF($A14&gt;=2,(C14+$C$3)*MAX(0,IF('01_数值调参'!$N$7&lt;=$A14,-'01_数值调参'!$N$29,0),IF('01_数值调参'!$O$7&lt;=$A14,-'01_数值调参'!$O$29,0),IF('01_数值调参'!$P$7&lt;=$A14,0,0),IF('01_数值调参'!$Q$7&lt;=$A14,-'01_数值调参'!$Q$29,0),IF('01_数值调参'!$R$7&lt;=$A14,-'01_数值调参'!$R$29,0)),0),IF($A14&gt;=4,(D14+$C$3)*MAX(0,IF('01_数值调参'!$S$7&lt;=$A14,-'01_数值调参'!$S$29,0),IF('01_数值调参'!$T$7&lt;=$A14,-'01_数值调参'!$T$29,0),IF('01_数值调参'!$U$7&lt;=$A14,-'01_数值调参'!$U$29,0),IF('01_数值调参'!$V$7&lt;=$A14,-'01_数值调参'!$V$29,0),IF('01_数值调参'!$W$7&lt;=$A14,-'01_数值调参'!$W$29,0)),0),IF($A14&gt;=6,(E14+$C$3)*MAX(0,IF('01_数值调参'!$X$7&lt;=$A14,-'01_数值调参'!$X$29,0),IF('01_数值调参'!$Y$7&lt;=$A14,-'01_数值调参'!$Y$29,0),IF('01_数值调参'!$Z$7&lt;=$A14,-'01_数值调参'!$Z$29,0),IF('01_数值调参'!$AA$7&lt;=$A14,-'01_数值调参'!$AA$29,0),IF('01_数值调参'!$AB$7&lt;=$A14,-'01_数值调参'!$AB$29,0),IF('01_数值调参'!$AC$7&lt;=$A14,-'01_数值调参'!$AC$29,0)),0),IF($A14&gt;=8,(F14+$C$3)*MAX(0,IF('01_数值调参'!$AD$7&lt;=$A14,-'01_数值调参'!$AD$29,0),IF('01_数值调参'!$AE$7&lt;=$A14,-'01_数值调参'!$AE$29,0),IF('01_数值调参'!$AF$7&lt;=$A14,-'01_数值调参'!$AF$29,0),IF('01_数值调参'!$AG$7&lt;=$A14,-'01_数值调参'!$AG$29,0)),0),IF($A14&gt;=10,(G14+$C$3)*MAX(0,IF('01_数值调参'!$AH$7&lt;=$A14,-'01_数值调参'!$AH$29,0),IF('01_数值调参'!$AI$7&lt;=$A14,-'01_数值调参'!$AI$29,0),IF('01_数值调参'!$AJ$7&lt;=$A14,-'01_数值调参'!$AJ$29,0),IF('01_数值调参'!$AK$7&lt;=$A14,-'01_数值调参'!$AK$29,0),IF('01_数值调参'!$AL$7&lt;=$A14,-'01_数值调参'!$AL$29,0),IF('01_数值调参'!$AM$7&lt;=$A14,-'01_数值调参'!$AM$29,0)),0),0)),"队列待修正"))</x:f>
        <x:v>0</x:v>
      </x:c>
      <x:c r="T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Q$7,"—",SUM(IF($A14&gt;=2,(C14+$C$3)*MAX(0,IF('01_数值调参'!$N$7&lt;=$A14,-'01_数值调参'!$N$30,0),IF('01_数值调参'!$O$7&lt;=$A14,-'01_数值调参'!$O$30,0),IF('01_数值调参'!$P$7&lt;=$A14,-'01_数值调参'!$P$30,0),IF('01_数值调参'!$Q$7&lt;=$A14,0,0),IF('01_数值调参'!$R$7&lt;=$A14,-'01_数值调参'!$R$30,0)),0),IF($A14&gt;=4,(D14+$C$3)*MAX(0,IF('01_数值调参'!$S$7&lt;=$A14,-'01_数值调参'!$S$30,0),IF('01_数值调参'!$T$7&lt;=$A14,-'01_数值调参'!$T$30,0),IF('01_数值调参'!$U$7&lt;=$A14,-'01_数值调参'!$U$30,0),IF('01_数值调参'!$V$7&lt;=$A14,-'01_数值调参'!$V$30,0),IF('01_数值调参'!$W$7&lt;=$A14,-'01_数值调参'!$W$30,0)),0),IF($A14&gt;=6,(E14+$C$3)*MAX(0,IF('01_数值调参'!$X$7&lt;=$A14,-'01_数值调参'!$X$30,0),IF('01_数值调参'!$Y$7&lt;=$A14,-'01_数值调参'!$Y$30,0),IF('01_数值调参'!$Z$7&lt;=$A14,-'01_数值调参'!$Z$30,0),IF('01_数值调参'!$AA$7&lt;=$A14,-'01_数值调参'!$AA$30,0),IF('01_数值调参'!$AB$7&lt;=$A14,-'01_数值调参'!$AB$30,0),IF('01_数值调参'!$AC$7&lt;=$A14,-'01_数值调参'!$AC$30,0)),0),IF($A14&gt;=8,(F14+$C$3)*MAX(0,IF('01_数值调参'!$AD$7&lt;=$A14,-'01_数值调参'!$AD$30,0),IF('01_数值调参'!$AE$7&lt;=$A14,-'01_数值调参'!$AE$30,0),IF('01_数值调参'!$AF$7&lt;=$A14,-'01_数值调参'!$AF$30,0),IF('01_数值调参'!$AG$7&lt;=$A14,-'01_数值调参'!$AG$30,0)),0),IF($A14&gt;=10,(G14+$C$3)*MAX(0,IF('01_数值调参'!$AH$7&lt;=$A14,-'01_数值调参'!$AH$30,0),IF('01_数值调参'!$AI$7&lt;=$A14,-'01_数值调参'!$AI$30,0),IF('01_数值调参'!$AJ$7&lt;=$A14,-'01_数值调参'!$AJ$30,0),IF('01_数值调参'!$AK$7&lt;=$A14,-'01_数值调参'!$AK$30,0),IF('01_数值调参'!$AL$7&lt;=$A14,-'01_数值调参'!$AL$30,0),IF('01_数值调参'!$AM$7&lt;=$A14,-'01_数值调参'!$AM$30,0)),0),0)),"队列待修正"))</x:f>
        <x:v>—</x:v>
      </x:c>
      <x:c r="U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R$7,"—",SUM(IF($A14&gt;=2,(C14+$C$3)*MAX(0,IF('01_数值调参'!$N$7&lt;=$A14,-'01_数值调参'!$N$31,0),IF('01_数值调参'!$O$7&lt;=$A14,-'01_数值调参'!$O$31,0),IF('01_数值调参'!$P$7&lt;=$A14,-'01_数值调参'!$P$31,0),IF('01_数值调参'!$Q$7&lt;=$A14,-'01_数值调参'!$Q$31,0),IF('01_数值调参'!$R$7&lt;=$A14,0,0)),0),IF($A14&gt;=4,(D14+$C$3)*MAX(0,IF('01_数值调参'!$S$7&lt;=$A14,-'01_数值调参'!$S$31,0),IF('01_数值调参'!$T$7&lt;=$A14,-'01_数值调参'!$T$31,0),IF('01_数值调参'!$U$7&lt;=$A14,-'01_数值调参'!$U$31,0),IF('01_数值调参'!$V$7&lt;=$A14,-'01_数值调参'!$V$31,0),IF('01_数值调参'!$W$7&lt;=$A14,-'01_数值调参'!$W$31,0)),0),IF($A14&gt;=6,(E14+$C$3)*MAX(0,IF('01_数值调参'!$X$7&lt;=$A14,-'01_数值调参'!$X$31,0),IF('01_数值调参'!$Y$7&lt;=$A14,-'01_数值调参'!$Y$31,0),IF('01_数值调参'!$Z$7&lt;=$A14,-'01_数值调参'!$Z$31,0),IF('01_数值调参'!$AA$7&lt;=$A14,-'01_数值调参'!$AA$31,0),IF('01_数值调参'!$AB$7&lt;=$A14,-'01_数值调参'!$AB$31,0),IF('01_数值调参'!$AC$7&lt;=$A14,-'01_数值调参'!$AC$31,0)),0),IF($A14&gt;=8,(F14+$C$3)*MAX(0,IF('01_数值调参'!$AD$7&lt;=$A14,-'01_数值调参'!$AD$31,0),IF('01_数值调参'!$AE$7&lt;=$A14,-'01_数值调参'!$AE$31,0),IF('01_数值调参'!$AF$7&lt;=$A14,-'01_数值调参'!$AF$31,0),IF('01_数值调参'!$AG$7&lt;=$A14,-'01_数值调参'!$AG$31,0)),0),IF($A14&gt;=10,(G14+$C$3)*MAX(0,IF('01_数值调参'!$AH$7&lt;=$A14,-'01_数值调参'!$AH$31,0),IF('01_数值调参'!$AI$7&lt;=$A14,-'01_数值调参'!$AI$31,0),IF('01_数值调参'!$AJ$7&lt;=$A14,-'01_数值调参'!$AJ$31,0),IF('01_数值调参'!$AK$7&lt;=$A14,-'01_数值调参'!$AK$31,0),IF('01_数值调参'!$AL$7&lt;=$A14,-'01_数值调参'!$AL$31,0),IF('01_数值调参'!$AM$7&lt;=$A14,-'01_数值调参'!$AM$31,0)),0),0)),"队列待修正"))</x:f>
        <x:v>—</x:v>
      </x:c>
      <x:c r="V14" s="191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S$7,"—",SUM(IF($A14&gt;=2,(C14+$C$3)*MAX(0,IF('01_数值调参'!$N$7&lt;=$A14,-'01_数值调参'!$N$32,0),IF('01_数值调参'!$O$7&lt;=$A14,-'01_数值调参'!$O$32,0),IF('01_数值调参'!$P$7&lt;=$A14,-'01_数值调参'!$P$32,0),IF('01_数值调参'!$Q$7&lt;=$A14,-'01_数值调参'!$Q$32,0),IF('01_数值调参'!$R$7&lt;=$A14,-'01_数值调参'!$R$32,0)),0),IF($A14&gt;=4,(D14+$C$3)*MAX(0,IF('01_数值调参'!$S$7&lt;=$A14,0,0),IF('01_数值调参'!$T$7&lt;=$A14,-'01_数值调参'!$T$32,0),IF('01_数值调参'!$U$7&lt;=$A14,-'01_数值调参'!$U$32,0),IF('01_数值调参'!$V$7&lt;=$A14,-'01_数值调参'!$V$32,0),IF('01_数值调参'!$W$7&lt;=$A14,-'01_数值调参'!$W$32,0)),0),IF($A14&gt;=6,(E14+$C$3)*MAX(0,IF('01_数值调参'!$X$7&lt;=$A14,-'01_数值调参'!$X$32,0),IF('01_数值调参'!$Y$7&lt;=$A14,-'01_数值调参'!$Y$32,0),IF('01_数值调参'!$Z$7&lt;=$A14,-'01_数值调参'!$Z$32,0),IF('01_数值调参'!$AA$7&lt;=$A14,-'01_数值调参'!$AA$32,0),IF('01_数值调参'!$AB$7&lt;=$A14,-'01_数值调参'!$AB$32,0),IF('01_数值调参'!$AC$7&lt;=$A14,-'01_数值调参'!$AC$32,0)),0),IF($A14&gt;=8,(F14+$C$3)*MAX(0,IF('01_数值调参'!$AD$7&lt;=$A14,-'01_数值调参'!$AD$32,0),IF('01_数值调参'!$AE$7&lt;=$A14,-'01_数值调参'!$AE$32,0),IF('01_数值调参'!$AF$7&lt;=$A14,-'01_数值调参'!$AF$32,0),IF('01_数值调参'!$AG$7&lt;=$A14,-'01_数值调参'!$AG$32,0)),0),IF($A14&gt;=10,(G14+$C$3)*MAX(0,IF('01_数值调参'!$AH$7&lt;=$A14,-'01_数值调参'!$AH$32,0),IF('01_数值调参'!$AI$7&lt;=$A14,-'01_数值调参'!$AI$32,0),IF('01_数值调参'!$AJ$7&lt;=$A14,-'01_数值调参'!$AJ$32,0),IF('01_数值调参'!$AK$7&lt;=$A14,-'01_数值调参'!$AK$32,0),IF('01_数值调参'!$AL$7&lt;=$A14,-'01_数值调参'!$AL$32,0),IF('01_数值调参'!$AM$7&lt;=$A14,-'01_数值调参'!$AM$32,0)),0),0)),"队列待修正"))</x:f>
        <x:v>3</x:v>
      </x:c>
      <x:c r="W14" s="179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T$7,"—",SUM(IF($A14&gt;=2,(C14+$C$3)*MAX(0,IF('01_数值调参'!$N$7&lt;=$A14,-'01_数值调参'!$N$33,0),IF('01_数值调参'!$O$7&lt;=$A14,-'01_数值调参'!$O$33,0),IF('01_数值调参'!$P$7&lt;=$A14,-'01_数值调参'!$P$33,0),IF('01_数值调参'!$Q$7&lt;=$A14,-'01_数值调参'!$Q$33,0),IF('01_数值调参'!$R$7&lt;=$A14,-'01_数值调参'!$R$33,0)),0),IF($A14&gt;=4,(D14+$C$3)*MAX(0,IF('01_数值调参'!$S$7&lt;=$A14,-'01_数值调参'!$S$33,0),IF('01_数值调参'!$T$7&lt;=$A14,0,0),IF('01_数值调参'!$U$7&lt;=$A14,-'01_数值调参'!$U$33,0),IF('01_数值调参'!$V$7&lt;=$A14,-'01_数值调参'!$V$33,0),IF('01_数值调参'!$W$7&lt;=$A14,-'01_数值调参'!$W$33,0)),0),IF($A14&gt;=6,(E14+$C$3)*MAX(0,IF('01_数值调参'!$X$7&lt;=$A14,-'01_数值调参'!$X$33,0),IF('01_数值调参'!$Y$7&lt;=$A14,-'01_数值调参'!$Y$33,0),IF('01_数值调参'!$Z$7&lt;=$A14,-'01_数值调参'!$Z$33,0),IF('01_数值调参'!$AA$7&lt;=$A14,-'01_数值调参'!$AA$33,0),IF('01_数值调参'!$AB$7&lt;=$A14,-'01_数值调参'!$AB$33,0),IF('01_数值调参'!$AC$7&lt;=$A14,-'01_数值调参'!$AC$33,0)),0),IF($A14&gt;=8,(F14+$C$3)*MAX(0,IF('01_数值调参'!$AD$7&lt;=$A14,-'01_数值调参'!$AD$33,0),IF('01_数值调参'!$AE$7&lt;=$A14,-'01_数值调参'!$AE$33,0),IF('01_数值调参'!$AF$7&lt;=$A14,-'01_数值调参'!$AF$33,0),IF('01_数值调参'!$AG$7&lt;=$A14,-'01_数值调参'!$AG$33,0)),0),IF($A14&gt;=10,(G14+$C$3)*MAX(0,IF('01_数值调参'!$AH$7&lt;=$A14,-'01_数值调参'!$AH$33,0),IF('01_数值调参'!$AI$7&lt;=$A14,-'01_数值调参'!$AI$33,0),IF('01_数值调参'!$AJ$7&lt;=$A14,-'01_数值调参'!$AJ$33,0),IF('01_数值调参'!$AK$7&lt;=$A14,-'01_数值调参'!$AK$33,0),IF('01_数值调参'!$AL$7&lt;=$A14,-'01_数值调参'!$AL$33,0),IF('01_数值调参'!$AM$7&lt;=$A14,-'01_数值调参'!$AM$33,0)),0),0)),"队列待修正"))</x:f>
        <x:v>0</x:v>
      </x:c>
      <x:c r="X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U$7,"—",SUM(IF($A14&gt;=2,(C14+$C$3)*MAX(0,IF('01_数值调参'!$N$7&lt;=$A14,-'01_数值调参'!$N$34,0),IF('01_数值调参'!$O$7&lt;=$A14,-'01_数值调参'!$O$34,0),IF('01_数值调参'!$P$7&lt;=$A14,-'01_数值调参'!$P$34,0),IF('01_数值调参'!$Q$7&lt;=$A14,-'01_数值调参'!$Q$34,0),IF('01_数值调参'!$R$7&lt;=$A14,-'01_数值调参'!$R$34,0)),0),IF($A14&gt;=4,(D14+$C$3)*MAX(0,IF('01_数值调参'!$S$7&lt;=$A14,-'01_数值调参'!$S$34,0),IF('01_数值调参'!$T$7&lt;=$A14,-'01_数值调参'!$T$34,0),IF('01_数值调参'!$U$7&lt;=$A14,0,0),IF('01_数值调参'!$V$7&lt;=$A14,-'01_数值调参'!$V$34,0),IF('01_数值调参'!$W$7&lt;=$A14,-'01_数值调参'!$W$34,0)),0),IF($A14&gt;=6,(E14+$C$3)*MAX(0,IF('01_数值调参'!$X$7&lt;=$A14,-'01_数值调参'!$X$34,0),IF('01_数值调参'!$Y$7&lt;=$A14,-'01_数值调参'!$Y$34,0),IF('01_数值调参'!$Z$7&lt;=$A14,-'01_数值调参'!$Z$34,0),IF('01_数值调参'!$AA$7&lt;=$A14,-'01_数值调参'!$AA$34,0),IF('01_数值调参'!$AB$7&lt;=$A14,-'01_数值调参'!$AB$34,0),IF('01_数值调参'!$AC$7&lt;=$A14,-'01_数值调参'!$AC$34,0)),0),IF($A14&gt;=8,(F14+$C$3)*MAX(0,IF('01_数值调参'!$AD$7&lt;=$A14,-'01_数值调参'!$AD$34,0),IF('01_数值调参'!$AE$7&lt;=$A14,-'01_数值调参'!$AE$34,0),IF('01_数值调参'!$AF$7&lt;=$A14,-'01_数值调参'!$AF$34,0),IF('01_数值调参'!$AG$7&lt;=$A14,-'01_数值调参'!$AG$34,0)),0),IF($A14&gt;=10,(G14+$C$3)*MAX(0,IF('01_数值调参'!$AH$7&lt;=$A14,-'01_数值调参'!$AH$34,0),IF('01_数值调参'!$AI$7&lt;=$A14,-'01_数值调参'!$AI$34,0),IF('01_数值调参'!$AJ$7&lt;=$A14,-'01_数值调参'!$AJ$34,0),IF('01_数值调参'!$AK$7&lt;=$A14,-'01_数值调参'!$AK$34,0),IF('01_数值调参'!$AL$7&lt;=$A14,-'01_数值调参'!$AL$34,0),IF('01_数值调参'!$AM$7&lt;=$A14,-'01_数值调参'!$AM$34,0)),0),0)),"队列待修正"))</x:f>
        <x:v>—</x:v>
      </x:c>
      <x:c r="Y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V$7,"—",SUM(IF($A14&gt;=2,(C14+$C$3)*MAX(0,IF('01_数值调参'!$N$7&lt;=$A14,-'01_数值调参'!$N$35,0),IF('01_数值调参'!$O$7&lt;=$A14,-'01_数值调参'!$O$35,0),IF('01_数值调参'!$P$7&lt;=$A14,-'01_数值调参'!$P$35,0),IF('01_数值调参'!$Q$7&lt;=$A14,-'01_数值调参'!$Q$35,0),IF('01_数值调参'!$R$7&lt;=$A14,-'01_数值调参'!$R$35,0)),0),IF($A14&gt;=4,(D14+$C$3)*MAX(0,IF('01_数值调参'!$S$7&lt;=$A14,-'01_数值调参'!$S$35,0),IF('01_数值调参'!$T$7&lt;=$A14,-'01_数值调参'!$T$35,0),IF('01_数值调参'!$U$7&lt;=$A14,-'01_数值调参'!$U$35,0),IF('01_数值调参'!$V$7&lt;=$A14,0,0),IF('01_数值调参'!$W$7&lt;=$A14,-'01_数值调参'!$W$35,0)),0),IF($A14&gt;=6,(E14+$C$3)*MAX(0,IF('01_数值调参'!$X$7&lt;=$A14,-'01_数值调参'!$X$35,0),IF('01_数值调参'!$Y$7&lt;=$A14,-'01_数值调参'!$Y$35,0),IF('01_数值调参'!$Z$7&lt;=$A14,-'01_数值调参'!$Z$35,0),IF('01_数值调参'!$AA$7&lt;=$A14,-'01_数值调参'!$AA$35,0),IF('01_数值调参'!$AB$7&lt;=$A14,-'01_数值调参'!$AB$35,0),IF('01_数值调参'!$AC$7&lt;=$A14,-'01_数值调参'!$AC$35,0)),0),IF($A14&gt;=8,(F14+$C$3)*MAX(0,IF('01_数值调参'!$AD$7&lt;=$A14,-'01_数值调参'!$AD$35,0),IF('01_数值调参'!$AE$7&lt;=$A14,-'01_数值调参'!$AE$35,0),IF('01_数值调参'!$AF$7&lt;=$A14,-'01_数值调参'!$AF$35,0),IF('01_数值调参'!$AG$7&lt;=$A14,-'01_数值调参'!$AG$35,0)),0),IF($A14&gt;=10,(G14+$C$3)*MAX(0,IF('01_数值调参'!$AH$7&lt;=$A14,-'01_数值调参'!$AH$35,0),IF('01_数值调参'!$AI$7&lt;=$A14,-'01_数值调参'!$AI$35,0),IF('01_数值调参'!$AJ$7&lt;=$A14,-'01_数值调参'!$AJ$35,0),IF('01_数值调参'!$AK$7&lt;=$A14,-'01_数值调参'!$AK$35,0),IF('01_数值调参'!$AL$7&lt;=$A14,-'01_数值调参'!$AL$35,0),IF('01_数值调参'!$AM$7&lt;=$A14,-'01_数值调参'!$AM$35,0)),0),0)),"队列待修正"))</x:f>
        <x:v>—</x:v>
      </x:c>
      <x:c r="Z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W$7,"—",SUM(IF($A14&gt;=2,(C14+$C$3)*MAX(0,IF('01_数值调参'!$N$7&lt;=$A14,-'01_数值调参'!$N$36,0),IF('01_数值调参'!$O$7&lt;=$A14,-'01_数值调参'!$O$36,0),IF('01_数值调参'!$P$7&lt;=$A14,-'01_数值调参'!$P$36,0),IF('01_数值调参'!$Q$7&lt;=$A14,-'01_数值调参'!$Q$36,0),IF('01_数值调参'!$R$7&lt;=$A14,-'01_数值调参'!$R$36,0)),0),IF($A14&gt;=4,(D14+$C$3)*MAX(0,IF('01_数值调参'!$S$7&lt;=$A14,-'01_数值调参'!$S$36,0),IF('01_数值调参'!$T$7&lt;=$A14,-'01_数值调参'!$T$36,0),IF('01_数值调参'!$U$7&lt;=$A14,-'01_数值调参'!$U$36,0),IF('01_数值调参'!$V$7&lt;=$A14,-'01_数值调参'!$V$36,0),IF('01_数值调参'!$W$7&lt;=$A14,0,0)),0),IF($A14&gt;=6,(E14+$C$3)*MAX(0,IF('01_数值调参'!$X$7&lt;=$A14,-'01_数值调参'!$X$36,0),IF('01_数值调参'!$Y$7&lt;=$A14,-'01_数值调参'!$Y$36,0),IF('01_数值调参'!$Z$7&lt;=$A14,-'01_数值调参'!$Z$36,0),IF('01_数值调参'!$AA$7&lt;=$A14,-'01_数值调参'!$AA$36,0),IF('01_数值调参'!$AB$7&lt;=$A14,-'01_数值调参'!$AB$36,0),IF('01_数值调参'!$AC$7&lt;=$A14,-'01_数值调参'!$AC$36,0)),0),IF($A14&gt;=8,(F14+$C$3)*MAX(0,IF('01_数值调参'!$AD$7&lt;=$A14,-'01_数值调参'!$AD$36,0),IF('01_数值调参'!$AE$7&lt;=$A14,-'01_数值调参'!$AE$36,0),IF('01_数值调参'!$AF$7&lt;=$A14,-'01_数值调参'!$AF$36,0),IF('01_数值调参'!$AG$7&lt;=$A14,-'01_数值调参'!$AG$36,0)),0),IF($A14&gt;=10,(G14+$C$3)*MAX(0,IF('01_数值调参'!$AH$7&lt;=$A14,-'01_数值调参'!$AH$36,0),IF('01_数值调参'!$AI$7&lt;=$A14,-'01_数值调参'!$AI$36,0),IF('01_数值调参'!$AJ$7&lt;=$A14,-'01_数值调参'!$AJ$36,0),IF('01_数值调参'!$AK$7&lt;=$A14,-'01_数值调参'!$AK$36,0),IF('01_数值调参'!$AL$7&lt;=$A14,-'01_数值调参'!$AL$36,0),IF('01_数值调参'!$AM$7&lt;=$A14,-'01_数值调参'!$AM$36,0)),0),0)),"队列待修正"))</x:f>
        <x:v>—</x:v>
      </x:c>
      <x:c r="AA14" s="191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X$7,"—",SUM(IF($A14&gt;=2,(C14+$C$3)*MAX(0,IF('01_数值调参'!$N$7&lt;=$A14,-'01_数值调参'!$N$37,0),IF('01_数值调参'!$O$7&lt;=$A14,-'01_数值调参'!$O$37,0),IF('01_数值调参'!$P$7&lt;=$A14,-'01_数值调参'!$P$37,0),IF('01_数值调参'!$Q$7&lt;=$A14,-'01_数值调参'!$Q$37,0),IF('01_数值调参'!$R$7&lt;=$A14,-'01_数值调参'!$R$37,0)),0),IF($A14&gt;=4,(D14+$C$3)*MAX(0,IF('01_数值调参'!$S$7&lt;=$A14,-'01_数值调参'!$S$37,0),IF('01_数值调参'!$T$7&lt;=$A14,-'01_数值调参'!$T$37,0),IF('01_数值调参'!$U$7&lt;=$A14,-'01_数值调参'!$U$37,0),IF('01_数值调参'!$V$7&lt;=$A14,-'01_数值调参'!$V$37,0),IF('01_数值调参'!$W$7&lt;=$A14,-'01_数值调参'!$W$37,0)),0),IF($A14&gt;=6,(E14+$C$3)*MAX(0,IF('01_数值调参'!$X$7&lt;=$A14,0,0),IF('01_数值调参'!$Y$7&lt;=$A14,-'01_数值调参'!$Y$37,0),IF('01_数值调参'!$Z$7&lt;=$A14,-'01_数值调参'!$Z$37,0),IF('01_数值调参'!$AA$7&lt;=$A14,-'01_数值调参'!$AA$37,0),IF('01_数值调参'!$AB$7&lt;=$A14,-'01_数值调参'!$AB$37,0),IF('01_数值调参'!$AC$7&lt;=$A14,-'01_数值调参'!$AC$37,0)),0),IF($A14&gt;=8,(F14+$C$3)*MAX(0,IF('01_数值调参'!$AD$7&lt;=$A14,-'01_数值调参'!$AD$37,0),IF('01_数值调参'!$AE$7&lt;=$A14,-'01_数值调参'!$AE$37,0),IF('01_数值调参'!$AF$7&lt;=$A14,-'01_数值调参'!$AF$37,0),IF('01_数值调参'!$AG$7&lt;=$A14,-'01_数值调参'!$AG$37,0)),0),IF($A14&gt;=10,(G14+$C$3)*MAX(0,IF('01_数值调参'!$AH$7&lt;=$A14,-'01_数值调参'!$AH$37,0),IF('01_数值调参'!$AI$7&lt;=$A14,-'01_数值调参'!$AI$37,0),IF('01_数值调参'!$AJ$7&lt;=$A14,-'01_数值调参'!$AJ$37,0),IF('01_数值调参'!$AK$7&lt;=$A14,-'01_数值调参'!$AK$37,0),IF('01_数值调参'!$AL$7&lt;=$A14,-'01_数值调参'!$AL$37,0),IF('01_数值调参'!$AM$7&lt;=$A14,-'01_数值调参'!$AM$37,0)),0),0)),"队列待修正"))</x:f>
        <x:v>0</x:v>
      </x:c>
      <x:c r="AB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Y$7,"—",SUM(IF($A14&gt;=2,(C14+$C$3)*MAX(0,IF('01_数值调参'!$N$7&lt;=$A14,-'01_数值调参'!$N$38,0),IF('01_数值调参'!$O$7&lt;=$A14,-'01_数值调参'!$O$38,0),IF('01_数值调参'!$P$7&lt;=$A14,-'01_数值调参'!$P$38,0),IF('01_数值调参'!$Q$7&lt;=$A14,-'01_数值调参'!$Q$38,0),IF('01_数值调参'!$R$7&lt;=$A14,-'01_数值调参'!$R$38,0)),0),IF($A14&gt;=4,(D14+$C$3)*MAX(0,IF('01_数值调参'!$S$7&lt;=$A14,-'01_数值调参'!$S$38,0),IF('01_数值调参'!$T$7&lt;=$A14,-'01_数值调参'!$T$38,0),IF('01_数值调参'!$U$7&lt;=$A14,-'01_数值调参'!$U$38,0),IF('01_数值调参'!$V$7&lt;=$A14,-'01_数值调参'!$V$38,0),IF('01_数值调参'!$W$7&lt;=$A14,-'01_数值调参'!$W$38,0)),0),IF($A14&gt;=6,(E14+$C$3)*MAX(0,IF('01_数值调参'!$X$7&lt;=$A14,-'01_数值调参'!$X$38,0),IF('01_数值调参'!$Y$7&lt;=$A14,0,0),IF('01_数值调参'!$Z$7&lt;=$A14,-'01_数值调参'!$Z$38,0),IF('01_数值调参'!$AA$7&lt;=$A14,-'01_数值调参'!$AA$38,0),IF('01_数值调参'!$AB$7&lt;=$A14,-'01_数值调参'!$AB$38,0),IF('01_数值调参'!$AC$7&lt;=$A14,-'01_数值调参'!$AC$38,0)),0),IF($A14&gt;=8,(F14+$C$3)*MAX(0,IF('01_数值调参'!$AD$7&lt;=$A14,-'01_数值调参'!$AD$38,0),IF('01_数值调参'!$AE$7&lt;=$A14,-'01_数值调参'!$AE$38,0),IF('01_数值调参'!$AF$7&lt;=$A14,-'01_数值调参'!$AF$38,0),IF('01_数值调参'!$AG$7&lt;=$A14,-'01_数值调参'!$AG$38,0)),0),IF($A14&gt;=10,(G14+$C$3)*MAX(0,IF('01_数值调参'!$AH$7&lt;=$A14,-'01_数值调参'!$AH$38,0),IF('01_数值调参'!$AI$7&lt;=$A14,-'01_数值调参'!$AI$38,0),IF('01_数值调参'!$AJ$7&lt;=$A14,-'01_数值调参'!$AJ$38,0),IF('01_数值调参'!$AK$7&lt;=$A14,-'01_数值调参'!$AK$38,0),IF('01_数值调参'!$AL$7&lt;=$A14,-'01_数值调参'!$AL$38,0),IF('01_数值调参'!$AM$7&lt;=$A14,-'01_数值调参'!$AM$38,0)),0),0)),"队列待修正"))</x:f>
        <x:v>—</x:v>
      </x:c>
      <x:c r="AC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Z$7,"—",SUM(IF($A14&gt;=2,(C14+$C$3)*MAX(0,IF('01_数值调参'!$N$7&lt;=$A14,-'01_数值调参'!$N$39,0),IF('01_数值调参'!$O$7&lt;=$A14,-'01_数值调参'!$O$39,0),IF('01_数值调参'!$P$7&lt;=$A14,-'01_数值调参'!$P$39,0),IF('01_数值调参'!$Q$7&lt;=$A14,-'01_数值调参'!$Q$39,0),IF('01_数值调参'!$R$7&lt;=$A14,-'01_数值调参'!$R$39,0)),0),IF($A14&gt;=4,(D14+$C$3)*MAX(0,IF('01_数值调参'!$S$7&lt;=$A14,-'01_数值调参'!$S$39,0),IF('01_数值调参'!$T$7&lt;=$A14,-'01_数值调参'!$T$39,0),IF('01_数值调参'!$U$7&lt;=$A14,-'01_数值调参'!$U$39,0),IF('01_数值调参'!$V$7&lt;=$A14,-'01_数值调参'!$V$39,0),IF('01_数值调参'!$W$7&lt;=$A14,-'01_数值调参'!$W$39,0)),0),IF($A14&gt;=6,(E14+$C$3)*MAX(0,IF('01_数值调参'!$X$7&lt;=$A14,-'01_数值调参'!$X$39,0),IF('01_数值调参'!$Y$7&lt;=$A14,-'01_数值调参'!$Y$39,0),IF('01_数值调参'!$Z$7&lt;=$A14,0,0),IF('01_数值调参'!$AA$7&lt;=$A14,-'01_数值调参'!$AA$39,0),IF('01_数值调参'!$AB$7&lt;=$A14,-'01_数值调参'!$AB$39,0),IF('01_数值调参'!$AC$7&lt;=$A14,-'01_数值调参'!$AC$39,0)),0),IF($A14&gt;=8,(F14+$C$3)*MAX(0,IF('01_数值调参'!$AD$7&lt;=$A14,-'01_数值调参'!$AD$39,0),IF('01_数值调参'!$AE$7&lt;=$A14,-'01_数值调参'!$AE$39,0),IF('01_数值调参'!$AF$7&lt;=$A14,-'01_数值调参'!$AF$39,0),IF('01_数值调参'!$AG$7&lt;=$A14,-'01_数值调参'!$AG$39,0)),0),IF($A14&gt;=10,(G14+$C$3)*MAX(0,IF('01_数值调参'!$AH$7&lt;=$A14,-'01_数值调参'!$AH$39,0),IF('01_数值调参'!$AI$7&lt;=$A14,-'01_数值调参'!$AI$39,0),IF('01_数值调参'!$AJ$7&lt;=$A14,-'01_数值调参'!$AJ$39,0),IF('01_数值调参'!$AK$7&lt;=$A14,-'01_数值调参'!$AK$39,0),IF('01_数值调参'!$AL$7&lt;=$A14,-'01_数值调参'!$AL$39,0),IF('01_数值调参'!$AM$7&lt;=$A14,-'01_数值调参'!$AM$39,0)),0),0)),"队列待修正"))</x:f>
        <x:v>—</x:v>
      </x:c>
      <x:c r="AD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A$7,"—",SUM(IF($A14&gt;=2,(C14+$C$3)*MAX(0,IF('01_数值调参'!$N$7&lt;=$A14,-'01_数值调参'!$N$40,0),IF('01_数值调参'!$O$7&lt;=$A14,-'01_数值调参'!$O$40,0),IF('01_数值调参'!$P$7&lt;=$A14,-'01_数值调参'!$P$40,0),IF('01_数值调参'!$Q$7&lt;=$A14,-'01_数值调参'!$Q$40,0),IF('01_数值调参'!$R$7&lt;=$A14,-'01_数值调参'!$R$40,0)),0),IF($A14&gt;=4,(D14+$C$3)*MAX(0,IF('01_数值调参'!$S$7&lt;=$A14,-'01_数值调参'!$S$40,0),IF('01_数值调参'!$T$7&lt;=$A14,-'01_数值调参'!$T$40,0),IF('01_数值调参'!$U$7&lt;=$A14,-'01_数值调参'!$U$40,0),IF('01_数值调参'!$V$7&lt;=$A14,-'01_数值调参'!$V$40,0),IF('01_数值调参'!$W$7&lt;=$A14,-'01_数值调参'!$W$40,0)),0),IF($A14&gt;=6,(E14+$C$3)*MAX(0,IF('01_数值调参'!$X$7&lt;=$A14,-'01_数值调参'!$X$40,0),IF('01_数值调参'!$Y$7&lt;=$A14,-'01_数值调参'!$Y$40,0),IF('01_数值调参'!$Z$7&lt;=$A14,-'01_数值调参'!$Z$40,0),IF('01_数值调参'!$AA$7&lt;=$A14,0,0),IF('01_数值调参'!$AB$7&lt;=$A14,-'01_数值调参'!$AB$40,0),IF('01_数值调参'!$AC$7&lt;=$A14,-'01_数值调参'!$AC$40,0)),0),IF($A14&gt;=8,(F14+$C$3)*MAX(0,IF('01_数值调参'!$AD$7&lt;=$A14,-'01_数值调参'!$AD$40,0),IF('01_数值调参'!$AE$7&lt;=$A14,-'01_数值调参'!$AE$40,0),IF('01_数值调参'!$AF$7&lt;=$A14,-'01_数值调参'!$AF$40,0),IF('01_数值调参'!$AG$7&lt;=$A14,-'01_数值调参'!$AG$40,0)),0),IF($A14&gt;=10,(G14+$C$3)*MAX(0,IF('01_数值调参'!$AH$7&lt;=$A14,-'01_数值调参'!$AH$40,0),IF('01_数值调参'!$AI$7&lt;=$A14,-'01_数值调参'!$AI$40,0),IF('01_数值调参'!$AJ$7&lt;=$A14,-'01_数值调参'!$AJ$40,0),IF('01_数值调参'!$AK$7&lt;=$A14,-'01_数值调参'!$AK$40,0),IF('01_数值调参'!$AL$7&lt;=$A14,-'01_数值调参'!$AL$40,0),IF('01_数值调参'!$AM$7&lt;=$A14,-'01_数值调参'!$AM$40,0)),0),0)),"队列待修正"))</x:f>
        <x:v>—</x:v>
      </x:c>
      <x:c r="AE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B$7,"—",SUM(IF($A14&gt;=2,(C14+$C$3)*MAX(0,IF('01_数值调参'!$N$7&lt;=$A14,-'01_数值调参'!$N$41,0),IF('01_数值调参'!$O$7&lt;=$A14,-'01_数值调参'!$O$41,0),IF('01_数值调参'!$P$7&lt;=$A14,-'01_数值调参'!$P$41,0),IF('01_数值调参'!$Q$7&lt;=$A14,-'01_数值调参'!$Q$41,0),IF('01_数值调参'!$R$7&lt;=$A14,-'01_数值调参'!$R$41,0)),0),IF($A14&gt;=4,(D14+$C$3)*MAX(0,IF('01_数值调参'!$S$7&lt;=$A14,-'01_数值调参'!$S$41,0),IF('01_数值调参'!$T$7&lt;=$A14,-'01_数值调参'!$T$41,0),IF('01_数值调参'!$U$7&lt;=$A14,-'01_数值调参'!$U$41,0),IF('01_数值调参'!$V$7&lt;=$A14,-'01_数值调参'!$V$41,0),IF('01_数值调参'!$W$7&lt;=$A14,-'01_数值调参'!$W$41,0)),0),IF($A14&gt;=6,(E14+$C$3)*MAX(0,IF('01_数值调参'!$X$7&lt;=$A14,-'01_数值调参'!$X$41,0),IF('01_数值调参'!$Y$7&lt;=$A14,-'01_数值调参'!$Y$41,0),IF('01_数值调参'!$Z$7&lt;=$A14,-'01_数值调参'!$Z$41,0),IF('01_数值调参'!$AA$7&lt;=$A14,-'01_数值调参'!$AA$41,0),IF('01_数值调参'!$AB$7&lt;=$A14,0,0),IF('01_数值调参'!$AC$7&lt;=$A14,-'01_数值调参'!$AC$41,0)),0),IF($A14&gt;=8,(F14+$C$3)*MAX(0,IF('01_数值调参'!$AD$7&lt;=$A14,-'01_数值调参'!$AD$41,0),IF('01_数值调参'!$AE$7&lt;=$A14,-'01_数值调参'!$AE$41,0),IF('01_数值调参'!$AF$7&lt;=$A14,-'01_数值调参'!$AF$41,0),IF('01_数值调参'!$AG$7&lt;=$A14,-'01_数值调参'!$AG$41,0)),0),IF($A14&gt;=10,(G14+$C$3)*MAX(0,IF('01_数值调参'!$AH$7&lt;=$A14,-'01_数值调参'!$AH$41,0),IF('01_数值调参'!$AI$7&lt;=$A14,-'01_数值调参'!$AI$41,0),IF('01_数值调参'!$AJ$7&lt;=$A14,-'01_数值调参'!$AJ$41,0),IF('01_数值调参'!$AK$7&lt;=$A14,-'01_数值调参'!$AK$41,0),IF('01_数值调参'!$AL$7&lt;=$A14,-'01_数值调参'!$AL$41,0),IF('01_数值调参'!$AM$7&lt;=$A14,-'01_数值调参'!$AM$41,0)),0),0)),"队列待修正"))</x:f>
        <x:v>—</x:v>
      </x:c>
      <x:c r="AF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C$7,"—",SUM(IF($A14&gt;=2,(C14+$C$3)*MAX(0,IF('01_数值调参'!$N$7&lt;=$A14,-'01_数值调参'!$N$42,0),IF('01_数值调参'!$O$7&lt;=$A14,-'01_数值调参'!$O$42,0),IF('01_数值调参'!$P$7&lt;=$A14,-'01_数值调参'!$P$42,0),IF('01_数值调参'!$Q$7&lt;=$A14,-'01_数值调参'!$Q$42,0),IF('01_数值调参'!$R$7&lt;=$A14,-'01_数值调参'!$R$42,0)),0),IF($A14&gt;=4,(D14+$C$3)*MAX(0,IF('01_数值调参'!$S$7&lt;=$A14,-'01_数值调参'!$S$42,0),IF('01_数值调参'!$T$7&lt;=$A14,-'01_数值调参'!$T$42,0),IF('01_数值调参'!$U$7&lt;=$A14,-'01_数值调参'!$U$42,0),IF('01_数值调参'!$V$7&lt;=$A14,-'01_数值调参'!$V$42,0),IF('01_数值调参'!$W$7&lt;=$A14,-'01_数值调参'!$W$42,0)),0),IF($A14&gt;=6,(E14+$C$3)*MAX(0,IF('01_数值调参'!$X$7&lt;=$A14,-'01_数值调参'!$X$42,0),IF('01_数值调参'!$Y$7&lt;=$A14,-'01_数值调参'!$Y$42,0),IF('01_数值调参'!$Z$7&lt;=$A14,-'01_数值调参'!$Z$42,0),IF('01_数值调参'!$AA$7&lt;=$A14,-'01_数值调参'!$AA$42,0),IF('01_数值调参'!$AB$7&lt;=$A14,-'01_数值调参'!$AB$42,0),IF('01_数值调参'!$AC$7&lt;=$A14,0,0)),0),IF($A14&gt;=8,(F14+$C$3)*MAX(0,IF('01_数值调参'!$AD$7&lt;=$A14,-'01_数值调参'!$AD$42,0),IF('01_数值调参'!$AE$7&lt;=$A14,-'01_数值调参'!$AE$42,0),IF('01_数值调参'!$AF$7&lt;=$A14,-'01_数值调参'!$AF$42,0),IF('01_数值调参'!$AG$7&lt;=$A14,-'01_数值调参'!$AG$42,0)),0),IF($A14&gt;=10,(G14+$C$3)*MAX(0,IF('01_数值调参'!$AH$7&lt;=$A14,-'01_数值调参'!$AH$42,0),IF('01_数值调参'!$AI$7&lt;=$A14,-'01_数值调参'!$AI$42,0),IF('01_数值调参'!$AJ$7&lt;=$A14,-'01_数值调参'!$AJ$42,0),IF('01_数值调参'!$AK$7&lt;=$A14,-'01_数值调参'!$AK$42,0),IF('01_数值调参'!$AL$7&lt;=$A14,-'01_数值调参'!$AL$42,0),IF('01_数值调参'!$AM$7&lt;=$A14,-'01_数值调参'!$AM$42,0)),0),0)),"队列待修正"))</x:f>
        <x:v>—</x:v>
      </x:c>
      <x:c r="AG14" s="191" t="n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D$7,"—",SUM(IF($A14&gt;=2,(C14+$C$3)*MAX(0,IF('01_数值调参'!$N$7&lt;=$A14,-'01_数值调参'!$N$43,0),IF('01_数值调参'!$O$7&lt;=$A14,-'01_数值调参'!$O$43,0),IF('01_数值调参'!$P$7&lt;=$A14,-'01_数值调参'!$P$43,0),IF('01_数值调参'!$Q$7&lt;=$A14,-'01_数值调参'!$Q$43,0),IF('01_数值调参'!$R$7&lt;=$A14,-'01_数值调参'!$R$43,0)),0),IF($A14&gt;=4,(D14+$C$3)*MAX(0,IF('01_数值调参'!$S$7&lt;=$A14,-'01_数值调参'!$S$43,0),IF('01_数值调参'!$T$7&lt;=$A14,-'01_数值调参'!$T$43,0),IF('01_数值调参'!$U$7&lt;=$A14,-'01_数值调参'!$U$43,0),IF('01_数值调参'!$V$7&lt;=$A14,-'01_数值调参'!$V$43,0),IF('01_数值调参'!$W$7&lt;=$A14,-'01_数值调参'!$W$43,0)),0),IF($A14&gt;=6,(E14+$C$3)*MAX(0,IF('01_数值调参'!$X$7&lt;=$A14,-'01_数值调参'!$X$43,0),IF('01_数值调参'!$Y$7&lt;=$A14,-'01_数值调参'!$Y$43,0),IF('01_数值调参'!$Z$7&lt;=$A14,-'01_数值调参'!$Z$43,0),IF('01_数值调参'!$AA$7&lt;=$A14,-'01_数值调参'!$AA$43,0),IF('01_数值调参'!$AB$7&lt;=$A14,-'01_数值调参'!$AB$43,0),IF('01_数值调参'!$AC$7&lt;=$A14,-'01_数值调参'!$AC$43,0)),0),IF($A14&gt;=8,(F14+$C$3)*MAX(0,IF('01_数值调参'!$AD$7&lt;=$A14,0,0),IF('01_数值调参'!$AE$7&lt;=$A14,-'01_数值调参'!$AE$43,0),IF('01_数值调参'!$AF$7&lt;=$A14,-'01_数值调参'!$AF$43,0),IF('01_数值调参'!$AG$7&lt;=$A14,-'01_数值调参'!$AG$43,0)),0),IF($A14&gt;=10,(G14+$C$3)*MAX(0,IF('01_数值调参'!$AH$7&lt;=$A14,-'01_数值调参'!$AH$43,0),IF('01_数值调参'!$AI$7&lt;=$A14,-'01_数值调参'!$AI$43,0),IF('01_数值调参'!$AJ$7&lt;=$A14,-'01_数值调参'!$AJ$43,0),IF('01_数值调参'!$AK$7&lt;=$A14,-'01_数值调参'!$AK$43,0),IF('01_数值调参'!$AL$7&lt;=$A14,-'01_数值调参'!$AL$43,0),IF('01_数值调参'!$AM$7&lt;=$A14,-'01_数值调参'!$AM$43,0)),0),0)),"队列待修正"))</x:f>
        <x:v>0</x:v>
      </x:c>
      <x:c r="AH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E$7,"—",SUM(IF($A14&gt;=2,(C14+$C$3)*MAX(0,IF('01_数值调参'!$N$7&lt;=$A14,-'01_数值调参'!$N$44,0),IF('01_数值调参'!$O$7&lt;=$A14,-'01_数值调参'!$O$44,0),IF('01_数值调参'!$P$7&lt;=$A14,-'01_数值调参'!$P$44,0),IF('01_数值调参'!$Q$7&lt;=$A14,-'01_数值调参'!$Q$44,0),IF('01_数值调参'!$R$7&lt;=$A14,-'01_数值调参'!$R$44,0)),0),IF($A14&gt;=4,(D14+$C$3)*MAX(0,IF('01_数值调参'!$S$7&lt;=$A14,-'01_数值调参'!$S$44,0),IF('01_数值调参'!$T$7&lt;=$A14,-'01_数值调参'!$T$44,0),IF('01_数值调参'!$U$7&lt;=$A14,-'01_数值调参'!$U$44,0),IF('01_数值调参'!$V$7&lt;=$A14,-'01_数值调参'!$V$44,0),IF('01_数值调参'!$W$7&lt;=$A14,-'01_数值调参'!$W$44,0)),0),IF($A14&gt;=6,(E14+$C$3)*MAX(0,IF('01_数值调参'!$X$7&lt;=$A14,-'01_数值调参'!$X$44,0),IF('01_数值调参'!$Y$7&lt;=$A14,-'01_数值调参'!$Y$44,0),IF('01_数值调参'!$Z$7&lt;=$A14,-'01_数值调参'!$Z$44,0),IF('01_数值调参'!$AA$7&lt;=$A14,-'01_数值调参'!$AA$44,0),IF('01_数值调参'!$AB$7&lt;=$A14,-'01_数值调参'!$AB$44,0),IF('01_数值调参'!$AC$7&lt;=$A14,-'01_数值调参'!$AC$44,0)),0),IF($A14&gt;=8,(F14+$C$3)*MAX(0,IF('01_数值调参'!$AD$7&lt;=$A14,-'01_数值调参'!$AD$44,0),IF('01_数值调参'!$AE$7&lt;=$A14,0,0),IF('01_数值调参'!$AF$7&lt;=$A14,-'01_数值调参'!$AF$44,0),IF('01_数值调参'!$AG$7&lt;=$A14,-'01_数值调参'!$AG$44,0)),0),IF($A14&gt;=10,(G14+$C$3)*MAX(0,IF('01_数值调参'!$AH$7&lt;=$A14,-'01_数值调参'!$AH$44,0),IF('01_数值调参'!$AI$7&lt;=$A14,-'01_数值调参'!$AI$44,0),IF('01_数值调参'!$AJ$7&lt;=$A14,-'01_数值调参'!$AJ$44,0),IF('01_数值调参'!$AK$7&lt;=$A14,-'01_数值调参'!$AK$44,0),IF('01_数值调参'!$AL$7&lt;=$A14,-'01_数值调参'!$AL$44,0),IF('01_数值调参'!$AM$7&lt;=$A14,-'01_数值调参'!$AM$44,0)),0),0)),"队列待修正"))</x:f>
        <x:v>—</x:v>
      </x:c>
      <x:c r="AI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F$7,"—",SUM(IF($A14&gt;=2,(C14+$C$3)*MAX(0,IF('01_数值调参'!$N$7&lt;=$A14,-'01_数值调参'!$N$45,0),IF('01_数值调参'!$O$7&lt;=$A14,-'01_数值调参'!$O$45,0),IF('01_数值调参'!$P$7&lt;=$A14,-'01_数值调参'!$P$45,0),IF('01_数值调参'!$Q$7&lt;=$A14,-'01_数值调参'!$Q$45,0),IF('01_数值调参'!$R$7&lt;=$A14,-'01_数值调参'!$R$45,0)),0),IF($A14&gt;=4,(D14+$C$3)*MAX(0,IF('01_数值调参'!$S$7&lt;=$A14,-'01_数值调参'!$S$45,0),IF('01_数值调参'!$T$7&lt;=$A14,-'01_数值调参'!$T$45,0),IF('01_数值调参'!$U$7&lt;=$A14,-'01_数值调参'!$U$45,0),IF('01_数值调参'!$V$7&lt;=$A14,-'01_数值调参'!$V$45,0),IF('01_数值调参'!$W$7&lt;=$A14,-'01_数值调参'!$W$45,0)),0),IF($A14&gt;=6,(E14+$C$3)*MAX(0,IF('01_数值调参'!$X$7&lt;=$A14,-'01_数值调参'!$X$45,0),IF('01_数值调参'!$Y$7&lt;=$A14,-'01_数值调参'!$Y$45,0),IF('01_数值调参'!$Z$7&lt;=$A14,-'01_数值调参'!$Z$45,0),IF('01_数值调参'!$AA$7&lt;=$A14,-'01_数值调参'!$AA$45,0),IF('01_数值调参'!$AB$7&lt;=$A14,-'01_数值调参'!$AB$45,0),IF('01_数值调参'!$AC$7&lt;=$A14,-'01_数值调参'!$AC$45,0)),0),IF($A14&gt;=8,(F14+$C$3)*MAX(0,IF('01_数值调参'!$AD$7&lt;=$A14,-'01_数值调参'!$AD$45,0),IF('01_数值调参'!$AE$7&lt;=$A14,-'01_数值调参'!$AE$45,0),IF('01_数值调参'!$AF$7&lt;=$A14,0,0),IF('01_数值调参'!$AG$7&lt;=$A14,-'01_数值调参'!$AG$45,0)),0),IF($A14&gt;=10,(G14+$C$3)*MAX(0,IF('01_数值调参'!$AH$7&lt;=$A14,-'01_数值调参'!$AH$45,0),IF('01_数值调参'!$AI$7&lt;=$A14,-'01_数值调参'!$AI$45,0),IF('01_数值调参'!$AJ$7&lt;=$A14,-'01_数值调参'!$AJ$45,0),IF('01_数值调参'!$AK$7&lt;=$A14,-'01_数值调参'!$AK$45,0),IF('01_数值调参'!$AL$7&lt;=$A14,-'01_数值调参'!$AL$45,0),IF('01_数值调参'!$AM$7&lt;=$A14,-'01_数值调参'!$AM$45,0)),0),0)),"队列待修正"))</x:f>
        <x:v>—</x:v>
      </x:c>
      <x:c r="AJ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G$7,"—",SUM(IF($A14&gt;=2,(C14+$C$3)*MAX(0,IF('01_数值调参'!$N$7&lt;=$A14,-'01_数值调参'!$N$46,0),IF('01_数值调参'!$O$7&lt;=$A14,-'01_数值调参'!$O$46,0),IF('01_数值调参'!$P$7&lt;=$A14,-'01_数值调参'!$P$46,0),IF('01_数值调参'!$Q$7&lt;=$A14,-'01_数值调参'!$Q$46,0),IF('01_数值调参'!$R$7&lt;=$A14,-'01_数值调参'!$R$46,0)),0),IF($A14&gt;=4,(D14+$C$3)*MAX(0,IF('01_数值调参'!$S$7&lt;=$A14,-'01_数值调参'!$S$46,0),IF('01_数值调参'!$T$7&lt;=$A14,-'01_数值调参'!$T$46,0),IF('01_数值调参'!$U$7&lt;=$A14,-'01_数值调参'!$U$46,0),IF('01_数值调参'!$V$7&lt;=$A14,-'01_数值调参'!$V$46,0),IF('01_数值调参'!$W$7&lt;=$A14,-'01_数值调参'!$W$46,0)),0),IF($A14&gt;=6,(E14+$C$3)*MAX(0,IF('01_数值调参'!$X$7&lt;=$A14,-'01_数值调参'!$X$46,0),IF('01_数值调参'!$Y$7&lt;=$A14,-'01_数值调参'!$Y$46,0),IF('01_数值调参'!$Z$7&lt;=$A14,-'01_数值调参'!$Z$46,0),IF('01_数值调参'!$AA$7&lt;=$A14,-'01_数值调参'!$AA$46,0),IF('01_数值调参'!$AB$7&lt;=$A14,-'01_数值调参'!$AB$46,0),IF('01_数值调参'!$AC$7&lt;=$A14,-'01_数值调参'!$AC$46,0)),0),IF($A14&gt;=8,(F14+$C$3)*MAX(0,IF('01_数值调参'!$AD$7&lt;=$A14,-'01_数值调参'!$AD$46,0),IF('01_数值调参'!$AE$7&lt;=$A14,-'01_数值调参'!$AE$46,0),IF('01_数值调参'!$AF$7&lt;=$A14,-'01_数值调参'!$AF$46,0),IF('01_数值调参'!$AG$7&lt;=$A14,0,0)),0),IF($A14&gt;=10,(G14+$C$3)*MAX(0,IF('01_数值调参'!$AH$7&lt;=$A14,-'01_数值调参'!$AH$46,0),IF('01_数值调参'!$AI$7&lt;=$A14,-'01_数值调参'!$AI$46,0),IF('01_数值调参'!$AJ$7&lt;=$A14,-'01_数值调参'!$AJ$46,0),IF('01_数值调参'!$AK$7&lt;=$A14,-'01_数值调参'!$AK$46,0),IF('01_数值调参'!$AL$7&lt;=$A14,-'01_数值调参'!$AL$46,0),IF('01_数值调参'!$AM$7&lt;=$A14,-'01_数值调参'!$AM$46,0)),0),0)),"队列待修正"))</x:f>
        <x:v>—</x:v>
      </x:c>
      <x:c r="AK14" s="191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H$7,"—",SUM(IF($A14&gt;=2,(C14+$C$3)*MAX(0,IF('01_数值调参'!$N$7&lt;=$A14,-'01_数值调参'!$N$47,0),IF('01_数值调参'!$O$7&lt;=$A14,-'01_数值调参'!$O$47,0),IF('01_数值调参'!$P$7&lt;=$A14,-'01_数值调参'!$P$47,0),IF('01_数值调参'!$Q$7&lt;=$A14,-'01_数值调参'!$Q$47,0),IF('01_数值调参'!$R$7&lt;=$A14,-'01_数值调参'!$R$47,0)),0),IF($A14&gt;=4,(D14+$C$3)*MAX(0,IF('01_数值调参'!$S$7&lt;=$A14,-'01_数值调参'!$S$47,0),IF('01_数值调参'!$T$7&lt;=$A14,-'01_数值调参'!$T$47,0),IF('01_数值调参'!$U$7&lt;=$A14,-'01_数值调参'!$U$47,0),IF('01_数值调参'!$V$7&lt;=$A14,-'01_数值调参'!$V$47,0),IF('01_数值调参'!$W$7&lt;=$A14,-'01_数值调参'!$W$47,0)),0),IF($A14&gt;=6,(E14+$C$3)*MAX(0,IF('01_数值调参'!$X$7&lt;=$A14,-'01_数值调参'!$X$47,0),IF('01_数值调参'!$Y$7&lt;=$A14,-'01_数值调参'!$Y$47,0),IF('01_数值调参'!$Z$7&lt;=$A14,-'01_数值调参'!$Z$47,0),IF('01_数值调参'!$AA$7&lt;=$A14,-'01_数值调参'!$AA$47,0),IF('01_数值调参'!$AB$7&lt;=$A14,-'01_数值调参'!$AB$47,0),IF('01_数值调参'!$AC$7&lt;=$A14,-'01_数值调参'!$AC$47,0)),0),IF($A14&gt;=8,(F14+$C$3)*MAX(0,IF('01_数值调参'!$AD$7&lt;=$A14,-'01_数值调参'!$AD$47,0),IF('01_数值调参'!$AE$7&lt;=$A14,-'01_数值调参'!$AE$47,0),IF('01_数值调参'!$AF$7&lt;=$A14,-'01_数值调参'!$AF$47,0),IF('01_数值调参'!$AG$7&lt;=$A14,-'01_数值调参'!$AG$47,0)),0),IF($A14&gt;=10,(G14+$C$3)*MAX(0,IF('01_数值调参'!$AH$7&lt;=$A14,0,0),IF('01_数值调参'!$AI$7&lt;=$A14,-'01_数值调参'!$AI$47,0),IF('01_数值调参'!$AJ$7&lt;=$A14,-'01_数值调参'!$AJ$47,0),IF('01_数值调参'!$AK$7&lt;=$A14,-'01_数值调参'!$AK$47,0),IF('01_数值调参'!$AL$7&lt;=$A14,-'01_数值调参'!$AL$47,0),IF('01_数值调参'!$AM$7&lt;=$A14,-'01_数值调参'!$AM$47,0)),0),0)),"队列待修正"))</x:f>
        <x:v>—</x:v>
      </x:c>
      <x:c r="AL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I$7,"—",SUM(IF($A14&gt;=2,(C14+$C$3)*MAX(0,IF('01_数值调参'!$N$7&lt;=$A14,-'01_数值调参'!$N$48,0),IF('01_数值调参'!$O$7&lt;=$A14,-'01_数值调参'!$O$48,0),IF('01_数值调参'!$P$7&lt;=$A14,-'01_数值调参'!$P$48,0),IF('01_数值调参'!$Q$7&lt;=$A14,-'01_数值调参'!$Q$48,0),IF('01_数值调参'!$R$7&lt;=$A14,-'01_数值调参'!$R$48,0)),0),IF($A14&gt;=4,(D14+$C$3)*MAX(0,IF('01_数值调参'!$S$7&lt;=$A14,-'01_数值调参'!$S$48,0),IF('01_数值调参'!$T$7&lt;=$A14,-'01_数值调参'!$T$48,0),IF('01_数值调参'!$U$7&lt;=$A14,-'01_数值调参'!$U$48,0),IF('01_数值调参'!$V$7&lt;=$A14,-'01_数值调参'!$V$48,0),IF('01_数值调参'!$W$7&lt;=$A14,-'01_数值调参'!$W$48,0)),0),IF($A14&gt;=6,(E14+$C$3)*MAX(0,IF('01_数值调参'!$X$7&lt;=$A14,-'01_数值调参'!$X$48,0),IF('01_数值调参'!$Y$7&lt;=$A14,-'01_数值调参'!$Y$48,0),IF('01_数值调参'!$Z$7&lt;=$A14,-'01_数值调参'!$Z$48,0),IF('01_数值调参'!$AA$7&lt;=$A14,-'01_数值调参'!$AA$48,0),IF('01_数值调参'!$AB$7&lt;=$A14,-'01_数值调参'!$AB$48,0),IF('01_数值调参'!$AC$7&lt;=$A14,-'01_数值调参'!$AC$48,0)),0),IF($A14&gt;=8,(F14+$C$3)*MAX(0,IF('01_数值调参'!$AD$7&lt;=$A14,-'01_数值调参'!$AD$48,0),IF('01_数值调参'!$AE$7&lt;=$A14,-'01_数值调参'!$AE$48,0),IF('01_数值调参'!$AF$7&lt;=$A14,-'01_数值调参'!$AF$48,0),IF('01_数值调参'!$AG$7&lt;=$A14,-'01_数值调参'!$AG$48,0)),0),IF($A14&gt;=10,(G14+$C$3)*MAX(0,IF('01_数值调参'!$AH$7&lt;=$A14,-'01_数值调参'!$AH$48,0),IF('01_数值调参'!$AI$7&lt;=$A14,0,0),IF('01_数值调参'!$AJ$7&lt;=$A14,-'01_数值调参'!$AJ$48,0),IF('01_数值调参'!$AK$7&lt;=$A14,-'01_数值调参'!$AK$48,0),IF('01_数值调参'!$AL$7&lt;=$A14,-'01_数值调参'!$AL$48,0),IF('01_数值调参'!$AM$7&lt;=$A14,-'01_数值调参'!$AM$48,0)),0),0)),"队列待修正"))</x:f>
        <x:v>—</x:v>
      </x:c>
      <x:c r="AM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J$7,"—",SUM(IF($A14&gt;=2,(C14+$C$3)*MAX(0,IF('01_数值调参'!$N$7&lt;=$A14,-'01_数值调参'!$N$49,0),IF('01_数值调参'!$O$7&lt;=$A14,-'01_数值调参'!$O$49,0),IF('01_数值调参'!$P$7&lt;=$A14,-'01_数值调参'!$P$49,0),IF('01_数值调参'!$Q$7&lt;=$A14,-'01_数值调参'!$Q$49,0),IF('01_数值调参'!$R$7&lt;=$A14,-'01_数值调参'!$R$49,0)),0),IF($A14&gt;=4,(D14+$C$3)*MAX(0,IF('01_数值调参'!$S$7&lt;=$A14,-'01_数值调参'!$S$49,0),IF('01_数值调参'!$T$7&lt;=$A14,-'01_数值调参'!$T$49,0),IF('01_数值调参'!$U$7&lt;=$A14,-'01_数值调参'!$U$49,0),IF('01_数值调参'!$V$7&lt;=$A14,-'01_数值调参'!$V$49,0),IF('01_数值调参'!$W$7&lt;=$A14,-'01_数值调参'!$W$49,0)),0),IF($A14&gt;=6,(E14+$C$3)*MAX(0,IF('01_数值调参'!$X$7&lt;=$A14,-'01_数值调参'!$X$49,0),IF('01_数值调参'!$Y$7&lt;=$A14,-'01_数值调参'!$Y$49,0),IF('01_数值调参'!$Z$7&lt;=$A14,-'01_数值调参'!$Z$49,0),IF('01_数值调参'!$AA$7&lt;=$A14,-'01_数值调参'!$AA$49,0),IF('01_数值调参'!$AB$7&lt;=$A14,-'01_数值调参'!$AB$49,0),IF('01_数值调参'!$AC$7&lt;=$A14,-'01_数值调参'!$AC$49,0)),0),IF($A14&gt;=8,(F14+$C$3)*MAX(0,IF('01_数值调参'!$AD$7&lt;=$A14,-'01_数值调参'!$AD$49,0),IF('01_数值调参'!$AE$7&lt;=$A14,-'01_数值调参'!$AE$49,0),IF('01_数值调参'!$AF$7&lt;=$A14,-'01_数值调参'!$AF$49,0),IF('01_数值调参'!$AG$7&lt;=$A14,-'01_数值调参'!$AG$49,0)),0),IF($A14&gt;=10,(G14+$C$3)*MAX(0,IF('01_数值调参'!$AH$7&lt;=$A14,-'01_数值调参'!$AH$49,0),IF('01_数值调参'!$AI$7&lt;=$A14,-'01_数值调参'!$AI$49,0),IF('01_数值调参'!$AJ$7&lt;=$A14,0,0),IF('01_数值调参'!$AK$7&lt;=$A14,-'01_数值调参'!$AK$49,0),IF('01_数值调参'!$AL$7&lt;=$A14,-'01_数值调参'!$AL$49,0),IF('01_数值调参'!$AM$7&lt;=$A14,-'01_数值调参'!$AM$49,0)),0),0)),"队列待修正"))</x:f>
        <x:v>—</x:v>
      </x:c>
      <x:c r="AN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K$7,"—",SUM(IF($A14&gt;=2,(C14+$C$3)*MAX(0,IF('01_数值调参'!$N$7&lt;=$A14,-'01_数值调参'!$N$50,0),IF('01_数值调参'!$O$7&lt;=$A14,-'01_数值调参'!$O$50,0),IF('01_数值调参'!$P$7&lt;=$A14,-'01_数值调参'!$P$50,0),IF('01_数值调参'!$Q$7&lt;=$A14,-'01_数值调参'!$Q$50,0),IF('01_数值调参'!$R$7&lt;=$A14,-'01_数值调参'!$R$50,0)),0),IF($A14&gt;=4,(D14+$C$3)*MAX(0,IF('01_数值调参'!$S$7&lt;=$A14,-'01_数值调参'!$S$50,0),IF('01_数值调参'!$T$7&lt;=$A14,-'01_数值调参'!$T$50,0),IF('01_数值调参'!$U$7&lt;=$A14,-'01_数值调参'!$U$50,0),IF('01_数值调参'!$V$7&lt;=$A14,-'01_数值调参'!$V$50,0),IF('01_数值调参'!$W$7&lt;=$A14,-'01_数值调参'!$W$50,0)),0),IF($A14&gt;=6,(E14+$C$3)*MAX(0,IF('01_数值调参'!$X$7&lt;=$A14,-'01_数值调参'!$X$50,0),IF('01_数值调参'!$Y$7&lt;=$A14,-'01_数值调参'!$Y$50,0),IF('01_数值调参'!$Z$7&lt;=$A14,-'01_数值调参'!$Z$50,0),IF('01_数值调参'!$AA$7&lt;=$A14,-'01_数值调参'!$AA$50,0),IF('01_数值调参'!$AB$7&lt;=$A14,-'01_数值调参'!$AB$50,0),IF('01_数值调参'!$AC$7&lt;=$A14,-'01_数值调参'!$AC$50,0)),0),IF($A14&gt;=8,(F14+$C$3)*MAX(0,IF('01_数值调参'!$AD$7&lt;=$A14,-'01_数值调参'!$AD$50,0),IF('01_数值调参'!$AE$7&lt;=$A14,-'01_数值调参'!$AE$50,0),IF('01_数值调参'!$AF$7&lt;=$A14,-'01_数值调参'!$AF$50,0),IF('01_数值调参'!$AG$7&lt;=$A14,-'01_数值调参'!$AG$50,0)),0),IF($A14&gt;=10,(G14+$C$3)*MAX(0,IF('01_数值调参'!$AH$7&lt;=$A14,-'01_数值调参'!$AH$50,0),IF('01_数值调参'!$AI$7&lt;=$A14,-'01_数值调参'!$AI$50,0),IF('01_数值调参'!$AJ$7&lt;=$A14,-'01_数值调参'!$AJ$50,0),IF('01_数值调参'!$AK$7&lt;=$A14,0,0),IF('01_数值调参'!$AL$7&lt;=$A14,-'01_数值调参'!$AL$50,0),IF('01_数值调参'!$AM$7&lt;=$A14,-'01_数值调参'!$AM$50,0)),0),0)),"队列待修正"))</x:f>
        <x:v>—</x:v>
      </x:c>
      <x:c r="AO14" s="179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L$7,"—",SUM(IF($A14&gt;=2,(C14+$C$3)*MAX(0,IF('01_数值调参'!$N$7&lt;=$A14,-'01_数值调参'!$N$51,0),IF('01_数值调参'!$O$7&lt;=$A14,-'01_数值调参'!$O$51,0),IF('01_数值调参'!$P$7&lt;=$A14,-'01_数值调参'!$P$51,0),IF('01_数值调参'!$Q$7&lt;=$A14,-'01_数值调参'!$Q$51,0),IF('01_数值调参'!$R$7&lt;=$A14,-'01_数值调参'!$R$51,0)),0),IF($A14&gt;=4,(D14+$C$3)*MAX(0,IF('01_数值调参'!$S$7&lt;=$A14,-'01_数值调参'!$S$51,0),IF('01_数值调参'!$T$7&lt;=$A14,-'01_数值调参'!$T$51,0),IF('01_数值调参'!$U$7&lt;=$A14,-'01_数值调参'!$U$51,0),IF('01_数值调参'!$V$7&lt;=$A14,-'01_数值调参'!$V$51,0),IF('01_数值调参'!$W$7&lt;=$A14,-'01_数值调参'!$W$51,0)),0),IF($A14&gt;=6,(E14+$C$3)*MAX(0,IF('01_数值调参'!$X$7&lt;=$A14,-'01_数值调参'!$X$51,0),IF('01_数值调参'!$Y$7&lt;=$A14,-'01_数值调参'!$Y$51,0),IF('01_数值调参'!$Z$7&lt;=$A14,-'01_数值调参'!$Z$51,0),IF('01_数值调参'!$AA$7&lt;=$A14,-'01_数值调参'!$AA$51,0),IF('01_数值调参'!$AB$7&lt;=$A14,-'01_数值调参'!$AB$51,0),IF('01_数值调参'!$AC$7&lt;=$A14,-'01_数值调参'!$AC$51,0)),0),IF($A14&gt;=8,(F14+$C$3)*MAX(0,IF('01_数值调参'!$AD$7&lt;=$A14,-'01_数值调参'!$AD$51,0),IF('01_数值调参'!$AE$7&lt;=$A14,-'01_数值调参'!$AE$51,0),IF('01_数值调参'!$AF$7&lt;=$A14,-'01_数值调参'!$AF$51,0),IF('01_数值调参'!$AG$7&lt;=$A14,-'01_数值调参'!$AG$51,0)),0),IF($A14&gt;=10,(G14+$C$3)*MAX(0,IF('01_数值调参'!$AH$7&lt;=$A14,-'01_数值调参'!$AH$51,0),IF('01_数值调参'!$AI$7&lt;=$A14,-'01_数值调参'!$AI$51,0),IF('01_数值调参'!$AJ$7&lt;=$A14,-'01_数值调参'!$AJ$51,0),IF('01_数值调参'!$AK$7&lt;=$A14,-'01_数值调参'!$AK$51,0),IF('01_数值调参'!$AL$7&lt;=$A14,0,0),IF('01_数值调参'!$AM$7&lt;=$A14,-'01_数值调参'!$AM$51,0)),0),0)),"队列待修正"))</x:f>
        <x:v>—</x:v>
      </x:c>
      <x:c r="AP14" s="180" t="str">
        <x:f>IF('01_数值调参'!$D$3&lt;&gt;"配方有效","待修正",IF(AND(OR($C$3=0,$C$3=1),ISNUMBER(C14),C14&gt;=0,MOD(C14,1)=0,ISNUMBER(D14),D14&gt;=0,MOD(D14,1)=0,ISNUMBER(E14),E14&gt;=0,MOD(E14,1)=0,ISNUMBER(F14),F14&gt;=0,MOD(F14,1)=0,ISNUMBER(G14),G14&gt;=0,MOD(G14,1)=0,TRUE),IF($A14&lt;'01_数值调参'!$AM$7,"—",SUM(IF($A14&gt;=2,(C14+$C$3)*MAX(0,IF('01_数值调参'!$N$7&lt;=$A14,-'01_数值调参'!$N$52,0),IF('01_数值调参'!$O$7&lt;=$A14,-'01_数值调参'!$O$52,0),IF('01_数值调参'!$P$7&lt;=$A14,-'01_数值调参'!$P$52,0),IF('01_数值调参'!$Q$7&lt;=$A14,-'01_数值调参'!$Q$52,0),IF('01_数值调参'!$R$7&lt;=$A14,-'01_数值调参'!$R$52,0)),0),IF($A14&gt;=4,(D14+$C$3)*MAX(0,IF('01_数值调参'!$S$7&lt;=$A14,-'01_数值调参'!$S$52,0),IF('01_数值调参'!$T$7&lt;=$A14,-'01_数值调参'!$T$52,0),IF('01_数值调参'!$U$7&lt;=$A14,-'01_数值调参'!$U$52,0),IF('01_数值调参'!$V$7&lt;=$A14,-'01_数值调参'!$V$52,0),IF('01_数值调参'!$W$7&lt;=$A14,-'01_数值调参'!$W$52,0)),0),IF($A14&gt;=6,(E14+$C$3)*MAX(0,IF('01_数值调参'!$X$7&lt;=$A14,-'01_数值调参'!$X$52,0),IF('01_数值调参'!$Y$7&lt;=$A14,-'01_数值调参'!$Y$52,0),IF('01_数值调参'!$Z$7&lt;=$A14,-'01_数值调参'!$Z$52,0),IF('01_数值调参'!$AA$7&lt;=$A14,-'01_数值调参'!$AA$52,0),IF('01_数值调参'!$AB$7&lt;=$A14,-'01_数值调参'!$AB$52,0),IF('01_数值调参'!$AC$7&lt;=$A14,-'01_数值调参'!$AC$52,0)),0),IF($A14&gt;=8,(F14+$C$3)*MAX(0,IF('01_数值调参'!$AD$7&lt;=$A14,-'01_数值调参'!$AD$52,0),IF('01_数值调参'!$AE$7&lt;=$A14,-'01_数值调参'!$AE$52,0),IF('01_数值调参'!$AF$7&lt;=$A14,-'01_数值调参'!$AF$52,0),IF('01_数值调参'!$AG$7&lt;=$A14,-'01_数值调参'!$AG$52,0)),0),IF($A14&gt;=10,(G14+$C$3)*MAX(0,IF('01_数值调参'!$AH$7&lt;=$A14,-'01_数值调参'!$AH$52,0),IF('01_数值调参'!$AI$7&lt;=$A14,-'01_数值调参'!$AI$52,0),IF('01_数值调参'!$AJ$7&lt;=$A14,-'01_数值调参'!$AJ$52,0),IF('01_数值调参'!$AK$7&lt;=$A14,-'01_数值调参'!$AK$52,0),IF('01_数值调参'!$AL$7&lt;=$A14,-'01_数值调参'!$AL$52,0),IF('01_数值调参'!$AM$7&lt;=$A14,0,0)),0),0)),"队列待修正"))</x:f>
        <x:v>—</x:v>
      </x:c>
    </x:row>
    <x:row r="15" ht="25" customHeight="1">
      <x:c r="A15" s="176" t="n">
        <x:v>9</x:v>
      </x:c>
      <x:c r="B15" s="177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SUM(IF($A15&gt;=2,(C15+$C$3)*MAX(0,IF('01_数值调参'!$N$7&lt;=$A15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15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15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15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15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15&gt;=4,(D15+$C$3)*MAX(0,IF('01_数值调参'!$S$7&lt;=$A15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15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15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15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15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15&gt;=6,(E15+$C$3)*MAX(0,IF('01_数值调参'!$X$7&lt;=$A15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15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15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15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15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15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15&gt;=8,(F15+$C$3)*MAX(0,IF('01_数值调参'!$AD$7&lt;=$A15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15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15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15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15&gt;=10,(G15+$C$3)*MAX(0,IF('01_数值调参'!$AH$7&lt;=$A15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15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15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15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15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15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30</x:v>
      </x:c>
      <x:c r="C15" s="178" t="n">
        <x:v>2</x:v>
      </x:c>
      <x:c r="D15" s="178" t="n">
        <x:v>2</x:v>
      </x:c>
      <x:c r="E15" s="178" t="n">
        <x:v>2</x:v>
      </x:c>
      <x:c r="F15" s="178" t="n">
        <x:v>2</x:v>
      </x:c>
      <x:c r="G15" s="178" t="n">
        <x:v>2</x:v>
      </x:c>
      <x:c r="H15" s="191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E$7,"—",SUM(IF($A15&gt;=2,(C15+$C$3)*MAX(0,IF('01_数值调参'!$N$7&lt;=$A15,-'01_数值调参'!$N$18,0),IF('01_数值调参'!$O$7&lt;=$A15,-'01_数值调参'!$O$18,0),IF('01_数值调参'!$P$7&lt;=$A15,-'01_数值调参'!$P$18,0),IF('01_数值调参'!$Q$7&lt;=$A15,-'01_数值调参'!$Q$18,0),IF('01_数值调参'!$R$7&lt;=$A15,-'01_数值调参'!$R$18,0)),0),IF($A15&gt;=4,(D15+$C$3)*MAX(0,IF('01_数值调参'!$S$7&lt;=$A15,-'01_数值调参'!$S$18,0),IF('01_数值调参'!$T$7&lt;=$A15,-'01_数值调参'!$T$18,0),IF('01_数值调参'!$U$7&lt;=$A15,-'01_数值调参'!$U$18,0),IF('01_数值调参'!$V$7&lt;=$A15,-'01_数值调参'!$V$18,0),IF('01_数值调参'!$W$7&lt;=$A15,-'01_数值调参'!$W$18,0)),0),IF($A15&gt;=6,(E15+$C$3)*MAX(0,IF('01_数值调参'!$X$7&lt;=$A15,-'01_数值调参'!$X$18,0),IF('01_数值调参'!$Y$7&lt;=$A15,-'01_数值调参'!$Y$18,0),IF('01_数值调参'!$Z$7&lt;=$A15,-'01_数值调参'!$Z$18,0),IF('01_数值调参'!$AA$7&lt;=$A15,-'01_数值调参'!$AA$18,0),IF('01_数值调参'!$AB$7&lt;=$A15,-'01_数值调参'!$AB$18,0),IF('01_数值调参'!$AC$7&lt;=$A15,-'01_数值调参'!$AC$18,0)),0),IF($A15&gt;=8,(F15+$C$3)*MAX(0,IF('01_数值调参'!$AD$7&lt;=$A15,-'01_数值调参'!$AD$18,0),IF('01_数值调参'!$AE$7&lt;=$A15,-'01_数值调参'!$AE$18,0),IF('01_数值调参'!$AF$7&lt;=$A15,-'01_数值调参'!$AF$18,0),IF('01_数值调参'!$AG$7&lt;=$A15,-'01_数值调参'!$AG$18,0)),0),IF($A15&gt;=10,(G15+$C$3)*MAX(0,IF('01_数值调参'!$AH$7&lt;=$A15,-'01_数值调参'!$AH$18,0),IF('01_数值调参'!$AI$7&lt;=$A15,-'01_数值调参'!$AI$18,0),IF('01_数值调参'!$AJ$7&lt;=$A15,-'01_数值调参'!$AJ$18,0),IF('01_数值调参'!$AK$7&lt;=$A15,-'01_数值调参'!$AK$18,0),IF('01_数值调参'!$AL$7&lt;=$A15,-'01_数值调参'!$AL$18,0),IF('01_数值调参'!$AM$7&lt;=$A15,-'01_数值调参'!$AM$18,0)),0),0)),"队列待修正"))</x:f>
        <x:v>12</x:v>
      </x:c>
      <x:c r="I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F$7,"—",SUM(IF($A15&gt;=2,(C15+$C$3)*MAX(0,IF('01_数值调参'!$N$7&lt;=$A15,-'01_数值调参'!$N$19,0),IF('01_数值调参'!$O$7&lt;=$A15,-'01_数值调参'!$O$19,0),IF('01_数值调参'!$P$7&lt;=$A15,-'01_数值调参'!$P$19,0),IF('01_数值调参'!$Q$7&lt;=$A15,-'01_数值调参'!$Q$19,0),IF('01_数值调参'!$R$7&lt;=$A15,-'01_数值调参'!$R$19,0)),0),IF($A15&gt;=4,(D15+$C$3)*MAX(0,IF('01_数值调参'!$S$7&lt;=$A15,-'01_数值调参'!$S$19,0),IF('01_数值调参'!$T$7&lt;=$A15,-'01_数值调参'!$T$19,0),IF('01_数值调参'!$U$7&lt;=$A15,-'01_数值调参'!$U$19,0),IF('01_数值调参'!$V$7&lt;=$A15,-'01_数值调参'!$V$19,0),IF('01_数值调参'!$W$7&lt;=$A15,-'01_数值调参'!$W$19,0)),0),IF($A15&gt;=6,(E15+$C$3)*MAX(0,IF('01_数值调参'!$X$7&lt;=$A15,-'01_数值调参'!$X$19,0),IF('01_数值调参'!$Y$7&lt;=$A15,-'01_数值调参'!$Y$19,0),IF('01_数值调参'!$Z$7&lt;=$A15,-'01_数值调参'!$Z$19,0),IF('01_数值调参'!$AA$7&lt;=$A15,-'01_数值调参'!$AA$19,0),IF('01_数值调参'!$AB$7&lt;=$A15,-'01_数值调参'!$AB$19,0),IF('01_数值调参'!$AC$7&lt;=$A15,-'01_数值调参'!$AC$19,0)),0),IF($A15&gt;=8,(F15+$C$3)*MAX(0,IF('01_数值调参'!$AD$7&lt;=$A15,-'01_数值调参'!$AD$19,0),IF('01_数值调参'!$AE$7&lt;=$A15,-'01_数值调参'!$AE$19,0),IF('01_数值调参'!$AF$7&lt;=$A15,-'01_数值调参'!$AF$19,0),IF('01_数值调参'!$AG$7&lt;=$A15,-'01_数值调参'!$AG$19,0)),0),IF($A15&gt;=10,(G15+$C$3)*MAX(0,IF('01_数值调参'!$AH$7&lt;=$A15,-'01_数值调参'!$AH$19,0),IF('01_数值调参'!$AI$7&lt;=$A15,-'01_数值调参'!$AI$19,0),IF('01_数值调参'!$AJ$7&lt;=$A15,-'01_数值调参'!$AJ$19,0),IF('01_数值调参'!$AK$7&lt;=$A15,-'01_数值调参'!$AK$19,0),IF('01_数值调参'!$AL$7&lt;=$A15,-'01_数值调参'!$AL$19,0),IF('01_数值调参'!$AM$7&lt;=$A15,-'01_数值调参'!$AM$19,0)),0),0)),"队列待修正"))</x:f>
        <x:v>3</x:v>
      </x:c>
      <x:c r="J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G$7,"—",SUM(IF($A15&gt;=2,(C15+$C$3)*MAX(0,IF('01_数值调参'!$N$7&lt;=$A15,-'01_数值调参'!$N$20,0),IF('01_数值调参'!$O$7&lt;=$A15,-'01_数值调参'!$O$20,0),IF('01_数值调参'!$P$7&lt;=$A15,-'01_数值调参'!$P$20,0),IF('01_数值调参'!$Q$7&lt;=$A15,-'01_数值调参'!$Q$20,0),IF('01_数值调参'!$R$7&lt;=$A15,-'01_数值调参'!$R$20,0)),0),IF($A15&gt;=4,(D15+$C$3)*MAX(0,IF('01_数值调参'!$S$7&lt;=$A15,-'01_数值调参'!$S$20,0),IF('01_数值调参'!$T$7&lt;=$A15,-'01_数值调参'!$T$20,0),IF('01_数值调参'!$U$7&lt;=$A15,-'01_数值调参'!$U$20,0),IF('01_数值调参'!$V$7&lt;=$A15,-'01_数值调参'!$V$20,0),IF('01_数值调参'!$W$7&lt;=$A15,-'01_数值调参'!$W$20,0)),0),IF($A15&gt;=6,(E15+$C$3)*MAX(0,IF('01_数值调参'!$X$7&lt;=$A15,-'01_数值调参'!$X$20,0),IF('01_数值调参'!$Y$7&lt;=$A15,-'01_数值调参'!$Y$20,0),IF('01_数值调参'!$Z$7&lt;=$A15,-'01_数值调参'!$Z$20,0),IF('01_数值调参'!$AA$7&lt;=$A15,-'01_数值调参'!$AA$20,0),IF('01_数值调参'!$AB$7&lt;=$A15,-'01_数值调参'!$AB$20,0),IF('01_数值调参'!$AC$7&lt;=$A15,-'01_数值调参'!$AC$20,0)),0),IF($A15&gt;=8,(F15+$C$3)*MAX(0,IF('01_数值调参'!$AD$7&lt;=$A15,-'01_数值调参'!$AD$20,0),IF('01_数值调参'!$AE$7&lt;=$A15,-'01_数值调参'!$AE$20,0),IF('01_数值调参'!$AF$7&lt;=$A15,-'01_数值调参'!$AF$20,0),IF('01_数值调参'!$AG$7&lt;=$A15,-'01_数值调参'!$AG$20,0)),0),IF($A15&gt;=10,(G15+$C$3)*MAX(0,IF('01_数值调参'!$AH$7&lt;=$A15,-'01_数值调参'!$AH$20,0),IF('01_数值调参'!$AI$7&lt;=$A15,-'01_数值调参'!$AI$20,0),IF('01_数值调参'!$AJ$7&lt;=$A15,-'01_数值调参'!$AJ$20,0),IF('01_数值调参'!$AK$7&lt;=$A15,-'01_数值调参'!$AK$20,0),IF('01_数值调参'!$AL$7&lt;=$A15,-'01_数值调参'!$AL$20,0),IF('01_数值调参'!$AM$7&lt;=$A15,-'01_数值调参'!$AM$20,0)),0),0)),"队列待修正"))</x:f>
        <x:v>9</x:v>
      </x:c>
      <x:c r="K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H$7,"—",SUM(IF($A15&gt;=2,(C15+$C$3)*MAX(0,IF('01_数值调参'!$N$7&lt;=$A15,-'01_数值调参'!$N$21,0),IF('01_数值调参'!$O$7&lt;=$A15,-'01_数值调参'!$O$21,0),IF('01_数值调参'!$P$7&lt;=$A15,-'01_数值调参'!$P$21,0),IF('01_数值调参'!$Q$7&lt;=$A15,-'01_数值调参'!$Q$21,0),IF('01_数值调参'!$R$7&lt;=$A15,-'01_数值调参'!$R$21,0)),0),IF($A15&gt;=4,(D15+$C$3)*MAX(0,IF('01_数值调参'!$S$7&lt;=$A15,-'01_数值调参'!$S$21,0),IF('01_数值调参'!$T$7&lt;=$A15,-'01_数值调参'!$T$21,0),IF('01_数值调参'!$U$7&lt;=$A15,-'01_数值调参'!$U$21,0),IF('01_数值调参'!$V$7&lt;=$A15,-'01_数值调参'!$V$21,0),IF('01_数值调参'!$W$7&lt;=$A15,-'01_数值调参'!$W$21,0)),0),IF($A15&gt;=6,(E15+$C$3)*MAX(0,IF('01_数值调参'!$X$7&lt;=$A15,-'01_数值调参'!$X$21,0),IF('01_数值调参'!$Y$7&lt;=$A15,-'01_数值调参'!$Y$21,0),IF('01_数值调参'!$Z$7&lt;=$A15,-'01_数值调参'!$Z$21,0),IF('01_数值调参'!$AA$7&lt;=$A15,-'01_数值调参'!$AA$21,0),IF('01_数值调参'!$AB$7&lt;=$A15,-'01_数值调参'!$AB$21,0),IF('01_数值调参'!$AC$7&lt;=$A15,-'01_数值调参'!$AC$21,0)),0),IF($A15&gt;=8,(F15+$C$3)*MAX(0,IF('01_数值调参'!$AD$7&lt;=$A15,-'01_数值调参'!$AD$21,0),IF('01_数值调参'!$AE$7&lt;=$A15,-'01_数值调参'!$AE$21,0),IF('01_数值调参'!$AF$7&lt;=$A15,-'01_数值调参'!$AF$21,0),IF('01_数值调参'!$AG$7&lt;=$A15,-'01_数值调参'!$AG$21,0)),0),IF($A15&gt;=10,(G15+$C$3)*MAX(0,IF('01_数值调参'!$AH$7&lt;=$A15,-'01_数值调参'!$AH$21,0),IF('01_数值调参'!$AI$7&lt;=$A15,-'01_数值调参'!$AI$21,0),IF('01_数值调参'!$AJ$7&lt;=$A15,-'01_数值调参'!$AJ$21,0),IF('01_数值调参'!$AK$7&lt;=$A15,-'01_数值调参'!$AK$21,0),IF('01_数值调参'!$AL$7&lt;=$A15,-'01_数值调参'!$AL$21,0),IF('01_数值调参'!$AM$7&lt;=$A15,-'01_数值调参'!$AM$21,0)),0),0)),"队列待修正"))</x:f>
        <x:v>6</x:v>
      </x:c>
      <x:c r="L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I$7,"—",SUM(IF($A15&gt;=2,(C15+$C$3)*MAX(0,IF('01_数值调参'!$N$7&lt;=$A15,-'01_数值调参'!$N$22,0),IF('01_数值调参'!$O$7&lt;=$A15,-'01_数值调参'!$O$22,0),IF('01_数值调参'!$P$7&lt;=$A15,-'01_数值调参'!$P$22,0),IF('01_数值调参'!$Q$7&lt;=$A15,-'01_数值调参'!$Q$22,0),IF('01_数值调参'!$R$7&lt;=$A15,-'01_数值调参'!$R$22,0)),0),IF($A15&gt;=4,(D15+$C$3)*MAX(0,IF('01_数值调参'!$S$7&lt;=$A15,-'01_数值调参'!$S$22,0),IF('01_数值调参'!$T$7&lt;=$A15,-'01_数值调参'!$T$22,0),IF('01_数值调参'!$U$7&lt;=$A15,-'01_数值调参'!$U$22,0),IF('01_数值调参'!$V$7&lt;=$A15,-'01_数值调参'!$V$22,0),IF('01_数值调参'!$W$7&lt;=$A15,-'01_数值调参'!$W$22,0)),0),IF($A15&gt;=6,(E15+$C$3)*MAX(0,IF('01_数值调参'!$X$7&lt;=$A15,-'01_数值调参'!$X$22,0),IF('01_数值调参'!$Y$7&lt;=$A15,-'01_数值调参'!$Y$22,0),IF('01_数值调参'!$Z$7&lt;=$A15,-'01_数值调参'!$Z$22,0),IF('01_数值调参'!$AA$7&lt;=$A15,-'01_数值调参'!$AA$22,0),IF('01_数值调参'!$AB$7&lt;=$A15,-'01_数值调参'!$AB$22,0),IF('01_数值调参'!$AC$7&lt;=$A15,-'01_数值调参'!$AC$22,0)),0),IF($A15&gt;=8,(F15+$C$3)*MAX(0,IF('01_数值调参'!$AD$7&lt;=$A15,-'01_数值调参'!$AD$22,0),IF('01_数值调参'!$AE$7&lt;=$A15,-'01_数值调参'!$AE$22,0),IF('01_数值调参'!$AF$7&lt;=$A15,-'01_数值调参'!$AF$22,0),IF('01_数值调参'!$AG$7&lt;=$A15,-'01_数值调参'!$AG$22,0)),0),IF($A15&gt;=10,(G15+$C$3)*MAX(0,IF('01_数值调参'!$AH$7&lt;=$A15,-'01_数值调参'!$AH$22,0),IF('01_数值调参'!$AI$7&lt;=$A15,-'01_数值调参'!$AI$22,0),IF('01_数值调参'!$AJ$7&lt;=$A15,-'01_数值调参'!$AJ$22,0),IF('01_数值调参'!$AK$7&lt;=$A15,-'01_数值调参'!$AK$22,0),IF('01_数值调参'!$AL$7&lt;=$A15,-'01_数值调参'!$AL$22,0),IF('01_数值调参'!$AM$7&lt;=$A15,-'01_数值调参'!$AM$22,0)),0),0)),"队列待修正"))</x:f>
        <x:v>6</x:v>
      </x:c>
      <x:c r="M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J$7,"—",SUM(IF($A15&gt;=2,(C15+$C$3)*MAX(0,IF('01_数值调参'!$N$7&lt;=$A15,-'01_数值调参'!$N$23,0),IF('01_数值调参'!$O$7&lt;=$A15,-'01_数值调参'!$O$23,0),IF('01_数值调参'!$P$7&lt;=$A15,-'01_数值调参'!$P$23,0),IF('01_数值调参'!$Q$7&lt;=$A15,-'01_数值调参'!$Q$23,0),IF('01_数值调参'!$R$7&lt;=$A15,-'01_数值调参'!$R$23,0)),0),IF($A15&gt;=4,(D15+$C$3)*MAX(0,IF('01_数值调参'!$S$7&lt;=$A15,-'01_数值调参'!$S$23,0),IF('01_数值调参'!$T$7&lt;=$A15,-'01_数值调参'!$T$23,0),IF('01_数值调参'!$U$7&lt;=$A15,-'01_数值调参'!$U$23,0),IF('01_数值调参'!$V$7&lt;=$A15,-'01_数值调参'!$V$23,0),IF('01_数值调参'!$W$7&lt;=$A15,-'01_数值调参'!$W$23,0)),0),IF($A15&gt;=6,(E15+$C$3)*MAX(0,IF('01_数值调参'!$X$7&lt;=$A15,-'01_数值调参'!$X$23,0),IF('01_数值调参'!$Y$7&lt;=$A15,-'01_数值调参'!$Y$23,0),IF('01_数值调参'!$Z$7&lt;=$A15,-'01_数值调参'!$Z$23,0),IF('01_数值调参'!$AA$7&lt;=$A15,-'01_数值调参'!$AA$23,0),IF('01_数值调参'!$AB$7&lt;=$A15,-'01_数值调参'!$AB$23,0),IF('01_数值调参'!$AC$7&lt;=$A15,-'01_数值调参'!$AC$23,0)),0),IF($A15&gt;=8,(F15+$C$3)*MAX(0,IF('01_数值调参'!$AD$7&lt;=$A15,-'01_数值调参'!$AD$23,0),IF('01_数值调参'!$AE$7&lt;=$A15,-'01_数值调参'!$AE$23,0),IF('01_数值调参'!$AF$7&lt;=$A15,-'01_数值调参'!$AF$23,0),IF('01_数值调参'!$AG$7&lt;=$A15,-'01_数值调参'!$AG$23,0)),0),IF($A15&gt;=10,(G15+$C$3)*MAX(0,IF('01_数值调参'!$AH$7&lt;=$A15,-'01_数值调参'!$AH$23,0),IF('01_数值调参'!$AI$7&lt;=$A15,-'01_数值调参'!$AI$23,0),IF('01_数值调参'!$AJ$7&lt;=$A15,-'01_数值调参'!$AJ$23,0),IF('01_数值调参'!$AK$7&lt;=$A15,-'01_数值调参'!$AK$23,0),IF('01_数值调参'!$AL$7&lt;=$A15,-'01_数值调参'!$AL$23,0),IF('01_数值调参'!$AM$7&lt;=$A15,-'01_数值调参'!$AM$23,0)),0),0)),"队列待修正"))</x:f>
        <x:v>—</x:v>
      </x:c>
      <x:c r="N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K$7,"—",SUM(IF($A15&gt;=2,(C15+$C$3)*MAX(0,IF('01_数值调参'!$N$7&lt;=$A15,-'01_数值调参'!$N$24,0),IF('01_数值调参'!$O$7&lt;=$A15,-'01_数值调参'!$O$24,0),IF('01_数值调参'!$P$7&lt;=$A15,-'01_数值调参'!$P$24,0),IF('01_数值调参'!$Q$7&lt;=$A15,-'01_数值调参'!$Q$24,0),IF('01_数值调参'!$R$7&lt;=$A15,-'01_数值调参'!$R$24,0)),0),IF($A15&gt;=4,(D15+$C$3)*MAX(0,IF('01_数值调参'!$S$7&lt;=$A15,-'01_数值调参'!$S$24,0),IF('01_数值调参'!$T$7&lt;=$A15,-'01_数值调参'!$T$24,0),IF('01_数值调参'!$U$7&lt;=$A15,-'01_数值调参'!$U$24,0),IF('01_数值调参'!$V$7&lt;=$A15,-'01_数值调参'!$V$24,0),IF('01_数值调参'!$W$7&lt;=$A15,-'01_数值调参'!$W$24,0)),0),IF($A15&gt;=6,(E15+$C$3)*MAX(0,IF('01_数值调参'!$X$7&lt;=$A15,-'01_数值调参'!$X$24,0),IF('01_数值调参'!$Y$7&lt;=$A15,-'01_数值调参'!$Y$24,0),IF('01_数值调参'!$Z$7&lt;=$A15,-'01_数值调参'!$Z$24,0),IF('01_数值调参'!$AA$7&lt;=$A15,-'01_数值调参'!$AA$24,0),IF('01_数值调参'!$AB$7&lt;=$A15,-'01_数值调参'!$AB$24,0),IF('01_数值调参'!$AC$7&lt;=$A15,-'01_数值调参'!$AC$24,0)),0),IF($A15&gt;=8,(F15+$C$3)*MAX(0,IF('01_数值调参'!$AD$7&lt;=$A15,-'01_数值调参'!$AD$24,0),IF('01_数值调参'!$AE$7&lt;=$A15,-'01_数值调参'!$AE$24,0),IF('01_数值调参'!$AF$7&lt;=$A15,-'01_数值调参'!$AF$24,0),IF('01_数值调参'!$AG$7&lt;=$A15,-'01_数值调参'!$AG$24,0)),0),IF($A15&gt;=10,(G15+$C$3)*MAX(0,IF('01_数值调参'!$AH$7&lt;=$A15,-'01_数值调参'!$AH$24,0),IF('01_数值调参'!$AI$7&lt;=$A15,-'01_数值调参'!$AI$24,0),IF('01_数值调参'!$AJ$7&lt;=$A15,-'01_数值调参'!$AJ$24,0),IF('01_数值调参'!$AK$7&lt;=$A15,-'01_数值调参'!$AK$24,0),IF('01_数值调参'!$AL$7&lt;=$A15,-'01_数值调参'!$AL$24,0),IF('01_数值调参'!$AM$7&lt;=$A15,-'01_数值调参'!$AM$24,0)),0),0)),"队列待修正"))</x:f>
        <x:v>—</x:v>
      </x:c>
      <x:c r="O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L$7,"—",SUM(IF($A15&gt;=2,(C15+$C$3)*MAX(0,IF('01_数值调参'!$N$7&lt;=$A15,-'01_数值调参'!$N$25,0),IF('01_数值调参'!$O$7&lt;=$A15,-'01_数值调参'!$O$25,0),IF('01_数值调参'!$P$7&lt;=$A15,-'01_数值调参'!$P$25,0),IF('01_数值调参'!$Q$7&lt;=$A15,-'01_数值调参'!$Q$25,0),IF('01_数值调参'!$R$7&lt;=$A15,-'01_数值调参'!$R$25,0)),0),IF($A15&gt;=4,(D15+$C$3)*MAX(0,IF('01_数值调参'!$S$7&lt;=$A15,-'01_数值调参'!$S$25,0),IF('01_数值调参'!$T$7&lt;=$A15,-'01_数值调参'!$T$25,0),IF('01_数值调参'!$U$7&lt;=$A15,-'01_数值调参'!$U$25,0),IF('01_数值调参'!$V$7&lt;=$A15,-'01_数值调参'!$V$25,0),IF('01_数值调参'!$W$7&lt;=$A15,-'01_数值调参'!$W$25,0)),0),IF($A15&gt;=6,(E15+$C$3)*MAX(0,IF('01_数值调参'!$X$7&lt;=$A15,-'01_数值调参'!$X$25,0),IF('01_数值调参'!$Y$7&lt;=$A15,-'01_数值调参'!$Y$25,0),IF('01_数值调参'!$Z$7&lt;=$A15,-'01_数值调参'!$Z$25,0),IF('01_数值调参'!$AA$7&lt;=$A15,-'01_数值调参'!$AA$25,0),IF('01_数值调参'!$AB$7&lt;=$A15,-'01_数值调参'!$AB$25,0),IF('01_数值调参'!$AC$7&lt;=$A15,-'01_数值调参'!$AC$25,0)),0),IF($A15&gt;=8,(F15+$C$3)*MAX(0,IF('01_数值调参'!$AD$7&lt;=$A15,-'01_数值调参'!$AD$25,0),IF('01_数值调参'!$AE$7&lt;=$A15,-'01_数值调参'!$AE$25,0),IF('01_数值调参'!$AF$7&lt;=$A15,-'01_数值调参'!$AF$25,0),IF('01_数值调参'!$AG$7&lt;=$A15,-'01_数值调参'!$AG$25,0)),0),IF($A15&gt;=10,(G15+$C$3)*MAX(0,IF('01_数值调参'!$AH$7&lt;=$A15,-'01_数值调参'!$AH$25,0),IF('01_数值调参'!$AI$7&lt;=$A15,-'01_数值调参'!$AI$25,0),IF('01_数值调参'!$AJ$7&lt;=$A15,-'01_数值调参'!$AJ$25,0),IF('01_数值调参'!$AK$7&lt;=$A15,-'01_数值调参'!$AK$25,0),IF('01_数值调参'!$AL$7&lt;=$A15,-'01_数值调参'!$AL$25,0),IF('01_数值调参'!$AM$7&lt;=$A15,-'01_数值调参'!$AM$25,0)),0),0)),"队列待修正"))</x:f>
        <x:v>—</x:v>
      </x:c>
      <x:c r="P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M$7,"—",SUM(IF($A15&gt;=2,(C15+$C$3)*MAX(0,IF('01_数值调参'!$N$7&lt;=$A15,-'01_数值调参'!$N$26,0),IF('01_数值调参'!$O$7&lt;=$A15,-'01_数值调参'!$O$26,0),IF('01_数值调参'!$P$7&lt;=$A15,-'01_数值调参'!$P$26,0),IF('01_数值调参'!$Q$7&lt;=$A15,-'01_数值调参'!$Q$26,0),IF('01_数值调参'!$R$7&lt;=$A15,-'01_数值调参'!$R$26,0)),0),IF($A15&gt;=4,(D15+$C$3)*MAX(0,IF('01_数值调参'!$S$7&lt;=$A15,-'01_数值调参'!$S$26,0),IF('01_数值调参'!$T$7&lt;=$A15,-'01_数值调参'!$T$26,0),IF('01_数值调参'!$U$7&lt;=$A15,-'01_数值调参'!$U$26,0),IF('01_数值调参'!$V$7&lt;=$A15,-'01_数值调参'!$V$26,0),IF('01_数值调参'!$W$7&lt;=$A15,-'01_数值调参'!$W$26,0)),0),IF($A15&gt;=6,(E15+$C$3)*MAX(0,IF('01_数值调参'!$X$7&lt;=$A15,-'01_数值调参'!$X$26,0),IF('01_数值调参'!$Y$7&lt;=$A15,-'01_数值调参'!$Y$26,0),IF('01_数值调参'!$Z$7&lt;=$A15,-'01_数值调参'!$Z$26,0),IF('01_数值调参'!$AA$7&lt;=$A15,-'01_数值调参'!$AA$26,0),IF('01_数值调参'!$AB$7&lt;=$A15,-'01_数值调参'!$AB$26,0),IF('01_数值调参'!$AC$7&lt;=$A15,-'01_数值调参'!$AC$26,0)),0),IF($A15&gt;=8,(F15+$C$3)*MAX(0,IF('01_数值调参'!$AD$7&lt;=$A15,-'01_数值调参'!$AD$26,0),IF('01_数值调参'!$AE$7&lt;=$A15,-'01_数值调参'!$AE$26,0),IF('01_数值调参'!$AF$7&lt;=$A15,-'01_数值调参'!$AF$26,0),IF('01_数值调参'!$AG$7&lt;=$A15,-'01_数值调参'!$AG$26,0)),0),IF($A15&gt;=10,(G15+$C$3)*MAX(0,IF('01_数值调参'!$AH$7&lt;=$A15,-'01_数值调参'!$AH$26,0),IF('01_数值调参'!$AI$7&lt;=$A15,-'01_数值调参'!$AI$26,0),IF('01_数值调参'!$AJ$7&lt;=$A15,-'01_数值调参'!$AJ$26,0),IF('01_数值调参'!$AK$7&lt;=$A15,-'01_数值调参'!$AK$26,0),IF('01_数值调参'!$AL$7&lt;=$A15,-'01_数值调参'!$AL$26,0),IF('01_数值调参'!$AM$7&lt;=$A15,-'01_数值调参'!$AM$26,0)),0),0)),"队列待修正"))</x:f>
        <x:v>—</x:v>
      </x:c>
      <x:c r="Q15" s="191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N$7,"—",SUM(IF($A15&gt;=2,(C15+$C$3)*MAX(0,IF('01_数值调参'!$N$7&lt;=$A15,0,0),IF('01_数值调参'!$O$7&lt;=$A15,-'01_数值调参'!$O$27,0),IF('01_数值调参'!$P$7&lt;=$A15,-'01_数值调参'!$P$27,0),IF('01_数值调参'!$Q$7&lt;=$A15,-'01_数值调参'!$Q$27,0),IF('01_数值调参'!$R$7&lt;=$A15,-'01_数值调参'!$R$27,0)),0),IF($A15&gt;=4,(D15+$C$3)*MAX(0,IF('01_数值调参'!$S$7&lt;=$A15,-'01_数值调参'!$S$27,0),IF('01_数值调参'!$T$7&lt;=$A15,-'01_数值调参'!$T$27,0),IF('01_数值调参'!$U$7&lt;=$A15,-'01_数值调参'!$U$27,0),IF('01_数值调参'!$V$7&lt;=$A15,-'01_数值调参'!$V$27,0),IF('01_数值调参'!$W$7&lt;=$A15,-'01_数值调参'!$W$27,0)),0),IF($A15&gt;=6,(E15+$C$3)*MAX(0,IF('01_数值调参'!$X$7&lt;=$A15,-'01_数值调参'!$X$27,0),IF('01_数值调参'!$Y$7&lt;=$A15,-'01_数值调参'!$Y$27,0),IF('01_数值调参'!$Z$7&lt;=$A15,-'01_数值调参'!$Z$27,0),IF('01_数值调参'!$AA$7&lt;=$A15,-'01_数值调参'!$AA$27,0),IF('01_数值调参'!$AB$7&lt;=$A15,-'01_数值调参'!$AB$27,0),IF('01_数值调参'!$AC$7&lt;=$A15,-'01_数值调参'!$AC$27,0)),0),IF($A15&gt;=8,(F15+$C$3)*MAX(0,IF('01_数值调参'!$AD$7&lt;=$A15,-'01_数值调参'!$AD$27,0),IF('01_数值调参'!$AE$7&lt;=$A15,-'01_数值调参'!$AE$27,0),IF('01_数值调参'!$AF$7&lt;=$A15,-'01_数值调参'!$AF$27,0),IF('01_数值调参'!$AG$7&lt;=$A15,-'01_数值调参'!$AG$27,0)),0),IF($A15&gt;=10,(G15+$C$3)*MAX(0,IF('01_数值调参'!$AH$7&lt;=$A15,-'01_数值调参'!$AH$27,0),IF('01_数值调参'!$AI$7&lt;=$A15,-'01_数值调参'!$AI$27,0),IF('01_数值调参'!$AJ$7&lt;=$A15,-'01_数值调参'!$AJ$27,0),IF('01_数值调参'!$AK$7&lt;=$A15,-'01_数值调参'!$AK$27,0),IF('01_数值调参'!$AL$7&lt;=$A15,-'01_数值调参'!$AL$27,0),IF('01_数值调参'!$AM$7&lt;=$A15,-'01_数值调参'!$AM$27,0)),0),0)),"队列待修正"))</x:f>
        <x:v>3</x:v>
      </x:c>
      <x:c r="R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O$7,"—",SUM(IF($A15&gt;=2,(C15+$C$3)*MAX(0,IF('01_数值调参'!$N$7&lt;=$A15,-'01_数值调参'!$N$28,0),IF('01_数值调参'!$O$7&lt;=$A15,0,0),IF('01_数值调参'!$P$7&lt;=$A15,-'01_数值调参'!$P$28,0),IF('01_数值调参'!$Q$7&lt;=$A15,-'01_数值调参'!$Q$28,0),IF('01_数值调参'!$R$7&lt;=$A15,-'01_数值调参'!$R$28,0)),0),IF($A15&gt;=4,(D15+$C$3)*MAX(0,IF('01_数值调参'!$S$7&lt;=$A15,-'01_数值调参'!$S$28,0),IF('01_数值调参'!$T$7&lt;=$A15,-'01_数值调参'!$T$28,0),IF('01_数值调参'!$U$7&lt;=$A15,-'01_数值调参'!$U$28,0),IF('01_数值调参'!$V$7&lt;=$A15,-'01_数值调参'!$V$28,0),IF('01_数值调参'!$W$7&lt;=$A15,-'01_数值调参'!$W$28,0)),0),IF($A15&gt;=6,(E15+$C$3)*MAX(0,IF('01_数值调参'!$X$7&lt;=$A15,-'01_数值调参'!$X$28,0),IF('01_数值调参'!$Y$7&lt;=$A15,-'01_数值调参'!$Y$28,0),IF('01_数值调参'!$Z$7&lt;=$A15,-'01_数值调参'!$Z$28,0),IF('01_数值调参'!$AA$7&lt;=$A15,-'01_数值调参'!$AA$28,0),IF('01_数值调参'!$AB$7&lt;=$A15,-'01_数值调参'!$AB$28,0),IF('01_数值调参'!$AC$7&lt;=$A15,-'01_数值调参'!$AC$28,0)),0),IF($A15&gt;=8,(F15+$C$3)*MAX(0,IF('01_数值调参'!$AD$7&lt;=$A15,-'01_数值调参'!$AD$28,0),IF('01_数值调参'!$AE$7&lt;=$A15,-'01_数值调参'!$AE$28,0),IF('01_数值调参'!$AF$7&lt;=$A15,-'01_数值调参'!$AF$28,0),IF('01_数值调参'!$AG$7&lt;=$A15,-'01_数值调参'!$AG$28,0)),0),IF($A15&gt;=10,(G15+$C$3)*MAX(0,IF('01_数值调参'!$AH$7&lt;=$A15,-'01_数值调参'!$AH$28,0),IF('01_数值调参'!$AI$7&lt;=$A15,-'01_数值调参'!$AI$28,0),IF('01_数值调参'!$AJ$7&lt;=$A15,-'01_数值调参'!$AJ$28,0),IF('01_数值调参'!$AK$7&lt;=$A15,-'01_数值调参'!$AK$28,0),IF('01_数值调参'!$AL$7&lt;=$A15,-'01_数值调参'!$AL$28,0),IF('01_数值调参'!$AM$7&lt;=$A15,-'01_数值调参'!$AM$28,0)),0),0)),"队列待修正"))</x:f>
        <x:v>3</x:v>
      </x:c>
      <x:c r="S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P$7,"—",SUM(IF($A15&gt;=2,(C15+$C$3)*MAX(0,IF('01_数值调参'!$N$7&lt;=$A15,-'01_数值调参'!$N$29,0),IF('01_数值调参'!$O$7&lt;=$A15,-'01_数值调参'!$O$29,0),IF('01_数值调参'!$P$7&lt;=$A15,0,0),IF('01_数值调参'!$Q$7&lt;=$A15,-'01_数值调参'!$Q$29,0),IF('01_数值调参'!$R$7&lt;=$A15,-'01_数值调参'!$R$29,0)),0),IF($A15&gt;=4,(D15+$C$3)*MAX(0,IF('01_数值调参'!$S$7&lt;=$A15,-'01_数值调参'!$S$29,0),IF('01_数值调参'!$T$7&lt;=$A15,-'01_数值调参'!$T$29,0),IF('01_数值调参'!$U$7&lt;=$A15,-'01_数值调参'!$U$29,0),IF('01_数值调参'!$V$7&lt;=$A15,-'01_数值调参'!$V$29,0),IF('01_数值调参'!$W$7&lt;=$A15,-'01_数值调参'!$W$29,0)),0),IF($A15&gt;=6,(E15+$C$3)*MAX(0,IF('01_数值调参'!$X$7&lt;=$A15,-'01_数值调参'!$X$29,0),IF('01_数值调参'!$Y$7&lt;=$A15,-'01_数值调参'!$Y$29,0),IF('01_数值调参'!$Z$7&lt;=$A15,-'01_数值调参'!$Z$29,0),IF('01_数值调参'!$AA$7&lt;=$A15,-'01_数值调参'!$AA$29,0),IF('01_数值调参'!$AB$7&lt;=$A15,-'01_数值调参'!$AB$29,0),IF('01_数值调参'!$AC$7&lt;=$A15,-'01_数值调参'!$AC$29,0)),0),IF($A15&gt;=8,(F15+$C$3)*MAX(0,IF('01_数值调参'!$AD$7&lt;=$A15,-'01_数值调参'!$AD$29,0),IF('01_数值调参'!$AE$7&lt;=$A15,-'01_数值调参'!$AE$29,0),IF('01_数值调参'!$AF$7&lt;=$A15,-'01_数值调参'!$AF$29,0),IF('01_数值调参'!$AG$7&lt;=$A15,-'01_数值调参'!$AG$29,0)),0),IF($A15&gt;=10,(G15+$C$3)*MAX(0,IF('01_数值调参'!$AH$7&lt;=$A15,-'01_数值调参'!$AH$29,0),IF('01_数值调参'!$AI$7&lt;=$A15,-'01_数值调参'!$AI$29,0),IF('01_数值调参'!$AJ$7&lt;=$A15,-'01_数值调参'!$AJ$29,0),IF('01_数值调参'!$AK$7&lt;=$A15,-'01_数值调参'!$AK$29,0),IF('01_数值调参'!$AL$7&lt;=$A15,-'01_数值调参'!$AL$29,0),IF('01_数值调参'!$AM$7&lt;=$A15,-'01_数值调参'!$AM$29,0)),0),0)),"队列待修正"))</x:f>
        <x:v>0</x:v>
      </x:c>
      <x:c r="T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Q$7,"—",SUM(IF($A15&gt;=2,(C15+$C$3)*MAX(0,IF('01_数值调参'!$N$7&lt;=$A15,-'01_数值调参'!$N$30,0),IF('01_数值调参'!$O$7&lt;=$A15,-'01_数值调参'!$O$30,0),IF('01_数值调参'!$P$7&lt;=$A15,-'01_数值调参'!$P$30,0),IF('01_数值调参'!$Q$7&lt;=$A15,0,0),IF('01_数值调参'!$R$7&lt;=$A15,-'01_数值调参'!$R$30,0)),0),IF($A15&gt;=4,(D15+$C$3)*MAX(0,IF('01_数值调参'!$S$7&lt;=$A15,-'01_数值调参'!$S$30,0),IF('01_数值调参'!$T$7&lt;=$A15,-'01_数值调参'!$T$30,0),IF('01_数值调参'!$U$7&lt;=$A15,-'01_数值调参'!$U$30,0),IF('01_数值调参'!$V$7&lt;=$A15,-'01_数值调参'!$V$30,0),IF('01_数值调参'!$W$7&lt;=$A15,-'01_数值调参'!$W$30,0)),0),IF($A15&gt;=6,(E15+$C$3)*MAX(0,IF('01_数值调参'!$X$7&lt;=$A15,-'01_数值调参'!$X$30,0),IF('01_数值调参'!$Y$7&lt;=$A15,-'01_数值调参'!$Y$30,0),IF('01_数值调参'!$Z$7&lt;=$A15,-'01_数值调参'!$Z$30,0),IF('01_数值调参'!$AA$7&lt;=$A15,-'01_数值调参'!$AA$30,0),IF('01_数值调参'!$AB$7&lt;=$A15,-'01_数值调参'!$AB$30,0),IF('01_数值调参'!$AC$7&lt;=$A15,-'01_数值调参'!$AC$30,0)),0),IF($A15&gt;=8,(F15+$C$3)*MAX(0,IF('01_数值调参'!$AD$7&lt;=$A15,-'01_数值调参'!$AD$30,0),IF('01_数值调参'!$AE$7&lt;=$A15,-'01_数值调参'!$AE$30,0),IF('01_数值调参'!$AF$7&lt;=$A15,-'01_数值调参'!$AF$30,0),IF('01_数值调参'!$AG$7&lt;=$A15,-'01_数值调参'!$AG$30,0)),0),IF($A15&gt;=10,(G15+$C$3)*MAX(0,IF('01_数值调参'!$AH$7&lt;=$A15,-'01_数值调参'!$AH$30,0),IF('01_数值调参'!$AI$7&lt;=$A15,-'01_数值调参'!$AI$30,0),IF('01_数值调参'!$AJ$7&lt;=$A15,-'01_数值调参'!$AJ$30,0),IF('01_数值调参'!$AK$7&lt;=$A15,-'01_数值调参'!$AK$30,0),IF('01_数值调参'!$AL$7&lt;=$A15,-'01_数值调参'!$AL$30,0),IF('01_数值调参'!$AM$7&lt;=$A15,-'01_数值调参'!$AM$30,0)),0),0)),"队列待修正"))</x:f>
        <x:v>—</x:v>
      </x:c>
      <x:c r="U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R$7,"—",SUM(IF($A15&gt;=2,(C15+$C$3)*MAX(0,IF('01_数值调参'!$N$7&lt;=$A15,-'01_数值调参'!$N$31,0),IF('01_数值调参'!$O$7&lt;=$A15,-'01_数值调参'!$O$31,0),IF('01_数值调参'!$P$7&lt;=$A15,-'01_数值调参'!$P$31,0),IF('01_数值调参'!$Q$7&lt;=$A15,-'01_数值调参'!$Q$31,0),IF('01_数值调参'!$R$7&lt;=$A15,0,0)),0),IF($A15&gt;=4,(D15+$C$3)*MAX(0,IF('01_数值调参'!$S$7&lt;=$A15,-'01_数值调参'!$S$31,0),IF('01_数值调参'!$T$7&lt;=$A15,-'01_数值调参'!$T$31,0),IF('01_数值调参'!$U$7&lt;=$A15,-'01_数值调参'!$U$31,0),IF('01_数值调参'!$V$7&lt;=$A15,-'01_数值调参'!$V$31,0),IF('01_数值调参'!$W$7&lt;=$A15,-'01_数值调参'!$W$31,0)),0),IF($A15&gt;=6,(E15+$C$3)*MAX(0,IF('01_数值调参'!$X$7&lt;=$A15,-'01_数值调参'!$X$31,0),IF('01_数值调参'!$Y$7&lt;=$A15,-'01_数值调参'!$Y$31,0),IF('01_数值调参'!$Z$7&lt;=$A15,-'01_数值调参'!$Z$31,0),IF('01_数值调参'!$AA$7&lt;=$A15,-'01_数值调参'!$AA$31,0),IF('01_数值调参'!$AB$7&lt;=$A15,-'01_数值调参'!$AB$31,0),IF('01_数值调参'!$AC$7&lt;=$A15,-'01_数值调参'!$AC$31,0)),0),IF($A15&gt;=8,(F15+$C$3)*MAX(0,IF('01_数值调参'!$AD$7&lt;=$A15,-'01_数值调参'!$AD$31,0),IF('01_数值调参'!$AE$7&lt;=$A15,-'01_数值调参'!$AE$31,0),IF('01_数值调参'!$AF$7&lt;=$A15,-'01_数值调参'!$AF$31,0),IF('01_数值调参'!$AG$7&lt;=$A15,-'01_数值调参'!$AG$31,0)),0),IF($A15&gt;=10,(G15+$C$3)*MAX(0,IF('01_数值调参'!$AH$7&lt;=$A15,-'01_数值调参'!$AH$31,0),IF('01_数值调参'!$AI$7&lt;=$A15,-'01_数值调参'!$AI$31,0),IF('01_数值调参'!$AJ$7&lt;=$A15,-'01_数值调参'!$AJ$31,0),IF('01_数值调参'!$AK$7&lt;=$A15,-'01_数值调参'!$AK$31,0),IF('01_数值调参'!$AL$7&lt;=$A15,-'01_数值调参'!$AL$31,0),IF('01_数值调参'!$AM$7&lt;=$A15,-'01_数值调参'!$AM$31,0)),0),0)),"队列待修正"))</x:f>
        <x:v>—</x:v>
      </x:c>
      <x:c r="V15" s="191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S$7,"—",SUM(IF($A15&gt;=2,(C15+$C$3)*MAX(0,IF('01_数值调参'!$N$7&lt;=$A15,-'01_数值调参'!$N$32,0),IF('01_数值调参'!$O$7&lt;=$A15,-'01_数值调参'!$O$32,0),IF('01_数值调参'!$P$7&lt;=$A15,-'01_数值调参'!$P$32,0),IF('01_数值调参'!$Q$7&lt;=$A15,-'01_数值调参'!$Q$32,0),IF('01_数值调参'!$R$7&lt;=$A15,-'01_数值调参'!$R$32,0)),0),IF($A15&gt;=4,(D15+$C$3)*MAX(0,IF('01_数值调参'!$S$7&lt;=$A15,0,0),IF('01_数值调参'!$T$7&lt;=$A15,-'01_数值调参'!$T$32,0),IF('01_数值调参'!$U$7&lt;=$A15,-'01_数值调参'!$U$32,0),IF('01_数值调参'!$V$7&lt;=$A15,-'01_数值调参'!$V$32,0),IF('01_数值调参'!$W$7&lt;=$A15,-'01_数值调参'!$W$32,0)),0),IF($A15&gt;=6,(E15+$C$3)*MAX(0,IF('01_数值调参'!$X$7&lt;=$A15,-'01_数值调参'!$X$32,0),IF('01_数值调参'!$Y$7&lt;=$A15,-'01_数值调参'!$Y$32,0),IF('01_数值调参'!$Z$7&lt;=$A15,-'01_数值调参'!$Z$32,0),IF('01_数值调参'!$AA$7&lt;=$A15,-'01_数值调参'!$AA$32,0),IF('01_数值调参'!$AB$7&lt;=$A15,-'01_数值调参'!$AB$32,0),IF('01_数值调参'!$AC$7&lt;=$A15,-'01_数值调参'!$AC$32,0)),0),IF($A15&gt;=8,(F15+$C$3)*MAX(0,IF('01_数值调参'!$AD$7&lt;=$A15,-'01_数值调参'!$AD$32,0),IF('01_数值调参'!$AE$7&lt;=$A15,-'01_数值调参'!$AE$32,0),IF('01_数值调参'!$AF$7&lt;=$A15,-'01_数值调参'!$AF$32,0),IF('01_数值调参'!$AG$7&lt;=$A15,-'01_数值调参'!$AG$32,0)),0),IF($A15&gt;=10,(G15+$C$3)*MAX(0,IF('01_数值调参'!$AH$7&lt;=$A15,-'01_数值调参'!$AH$32,0),IF('01_数值调参'!$AI$7&lt;=$A15,-'01_数值调参'!$AI$32,0),IF('01_数值调参'!$AJ$7&lt;=$A15,-'01_数值调参'!$AJ$32,0),IF('01_数值调参'!$AK$7&lt;=$A15,-'01_数值调参'!$AK$32,0),IF('01_数值调参'!$AL$7&lt;=$A15,-'01_数值调参'!$AL$32,0),IF('01_数值调参'!$AM$7&lt;=$A15,-'01_数值调参'!$AM$32,0)),0),0)),"队列待修正"))</x:f>
        <x:v>3</x:v>
      </x:c>
      <x:c r="W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T$7,"—",SUM(IF($A15&gt;=2,(C15+$C$3)*MAX(0,IF('01_数值调参'!$N$7&lt;=$A15,-'01_数值调参'!$N$33,0),IF('01_数值调参'!$O$7&lt;=$A15,-'01_数值调参'!$O$33,0),IF('01_数值调参'!$P$7&lt;=$A15,-'01_数值调参'!$P$33,0),IF('01_数值调参'!$Q$7&lt;=$A15,-'01_数值调参'!$Q$33,0),IF('01_数值调参'!$R$7&lt;=$A15,-'01_数值调参'!$R$33,0)),0),IF($A15&gt;=4,(D15+$C$3)*MAX(0,IF('01_数值调参'!$S$7&lt;=$A15,-'01_数值调参'!$S$33,0),IF('01_数值调参'!$T$7&lt;=$A15,0,0),IF('01_数值调参'!$U$7&lt;=$A15,-'01_数值调参'!$U$33,0),IF('01_数值调参'!$V$7&lt;=$A15,-'01_数值调参'!$V$33,0),IF('01_数值调参'!$W$7&lt;=$A15,-'01_数值调参'!$W$33,0)),0),IF($A15&gt;=6,(E15+$C$3)*MAX(0,IF('01_数值调参'!$X$7&lt;=$A15,-'01_数值调参'!$X$33,0),IF('01_数值调参'!$Y$7&lt;=$A15,-'01_数值调参'!$Y$33,0),IF('01_数值调参'!$Z$7&lt;=$A15,-'01_数值调参'!$Z$33,0),IF('01_数值调参'!$AA$7&lt;=$A15,-'01_数值调参'!$AA$33,0),IF('01_数值调参'!$AB$7&lt;=$A15,-'01_数值调参'!$AB$33,0),IF('01_数值调参'!$AC$7&lt;=$A15,-'01_数值调参'!$AC$33,0)),0),IF($A15&gt;=8,(F15+$C$3)*MAX(0,IF('01_数值调参'!$AD$7&lt;=$A15,-'01_数值调参'!$AD$33,0),IF('01_数值调参'!$AE$7&lt;=$A15,-'01_数值调参'!$AE$33,0),IF('01_数值调参'!$AF$7&lt;=$A15,-'01_数值调参'!$AF$33,0),IF('01_数值调参'!$AG$7&lt;=$A15,-'01_数值调参'!$AG$33,0)),0),IF($A15&gt;=10,(G15+$C$3)*MAX(0,IF('01_数值调参'!$AH$7&lt;=$A15,-'01_数值调参'!$AH$33,0),IF('01_数值调参'!$AI$7&lt;=$A15,-'01_数值调参'!$AI$33,0),IF('01_数值调参'!$AJ$7&lt;=$A15,-'01_数值调参'!$AJ$33,0),IF('01_数值调参'!$AK$7&lt;=$A15,-'01_数值调参'!$AK$33,0),IF('01_数值调参'!$AL$7&lt;=$A15,-'01_数值调参'!$AL$33,0),IF('01_数值调参'!$AM$7&lt;=$A15,-'01_数值调参'!$AM$33,0)),0),0)),"队列待修正"))</x:f>
        <x:v>0</x:v>
      </x:c>
      <x:c r="X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U$7,"—",SUM(IF($A15&gt;=2,(C15+$C$3)*MAX(0,IF('01_数值调参'!$N$7&lt;=$A15,-'01_数值调参'!$N$34,0),IF('01_数值调参'!$O$7&lt;=$A15,-'01_数值调参'!$O$34,0),IF('01_数值调参'!$P$7&lt;=$A15,-'01_数值调参'!$P$34,0),IF('01_数值调参'!$Q$7&lt;=$A15,-'01_数值调参'!$Q$34,0),IF('01_数值调参'!$R$7&lt;=$A15,-'01_数值调参'!$R$34,0)),0),IF($A15&gt;=4,(D15+$C$3)*MAX(0,IF('01_数值调参'!$S$7&lt;=$A15,-'01_数值调参'!$S$34,0),IF('01_数值调参'!$T$7&lt;=$A15,-'01_数值调参'!$T$34,0),IF('01_数值调参'!$U$7&lt;=$A15,0,0),IF('01_数值调参'!$V$7&lt;=$A15,-'01_数值调参'!$V$34,0),IF('01_数值调参'!$W$7&lt;=$A15,-'01_数值调参'!$W$34,0)),0),IF($A15&gt;=6,(E15+$C$3)*MAX(0,IF('01_数值调参'!$X$7&lt;=$A15,-'01_数值调参'!$X$34,0),IF('01_数值调参'!$Y$7&lt;=$A15,-'01_数值调参'!$Y$34,0),IF('01_数值调参'!$Z$7&lt;=$A15,-'01_数值调参'!$Z$34,0),IF('01_数值调参'!$AA$7&lt;=$A15,-'01_数值调参'!$AA$34,0),IF('01_数值调参'!$AB$7&lt;=$A15,-'01_数值调参'!$AB$34,0),IF('01_数值调参'!$AC$7&lt;=$A15,-'01_数值调参'!$AC$34,0)),0),IF($A15&gt;=8,(F15+$C$3)*MAX(0,IF('01_数值调参'!$AD$7&lt;=$A15,-'01_数值调参'!$AD$34,0),IF('01_数值调参'!$AE$7&lt;=$A15,-'01_数值调参'!$AE$34,0),IF('01_数值调参'!$AF$7&lt;=$A15,-'01_数值调参'!$AF$34,0),IF('01_数值调参'!$AG$7&lt;=$A15,-'01_数值调参'!$AG$34,0)),0),IF($A15&gt;=10,(G15+$C$3)*MAX(0,IF('01_数值调参'!$AH$7&lt;=$A15,-'01_数值调参'!$AH$34,0),IF('01_数值调参'!$AI$7&lt;=$A15,-'01_数值调参'!$AI$34,0),IF('01_数值调参'!$AJ$7&lt;=$A15,-'01_数值调参'!$AJ$34,0),IF('01_数值调参'!$AK$7&lt;=$A15,-'01_数值调参'!$AK$34,0),IF('01_数值调参'!$AL$7&lt;=$A15,-'01_数值调参'!$AL$34,0),IF('01_数值调参'!$AM$7&lt;=$A15,-'01_数值调参'!$AM$34,0)),0),0)),"队列待修正"))</x:f>
        <x:v>—</x:v>
      </x:c>
      <x:c r="Y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V$7,"—",SUM(IF($A15&gt;=2,(C15+$C$3)*MAX(0,IF('01_数值调参'!$N$7&lt;=$A15,-'01_数值调参'!$N$35,0),IF('01_数值调参'!$O$7&lt;=$A15,-'01_数值调参'!$O$35,0),IF('01_数值调参'!$P$7&lt;=$A15,-'01_数值调参'!$P$35,0),IF('01_数值调参'!$Q$7&lt;=$A15,-'01_数值调参'!$Q$35,0),IF('01_数值调参'!$R$7&lt;=$A15,-'01_数值调参'!$R$35,0)),0),IF($A15&gt;=4,(D15+$C$3)*MAX(0,IF('01_数值调参'!$S$7&lt;=$A15,-'01_数值调参'!$S$35,0),IF('01_数值调参'!$T$7&lt;=$A15,-'01_数值调参'!$T$35,0),IF('01_数值调参'!$U$7&lt;=$A15,-'01_数值调参'!$U$35,0),IF('01_数值调参'!$V$7&lt;=$A15,0,0),IF('01_数值调参'!$W$7&lt;=$A15,-'01_数值调参'!$W$35,0)),0),IF($A15&gt;=6,(E15+$C$3)*MAX(0,IF('01_数值调参'!$X$7&lt;=$A15,-'01_数值调参'!$X$35,0),IF('01_数值调参'!$Y$7&lt;=$A15,-'01_数值调参'!$Y$35,0),IF('01_数值调参'!$Z$7&lt;=$A15,-'01_数值调参'!$Z$35,0),IF('01_数值调参'!$AA$7&lt;=$A15,-'01_数值调参'!$AA$35,0),IF('01_数值调参'!$AB$7&lt;=$A15,-'01_数值调参'!$AB$35,0),IF('01_数值调参'!$AC$7&lt;=$A15,-'01_数值调参'!$AC$35,0)),0),IF($A15&gt;=8,(F15+$C$3)*MAX(0,IF('01_数值调参'!$AD$7&lt;=$A15,-'01_数值调参'!$AD$35,0),IF('01_数值调参'!$AE$7&lt;=$A15,-'01_数值调参'!$AE$35,0),IF('01_数值调参'!$AF$7&lt;=$A15,-'01_数值调参'!$AF$35,0),IF('01_数值调参'!$AG$7&lt;=$A15,-'01_数值调参'!$AG$35,0)),0),IF($A15&gt;=10,(G15+$C$3)*MAX(0,IF('01_数值调参'!$AH$7&lt;=$A15,-'01_数值调参'!$AH$35,0),IF('01_数值调参'!$AI$7&lt;=$A15,-'01_数值调参'!$AI$35,0),IF('01_数值调参'!$AJ$7&lt;=$A15,-'01_数值调参'!$AJ$35,0),IF('01_数值调参'!$AK$7&lt;=$A15,-'01_数值调参'!$AK$35,0),IF('01_数值调参'!$AL$7&lt;=$A15,-'01_数值调参'!$AL$35,0),IF('01_数值调参'!$AM$7&lt;=$A15,-'01_数值调参'!$AM$35,0)),0),0)),"队列待修正"))</x:f>
        <x:v>—</x:v>
      </x:c>
      <x:c r="Z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W$7,"—",SUM(IF($A15&gt;=2,(C15+$C$3)*MAX(0,IF('01_数值调参'!$N$7&lt;=$A15,-'01_数值调参'!$N$36,0),IF('01_数值调参'!$O$7&lt;=$A15,-'01_数值调参'!$O$36,0),IF('01_数值调参'!$P$7&lt;=$A15,-'01_数值调参'!$P$36,0),IF('01_数值调参'!$Q$7&lt;=$A15,-'01_数值调参'!$Q$36,0),IF('01_数值调参'!$R$7&lt;=$A15,-'01_数值调参'!$R$36,0)),0),IF($A15&gt;=4,(D15+$C$3)*MAX(0,IF('01_数值调参'!$S$7&lt;=$A15,-'01_数值调参'!$S$36,0),IF('01_数值调参'!$T$7&lt;=$A15,-'01_数值调参'!$T$36,0),IF('01_数值调参'!$U$7&lt;=$A15,-'01_数值调参'!$U$36,0),IF('01_数值调参'!$V$7&lt;=$A15,-'01_数值调参'!$V$36,0),IF('01_数值调参'!$W$7&lt;=$A15,0,0)),0),IF($A15&gt;=6,(E15+$C$3)*MAX(0,IF('01_数值调参'!$X$7&lt;=$A15,-'01_数值调参'!$X$36,0),IF('01_数值调参'!$Y$7&lt;=$A15,-'01_数值调参'!$Y$36,0),IF('01_数值调参'!$Z$7&lt;=$A15,-'01_数值调参'!$Z$36,0),IF('01_数值调参'!$AA$7&lt;=$A15,-'01_数值调参'!$AA$36,0),IF('01_数值调参'!$AB$7&lt;=$A15,-'01_数值调参'!$AB$36,0),IF('01_数值调参'!$AC$7&lt;=$A15,-'01_数值调参'!$AC$36,0)),0),IF($A15&gt;=8,(F15+$C$3)*MAX(0,IF('01_数值调参'!$AD$7&lt;=$A15,-'01_数值调参'!$AD$36,0),IF('01_数值调参'!$AE$7&lt;=$A15,-'01_数值调参'!$AE$36,0),IF('01_数值调参'!$AF$7&lt;=$A15,-'01_数值调参'!$AF$36,0),IF('01_数值调参'!$AG$7&lt;=$A15,-'01_数值调参'!$AG$36,0)),0),IF($A15&gt;=10,(G15+$C$3)*MAX(0,IF('01_数值调参'!$AH$7&lt;=$A15,-'01_数值调参'!$AH$36,0),IF('01_数值调参'!$AI$7&lt;=$A15,-'01_数值调参'!$AI$36,0),IF('01_数值调参'!$AJ$7&lt;=$A15,-'01_数值调参'!$AJ$36,0),IF('01_数值调参'!$AK$7&lt;=$A15,-'01_数值调参'!$AK$36,0),IF('01_数值调参'!$AL$7&lt;=$A15,-'01_数值调参'!$AL$36,0),IF('01_数值调参'!$AM$7&lt;=$A15,-'01_数值调参'!$AM$36,0)),0),0)),"队列待修正"))</x:f>
        <x:v>—</x:v>
      </x:c>
      <x:c r="AA15" s="191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X$7,"—",SUM(IF($A15&gt;=2,(C15+$C$3)*MAX(0,IF('01_数值调参'!$N$7&lt;=$A15,-'01_数值调参'!$N$37,0),IF('01_数值调参'!$O$7&lt;=$A15,-'01_数值调参'!$O$37,0),IF('01_数值调参'!$P$7&lt;=$A15,-'01_数值调参'!$P$37,0),IF('01_数值调参'!$Q$7&lt;=$A15,-'01_数值调参'!$Q$37,0),IF('01_数值调参'!$R$7&lt;=$A15,-'01_数值调参'!$R$37,0)),0),IF($A15&gt;=4,(D15+$C$3)*MAX(0,IF('01_数值调参'!$S$7&lt;=$A15,-'01_数值调参'!$S$37,0),IF('01_数值调参'!$T$7&lt;=$A15,-'01_数值调参'!$T$37,0),IF('01_数值调参'!$U$7&lt;=$A15,-'01_数值调参'!$U$37,0),IF('01_数值调参'!$V$7&lt;=$A15,-'01_数值调参'!$V$37,0),IF('01_数值调参'!$W$7&lt;=$A15,-'01_数值调参'!$W$37,0)),0),IF($A15&gt;=6,(E15+$C$3)*MAX(0,IF('01_数值调参'!$X$7&lt;=$A15,0,0),IF('01_数值调参'!$Y$7&lt;=$A15,-'01_数值调参'!$Y$37,0),IF('01_数值调参'!$Z$7&lt;=$A15,-'01_数值调参'!$Z$37,0),IF('01_数值调参'!$AA$7&lt;=$A15,-'01_数值调参'!$AA$37,0),IF('01_数值调参'!$AB$7&lt;=$A15,-'01_数值调参'!$AB$37,0),IF('01_数值调参'!$AC$7&lt;=$A15,-'01_数值调参'!$AC$37,0)),0),IF($A15&gt;=8,(F15+$C$3)*MAX(0,IF('01_数值调参'!$AD$7&lt;=$A15,-'01_数值调参'!$AD$37,0),IF('01_数值调参'!$AE$7&lt;=$A15,-'01_数值调参'!$AE$37,0),IF('01_数值调参'!$AF$7&lt;=$A15,-'01_数值调参'!$AF$37,0),IF('01_数值调参'!$AG$7&lt;=$A15,-'01_数值调参'!$AG$37,0)),0),IF($A15&gt;=10,(G15+$C$3)*MAX(0,IF('01_数值调参'!$AH$7&lt;=$A15,-'01_数值调参'!$AH$37,0),IF('01_数值调参'!$AI$7&lt;=$A15,-'01_数值调参'!$AI$37,0),IF('01_数值调参'!$AJ$7&lt;=$A15,-'01_数值调参'!$AJ$37,0),IF('01_数值调参'!$AK$7&lt;=$A15,-'01_数值调参'!$AK$37,0),IF('01_数值调参'!$AL$7&lt;=$A15,-'01_数值调参'!$AL$37,0),IF('01_数值调参'!$AM$7&lt;=$A15,-'01_数值调参'!$AM$37,0)),0),0)),"队列待修正"))</x:f>
        <x:v>0</x:v>
      </x:c>
      <x:c r="AB15" s="179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Y$7,"—",SUM(IF($A15&gt;=2,(C15+$C$3)*MAX(0,IF('01_数值调参'!$N$7&lt;=$A15,-'01_数值调参'!$N$38,0),IF('01_数值调参'!$O$7&lt;=$A15,-'01_数值调参'!$O$38,0),IF('01_数值调参'!$P$7&lt;=$A15,-'01_数值调参'!$P$38,0),IF('01_数值调参'!$Q$7&lt;=$A15,-'01_数值调参'!$Q$38,0),IF('01_数值调参'!$R$7&lt;=$A15,-'01_数值调参'!$R$38,0)),0),IF($A15&gt;=4,(D15+$C$3)*MAX(0,IF('01_数值调参'!$S$7&lt;=$A15,-'01_数值调参'!$S$38,0),IF('01_数值调参'!$T$7&lt;=$A15,-'01_数值调参'!$T$38,0),IF('01_数值调参'!$U$7&lt;=$A15,-'01_数值调参'!$U$38,0),IF('01_数值调参'!$V$7&lt;=$A15,-'01_数值调参'!$V$38,0),IF('01_数值调参'!$W$7&lt;=$A15,-'01_数值调参'!$W$38,0)),0),IF($A15&gt;=6,(E15+$C$3)*MAX(0,IF('01_数值调参'!$X$7&lt;=$A15,-'01_数值调参'!$X$38,0),IF('01_数值调参'!$Y$7&lt;=$A15,0,0),IF('01_数值调参'!$Z$7&lt;=$A15,-'01_数值调参'!$Z$38,0),IF('01_数值调参'!$AA$7&lt;=$A15,-'01_数值调参'!$AA$38,0),IF('01_数值调参'!$AB$7&lt;=$A15,-'01_数值调参'!$AB$38,0),IF('01_数值调参'!$AC$7&lt;=$A15,-'01_数值调参'!$AC$38,0)),0),IF($A15&gt;=8,(F15+$C$3)*MAX(0,IF('01_数值调参'!$AD$7&lt;=$A15,-'01_数值调参'!$AD$38,0),IF('01_数值调参'!$AE$7&lt;=$A15,-'01_数值调参'!$AE$38,0),IF('01_数值调参'!$AF$7&lt;=$A15,-'01_数值调参'!$AF$38,0),IF('01_数值调参'!$AG$7&lt;=$A15,-'01_数值调参'!$AG$38,0)),0),IF($A15&gt;=10,(G15+$C$3)*MAX(0,IF('01_数值调参'!$AH$7&lt;=$A15,-'01_数值调参'!$AH$38,0),IF('01_数值调参'!$AI$7&lt;=$A15,-'01_数值调参'!$AI$38,0),IF('01_数值调参'!$AJ$7&lt;=$A15,-'01_数值调参'!$AJ$38,0),IF('01_数值调参'!$AK$7&lt;=$A15,-'01_数值调参'!$AK$38,0),IF('01_数值调参'!$AL$7&lt;=$A15,-'01_数值调参'!$AL$38,0),IF('01_数值调参'!$AM$7&lt;=$A15,-'01_数值调参'!$AM$38,0)),0),0)),"队列待修正"))</x:f>
        <x:v>0</x:v>
      </x:c>
      <x:c r="AC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Z$7,"—",SUM(IF($A15&gt;=2,(C15+$C$3)*MAX(0,IF('01_数值调参'!$N$7&lt;=$A15,-'01_数值调参'!$N$39,0),IF('01_数值调参'!$O$7&lt;=$A15,-'01_数值调参'!$O$39,0),IF('01_数值调参'!$P$7&lt;=$A15,-'01_数值调参'!$P$39,0),IF('01_数值调参'!$Q$7&lt;=$A15,-'01_数值调参'!$Q$39,0),IF('01_数值调参'!$R$7&lt;=$A15,-'01_数值调参'!$R$39,0)),0),IF($A15&gt;=4,(D15+$C$3)*MAX(0,IF('01_数值调参'!$S$7&lt;=$A15,-'01_数值调参'!$S$39,0),IF('01_数值调参'!$T$7&lt;=$A15,-'01_数值调参'!$T$39,0),IF('01_数值调参'!$U$7&lt;=$A15,-'01_数值调参'!$U$39,0),IF('01_数值调参'!$V$7&lt;=$A15,-'01_数值调参'!$V$39,0),IF('01_数值调参'!$W$7&lt;=$A15,-'01_数值调参'!$W$39,0)),0),IF($A15&gt;=6,(E15+$C$3)*MAX(0,IF('01_数值调参'!$X$7&lt;=$A15,-'01_数值调参'!$X$39,0),IF('01_数值调参'!$Y$7&lt;=$A15,-'01_数值调参'!$Y$39,0),IF('01_数值调参'!$Z$7&lt;=$A15,0,0),IF('01_数值调参'!$AA$7&lt;=$A15,-'01_数值调参'!$AA$39,0),IF('01_数值调参'!$AB$7&lt;=$A15,-'01_数值调参'!$AB$39,0),IF('01_数值调参'!$AC$7&lt;=$A15,-'01_数值调参'!$AC$39,0)),0),IF($A15&gt;=8,(F15+$C$3)*MAX(0,IF('01_数值调参'!$AD$7&lt;=$A15,-'01_数值调参'!$AD$39,0),IF('01_数值调参'!$AE$7&lt;=$A15,-'01_数值调参'!$AE$39,0),IF('01_数值调参'!$AF$7&lt;=$A15,-'01_数值调参'!$AF$39,0),IF('01_数值调参'!$AG$7&lt;=$A15,-'01_数值调参'!$AG$39,0)),0),IF($A15&gt;=10,(G15+$C$3)*MAX(0,IF('01_数值调参'!$AH$7&lt;=$A15,-'01_数值调参'!$AH$39,0),IF('01_数值调参'!$AI$7&lt;=$A15,-'01_数值调参'!$AI$39,0),IF('01_数值调参'!$AJ$7&lt;=$A15,-'01_数值调参'!$AJ$39,0),IF('01_数值调参'!$AK$7&lt;=$A15,-'01_数值调参'!$AK$39,0),IF('01_数值调参'!$AL$7&lt;=$A15,-'01_数值调参'!$AL$39,0),IF('01_数值调参'!$AM$7&lt;=$A15,-'01_数值调参'!$AM$39,0)),0),0)),"队列待修正"))</x:f>
        <x:v>—</x:v>
      </x:c>
      <x:c r="AD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A$7,"—",SUM(IF($A15&gt;=2,(C15+$C$3)*MAX(0,IF('01_数值调参'!$N$7&lt;=$A15,-'01_数值调参'!$N$40,0),IF('01_数值调参'!$O$7&lt;=$A15,-'01_数值调参'!$O$40,0),IF('01_数值调参'!$P$7&lt;=$A15,-'01_数值调参'!$P$40,0),IF('01_数值调参'!$Q$7&lt;=$A15,-'01_数值调参'!$Q$40,0),IF('01_数值调参'!$R$7&lt;=$A15,-'01_数值调参'!$R$40,0)),0),IF($A15&gt;=4,(D15+$C$3)*MAX(0,IF('01_数值调参'!$S$7&lt;=$A15,-'01_数值调参'!$S$40,0),IF('01_数值调参'!$T$7&lt;=$A15,-'01_数值调参'!$T$40,0),IF('01_数值调参'!$U$7&lt;=$A15,-'01_数值调参'!$U$40,0),IF('01_数值调参'!$V$7&lt;=$A15,-'01_数值调参'!$V$40,0),IF('01_数值调参'!$W$7&lt;=$A15,-'01_数值调参'!$W$40,0)),0),IF($A15&gt;=6,(E15+$C$3)*MAX(0,IF('01_数值调参'!$X$7&lt;=$A15,-'01_数值调参'!$X$40,0),IF('01_数值调参'!$Y$7&lt;=$A15,-'01_数值调参'!$Y$40,0),IF('01_数值调参'!$Z$7&lt;=$A15,-'01_数值调参'!$Z$40,0),IF('01_数值调参'!$AA$7&lt;=$A15,0,0),IF('01_数值调参'!$AB$7&lt;=$A15,-'01_数值调参'!$AB$40,0),IF('01_数值调参'!$AC$7&lt;=$A15,-'01_数值调参'!$AC$40,0)),0),IF($A15&gt;=8,(F15+$C$3)*MAX(0,IF('01_数值调参'!$AD$7&lt;=$A15,-'01_数值调参'!$AD$40,0),IF('01_数值调参'!$AE$7&lt;=$A15,-'01_数值调参'!$AE$40,0),IF('01_数值调参'!$AF$7&lt;=$A15,-'01_数值调参'!$AF$40,0),IF('01_数值调参'!$AG$7&lt;=$A15,-'01_数值调参'!$AG$40,0)),0),IF($A15&gt;=10,(G15+$C$3)*MAX(0,IF('01_数值调参'!$AH$7&lt;=$A15,-'01_数值调参'!$AH$40,0),IF('01_数值调参'!$AI$7&lt;=$A15,-'01_数值调参'!$AI$40,0),IF('01_数值调参'!$AJ$7&lt;=$A15,-'01_数值调参'!$AJ$40,0),IF('01_数值调参'!$AK$7&lt;=$A15,-'01_数值调参'!$AK$40,0),IF('01_数值调参'!$AL$7&lt;=$A15,-'01_数值调参'!$AL$40,0),IF('01_数值调参'!$AM$7&lt;=$A15,-'01_数值调参'!$AM$40,0)),0),0)),"队列待修正"))</x:f>
        <x:v>—</x:v>
      </x:c>
      <x:c r="AE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B$7,"—",SUM(IF($A15&gt;=2,(C15+$C$3)*MAX(0,IF('01_数值调参'!$N$7&lt;=$A15,-'01_数值调参'!$N$41,0),IF('01_数值调参'!$O$7&lt;=$A15,-'01_数值调参'!$O$41,0),IF('01_数值调参'!$P$7&lt;=$A15,-'01_数值调参'!$P$41,0),IF('01_数值调参'!$Q$7&lt;=$A15,-'01_数值调参'!$Q$41,0),IF('01_数值调参'!$R$7&lt;=$A15,-'01_数值调参'!$R$41,0)),0),IF($A15&gt;=4,(D15+$C$3)*MAX(0,IF('01_数值调参'!$S$7&lt;=$A15,-'01_数值调参'!$S$41,0),IF('01_数值调参'!$T$7&lt;=$A15,-'01_数值调参'!$T$41,0),IF('01_数值调参'!$U$7&lt;=$A15,-'01_数值调参'!$U$41,0),IF('01_数值调参'!$V$7&lt;=$A15,-'01_数值调参'!$V$41,0),IF('01_数值调参'!$W$7&lt;=$A15,-'01_数值调参'!$W$41,0)),0),IF($A15&gt;=6,(E15+$C$3)*MAX(0,IF('01_数值调参'!$X$7&lt;=$A15,-'01_数值调参'!$X$41,0),IF('01_数值调参'!$Y$7&lt;=$A15,-'01_数值调参'!$Y$41,0),IF('01_数值调参'!$Z$7&lt;=$A15,-'01_数值调参'!$Z$41,0),IF('01_数值调参'!$AA$7&lt;=$A15,-'01_数值调参'!$AA$41,0),IF('01_数值调参'!$AB$7&lt;=$A15,0,0),IF('01_数值调参'!$AC$7&lt;=$A15,-'01_数值调参'!$AC$41,0)),0),IF($A15&gt;=8,(F15+$C$3)*MAX(0,IF('01_数值调参'!$AD$7&lt;=$A15,-'01_数值调参'!$AD$41,0),IF('01_数值调参'!$AE$7&lt;=$A15,-'01_数值调参'!$AE$41,0),IF('01_数值调参'!$AF$7&lt;=$A15,-'01_数值调参'!$AF$41,0),IF('01_数值调参'!$AG$7&lt;=$A15,-'01_数值调参'!$AG$41,0)),0),IF($A15&gt;=10,(G15+$C$3)*MAX(0,IF('01_数值调参'!$AH$7&lt;=$A15,-'01_数值调参'!$AH$41,0),IF('01_数值调参'!$AI$7&lt;=$A15,-'01_数值调参'!$AI$41,0),IF('01_数值调参'!$AJ$7&lt;=$A15,-'01_数值调参'!$AJ$41,0),IF('01_数值调参'!$AK$7&lt;=$A15,-'01_数值调参'!$AK$41,0),IF('01_数值调参'!$AL$7&lt;=$A15,-'01_数值调参'!$AL$41,0),IF('01_数值调参'!$AM$7&lt;=$A15,-'01_数值调参'!$AM$41,0)),0),0)),"队列待修正"))</x:f>
        <x:v>—</x:v>
      </x:c>
      <x:c r="AF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C$7,"—",SUM(IF($A15&gt;=2,(C15+$C$3)*MAX(0,IF('01_数值调参'!$N$7&lt;=$A15,-'01_数值调参'!$N$42,0),IF('01_数值调参'!$O$7&lt;=$A15,-'01_数值调参'!$O$42,0),IF('01_数值调参'!$P$7&lt;=$A15,-'01_数值调参'!$P$42,0),IF('01_数值调参'!$Q$7&lt;=$A15,-'01_数值调参'!$Q$42,0),IF('01_数值调参'!$R$7&lt;=$A15,-'01_数值调参'!$R$42,0)),0),IF($A15&gt;=4,(D15+$C$3)*MAX(0,IF('01_数值调参'!$S$7&lt;=$A15,-'01_数值调参'!$S$42,0),IF('01_数值调参'!$T$7&lt;=$A15,-'01_数值调参'!$T$42,0),IF('01_数值调参'!$U$7&lt;=$A15,-'01_数值调参'!$U$42,0),IF('01_数值调参'!$V$7&lt;=$A15,-'01_数值调参'!$V$42,0),IF('01_数值调参'!$W$7&lt;=$A15,-'01_数值调参'!$W$42,0)),0),IF($A15&gt;=6,(E15+$C$3)*MAX(0,IF('01_数值调参'!$X$7&lt;=$A15,-'01_数值调参'!$X$42,0),IF('01_数值调参'!$Y$7&lt;=$A15,-'01_数值调参'!$Y$42,0),IF('01_数值调参'!$Z$7&lt;=$A15,-'01_数值调参'!$Z$42,0),IF('01_数值调参'!$AA$7&lt;=$A15,-'01_数值调参'!$AA$42,0),IF('01_数值调参'!$AB$7&lt;=$A15,-'01_数值调参'!$AB$42,0),IF('01_数值调参'!$AC$7&lt;=$A15,0,0)),0),IF($A15&gt;=8,(F15+$C$3)*MAX(0,IF('01_数值调参'!$AD$7&lt;=$A15,-'01_数值调参'!$AD$42,0),IF('01_数值调参'!$AE$7&lt;=$A15,-'01_数值调参'!$AE$42,0),IF('01_数值调参'!$AF$7&lt;=$A15,-'01_数值调参'!$AF$42,0),IF('01_数值调参'!$AG$7&lt;=$A15,-'01_数值调参'!$AG$42,0)),0),IF($A15&gt;=10,(G15+$C$3)*MAX(0,IF('01_数值调参'!$AH$7&lt;=$A15,-'01_数值调参'!$AH$42,0),IF('01_数值调参'!$AI$7&lt;=$A15,-'01_数值调参'!$AI$42,0),IF('01_数值调参'!$AJ$7&lt;=$A15,-'01_数值调参'!$AJ$42,0),IF('01_数值调参'!$AK$7&lt;=$A15,-'01_数值调参'!$AK$42,0),IF('01_数值调参'!$AL$7&lt;=$A15,-'01_数值调参'!$AL$42,0),IF('01_数值调参'!$AM$7&lt;=$A15,-'01_数值调参'!$AM$42,0)),0),0)),"队列待修正"))</x:f>
        <x:v>—</x:v>
      </x:c>
      <x:c r="AG15" s="191" t="n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D$7,"—",SUM(IF($A15&gt;=2,(C15+$C$3)*MAX(0,IF('01_数值调参'!$N$7&lt;=$A15,-'01_数值调参'!$N$43,0),IF('01_数值调参'!$O$7&lt;=$A15,-'01_数值调参'!$O$43,0),IF('01_数值调参'!$P$7&lt;=$A15,-'01_数值调参'!$P$43,0),IF('01_数值调参'!$Q$7&lt;=$A15,-'01_数值调参'!$Q$43,0),IF('01_数值调参'!$R$7&lt;=$A15,-'01_数值调参'!$R$43,0)),0),IF($A15&gt;=4,(D15+$C$3)*MAX(0,IF('01_数值调参'!$S$7&lt;=$A15,-'01_数值调参'!$S$43,0),IF('01_数值调参'!$T$7&lt;=$A15,-'01_数值调参'!$T$43,0),IF('01_数值调参'!$U$7&lt;=$A15,-'01_数值调参'!$U$43,0),IF('01_数值调参'!$V$7&lt;=$A15,-'01_数值调参'!$V$43,0),IF('01_数值调参'!$W$7&lt;=$A15,-'01_数值调参'!$W$43,0)),0),IF($A15&gt;=6,(E15+$C$3)*MAX(0,IF('01_数值调参'!$X$7&lt;=$A15,-'01_数值调参'!$X$43,0),IF('01_数值调参'!$Y$7&lt;=$A15,-'01_数值调参'!$Y$43,0),IF('01_数值调参'!$Z$7&lt;=$A15,-'01_数值调参'!$Z$43,0),IF('01_数值调参'!$AA$7&lt;=$A15,-'01_数值调参'!$AA$43,0),IF('01_数值调参'!$AB$7&lt;=$A15,-'01_数值调参'!$AB$43,0),IF('01_数值调参'!$AC$7&lt;=$A15,-'01_数值调参'!$AC$43,0)),0),IF($A15&gt;=8,(F15+$C$3)*MAX(0,IF('01_数值调参'!$AD$7&lt;=$A15,0,0),IF('01_数值调参'!$AE$7&lt;=$A15,-'01_数值调参'!$AE$43,0),IF('01_数值调参'!$AF$7&lt;=$A15,-'01_数值调参'!$AF$43,0),IF('01_数值调参'!$AG$7&lt;=$A15,-'01_数值调参'!$AG$43,0)),0),IF($A15&gt;=10,(G15+$C$3)*MAX(0,IF('01_数值调参'!$AH$7&lt;=$A15,-'01_数值调参'!$AH$43,0),IF('01_数值调参'!$AI$7&lt;=$A15,-'01_数值调参'!$AI$43,0),IF('01_数值调参'!$AJ$7&lt;=$A15,-'01_数值调参'!$AJ$43,0),IF('01_数值调参'!$AK$7&lt;=$A15,-'01_数值调参'!$AK$43,0),IF('01_数值调参'!$AL$7&lt;=$A15,-'01_数值调参'!$AL$43,0),IF('01_数值调参'!$AM$7&lt;=$A15,-'01_数值调参'!$AM$43,0)),0),0)),"队列待修正"))</x:f>
        <x:v>0</x:v>
      </x:c>
      <x:c r="AH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E$7,"—",SUM(IF($A15&gt;=2,(C15+$C$3)*MAX(0,IF('01_数值调参'!$N$7&lt;=$A15,-'01_数值调参'!$N$44,0),IF('01_数值调参'!$O$7&lt;=$A15,-'01_数值调参'!$O$44,0),IF('01_数值调参'!$P$7&lt;=$A15,-'01_数值调参'!$P$44,0),IF('01_数值调参'!$Q$7&lt;=$A15,-'01_数值调参'!$Q$44,0),IF('01_数值调参'!$R$7&lt;=$A15,-'01_数值调参'!$R$44,0)),0),IF($A15&gt;=4,(D15+$C$3)*MAX(0,IF('01_数值调参'!$S$7&lt;=$A15,-'01_数值调参'!$S$44,0),IF('01_数值调参'!$T$7&lt;=$A15,-'01_数值调参'!$T$44,0),IF('01_数值调参'!$U$7&lt;=$A15,-'01_数值调参'!$U$44,0),IF('01_数值调参'!$V$7&lt;=$A15,-'01_数值调参'!$V$44,0),IF('01_数值调参'!$W$7&lt;=$A15,-'01_数值调参'!$W$44,0)),0),IF($A15&gt;=6,(E15+$C$3)*MAX(0,IF('01_数值调参'!$X$7&lt;=$A15,-'01_数值调参'!$X$44,0),IF('01_数值调参'!$Y$7&lt;=$A15,-'01_数值调参'!$Y$44,0),IF('01_数值调参'!$Z$7&lt;=$A15,-'01_数值调参'!$Z$44,0),IF('01_数值调参'!$AA$7&lt;=$A15,-'01_数值调参'!$AA$44,0),IF('01_数值调参'!$AB$7&lt;=$A15,-'01_数值调参'!$AB$44,0),IF('01_数值调参'!$AC$7&lt;=$A15,-'01_数值调参'!$AC$44,0)),0),IF($A15&gt;=8,(F15+$C$3)*MAX(0,IF('01_数值调参'!$AD$7&lt;=$A15,-'01_数值调参'!$AD$44,0),IF('01_数值调参'!$AE$7&lt;=$A15,0,0),IF('01_数值调参'!$AF$7&lt;=$A15,-'01_数值调参'!$AF$44,0),IF('01_数值调参'!$AG$7&lt;=$A15,-'01_数值调参'!$AG$44,0)),0),IF($A15&gt;=10,(G15+$C$3)*MAX(0,IF('01_数值调参'!$AH$7&lt;=$A15,-'01_数值调参'!$AH$44,0),IF('01_数值调参'!$AI$7&lt;=$A15,-'01_数值调参'!$AI$44,0),IF('01_数值调参'!$AJ$7&lt;=$A15,-'01_数值调参'!$AJ$44,0),IF('01_数值调参'!$AK$7&lt;=$A15,-'01_数值调参'!$AK$44,0),IF('01_数值调参'!$AL$7&lt;=$A15,-'01_数值调参'!$AL$44,0),IF('01_数值调参'!$AM$7&lt;=$A15,-'01_数值调参'!$AM$44,0)),0),0)),"队列待修正"))</x:f>
        <x:v>—</x:v>
      </x:c>
      <x:c r="AI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F$7,"—",SUM(IF($A15&gt;=2,(C15+$C$3)*MAX(0,IF('01_数值调参'!$N$7&lt;=$A15,-'01_数值调参'!$N$45,0),IF('01_数值调参'!$O$7&lt;=$A15,-'01_数值调参'!$O$45,0),IF('01_数值调参'!$P$7&lt;=$A15,-'01_数值调参'!$P$45,0),IF('01_数值调参'!$Q$7&lt;=$A15,-'01_数值调参'!$Q$45,0),IF('01_数值调参'!$R$7&lt;=$A15,-'01_数值调参'!$R$45,0)),0),IF($A15&gt;=4,(D15+$C$3)*MAX(0,IF('01_数值调参'!$S$7&lt;=$A15,-'01_数值调参'!$S$45,0),IF('01_数值调参'!$T$7&lt;=$A15,-'01_数值调参'!$T$45,0),IF('01_数值调参'!$U$7&lt;=$A15,-'01_数值调参'!$U$45,0),IF('01_数值调参'!$V$7&lt;=$A15,-'01_数值调参'!$V$45,0),IF('01_数值调参'!$W$7&lt;=$A15,-'01_数值调参'!$W$45,0)),0),IF($A15&gt;=6,(E15+$C$3)*MAX(0,IF('01_数值调参'!$X$7&lt;=$A15,-'01_数值调参'!$X$45,0),IF('01_数值调参'!$Y$7&lt;=$A15,-'01_数值调参'!$Y$45,0),IF('01_数值调参'!$Z$7&lt;=$A15,-'01_数值调参'!$Z$45,0),IF('01_数值调参'!$AA$7&lt;=$A15,-'01_数值调参'!$AA$45,0),IF('01_数值调参'!$AB$7&lt;=$A15,-'01_数值调参'!$AB$45,0),IF('01_数值调参'!$AC$7&lt;=$A15,-'01_数值调参'!$AC$45,0)),0),IF($A15&gt;=8,(F15+$C$3)*MAX(0,IF('01_数值调参'!$AD$7&lt;=$A15,-'01_数值调参'!$AD$45,0),IF('01_数值调参'!$AE$7&lt;=$A15,-'01_数值调参'!$AE$45,0),IF('01_数值调参'!$AF$7&lt;=$A15,0,0),IF('01_数值调参'!$AG$7&lt;=$A15,-'01_数值调参'!$AG$45,0)),0),IF($A15&gt;=10,(G15+$C$3)*MAX(0,IF('01_数值调参'!$AH$7&lt;=$A15,-'01_数值调参'!$AH$45,0),IF('01_数值调参'!$AI$7&lt;=$A15,-'01_数值调参'!$AI$45,0),IF('01_数值调参'!$AJ$7&lt;=$A15,-'01_数值调参'!$AJ$45,0),IF('01_数值调参'!$AK$7&lt;=$A15,-'01_数值调参'!$AK$45,0),IF('01_数值调参'!$AL$7&lt;=$A15,-'01_数值调参'!$AL$45,0),IF('01_数值调参'!$AM$7&lt;=$A15,-'01_数值调参'!$AM$45,0)),0),0)),"队列待修正"))</x:f>
        <x:v>—</x:v>
      </x:c>
      <x:c r="AJ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G$7,"—",SUM(IF($A15&gt;=2,(C15+$C$3)*MAX(0,IF('01_数值调参'!$N$7&lt;=$A15,-'01_数值调参'!$N$46,0),IF('01_数值调参'!$O$7&lt;=$A15,-'01_数值调参'!$O$46,0),IF('01_数值调参'!$P$7&lt;=$A15,-'01_数值调参'!$P$46,0),IF('01_数值调参'!$Q$7&lt;=$A15,-'01_数值调参'!$Q$46,0),IF('01_数值调参'!$R$7&lt;=$A15,-'01_数值调参'!$R$46,0)),0),IF($A15&gt;=4,(D15+$C$3)*MAX(0,IF('01_数值调参'!$S$7&lt;=$A15,-'01_数值调参'!$S$46,0),IF('01_数值调参'!$T$7&lt;=$A15,-'01_数值调参'!$T$46,0),IF('01_数值调参'!$U$7&lt;=$A15,-'01_数值调参'!$U$46,0),IF('01_数值调参'!$V$7&lt;=$A15,-'01_数值调参'!$V$46,0),IF('01_数值调参'!$W$7&lt;=$A15,-'01_数值调参'!$W$46,0)),0),IF($A15&gt;=6,(E15+$C$3)*MAX(0,IF('01_数值调参'!$X$7&lt;=$A15,-'01_数值调参'!$X$46,0),IF('01_数值调参'!$Y$7&lt;=$A15,-'01_数值调参'!$Y$46,0),IF('01_数值调参'!$Z$7&lt;=$A15,-'01_数值调参'!$Z$46,0),IF('01_数值调参'!$AA$7&lt;=$A15,-'01_数值调参'!$AA$46,0),IF('01_数值调参'!$AB$7&lt;=$A15,-'01_数值调参'!$AB$46,0),IF('01_数值调参'!$AC$7&lt;=$A15,-'01_数值调参'!$AC$46,0)),0),IF($A15&gt;=8,(F15+$C$3)*MAX(0,IF('01_数值调参'!$AD$7&lt;=$A15,-'01_数值调参'!$AD$46,0),IF('01_数值调参'!$AE$7&lt;=$A15,-'01_数值调参'!$AE$46,0),IF('01_数值调参'!$AF$7&lt;=$A15,-'01_数值调参'!$AF$46,0),IF('01_数值调参'!$AG$7&lt;=$A15,0,0)),0),IF($A15&gt;=10,(G15+$C$3)*MAX(0,IF('01_数值调参'!$AH$7&lt;=$A15,-'01_数值调参'!$AH$46,0),IF('01_数值调参'!$AI$7&lt;=$A15,-'01_数值调参'!$AI$46,0),IF('01_数值调参'!$AJ$7&lt;=$A15,-'01_数值调参'!$AJ$46,0),IF('01_数值调参'!$AK$7&lt;=$A15,-'01_数值调参'!$AK$46,0),IF('01_数值调参'!$AL$7&lt;=$A15,-'01_数值调参'!$AL$46,0),IF('01_数值调参'!$AM$7&lt;=$A15,-'01_数值调参'!$AM$46,0)),0),0)),"队列待修正"))</x:f>
        <x:v>—</x:v>
      </x:c>
      <x:c r="AK15" s="191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H$7,"—",SUM(IF($A15&gt;=2,(C15+$C$3)*MAX(0,IF('01_数值调参'!$N$7&lt;=$A15,-'01_数值调参'!$N$47,0),IF('01_数值调参'!$O$7&lt;=$A15,-'01_数值调参'!$O$47,0),IF('01_数值调参'!$P$7&lt;=$A15,-'01_数值调参'!$P$47,0),IF('01_数值调参'!$Q$7&lt;=$A15,-'01_数值调参'!$Q$47,0),IF('01_数值调参'!$R$7&lt;=$A15,-'01_数值调参'!$R$47,0)),0),IF($A15&gt;=4,(D15+$C$3)*MAX(0,IF('01_数值调参'!$S$7&lt;=$A15,-'01_数值调参'!$S$47,0),IF('01_数值调参'!$T$7&lt;=$A15,-'01_数值调参'!$T$47,0),IF('01_数值调参'!$U$7&lt;=$A15,-'01_数值调参'!$U$47,0),IF('01_数值调参'!$V$7&lt;=$A15,-'01_数值调参'!$V$47,0),IF('01_数值调参'!$W$7&lt;=$A15,-'01_数值调参'!$W$47,0)),0),IF($A15&gt;=6,(E15+$C$3)*MAX(0,IF('01_数值调参'!$X$7&lt;=$A15,-'01_数值调参'!$X$47,0),IF('01_数值调参'!$Y$7&lt;=$A15,-'01_数值调参'!$Y$47,0),IF('01_数值调参'!$Z$7&lt;=$A15,-'01_数值调参'!$Z$47,0),IF('01_数值调参'!$AA$7&lt;=$A15,-'01_数值调参'!$AA$47,0),IF('01_数值调参'!$AB$7&lt;=$A15,-'01_数值调参'!$AB$47,0),IF('01_数值调参'!$AC$7&lt;=$A15,-'01_数值调参'!$AC$47,0)),0),IF($A15&gt;=8,(F15+$C$3)*MAX(0,IF('01_数值调参'!$AD$7&lt;=$A15,-'01_数值调参'!$AD$47,0),IF('01_数值调参'!$AE$7&lt;=$A15,-'01_数值调参'!$AE$47,0),IF('01_数值调参'!$AF$7&lt;=$A15,-'01_数值调参'!$AF$47,0),IF('01_数值调参'!$AG$7&lt;=$A15,-'01_数值调参'!$AG$47,0)),0),IF($A15&gt;=10,(G15+$C$3)*MAX(0,IF('01_数值调参'!$AH$7&lt;=$A15,0,0),IF('01_数值调参'!$AI$7&lt;=$A15,-'01_数值调参'!$AI$47,0),IF('01_数值调参'!$AJ$7&lt;=$A15,-'01_数值调参'!$AJ$47,0),IF('01_数值调参'!$AK$7&lt;=$A15,-'01_数值调参'!$AK$47,0),IF('01_数值调参'!$AL$7&lt;=$A15,-'01_数值调参'!$AL$47,0),IF('01_数值调参'!$AM$7&lt;=$A15,-'01_数值调参'!$AM$47,0)),0),0)),"队列待修正"))</x:f>
        <x:v>—</x:v>
      </x:c>
      <x:c r="AL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I$7,"—",SUM(IF($A15&gt;=2,(C15+$C$3)*MAX(0,IF('01_数值调参'!$N$7&lt;=$A15,-'01_数值调参'!$N$48,0),IF('01_数值调参'!$O$7&lt;=$A15,-'01_数值调参'!$O$48,0),IF('01_数值调参'!$P$7&lt;=$A15,-'01_数值调参'!$P$48,0),IF('01_数值调参'!$Q$7&lt;=$A15,-'01_数值调参'!$Q$48,0),IF('01_数值调参'!$R$7&lt;=$A15,-'01_数值调参'!$R$48,0)),0),IF($A15&gt;=4,(D15+$C$3)*MAX(0,IF('01_数值调参'!$S$7&lt;=$A15,-'01_数值调参'!$S$48,0),IF('01_数值调参'!$T$7&lt;=$A15,-'01_数值调参'!$T$48,0),IF('01_数值调参'!$U$7&lt;=$A15,-'01_数值调参'!$U$48,0),IF('01_数值调参'!$V$7&lt;=$A15,-'01_数值调参'!$V$48,0),IF('01_数值调参'!$W$7&lt;=$A15,-'01_数值调参'!$W$48,0)),0),IF($A15&gt;=6,(E15+$C$3)*MAX(0,IF('01_数值调参'!$X$7&lt;=$A15,-'01_数值调参'!$X$48,0),IF('01_数值调参'!$Y$7&lt;=$A15,-'01_数值调参'!$Y$48,0),IF('01_数值调参'!$Z$7&lt;=$A15,-'01_数值调参'!$Z$48,0),IF('01_数值调参'!$AA$7&lt;=$A15,-'01_数值调参'!$AA$48,0),IF('01_数值调参'!$AB$7&lt;=$A15,-'01_数值调参'!$AB$48,0),IF('01_数值调参'!$AC$7&lt;=$A15,-'01_数值调参'!$AC$48,0)),0),IF($A15&gt;=8,(F15+$C$3)*MAX(0,IF('01_数值调参'!$AD$7&lt;=$A15,-'01_数值调参'!$AD$48,0),IF('01_数值调参'!$AE$7&lt;=$A15,-'01_数值调参'!$AE$48,0),IF('01_数值调参'!$AF$7&lt;=$A15,-'01_数值调参'!$AF$48,0),IF('01_数值调参'!$AG$7&lt;=$A15,-'01_数值调参'!$AG$48,0)),0),IF($A15&gt;=10,(G15+$C$3)*MAX(0,IF('01_数值调参'!$AH$7&lt;=$A15,-'01_数值调参'!$AH$48,0),IF('01_数值调参'!$AI$7&lt;=$A15,0,0),IF('01_数值调参'!$AJ$7&lt;=$A15,-'01_数值调参'!$AJ$48,0),IF('01_数值调参'!$AK$7&lt;=$A15,-'01_数值调参'!$AK$48,0),IF('01_数值调参'!$AL$7&lt;=$A15,-'01_数值调参'!$AL$48,0),IF('01_数值调参'!$AM$7&lt;=$A15,-'01_数值调参'!$AM$48,0)),0),0)),"队列待修正"))</x:f>
        <x:v>—</x:v>
      </x:c>
      <x:c r="AM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J$7,"—",SUM(IF($A15&gt;=2,(C15+$C$3)*MAX(0,IF('01_数值调参'!$N$7&lt;=$A15,-'01_数值调参'!$N$49,0),IF('01_数值调参'!$O$7&lt;=$A15,-'01_数值调参'!$O$49,0),IF('01_数值调参'!$P$7&lt;=$A15,-'01_数值调参'!$P$49,0),IF('01_数值调参'!$Q$7&lt;=$A15,-'01_数值调参'!$Q$49,0),IF('01_数值调参'!$R$7&lt;=$A15,-'01_数值调参'!$R$49,0)),0),IF($A15&gt;=4,(D15+$C$3)*MAX(0,IF('01_数值调参'!$S$7&lt;=$A15,-'01_数值调参'!$S$49,0),IF('01_数值调参'!$T$7&lt;=$A15,-'01_数值调参'!$T$49,0),IF('01_数值调参'!$U$7&lt;=$A15,-'01_数值调参'!$U$49,0),IF('01_数值调参'!$V$7&lt;=$A15,-'01_数值调参'!$V$49,0),IF('01_数值调参'!$W$7&lt;=$A15,-'01_数值调参'!$W$49,0)),0),IF($A15&gt;=6,(E15+$C$3)*MAX(0,IF('01_数值调参'!$X$7&lt;=$A15,-'01_数值调参'!$X$49,0),IF('01_数值调参'!$Y$7&lt;=$A15,-'01_数值调参'!$Y$49,0),IF('01_数值调参'!$Z$7&lt;=$A15,-'01_数值调参'!$Z$49,0),IF('01_数值调参'!$AA$7&lt;=$A15,-'01_数值调参'!$AA$49,0),IF('01_数值调参'!$AB$7&lt;=$A15,-'01_数值调参'!$AB$49,0),IF('01_数值调参'!$AC$7&lt;=$A15,-'01_数值调参'!$AC$49,0)),0),IF($A15&gt;=8,(F15+$C$3)*MAX(0,IF('01_数值调参'!$AD$7&lt;=$A15,-'01_数值调参'!$AD$49,0),IF('01_数值调参'!$AE$7&lt;=$A15,-'01_数值调参'!$AE$49,0),IF('01_数值调参'!$AF$7&lt;=$A15,-'01_数值调参'!$AF$49,0),IF('01_数值调参'!$AG$7&lt;=$A15,-'01_数值调参'!$AG$49,0)),0),IF($A15&gt;=10,(G15+$C$3)*MAX(0,IF('01_数值调参'!$AH$7&lt;=$A15,-'01_数值调参'!$AH$49,0),IF('01_数值调参'!$AI$7&lt;=$A15,-'01_数值调参'!$AI$49,0),IF('01_数值调参'!$AJ$7&lt;=$A15,0,0),IF('01_数值调参'!$AK$7&lt;=$A15,-'01_数值调参'!$AK$49,0),IF('01_数值调参'!$AL$7&lt;=$A15,-'01_数值调参'!$AL$49,0),IF('01_数值调参'!$AM$7&lt;=$A15,-'01_数值调参'!$AM$49,0)),0),0)),"队列待修正"))</x:f>
        <x:v>—</x:v>
      </x:c>
      <x:c r="AN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K$7,"—",SUM(IF($A15&gt;=2,(C15+$C$3)*MAX(0,IF('01_数值调参'!$N$7&lt;=$A15,-'01_数值调参'!$N$50,0),IF('01_数值调参'!$O$7&lt;=$A15,-'01_数值调参'!$O$50,0),IF('01_数值调参'!$P$7&lt;=$A15,-'01_数值调参'!$P$50,0),IF('01_数值调参'!$Q$7&lt;=$A15,-'01_数值调参'!$Q$50,0),IF('01_数值调参'!$R$7&lt;=$A15,-'01_数值调参'!$R$50,0)),0),IF($A15&gt;=4,(D15+$C$3)*MAX(0,IF('01_数值调参'!$S$7&lt;=$A15,-'01_数值调参'!$S$50,0),IF('01_数值调参'!$T$7&lt;=$A15,-'01_数值调参'!$T$50,0),IF('01_数值调参'!$U$7&lt;=$A15,-'01_数值调参'!$U$50,0),IF('01_数值调参'!$V$7&lt;=$A15,-'01_数值调参'!$V$50,0),IF('01_数值调参'!$W$7&lt;=$A15,-'01_数值调参'!$W$50,0)),0),IF($A15&gt;=6,(E15+$C$3)*MAX(0,IF('01_数值调参'!$X$7&lt;=$A15,-'01_数值调参'!$X$50,0),IF('01_数值调参'!$Y$7&lt;=$A15,-'01_数值调参'!$Y$50,0),IF('01_数值调参'!$Z$7&lt;=$A15,-'01_数值调参'!$Z$50,0),IF('01_数值调参'!$AA$7&lt;=$A15,-'01_数值调参'!$AA$50,0),IF('01_数值调参'!$AB$7&lt;=$A15,-'01_数值调参'!$AB$50,0),IF('01_数值调参'!$AC$7&lt;=$A15,-'01_数值调参'!$AC$50,0)),0),IF($A15&gt;=8,(F15+$C$3)*MAX(0,IF('01_数值调参'!$AD$7&lt;=$A15,-'01_数值调参'!$AD$50,0),IF('01_数值调参'!$AE$7&lt;=$A15,-'01_数值调参'!$AE$50,0),IF('01_数值调参'!$AF$7&lt;=$A15,-'01_数值调参'!$AF$50,0),IF('01_数值调参'!$AG$7&lt;=$A15,-'01_数值调参'!$AG$50,0)),0),IF($A15&gt;=10,(G15+$C$3)*MAX(0,IF('01_数值调参'!$AH$7&lt;=$A15,-'01_数值调参'!$AH$50,0),IF('01_数值调参'!$AI$7&lt;=$A15,-'01_数值调参'!$AI$50,0),IF('01_数值调参'!$AJ$7&lt;=$A15,-'01_数值调参'!$AJ$50,0),IF('01_数值调参'!$AK$7&lt;=$A15,0,0),IF('01_数值调参'!$AL$7&lt;=$A15,-'01_数值调参'!$AL$50,0),IF('01_数值调参'!$AM$7&lt;=$A15,-'01_数值调参'!$AM$50,0)),0),0)),"队列待修正"))</x:f>
        <x:v>—</x:v>
      </x:c>
      <x:c r="AO15" s="179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L$7,"—",SUM(IF($A15&gt;=2,(C15+$C$3)*MAX(0,IF('01_数值调参'!$N$7&lt;=$A15,-'01_数值调参'!$N$51,0),IF('01_数值调参'!$O$7&lt;=$A15,-'01_数值调参'!$O$51,0),IF('01_数值调参'!$P$7&lt;=$A15,-'01_数值调参'!$P$51,0),IF('01_数值调参'!$Q$7&lt;=$A15,-'01_数值调参'!$Q$51,0),IF('01_数值调参'!$R$7&lt;=$A15,-'01_数值调参'!$R$51,0)),0),IF($A15&gt;=4,(D15+$C$3)*MAX(0,IF('01_数值调参'!$S$7&lt;=$A15,-'01_数值调参'!$S$51,0),IF('01_数值调参'!$T$7&lt;=$A15,-'01_数值调参'!$T$51,0),IF('01_数值调参'!$U$7&lt;=$A15,-'01_数值调参'!$U$51,0),IF('01_数值调参'!$V$7&lt;=$A15,-'01_数值调参'!$V$51,0),IF('01_数值调参'!$W$7&lt;=$A15,-'01_数值调参'!$W$51,0)),0),IF($A15&gt;=6,(E15+$C$3)*MAX(0,IF('01_数值调参'!$X$7&lt;=$A15,-'01_数值调参'!$X$51,0),IF('01_数值调参'!$Y$7&lt;=$A15,-'01_数值调参'!$Y$51,0),IF('01_数值调参'!$Z$7&lt;=$A15,-'01_数值调参'!$Z$51,0),IF('01_数值调参'!$AA$7&lt;=$A15,-'01_数值调参'!$AA$51,0),IF('01_数值调参'!$AB$7&lt;=$A15,-'01_数值调参'!$AB$51,0),IF('01_数值调参'!$AC$7&lt;=$A15,-'01_数值调参'!$AC$51,0)),0),IF($A15&gt;=8,(F15+$C$3)*MAX(0,IF('01_数值调参'!$AD$7&lt;=$A15,-'01_数值调参'!$AD$51,0),IF('01_数值调参'!$AE$7&lt;=$A15,-'01_数值调参'!$AE$51,0),IF('01_数值调参'!$AF$7&lt;=$A15,-'01_数值调参'!$AF$51,0),IF('01_数值调参'!$AG$7&lt;=$A15,-'01_数值调参'!$AG$51,0)),0),IF($A15&gt;=10,(G15+$C$3)*MAX(0,IF('01_数值调参'!$AH$7&lt;=$A15,-'01_数值调参'!$AH$51,0),IF('01_数值调参'!$AI$7&lt;=$A15,-'01_数值调参'!$AI$51,0),IF('01_数值调参'!$AJ$7&lt;=$A15,-'01_数值调参'!$AJ$51,0),IF('01_数值调参'!$AK$7&lt;=$A15,-'01_数值调参'!$AK$51,0),IF('01_数值调参'!$AL$7&lt;=$A15,0,0),IF('01_数值调参'!$AM$7&lt;=$A15,-'01_数值调参'!$AM$51,0)),0),0)),"队列待修正"))</x:f>
        <x:v>—</x:v>
      </x:c>
      <x:c r="AP15" s="180" t="str">
        <x:f>IF('01_数值调参'!$D$3&lt;&gt;"配方有效","待修正",IF(AND(OR($C$3=0,$C$3=1),ISNUMBER(C15),C15&gt;=0,MOD(C15,1)=0,ISNUMBER(D15),D15&gt;=0,MOD(D15,1)=0,ISNUMBER(E15),E15&gt;=0,MOD(E15,1)=0,ISNUMBER(F15),F15&gt;=0,MOD(F15,1)=0,ISNUMBER(G15),G15&gt;=0,MOD(G15,1)=0,TRUE),IF($A15&lt;'01_数值调参'!$AM$7,"—",SUM(IF($A15&gt;=2,(C15+$C$3)*MAX(0,IF('01_数值调参'!$N$7&lt;=$A15,-'01_数值调参'!$N$52,0),IF('01_数值调参'!$O$7&lt;=$A15,-'01_数值调参'!$O$52,0),IF('01_数值调参'!$P$7&lt;=$A15,-'01_数值调参'!$P$52,0),IF('01_数值调参'!$Q$7&lt;=$A15,-'01_数值调参'!$Q$52,0),IF('01_数值调参'!$R$7&lt;=$A15,-'01_数值调参'!$R$52,0)),0),IF($A15&gt;=4,(D15+$C$3)*MAX(0,IF('01_数值调参'!$S$7&lt;=$A15,-'01_数值调参'!$S$52,0),IF('01_数值调参'!$T$7&lt;=$A15,-'01_数值调参'!$T$52,0),IF('01_数值调参'!$U$7&lt;=$A15,-'01_数值调参'!$U$52,0),IF('01_数值调参'!$V$7&lt;=$A15,-'01_数值调参'!$V$52,0),IF('01_数值调参'!$W$7&lt;=$A15,-'01_数值调参'!$W$52,0)),0),IF($A15&gt;=6,(E15+$C$3)*MAX(0,IF('01_数值调参'!$X$7&lt;=$A15,-'01_数值调参'!$X$52,0),IF('01_数值调参'!$Y$7&lt;=$A15,-'01_数值调参'!$Y$52,0),IF('01_数值调参'!$Z$7&lt;=$A15,-'01_数值调参'!$Z$52,0),IF('01_数值调参'!$AA$7&lt;=$A15,-'01_数值调参'!$AA$52,0),IF('01_数值调参'!$AB$7&lt;=$A15,-'01_数值调参'!$AB$52,0),IF('01_数值调参'!$AC$7&lt;=$A15,-'01_数值调参'!$AC$52,0)),0),IF($A15&gt;=8,(F15+$C$3)*MAX(0,IF('01_数值调参'!$AD$7&lt;=$A15,-'01_数值调参'!$AD$52,0),IF('01_数值调参'!$AE$7&lt;=$A15,-'01_数值调参'!$AE$52,0),IF('01_数值调参'!$AF$7&lt;=$A15,-'01_数值调参'!$AF$52,0),IF('01_数值调参'!$AG$7&lt;=$A15,-'01_数值调参'!$AG$52,0)),0),IF($A15&gt;=10,(G15+$C$3)*MAX(0,IF('01_数值调参'!$AH$7&lt;=$A15,-'01_数值调参'!$AH$52,0),IF('01_数值调参'!$AI$7&lt;=$A15,-'01_数值调参'!$AI$52,0),IF('01_数值调参'!$AJ$7&lt;=$A15,-'01_数值调参'!$AJ$52,0),IF('01_数值调参'!$AK$7&lt;=$A15,-'01_数值调参'!$AK$52,0),IF('01_数值调参'!$AL$7&lt;=$A15,-'01_数值调参'!$AL$52,0),IF('01_数值调参'!$AM$7&lt;=$A15,0,0)),0),0)),"队列待修正"))</x:f>
        <x:v>—</x:v>
      </x:c>
    </x:row>
    <x:row r="16" ht="25" customHeight="1">
      <x:c r="A16" s="176" t="n">
        <x:v>10</x:v>
      </x:c>
      <x:c r="B16" s="177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SUM(IF($A16&gt;=2,(C16+$C$3)*MAX(0,IF('01_数值调参'!$N$7&lt;=$A16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16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16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16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16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16&gt;=4,(D16+$C$3)*MAX(0,IF('01_数值调参'!$S$7&lt;=$A16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16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16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16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16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16&gt;=6,(E16+$C$3)*MAX(0,IF('01_数值调参'!$X$7&lt;=$A16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16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16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16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16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16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16&gt;=8,(F16+$C$3)*MAX(0,IF('01_数值调参'!$AD$7&lt;=$A16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16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16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16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16&gt;=10,(G16+$C$3)*MAX(0,IF('01_数值调参'!$AH$7&lt;=$A16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16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16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16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16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16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39</x:v>
      </x:c>
      <x:c r="C16" s="178" t="n">
        <x:v>2</x:v>
      </x:c>
      <x:c r="D16" s="178" t="n">
        <x:v>2</x:v>
      </x:c>
      <x:c r="E16" s="178" t="n">
        <x:v>2</x:v>
      </x:c>
      <x:c r="F16" s="178" t="n">
        <x:v>2</x:v>
      </x:c>
      <x:c r="G16" s="178" t="n">
        <x:v>2</x:v>
      </x:c>
      <x:c r="H16" s="191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E$7,"—",SUM(IF($A16&gt;=2,(C16+$C$3)*MAX(0,IF('01_数值调参'!$N$7&lt;=$A16,-'01_数值调参'!$N$18,0),IF('01_数值调参'!$O$7&lt;=$A16,-'01_数值调参'!$O$18,0),IF('01_数值调参'!$P$7&lt;=$A16,-'01_数值调参'!$P$18,0),IF('01_数值调参'!$Q$7&lt;=$A16,-'01_数值调参'!$Q$18,0),IF('01_数值调参'!$R$7&lt;=$A16,-'01_数值调参'!$R$18,0)),0),IF($A16&gt;=4,(D16+$C$3)*MAX(0,IF('01_数值调参'!$S$7&lt;=$A16,-'01_数值调参'!$S$18,0),IF('01_数值调参'!$T$7&lt;=$A16,-'01_数值调参'!$T$18,0),IF('01_数值调参'!$U$7&lt;=$A16,-'01_数值调参'!$U$18,0),IF('01_数值调参'!$V$7&lt;=$A16,-'01_数值调参'!$V$18,0),IF('01_数值调参'!$W$7&lt;=$A16,-'01_数值调参'!$W$18,0)),0),IF($A16&gt;=6,(E16+$C$3)*MAX(0,IF('01_数值调参'!$X$7&lt;=$A16,-'01_数值调参'!$X$18,0),IF('01_数值调参'!$Y$7&lt;=$A16,-'01_数值调参'!$Y$18,0),IF('01_数值调参'!$Z$7&lt;=$A16,-'01_数值调参'!$Z$18,0),IF('01_数值调参'!$AA$7&lt;=$A16,-'01_数值调参'!$AA$18,0),IF('01_数值调参'!$AB$7&lt;=$A16,-'01_数值调参'!$AB$18,0),IF('01_数值调参'!$AC$7&lt;=$A16,-'01_数值调参'!$AC$18,0)),0),IF($A16&gt;=8,(F16+$C$3)*MAX(0,IF('01_数值调参'!$AD$7&lt;=$A16,-'01_数值调参'!$AD$18,0),IF('01_数值调参'!$AE$7&lt;=$A16,-'01_数值调参'!$AE$18,0),IF('01_数值调参'!$AF$7&lt;=$A16,-'01_数值调参'!$AF$18,0),IF('01_数值调参'!$AG$7&lt;=$A16,-'01_数值调参'!$AG$18,0)),0),IF($A16&gt;=10,(G16+$C$3)*MAX(0,IF('01_数值调参'!$AH$7&lt;=$A16,-'01_数值调参'!$AH$18,0),IF('01_数值调参'!$AI$7&lt;=$A16,-'01_数值调参'!$AI$18,0),IF('01_数值调参'!$AJ$7&lt;=$A16,-'01_数值调参'!$AJ$18,0),IF('01_数值调参'!$AK$7&lt;=$A16,-'01_数值调参'!$AK$18,0),IF('01_数值调参'!$AL$7&lt;=$A16,-'01_数值调参'!$AL$18,0),IF('01_数值调参'!$AM$7&lt;=$A16,-'01_数值调参'!$AM$18,0)),0),0)),"队列待修正"))</x:f>
        <x:v>12</x:v>
      </x:c>
      <x:c r="I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F$7,"—",SUM(IF($A16&gt;=2,(C16+$C$3)*MAX(0,IF('01_数值调参'!$N$7&lt;=$A16,-'01_数值调参'!$N$19,0),IF('01_数值调参'!$O$7&lt;=$A16,-'01_数值调参'!$O$19,0),IF('01_数值调参'!$P$7&lt;=$A16,-'01_数值调参'!$P$19,0),IF('01_数值调参'!$Q$7&lt;=$A16,-'01_数值调参'!$Q$19,0),IF('01_数值调参'!$R$7&lt;=$A16,-'01_数值调参'!$R$19,0)),0),IF($A16&gt;=4,(D16+$C$3)*MAX(0,IF('01_数值调参'!$S$7&lt;=$A16,-'01_数值调参'!$S$19,0),IF('01_数值调参'!$T$7&lt;=$A16,-'01_数值调参'!$T$19,0),IF('01_数值调参'!$U$7&lt;=$A16,-'01_数值调参'!$U$19,0),IF('01_数值调参'!$V$7&lt;=$A16,-'01_数值调参'!$V$19,0),IF('01_数值调参'!$W$7&lt;=$A16,-'01_数值调参'!$W$19,0)),0),IF($A16&gt;=6,(E16+$C$3)*MAX(0,IF('01_数值调参'!$X$7&lt;=$A16,-'01_数值调参'!$X$19,0),IF('01_数值调参'!$Y$7&lt;=$A16,-'01_数值调参'!$Y$19,0),IF('01_数值调参'!$Z$7&lt;=$A16,-'01_数值调参'!$Z$19,0),IF('01_数值调参'!$AA$7&lt;=$A16,-'01_数值调参'!$AA$19,0),IF('01_数值调参'!$AB$7&lt;=$A16,-'01_数值调参'!$AB$19,0),IF('01_数值调参'!$AC$7&lt;=$A16,-'01_数值调参'!$AC$19,0)),0),IF($A16&gt;=8,(F16+$C$3)*MAX(0,IF('01_数值调参'!$AD$7&lt;=$A16,-'01_数值调参'!$AD$19,0),IF('01_数值调参'!$AE$7&lt;=$A16,-'01_数值调参'!$AE$19,0),IF('01_数值调参'!$AF$7&lt;=$A16,-'01_数值调参'!$AF$19,0),IF('01_数值调参'!$AG$7&lt;=$A16,-'01_数值调参'!$AG$19,0)),0),IF($A16&gt;=10,(G16+$C$3)*MAX(0,IF('01_数值调参'!$AH$7&lt;=$A16,-'01_数值调参'!$AH$19,0),IF('01_数值调参'!$AI$7&lt;=$A16,-'01_数值调参'!$AI$19,0),IF('01_数值调参'!$AJ$7&lt;=$A16,-'01_数值调参'!$AJ$19,0),IF('01_数值调参'!$AK$7&lt;=$A16,-'01_数值调参'!$AK$19,0),IF('01_数值调参'!$AL$7&lt;=$A16,-'01_数值调参'!$AL$19,0),IF('01_数值调参'!$AM$7&lt;=$A16,-'01_数值调参'!$AM$19,0)),0),0)),"队列待修正"))</x:f>
        <x:v>3</x:v>
      </x:c>
      <x:c r="J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G$7,"—",SUM(IF($A16&gt;=2,(C16+$C$3)*MAX(0,IF('01_数值调参'!$N$7&lt;=$A16,-'01_数值调参'!$N$20,0),IF('01_数值调参'!$O$7&lt;=$A16,-'01_数值调参'!$O$20,0),IF('01_数值调参'!$P$7&lt;=$A16,-'01_数值调参'!$P$20,0),IF('01_数值调参'!$Q$7&lt;=$A16,-'01_数值调参'!$Q$20,0),IF('01_数值调参'!$R$7&lt;=$A16,-'01_数值调参'!$R$20,0)),0),IF($A16&gt;=4,(D16+$C$3)*MAX(0,IF('01_数值调参'!$S$7&lt;=$A16,-'01_数值调参'!$S$20,0),IF('01_数值调参'!$T$7&lt;=$A16,-'01_数值调参'!$T$20,0),IF('01_数值调参'!$U$7&lt;=$A16,-'01_数值调参'!$U$20,0),IF('01_数值调参'!$V$7&lt;=$A16,-'01_数值调参'!$V$20,0),IF('01_数值调参'!$W$7&lt;=$A16,-'01_数值调参'!$W$20,0)),0),IF($A16&gt;=6,(E16+$C$3)*MAX(0,IF('01_数值调参'!$X$7&lt;=$A16,-'01_数值调参'!$X$20,0),IF('01_数值调参'!$Y$7&lt;=$A16,-'01_数值调参'!$Y$20,0),IF('01_数值调参'!$Z$7&lt;=$A16,-'01_数值调参'!$Z$20,0),IF('01_数值调参'!$AA$7&lt;=$A16,-'01_数值调参'!$AA$20,0),IF('01_数值调参'!$AB$7&lt;=$A16,-'01_数值调参'!$AB$20,0),IF('01_数值调参'!$AC$7&lt;=$A16,-'01_数值调参'!$AC$20,0)),0),IF($A16&gt;=8,(F16+$C$3)*MAX(0,IF('01_数值调参'!$AD$7&lt;=$A16,-'01_数值调参'!$AD$20,0),IF('01_数值调参'!$AE$7&lt;=$A16,-'01_数值调参'!$AE$20,0),IF('01_数值调参'!$AF$7&lt;=$A16,-'01_数值调参'!$AF$20,0),IF('01_数值调参'!$AG$7&lt;=$A16,-'01_数值调参'!$AG$20,0)),0),IF($A16&gt;=10,(G16+$C$3)*MAX(0,IF('01_数值调参'!$AH$7&lt;=$A16,-'01_数值调参'!$AH$20,0),IF('01_数值调参'!$AI$7&lt;=$A16,-'01_数值调参'!$AI$20,0),IF('01_数值调参'!$AJ$7&lt;=$A16,-'01_数值调参'!$AJ$20,0),IF('01_数值调参'!$AK$7&lt;=$A16,-'01_数值调参'!$AK$20,0),IF('01_数值调参'!$AL$7&lt;=$A16,-'01_数值调参'!$AL$20,0),IF('01_数值调参'!$AM$7&lt;=$A16,-'01_数值调参'!$AM$20,0)),0),0)),"队列待修正"))</x:f>
        <x:v>9</x:v>
      </x:c>
      <x:c r="K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H$7,"—",SUM(IF($A16&gt;=2,(C16+$C$3)*MAX(0,IF('01_数值调参'!$N$7&lt;=$A16,-'01_数值调参'!$N$21,0),IF('01_数值调参'!$O$7&lt;=$A16,-'01_数值调参'!$O$21,0),IF('01_数值调参'!$P$7&lt;=$A16,-'01_数值调参'!$P$21,0),IF('01_数值调参'!$Q$7&lt;=$A16,-'01_数值调参'!$Q$21,0),IF('01_数值调参'!$R$7&lt;=$A16,-'01_数值调参'!$R$21,0)),0),IF($A16&gt;=4,(D16+$C$3)*MAX(0,IF('01_数值调参'!$S$7&lt;=$A16,-'01_数值调参'!$S$21,0),IF('01_数值调参'!$T$7&lt;=$A16,-'01_数值调参'!$T$21,0),IF('01_数值调参'!$U$7&lt;=$A16,-'01_数值调参'!$U$21,0),IF('01_数值调参'!$V$7&lt;=$A16,-'01_数值调参'!$V$21,0),IF('01_数值调参'!$W$7&lt;=$A16,-'01_数值调参'!$W$21,0)),0),IF($A16&gt;=6,(E16+$C$3)*MAX(0,IF('01_数值调参'!$X$7&lt;=$A16,-'01_数值调参'!$X$21,0),IF('01_数值调参'!$Y$7&lt;=$A16,-'01_数值调参'!$Y$21,0),IF('01_数值调参'!$Z$7&lt;=$A16,-'01_数值调参'!$Z$21,0),IF('01_数值调参'!$AA$7&lt;=$A16,-'01_数值调参'!$AA$21,0),IF('01_数值调参'!$AB$7&lt;=$A16,-'01_数值调参'!$AB$21,0),IF('01_数值调参'!$AC$7&lt;=$A16,-'01_数值调参'!$AC$21,0)),0),IF($A16&gt;=8,(F16+$C$3)*MAX(0,IF('01_数值调参'!$AD$7&lt;=$A16,-'01_数值调参'!$AD$21,0),IF('01_数值调参'!$AE$7&lt;=$A16,-'01_数值调参'!$AE$21,0),IF('01_数值调参'!$AF$7&lt;=$A16,-'01_数值调参'!$AF$21,0),IF('01_数值调参'!$AG$7&lt;=$A16,-'01_数值调参'!$AG$21,0)),0),IF($A16&gt;=10,(G16+$C$3)*MAX(0,IF('01_数值调参'!$AH$7&lt;=$A16,-'01_数值调参'!$AH$21,0),IF('01_数值调参'!$AI$7&lt;=$A16,-'01_数值调参'!$AI$21,0),IF('01_数值调参'!$AJ$7&lt;=$A16,-'01_数值调参'!$AJ$21,0),IF('01_数值调参'!$AK$7&lt;=$A16,-'01_数值调参'!$AK$21,0),IF('01_数值调参'!$AL$7&lt;=$A16,-'01_数值调参'!$AL$21,0),IF('01_数值调参'!$AM$7&lt;=$A16,-'01_数值调参'!$AM$21,0)),0),0)),"队列待修正"))</x:f>
        <x:v>6</x:v>
      </x:c>
      <x:c r="L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I$7,"—",SUM(IF($A16&gt;=2,(C16+$C$3)*MAX(0,IF('01_数值调参'!$N$7&lt;=$A16,-'01_数值调参'!$N$22,0),IF('01_数值调参'!$O$7&lt;=$A16,-'01_数值调参'!$O$22,0),IF('01_数值调参'!$P$7&lt;=$A16,-'01_数值调参'!$P$22,0),IF('01_数值调参'!$Q$7&lt;=$A16,-'01_数值调参'!$Q$22,0),IF('01_数值调参'!$R$7&lt;=$A16,-'01_数值调参'!$R$22,0)),0),IF($A16&gt;=4,(D16+$C$3)*MAX(0,IF('01_数值调参'!$S$7&lt;=$A16,-'01_数值调参'!$S$22,0),IF('01_数值调参'!$T$7&lt;=$A16,-'01_数值调参'!$T$22,0),IF('01_数值调参'!$U$7&lt;=$A16,-'01_数值调参'!$U$22,0),IF('01_数值调参'!$V$7&lt;=$A16,-'01_数值调参'!$V$22,0),IF('01_数值调参'!$W$7&lt;=$A16,-'01_数值调参'!$W$22,0)),0),IF($A16&gt;=6,(E16+$C$3)*MAX(0,IF('01_数值调参'!$X$7&lt;=$A16,-'01_数值调参'!$X$22,0),IF('01_数值调参'!$Y$7&lt;=$A16,-'01_数值调参'!$Y$22,0),IF('01_数值调参'!$Z$7&lt;=$A16,-'01_数值调参'!$Z$22,0),IF('01_数值调参'!$AA$7&lt;=$A16,-'01_数值调参'!$AA$22,0),IF('01_数值调参'!$AB$7&lt;=$A16,-'01_数值调参'!$AB$22,0),IF('01_数值调参'!$AC$7&lt;=$A16,-'01_数值调参'!$AC$22,0)),0),IF($A16&gt;=8,(F16+$C$3)*MAX(0,IF('01_数值调参'!$AD$7&lt;=$A16,-'01_数值调参'!$AD$22,0),IF('01_数值调参'!$AE$7&lt;=$A16,-'01_数值调参'!$AE$22,0),IF('01_数值调参'!$AF$7&lt;=$A16,-'01_数值调参'!$AF$22,0),IF('01_数值调参'!$AG$7&lt;=$A16,-'01_数值调参'!$AG$22,0)),0),IF($A16&gt;=10,(G16+$C$3)*MAX(0,IF('01_数值调参'!$AH$7&lt;=$A16,-'01_数值调参'!$AH$22,0),IF('01_数值调参'!$AI$7&lt;=$A16,-'01_数值调参'!$AI$22,0),IF('01_数值调参'!$AJ$7&lt;=$A16,-'01_数值调参'!$AJ$22,0),IF('01_数值调参'!$AK$7&lt;=$A16,-'01_数值调参'!$AK$22,0),IF('01_数值调参'!$AL$7&lt;=$A16,-'01_数值调参'!$AL$22,0),IF('01_数值调参'!$AM$7&lt;=$A16,-'01_数值调参'!$AM$22,0)),0),0)),"队列待修正"))</x:f>
        <x:v>6</x:v>
      </x:c>
      <x:c r="M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J$7,"—",SUM(IF($A16&gt;=2,(C16+$C$3)*MAX(0,IF('01_数值调参'!$N$7&lt;=$A16,-'01_数值调参'!$N$23,0),IF('01_数值调参'!$O$7&lt;=$A16,-'01_数值调参'!$O$23,0),IF('01_数值调参'!$P$7&lt;=$A16,-'01_数值调参'!$P$23,0),IF('01_数值调参'!$Q$7&lt;=$A16,-'01_数值调参'!$Q$23,0),IF('01_数值调参'!$R$7&lt;=$A16,-'01_数值调参'!$R$23,0)),0),IF($A16&gt;=4,(D16+$C$3)*MAX(0,IF('01_数值调参'!$S$7&lt;=$A16,-'01_数值调参'!$S$23,0),IF('01_数值调参'!$T$7&lt;=$A16,-'01_数值调参'!$T$23,0),IF('01_数值调参'!$U$7&lt;=$A16,-'01_数值调参'!$U$23,0),IF('01_数值调参'!$V$7&lt;=$A16,-'01_数值调参'!$V$23,0),IF('01_数值调参'!$W$7&lt;=$A16,-'01_数值调参'!$W$23,0)),0),IF($A16&gt;=6,(E16+$C$3)*MAX(0,IF('01_数值调参'!$X$7&lt;=$A16,-'01_数值调参'!$X$23,0),IF('01_数值调参'!$Y$7&lt;=$A16,-'01_数值调参'!$Y$23,0),IF('01_数值调参'!$Z$7&lt;=$A16,-'01_数值调参'!$Z$23,0),IF('01_数值调参'!$AA$7&lt;=$A16,-'01_数值调参'!$AA$23,0),IF('01_数值调参'!$AB$7&lt;=$A16,-'01_数值调参'!$AB$23,0),IF('01_数值调参'!$AC$7&lt;=$A16,-'01_数值调参'!$AC$23,0)),0),IF($A16&gt;=8,(F16+$C$3)*MAX(0,IF('01_数值调参'!$AD$7&lt;=$A16,-'01_数值调参'!$AD$23,0),IF('01_数值调参'!$AE$7&lt;=$A16,-'01_数值调参'!$AE$23,0),IF('01_数值调参'!$AF$7&lt;=$A16,-'01_数值调参'!$AF$23,0),IF('01_数值调参'!$AG$7&lt;=$A16,-'01_数值调参'!$AG$23,0)),0),IF($A16&gt;=10,(G16+$C$3)*MAX(0,IF('01_数值调参'!$AH$7&lt;=$A16,-'01_数值调参'!$AH$23,0),IF('01_数值调参'!$AI$7&lt;=$A16,-'01_数值调参'!$AI$23,0),IF('01_数值调参'!$AJ$7&lt;=$A16,-'01_数值调参'!$AJ$23,0),IF('01_数值调参'!$AK$7&lt;=$A16,-'01_数值调参'!$AK$23,0),IF('01_数值调参'!$AL$7&lt;=$A16,-'01_数值调参'!$AL$23,0),IF('01_数值调参'!$AM$7&lt;=$A16,-'01_数值调参'!$AM$23,0)),0),0)),"队列待修正"))</x:f>
        <x:v>9</x:v>
      </x:c>
      <x:c r="N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K$7,"—",SUM(IF($A16&gt;=2,(C16+$C$3)*MAX(0,IF('01_数值调参'!$N$7&lt;=$A16,-'01_数值调参'!$N$24,0),IF('01_数值调参'!$O$7&lt;=$A16,-'01_数值调参'!$O$24,0),IF('01_数值调参'!$P$7&lt;=$A16,-'01_数值调参'!$P$24,0),IF('01_数值调参'!$Q$7&lt;=$A16,-'01_数值调参'!$Q$24,0),IF('01_数值调参'!$R$7&lt;=$A16,-'01_数值调参'!$R$24,0)),0),IF($A16&gt;=4,(D16+$C$3)*MAX(0,IF('01_数值调参'!$S$7&lt;=$A16,-'01_数值调参'!$S$24,0),IF('01_数值调参'!$T$7&lt;=$A16,-'01_数值调参'!$T$24,0),IF('01_数值调参'!$U$7&lt;=$A16,-'01_数值调参'!$U$24,0),IF('01_数值调参'!$V$7&lt;=$A16,-'01_数值调参'!$V$24,0),IF('01_数值调参'!$W$7&lt;=$A16,-'01_数值调参'!$W$24,0)),0),IF($A16&gt;=6,(E16+$C$3)*MAX(0,IF('01_数值调参'!$X$7&lt;=$A16,-'01_数值调参'!$X$24,0),IF('01_数值调参'!$Y$7&lt;=$A16,-'01_数值调参'!$Y$24,0),IF('01_数值调参'!$Z$7&lt;=$A16,-'01_数值调参'!$Z$24,0),IF('01_数值调参'!$AA$7&lt;=$A16,-'01_数值调参'!$AA$24,0),IF('01_数值调参'!$AB$7&lt;=$A16,-'01_数值调参'!$AB$24,0),IF('01_数值调参'!$AC$7&lt;=$A16,-'01_数值调参'!$AC$24,0)),0),IF($A16&gt;=8,(F16+$C$3)*MAX(0,IF('01_数值调参'!$AD$7&lt;=$A16,-'01_数值调参'!$AD$24,0),IF('01_数值调参'!$AE$7&lt;=$A16,-'01_数值调参'!$AE$24,0),IF('01_数值调参'!$AF$7&lt;=$A16,-'01_数值调参'!$AF$24,0),IF('01_数值调参'!$AG$7&lt;=$A16,-'01_数值调参'!$AG$24,0)),0),IF($A16&gt;=10,(G16+$C$3)*MAX(0,IF('01_数值调参'!$AH$7&lt;=$A16,-'01_数值调参'!$AH$24,0),IF('01_数值调参'!$AI$7&lt;=$A16,-'01_数值调参'!$AI$24,0),IF('01_数值调参'!$AJ$7&lt;=$A16,-'01_数值调参'!$AJ$24,0),IF('01_数值调参'!$AK$7&lt;=$A16,-'01_数值调参'!$AK$24,0),IF('01_数值调参'!$AL$7&lt;=$A16,-'01_数值调参'!$AL$24,0),IF('01_数值调参'!$AM$7&lt;=$A16,-'01_数值调参'!$AM$24,0)),0),0)),"队列待修正"))</x:f>
        <x:v>—</x:v>
      </x:c>
      <x:c r="O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L$7,"—",SUM(IF($A16&gt;=2,(C16+$C$3)*MAX(0,IF('01_数值调参'!$N$7&lt;=$A16,-'01_数值调参'!$N$25,0),IF('01_数值调参'!$O$7&lt;=$A16,-'01_数值调参'!$O$25,0),IF('01_数值调参'!$P$7&lt;=$A16,-'01_数值调参'!$P$25,0),IF('01_数值调参'!$Q$7&lt;=$A16,-'01_数值调参'!$Q$25,0),IF('01_数值调参'!$R$7&lt;=$A16,-'01_数值调参'!$R$25,0)),0),IF($A16&gt;=4,(D16+$C$3)*MAX(0,IF('01_数值调参'!$S$7&lt;=$A16,-'01_数值调参'!$S$25,0),IF('01_数值调参'!$T$7&lt;=$A16,-'01_数值调参'!$T$25,0),IF('01_数值调参'!$U$7&lt;=$A16,-'01_数值调参'!$U$25,0),IF('01_数值调参'!$V$7&lt;=$A16,-'01_数值调参'!$V$25,0),IF('01_数值调参'!$W$7&lt;=$A16,-'01_数值调参'!$W$25,0)),0),IF($A16&gt;=6,(E16+$C$3)*MAX(0,IF('01_数值调参'!$X$7&lt;=$A16,-'01_数值调参'!$X$25,0),IF('01_数值调参'!$Y$7&lt;=$A16,-'01_数值调参'!$Y$25,0),IF('01_数值调参'!$Z$7&lt;=$A16,-'01_数值调参'!$Z$25,0),IF('01_数值调参'!$AA$7&lt;=$A16,-'01_数值调参'!$AA$25,0),IF('01_数值调参'!$AB$7&lt;=$A16,-'01_数值调参'!$AB$25,0),IF('01_数值调参'!$AC$7&lt;=$A16,-'01_数值调参'!$AC$25,0)),0),IF($A16&gt;=8,(F16+$C$3)*MAX(0,IF('01_数值调参'!$AD$7&lt;=$A16,-'01_数值调参'!$AD$25,0),IF('01_数值调参'!$AE$7&lt;=$A16,-'01_数值调参'!$AE$25,0),IF('01_数值调参'!$AF$7&lt;=$A16,-'01_数值调参'!$AF$25,0),IF('01_数值调参'!$AG$7&lt;=$A16,-'01_数值调参'!$AG$25,0)),0),IF($A16&gt;=10,(G16+$C$3)*MAX(0,IF('01_数值调参'!$AH$7&lt;=$A16,-'01_数值调参'!$AH$25,0),IF('01_数值调参'!$AI$7&lt;=$A16,-'01_数值调参'!$AI$25,0),IF('01_数值调参'!$AJ$7&lt;=$A16,-'01_数值调参'!$AJ$25,0),IF('01_数值调参'!$AK$7&lt;=$A16,-'01_数值调参'!$AK$25,0),IF('01_数值调参'!$AL$7&lt;=$A16,-'01_数值调参'!$AL$25,0),IF('01_数值调参'!$AM$7&lt;=$A16,-'01_数值调参'!$AM$25,0)),0),0)),"队列待修正"))</x:f>
        <x:v>—</x:v>
      </x:c>
      <x:c r="P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M$7,"—",SUM(IF($A16&gt;=2,(C16+$C$3)*MAX(0,IF('01_数值调参'!$N$7&lt;=$A16,-'01_数值调参'!$N$26,0),IF('01_数值调参'!$O$7&lt;=$A16,-'01_数值调参'!$O$26,0),IF('01_数值调参'!$P$7&lt;=$A16,-'01_数值调参'!$P$26,0),IF('01_数值调参'!$Q$7&lt;=$A16,-'01_数值调参'!$Q$26,0),IF('01_数值调参'!$R$7&lt;=$A16,-'01_数值调参'!$R$26,0)),0),IF($A16&gt;=4,(D16+$C$3)*MAX(0,IF('01_数值调参'!$S$7&lt;=$A16,-'01_数值调参'!$S$26,0),IF('01_数值调参'!$T$7&lt;=$A16,-'01_数值调参'!$T$26,0),IF('01_数值调参'!$U$7&lt;=$A16,-'01_数值调参'!$U$26,0),IF('01_数值调参'!$V$7&lt;=$A16,-'01_数值调参'!$V$26,0),IF('01_数值调参'!$W$7&lt;=$A16,-'01_数值调参'!$W$26,0)),0),IF($A16&gt;=6,(E16+$C$3)*MAX(0,IF('01_数值调参'!$X$7&lt;=$A16,-'01_数值调参'!$X$26,0),IF('01_数值调参'!$Y$7&lt;=$A16,-'01_数值调参'!$Y$26,0),IF('01_数值调参'!$Z$7&lt;=$A16,-'01_数值调参'!$Z$26,0),IF('01_数值调参'!$AA$7&lt;=$A16,-'01_数值调参'!$AA$26,0),IF('01_数值调参'!$AB$7&lt;=$A16,-'01_数值调参'!$AB$26,0),IF('01_数值调参'!$AC$7&lt;=$A16,-'01_数值调参'!$AC$26,0)),0),IF($A16&gt;=8,(F16+$C$3)*MAX(0,IF('01_数值调参'!$AD$7&lt;=$A16,-'01_数值调参'!$AD$26,0),IF('01_数值调参'!$AE$7&lt;=$A16,-'01_数值调参'!$AE$26,0),IF('01_数值调参'!$AF$7&lt;=$A16,-'01_数值调参'!$AF$26,0),IF('01_数值调参'!$AG$7&lt;=$A16,-'01_数值调参'!$AG$26,0)),0),IF($A16&gt;=10,(G16+$C$3)*MAX(0,IF('01_数值调参'!$AH$7&lt;=$A16,-'01_数值调参'!$AH$26,0),IF('01_数值调参'!$AI$7&lt;=$A16,-'01_数值调参'!$AI$26,0),IF('01_数值调参'!$AJ$7&lt;=$A16,-'01_数值调参'!$AJ$26,0),IF('01_数值调参'!$AK$7&lt;=$A16,-'01_数值调参'!$AK$26,0),IF('01_数值调参'!$AL$7&lt;=$A16,-'01_数值调参'!$AL$26,0),IF('01_数值调参'!$AM$7&lt;=$A16,-'01_数值调参'!$AM$26,0)),0),0)),"队列待修正"))</x:f>
        <x:v>—</x:v>
      </x:c>
      <x:c r="Q16" s="191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N$7,"—",SUM(IF($A16&gt;=2,(C16+$C$3)*MAX(0,IF('01_数值调参'!$N$7&lt;=$A16,0,0),IF('01_数值调参'!$O$7&lt;=$A16,-'01_数值调参'!$O$27,0),IF('01_数值调参'!$P$7&lt;=$A16,-'01_数值调参'!$P$27,0),IF('01_数值调参'!$Q$7&lt;=$A16,-'01_数值调参'!$Q$27,0),IF('01_数值调参'!$R$7&lt;=$A16,-'01_数值调参'!$R$27,0)),0),IF($A16&gt;=4,(D16+$C$3)*MAX(0,IF('01_数值调参'!$S$7&lt;=$A16,-'01_数值调参'!$S$27,0),IF('01_数值调参'!$T$7&lt;=$A16,-'01_数值调参'!$T$27,0),IF('01_数值调参'!$U$7&lt;=$A16,-'01_数值调参'!$U$27,0),IF('01_数值调参'!$V$7&lt;=$A16,-'01_数值调参'!$V$27,0),IF('01_数值调参'!$W$7&lt;=$A16,-'01_数值调参'!$W$27,0)),0),IF($A16&gt;=6,(E16+$C$3)*MAX(0,IF('01_数值调参'!$X$7&lt;=$A16,-'01_数值调参'!$X$27,0),IF('01_数值调参'!$Y$7&lt;=$A16,-'01_数值调参'!$Y$27,0),IF('01_数值调参'!$Z$7&lt;=$A16,-'01_数值调参'!$Z$27,0),IF('01_数值调参'!$AA$7&lt;=$A16,-'01_数值调参'!$AA$27,0),IF('01_数值调参'!$AB$7&lt;=$A16,-'01_数值调参'!$AB$27,0),IF('01_数值调参'!$AC$7&lt;=$A16,-'01_数值调参'!$AC$27,0)),0),IF($A16&gt;=8,(F16+$C$3)*MAX(0,IF('01_数值调参'!$AD$7&lt;=$A16,-'01_数值调参'!$AD$27,0),IF('01_数值调参'!$AE$7&lt;=$A16,-'01_数值调参'!$AE$27,0),IF('01_数值调参'!$AF$7&lt;=$A16,-'01_数值调参'!$AF$27,0),IF('01_数值调参'!$AG$7&lt;=$A16,-'01_数值调参'!$AG$27,0)),0),IF($A16&gt;=10,(G16+$C$3)*MAX(0,IF('01_数值调参'!$AH$7&lt;=$A16,-'01_数值调参'!$AH$27,0),IF('01_数值调参'!$AI$7&lt;=$A16,-'01_数值调参'!$AI$27,0),IF('01_数值调参'!$AJ$7&lt;=$A16,-'01_数值调参'!$AJ$27,0),IF('01_数值调参'!$AK$7&lt;=$A16,-'01_数值调参'!$AK$27,0),IF('01_数值调参'!$AL$7&lt;=$A16,-'01_数值调参'!$AL$27,0),IF('01_数值调参'!$AM$7&lt;=$A16,-'01_数值调参'!$AM$27,0)),0),0)),"队列待修正"))</x:f>
        <x:v>3</x:v>
      </x:c>
      <x:c r="R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O$7,"—",SUM(IF($A16&gt;=2,(C16+$C$3)*MAX(0,IF('01_数值调参'!$N$7&lt;=$A16,-'01_数值调参'!$N$28,0),IF('01_数值调参'!$O$7&lt;=$A16,0,0),IF('01_数值调参'!$P$7&lt;=$A16,-'01_数值调参'!$P$28,0),IF('01_数值调参'!$Q$7&lt;=$A16,-'01_数值调参'!$Q$28,0),IF('01_数值调参'!$R$7&lt;=$A16,-'01_数值调参'!$R$28,0)),0),IF($A16&gt;=4,(D16+$C$3)*MAX(0,IF('01_数值调参'!$S$7&lt;=$A16,-'01_数值调参'!$S$28,0),IF('01_数值调参'!$T$7&lt;=$A16,-'01_数值调参'!$T$28,0),IF('01_数值调参'!$U$7&lt;=$A16,-'01_数值调参'!$U$28,0),IF('01_数值调参'!$V$7&lt;=$A16,-'01_数值调参'!$V$28,0),IF('01_数值调参'!$W$7&lt;=$A16,-'01_数值调参'!$W$28,0)),0),IF($A16&gt;=6,(E16+$C$3)*MAX(0,IF('01_数值调参'!$X$7&lt;=$A16,-'01_数值调参'!$X$28,0),IF('01_数值调参'!$Y$7&lt;=$A16,-'01_数值调参'!$Y$28,0),IF('01_数值调参'!$Z$7&lt;=$A16,-'01_数值调参'!$Z$28,0),IF('01_数值调参'!$AA$7&lt;=$A16,-'01_数值调参'!$AA$28,0),IF('01_数值调参'!$AB$7&lt;=$A16,-'01_数值调参'!$AB$28,0),IF('01_数值调参'!$AC$7&lt;=$A16,-'01_数值调参'!$AC$28,0)),0),IF($A16&gt;=8,(F16+$C$3)*MAX(0,IF('01_数值调参'!$AD$7&lt;=$A16,-'01_数值调参'!$AD$28,0),IF('01_数值调参'!$AE$7&lt;=$A16,-'01_数值调参'!$AE$28,0),IF('01_数值调参'!$AF$7&lt;=$A16,-'01_数值调参'!$AF$28,0),IF('01_数值调参'!$AG$7&lt;=$A16,-'01_数值调参'!$AG$28,0)),0),IF($A16&gt;=10,(G16+$C$3)*MAX(0,IF('01_数值调参'!$AH$7&lt;=$A16,-'01_数值调参'!$AH$28,0),IF('01_数值调参'!$AI$7&lt;=$A16,-'01_数值调参'!$AI$28,0),IF('01_数值调参'!$AJ$7&lt;=$A16,-'01_数值调参'!$AJ$28,0),IF('01_数值调参'!$AK$7&lt;=$A16,-'01_数值调参'!$AK$28,0),IF('01_数值调参'!$AL$7&lt;=$A16,-'01_数值调参'!$AL$28,0),IF('01_数值调参'!$AM$7&lt;=$A16,-'01_数值调参'!$AM$28,0)),0),0)),"队列待修正"))</x:f>
        <x:v>3</x:v>
      </x:c>
      <x:c r="S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P$7,"—",SUM(IF($A16&gt;=2,(C16+$C$3)*MAX(0,IF('01_数值调参'!$N$7&lt;=$A16,-'01_数值调参'!$N$29,0),IF('01_数值调参'!$O$7&lt;=$A16,-'01_数值调参'!$O$29,0),IF('01_数值调参'!$P$7&lt;=$A16,0,0),IF('01_数值调参'!$Q$7&lt;=$A16,-'01_数值调参'!$Q$29,0),IF('01_数值调参'!$R$7&lt;=$A16,-'01_数值调参'!$R$29,0)),0),IF($A16&gt;=4,(D16+$C$3)*MAX(0,IF('01_数值调参'!$S$7&lt;=$A16,-'01_数值调参'!$S$29,0),IF('01_数值调参'!$T$7&lt;=$A16,-'01_数值调参'!$T$29,0),IF('01_数值调参'!$U$7&lt;=$A16,-'01_数值调参'!$U$29,0),IF('01_数值调参'!$V$7&lt;=$A16,-'01_数值调参'!$V$29,0),IF('01_数值调参'!$W$7&lt;=$A16,-'01_数值调参'!$W$29,0)),0),IF($A16&gt;=6,(E16+$C$3)*MAX(0,IF('01_数值调参'!$X$7&lt;=$A16,-'01_数值调参'!$X$29,0),IF('01_数值调参'!$Y$7&lt;=$A16,-'01_数值调参'!$Y$29,0),IF('01_数值调参'!$Z$7&lt;=$A16,-'01_数值调参'!$Z$29,0),IF('01_数值调参'!$AA$7&lt;=$A16,-'01_数值调参'!$AA$29,0),IF('01_数值调参'!$AB$7&lt;=$A16,-'01_数值调参'!$AB$29,0),IF('01_数值调参'!$AC$7&lt;=$A16,-'01_数值调参'!$AC$29,0)),0),IF($A16&gt;=8,(F16+$C$3)*MAX(0,IF('01_数值调参'!$AD$7&lt;=$A16,-'01_数值调参'!$AD$29,0),IF('01_数值调参'!$AE$7&lt;=$A16,-'01_数值调参'!$AE$29,0),IF('01_数值调参'!$AF$7&lt;=$A16,-'01_数值调参'!$AF$29,0),IF('01_数值调参'!$AG$7&lt;=$A16,-'01_数值调参'!$AG$29,0)),0),IF($A16&gt;=10,(G16+$C$3)*MAX(0,IF('01_数值调参'!$AH$7&lt;=$A16,-'01_数值调参'!$AH$29,0),IF('01_数值调参'!$AI$7&lt;=$A16,-'01_数值调参'!$AI$29,0),IF('01_数值调参'!$AJ$7&lt;=$A16,-'01_数值调参'!$AJ$29,0),IF('01_数值调参'!$AK$7&lt;=$A16,-'01_数值调参'!$AK$29,0),IF('01_数值调参'!$AL$7&lt;=$A16,-'01_数值调参'!$AL$29,0),IF('01_数值调参'!$AM$7&lt;=$A16,-'01_数值调参'!$AM$29,0)),0),0)),"队列待修正"))</x:f>
        <x:v>3</x:v>
      </x:c>
      <x:c r="T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Q$7,"—",SUM(IF($A16&gt;=2,(C16+$C$3)*MAX(0,IF('01_数值调参'!$N$7&lt;=$A16,-'01_数值调参'!$N$30,0),IF('01_数值调参'!$O$7&lt;=$A16,-'01_数值调参'!$O$30,0),IF('01_数值调参'!$P$7&lt;=$A16,-'01_数值调参'!$P$30,0),IF('01_数值调参'!$Q$7&lt;=$A16,0,0),IF('01_数值调参'!$R$7&lt;=$A16,-'01_数值调参'!$R$30,0)),0),IF($A16&gt;=4,(D16+$C$3)*MAX(0,IF('01_数值调参'!$S$7&lt;=$A16,-'01_数值调参'!$S$30,0),IF('01_数值调参'!$T$7&lt;=$A16,-'01_数值调参'!$T$30,0),IF('01_数值调参'!$U$7&lt;=$A16,-'01_数值调参'!$U$30,0),IF('01_数值调参'!$V$7&lt;=$A16,-'01_数值调参'!$V$30,0),IF('01_数值调参'!$W$7&lt;=$A16,-'01_数值调参'!$W$30,0)),0),IF($A16&gt;=6,(E16+$C$3)*MAX(0,IF('01_数值调参'!$X$7&lt;=$A16,-'01_数值调参'!$X$30,0),IF('01_数值调参'!$Y$7&lt;=$A16,-'01_数值调参'!$Y$30,0),IF('01_数值调参'!$Z$7&lt;=$A16,-'01_数值调参'!$Z$30,0),IF('01_数值调参'!$AA$7&lt;=$A16,-'01_数值调参'!$AA$30,0),IF('01_数值调参'!$AB$7&lt;=$A16,-'01_数值调参'!$AB$30,0),IF('01_数值调参'!$AC$7&lt;=$A16,-'01_数值调参'!$AC$30,0)),0),IF($A16&gt;=8,(F16+$C$3)*MAX(0,IF('01_数值调参'!$AD$7&lt;=$A16,-'01_数值调参'!$AD$30,0),IF('01_数值调参'!$AE$7&lt;=$A16,-'01_数值调参'!$AE$30,0),IF('01_数值调参'!$AF$7&lt;=$A16,-'01_数值调参'!$AF$30,0),IF('01_数值调参'!$AG$7&lt;=$A16,-'01_数值调参'!$AG$30,0)),0),IF($A16&gt;=10,(G16+$C$3)*MAX(0,IF('01_数值调参'!$AH$7&lt;=$A16,-'01_数值调参'!$AH$30,0),IF('01_数值调参'!$AI$7&lt;=$A16,-'01_数值调参'!$AI$30,0),IF('01_数值调参'!$AJ$7&lt;=$A16,-'01_数值调参'!$AJ$30,0),IF('01_数值调参'!$AK$7&lt;=$A16,-'01_数值调参'!$AK$30,0),IF('01_数值调参'!$AL$7&lt;=$A16,-'01_数值调参'!$AL$30,0),IF('01_数值调参'!$AM$7&lt;=$A16,-'01_数值调参'!$AM$30,0)),0),0)),"队列待修正"))</x:f>
        <x:v>—</x:v>
      </x:c>
      <x:c r="U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R$7,"—",SUM(IF($A16&gt;=2,(C16+$C$3)*MAX(0,IF('01_数值调参'!$N$7&lt;=$A16,-'01_数值调参'!$N$31,0),IF('01_数值调参'!$O$7&lt;=$A16,-'01_数值调参'!$O$31,0),IF('01_数值调参'!$P$7&lt;=$A16,-'01_数值调参'!$P$31,0),IF('01_数值调参'!$Q$7&lt;=$A16,-'01_数值调参'!$Q$31,0),IF('01_数值调参'!$R$7&lt;=$A16,0,0)),0),IF($A16&gt;=4,(D16+$C$3)*MAX(0,IF('01_数值调参'!$S$7&lt;=$A16,-'01_数值调参'!$S$31,0),IF('01_数值调参'!$T$7&lt;=$A16,-'01_数值调参'!$T$31,0),IF('01_数值调参'!$U$7&lt;=$A16,-'01_数值调参'!$U$31,0),IF('01_数值调参'!$V$7&lt;=$A16,-'01_数值调参'!$V$31,0),IF('01_数值调参'!$W$7&lt;=$A16,-'01_数值调参'!$W$31,0)),0),IF($A16&gt;=6,(E16+$C$3)*MAX(0,IF('01_数值调参'!$X$7&lt;=$A16,-'01_数值调参'!$X$31,0),IF('01_数值调参'!$Y$7&lt;=$A16,-'01_数值调参'!$Y$31,0),IF('01_数值调参'!$Z$7&lt;=$A16,-'01_数值调参'!$Z$31,0),IF('01_数值调参'!$AA$7&lt;=$A16,-'01_数值调参'!$AA$31,0),IF('01_数值调参'!$AB$7&lt;=$A16,-'01_数值调参'!$AB$31,0),IF('01_数值调参'!$AC$7&lt;=$A16,-'01_数值调参'!$AC$31,0)),0),IF($A16&gt;=8,(F16+$C$3)*MAX(0,IF('01_数值调参'!$AD$7&lt;=$A16,-'01_数值调参'!$AD$31,0),IF('01_数值调参'!$AE$7&lt;=$A16,-'01_数值调参'!$AE$31,0),IF('01_数值调参'!$AF$7&lt;=$A16,-'01_数值调参'!$AF$31,0),IF('01_数值调参'!$AG$7&lt;=$A16,-'01_数值调参'!$AG$31,0)),0),IF($A16&gt;=10,(G16+$C$3)*MAX(0,IF('01_数值调参'!$AH$7&lt;=$A16,-'01_数值调参'!$AH$31,0),IF('01_数值调参'!$AI$7&lt;=$A16,-'01_数值调参'!$AI$31,0),IF('01_数值调参'!$AJ$7&lt;=$A16,-'01_数值调参'!$AJ$31,0),IF('01_数值调参'!$AK$7&lt;=$A16,-'01_数值调参'!$AK$31,0),IF('01_数值调参'!$AL$7&lt;=$A16,-'01_数值调参'!$AL$31,0),IF('01_数值调参'!$AM$7&lt;=$A16,-'01_数值调参'!$AM$31,0)),0),0)),"队列待修正"))</x:f>
        <x:v>—</x:v>
      </x:c>
      <x:c r="V16" s="191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S$7,"—",SUM(IF($A16&gt;=2,(C16+$C$3)*MAX(0,IF('01_数值调参'!$N$7&lt;=$A16,-'01_数值调参'!$N$32,0),IF('01_数值调参'!$O$7&lt;=$A16,-'01_数值调参'!$O$32,0),IF('01_数值调参'!$P$7&lt;=$A16,-'01_数值调参'!$P$32,0),IF('01_数值调参'!$Q$7&lt;=$A16,-'01_数值调参'!$Q$32,0),IF('01_数值调参'!$R$7&lt;=$A16,-'01_数值调参'!$R$32,0)),0),IF($A16&gt;=4,(D16+$C$3)*MAX(0,IF('01_数值调参'!$S$7&lt;=$A16,0,0),IF('01_数值调参'!$T$7&lt;=$A16,-'01_数值调参'!$T$32,0),IF('01_数值调参'!$U$7&lt;=$A16,-'01_数值调参'!$U$32,0),IF('01_数值调参'!$V$7&lt;=$A16,-'01_数值调参'!$V$32,0),IF('01_数值调参'!$W$7&lt;=$A16,-'01_数值调参'!$W$32,0)),0),IF($A16&gt;=6,(E16+$C$3)*MAX(0,IF('01_数值调参'!$X$7&lt;=$A16,-'01_数值调参'!$X$32,0),IF('01_数值调参'!$Y$7&lt;=$A16,-'01_数值调参'!$Y$32,0),IF('01_数值调参'!$Z$7&lt;=$A16,-'01_数值调参'!$Z$32,0),IF('01_数值调参'!$AA$7&lt;=$A16,-'01_数值调参'!$AA$32,0),IF('01_数值调参'!$AB$7&lt;=$A16,-'01_数值调参'!$AB$32,0),IF('01_数值调参'!$AC$7&lt;=$A16,-'01_数值调参'!$AC$32,0)),0),IF($A16&gt;=8,(F16+$C$3)*MAX(0,IF('01_数值调参'!$AD$7&lt;=$A16,-'01_数值调参'!$AD$32,0),IF('01_数值调参'!$AE$7&lt;=$A16,-'01_数值调参'!$AE$32,0),IF('01_数值调参'!$AF$7&lt;=$A16,-'01_数值调参'!$AF$32,0),IF('01_数值调参'!$AG$7&lt;=$A16,-'01_数值调参'!$AG$32,0)),0),IF($A16&gt;=10,(G16+$C$3)*MAX(0,IF('01_数值调参'!$AH$7&lt;=$A16,-'01_数值调参'!$AH$32,0),IF('01_数值调参'!$AI$7&lt;=$A16,-'01_数值调参'!$AI$32,0),IF('01_数值调参'!$AJ$7&lt;=$A16,-'01_数值调参'!$AJ$32,0),IF('01_数值调参'!$AK$7&lt;=$A16,-'01_数值调参'!$AK$32,0),IF('01_数值调参'!$AL$7&lt;=$A16,-'01_数值调参'!$AL$32,0),IF('01_数值调参'!$AM$7&lt;=$A16,-'01_数值调参'!$AM$32,0)),0),0)),"队列待修正"))</x:f>
        <x:v>6</x:v>
      </x:c>
      <x:c r="W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T$7,"—",SUM(IF($A16&gt;=2,(C16+$C$3)*MAX(0,IF('01_数值调参'!$N$7&lt;=$A16,-'01_数值调参'!$N$33,0),IF('01_数值调参'!$O$7&lt;=$A16,-'01_数值调参'!$O$33,0),IF('01_数值调参'!$P$7&lt;=$A16,-'01_数值调参'!$P$33,0),IF('01_数值调参'!$Q$7&lt;=$A16,-'01_数值调参'!$Q$33,0),IF('01_数值调参'!$R$7&lt;=$A16,-'01_数值调参'!$R$33,0)),0),IF($A16&gt;=4,(D16+$C$3)*MAX(0,IF('01_数值调参'!$S$7&lt;=$A16,-'01_数值调参'!$S$33,0),IF('01_数值调参'!$T$7&lt;=$A16,0,0),IF('01_数值调参'!$U$7&lt;=$A16,-'01_数值调参'!$U$33,0),IF('01_数值调参'!$V$7&lt;=$A16,-'01_数值调参'!$V$33,0),IF('01_数值调参'!$W$7&lt;=$A16,-'01_数值调参'!$W$33,0)),0),IF($A16&gt;=6,(E16+$C$3)*MAX(0,IF('01_数值调参'!$X$7&lt;=$A16,-'01_数值调参'!$X$33,0),IF('01_数值调参'!$Y$7&lt;=$A16,-'01_数值调参'!$Y$33,0),IF('01_数值调参'!$Z$7&lt;=$A16,-'01_数值调参'!$Z$33,0),IF('01_数值调参'!$AA$7&lt;=$A16,-'01_数值调参'!$AA$33,0),IF('01_数值调参'!$AB$7&lt;=$A16,-'01_数值调参'!$AB$33,0),IF('01_数值调参'!$AC$7&lt;=$A16,-'01_数值调参'!$AC$33,0)),0),IF($A16&gt;=8,(F16+$C$3)*MAX(0,IF('01_数值调参'!$AD$7&lt;=$A16,-'01_数值调参'!$AD$33,0),IF('01_数值调参'!$AE$7&lt;=$A16,-'01_数值调参'!$AE$33,0),IF('01_数值调参'!$AF$7&lt;=$A16,-'01_数值调参'!$AF$33,0),IF('01_数值调参'!$AG$7&lt;=$A16,-'01_数值调参'!$AG$33,0)),0),IF($A16&gt;=10,(G16+$C$3)*MAX(0,IF('01_数值调参'!$AH$7&lt;=$A16,-'01_数值调参'!$AH$33,0),IF('01_数值调参'!$AI$7&lt;=$A16,-'01_数值调参'!$AI$33,0),IF('01_数值调参'!$AJ$7&lt;=$A16,-'01_数值调参'!$AJ$33,0),IF('01_数值调参'!$AK$7&lt;=$A16,-'01_数值调参'!$AK$33,0),IF('01_数值调参'!$AL$7&lt;=$A16,-'01_数值调参'!$AL$33,0),IF('01_数值调参'!$AM$7&lt;=$A16,-'01_数值调参'!$AM$33,0)),0),0)),"队列待修正"))</x:f>
        <x:v>0</x:v>
      </x:c>
      <x:c r="X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U$7,"—",SUM(IF($A16&gt;=2,(C16+$C$3)*MAX(0,IF('01_数值调参'!$N$7&lt;=$A16,-'01_数值调参'!$N$34,0),IF('01_数值调参'!$O$7&lt;=$A16,-'01_数值调参'!$O$34,0),IF('01_数值调参'!$P$7&lt;=$A16,-'01_数值调参'!$P$34,0),IF('01_数值调参'!$Q$7&lt;=$A16,-'01_数值调参'!$Q$34,0),IF('01_数值调参'!$R$7&lt;=$A16,-'01_数值调参'!$R$34,0)),0),IF($A16&gt;=4,(D16+$C$3)*MAX(0,IF('01_数值调参'!$S$7&lt;=$A16,-'01_数值调参'!$S$34,0),IF('01_数值调参'!$T$7&lt;=$A16,-'01_数值调参'!$T$34,0),IF('01_数值调参'!$U$7&lt;=$A16,0,0),IF('01_数值调参'!$V$7&lt;=$A16,-'01_数值调参'!$V$34,0),IF('01_数值调参'!$W$7&lt;=$A16,-'01_数值调参'!$W$34,0)),0),IF($A16&gt;=6,(E16+$C$3)*MAX(0,IF('01_数值调参'!$X$7&lt;=$A16,-'01_数值调参'!$X$34,0),IF('01_数值调参'!$Y$7&lt;=$A16,-'01_数值调参'!$Y$34,0),IF('01_数值调参'!$Z$7&lt;=$A16,-'01_数值调参'!$Z$34,0),IF('01_数值调参'!$AA$7&lt;=$A16,-'01_数值调参'!$AA$34,0),IF('01_数值调参'!$AB$7&lt;=$A16,-'01_数值调参'!$AB$34,0),IF('01_数值调参'!$AC$7&lt;=$A16,-'01_数值调参'!$AC$34,0)),0),IF($A16&gt;=8,(F16+$C$3)*MAX(0,IF('01_数值调参'!$AD$7&lt;=$A16,-'01_数值调参'!$AD$34,0),IF('01_数值调参'!$AE$7&lt;=$A16,-'01_数值调参'!$AE$34,0),IF('01_数值调参'!$AF$7&lt;=$A16,-'01_数值调参'!$AF$34,0),IF('01_数值调参'!$AG$7&lt;=$A16,-'01_数值调参'!$AG$34,0)),0),IF($A16&gt;=10,(G16+$C$3)*MAX(0,IF('01_数值调参'!$AH$7&lt;=$A16,-'01_数值调参'!$AH$34,0),IF('01_数值调参'!$AI$7&lt;=$A16,-'01_数值调参'!$AI$34,0),IF('01_数值调参'!$AJ$7&lt;=$A16,-'01_数值调参'!$AJ$34,0),IF('01_数值调参'!$AK$7&lt;=$A16,-'01_数值调参'!$AK$34,0),IF('01_数值调参'!$AL$7&lt;=$A16,-'01_数值调参'!$AL$34,0),IF('01_数值调参'!$AM$7&lt;=$A16,-'01_数值调参'!$AM$34,0)),0),0)),"队列待修正"))</x:f>
        <x:v>—</x:v>
      </x:c>
      <x:c r="Y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V$7,"—",SUM(IF($A16&gt;=2,(C16+$C$3)*MAX(0,IF('01_数值调参'!$N$7&lt;=$A16,-'01_数值调参'!$N$35,0),IF('01_数值调参'!$O$7&lt;=$A16,-'01_数值调参'!$O$35,0),IF('01_数值调参'!$P$7&lt;=$A16,-'01_数值调参'!$P$35,0),IF('01_数值调参'!$Q$7&lt;=$A16,-'01_数值调参'!$Q$35,0),IF('01_数值调参'!$R$7&lt;=$A16,-'01_数值调参'!$R$35,0)),0),IF($A16&gt;=4,(D16+$C$3)*MAX(0,IF('01_数值调参'!$S$7&lt;=$A16,-'01_数值调参'!$S$35,0),IF('01_数值调参'!$T$7&lt;=$A16,-'01_数值调参'!$T$35,0),IF('01_数值调参'!$U$7&lt;=$A16,-'01_数值调参'!$U$35,0),IF('01_数值调参'!$V$7&lt;=$A16,0,0),IF('01_数值调参'!$W$7&lt;=$A16,-'01_数值调参'!$W$35,0)),0),IF($A16&gt;=6,(E16+$C$3)*MAX(0,IF('01_数值调参'!$X$7&lt;=$A16,-'01_数值调参'!$X$35,0),IF('01_数值调参'!$Y$7&lt;=$A16,-'01_数值调参'!$Y$35,0),IF('01_数值调参'!$Z$7&lt;=$A16,-'01_数值调参'!$Z$35,0),IF('01_数值调参'!$AA$7&lt;=$A16,-'01_数值调参'!$AA$35,0),IF('01_数值调参'!$AB$7&lt;=$A16,-'01_数值调参'!$AB$35,0),IF('01_数值调参'!$AC$7&lt;=$A16,-'01_数值调参'!$AC$35,0)),0),IF($A16&gt;=8,(F16+$C$3)*MAX(0,IF('01_数值调参'!$AD$7&lt;=$A16,-'01_数值调参'!$AD$35,0),IF('01_数值调参'!$AE$7&lt;=$A16,-'01_数值调参'!$AE$35,0),IF('01_数值调参'!$AF$7&lt;=$A16,-'01_数值调参'!$AF$35,0),IF('01_数值调参'!$AG$7&lt;=$A16,-'01_数值调参'!$AG$35,0)),0),IF($A16&gt;=10,(G16+$C$3)*MAX(0,IF('01_数值调参'!$AH$7&lt;=$A16,-'01_数值调参'!$AH$35,0),IF('01_数值调参'!$AI$7&lt;=$A16,-'01_数值调参'!$AI$35,0),IF('01_数值调参'!$AJ$7&lt;=$A16,-'01_数值调参'!$AJ$35,0),IF('01_数值调参'!$AK$7&lt;=$A16,-'01_数值调参'!$AK$35,0),IF('01_数值调参'!$AL$7&lt;=$A16,-'01_数值调参'!$AL$35,0),IF('01_数值调参'!$AM$7&lt;=$A16,-'01_数值调参'!$AM$35,0)),0),0)),"队列待修正"))</x:f>
        <x:v>—</x:v>
      </x:c>
      <x:c r="Z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W$7,"—",SUM(IF($A16&gt;=2,(C16+$C$3)*MAX(0,IF('01_数值调参'!$N$7&lt;=$A16,-'01_数值调参'!$N$36,0),IF('01_数值调参'!$O$7&lt;=$A16,-'01_数值调参'!$O$36,0),IF('01_数值调参'!$P$7&lt;=$A16,-'01_数值调参'!$P$36,0),IF('01_数值调参'!$Q$7&lt;=$A16,-'01_数值调参'!$Q$36,0),IF('01_数值调参'!$R$7&lt;=$A16,-'01_数值调参'!$R$36,0)),0),IF($A16&gt;=4,(D16+$C$3)*MAX(0,IF('01_数值调参'!$S$7&lt;=$A16,-'01_数值调参'!$S$36,0),IF('01_数值调参'!$T$7&lt;=$A16,-'01_数值调参'!$T$36,0),IF('01_数值调参'!$U$7&lt;=$A16,-'01_数值调参'!$U$36,0),IF('01_数值调参'!$V$7&lt;=$A16,-'01_数值调参'!$V$36,0),IF('01_数值调参'!$W$7&lt;=$A16,0,0)),0),IF($A16&gt;=6,(E16+$C$3)*MAX(0,IF('01_数值调参'!$X$7&lt;=$A16,-'01_数值调参'!$X$36,0),IF('01_数值调参'!$Y$7&lt;=$A16,-'01_数值调参'!$Y$36,0),IF('01_数值调参'!$Z$7&lt;=$A16,-'01_数值调参'!$Z$36,0),IF('01_数值调参'!$AA$7&lt;=$A16,-'01_数值调参'!$AA$36,0),IF('01_数值调参'!$AB$7&lt;=$A16,-'01_数值调参'!$AB$36,0),IF('01_数值调参'!$AC$7&lt;=$A16,-'01_数值调参'!$AC$36,0)),0),IF($A16&gt;=8,(F16+$C$3)*MAX(0,IF('01_数值调参'!$AD$7&lt;=$A16,-'01_数值调参'!$AD$36,0),IF('01_数值调参'!$AE$7&lt;=$A16,-'01_数值调参'!$AE$36,0),IF('01_数值调参'!$AF$7&lt;=$A16,-'01_数值调参'!$AF$36,0),IF('01_数值调参'!$AG$7&lt;=$A16,-'01_数值调参'!$AG$36,0)),0),IF($A16&gt;=10,(G16+$C$3)*MAX(0,IF('01_数值调参'!$AH$7&lt;=$A16,-'01_数值调参'!$AH$36,0),IF('01_数值调参'!$AI$7&lt;=$A16,-'01_数值调参'!$AI$36,0),IF('01_数值调参'!$AJ$7&lt;=$A16,-'01_数值调参'!$AJ$36,0),IF('01_数值调参'!$AK$7&lt;=$A16,-'01_数值调参'!$AK$36,0),IF('01_数值调参'!$AL$7&lt;=$A16,-'01_数值调参'!$AL$36,0),IF('01_数值调参'!$AM$7&lt;=$A16,-'01_数值调参'!$AM$36,0)),0),0)),"队列待修正"))</x:f>
        <x:v>—</x:v>
      </x:c>
      <x:c r="AA16" s="191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X$7,"—",SUM(IF($A16&gt;=2,(C16+$C$3)*MAX(0,IF('01_数值调参'!$N$7&lt;=$A16,-'01_数值调参'!$N$37,0),IF('01_数值调参'!$O$7&lt;=$A16,-'01_数值调参'!$O$37,0),IF('01_数值调参'!$P$7&lt;=$A16,-'01_数值调参'!$P$37,0),IF('01_数值调参'!$Q$7&lt;=$A16,-'01_数值调参'!$Q$37,0),IF('01_数值调参'!$R$7&lt;=$A16,-'01_数值调参'!$R$37,0)),0),IF($A16&gt;=4,(D16+$C$3)*MAX(0,IF('01_数值调参'!$S$7&lt;=$A16,-'01_数值调参'!$S$37,0),IF('01_数值调参'!$T$7&lt;=$A16,-'01_数值调参'!$T$37,0),IF('01_数值调参'!$U$7&lt;=$A16,-'01_数值调参'!$U$37,0),IF('01_数值调参'!$V$7&lt;=$A16,-'01_数值调参'!$V$37,0),IF('01_数值调参'!$W$7&lt;=$A16,-'01_数值调参'!$W$37,0)),0),IF($A16&gt;=6,(E16+$C$3)*MAX(0,IF('01_数值调参'!$X$7&lt;=$A16,0,0),IF('01_数值调参'!$Y$7&lt;=$A16,-'01_数值调参'!$Y$37,0),IF('01_数值调参'!$Z$7&lt;=$A16,-'01_数值调参'!$Z$37,0),IF('01_数值调参'!$AA$7&lt;=$A16,-'01_数值调参'!$AA$37,0),IF('01_数值调参'!$AB$7&lt;=$A16,-'01_数值调参'!$AB$37,0),IF('01_数值调参'!$AC$7&lt;=$A16,-'01_数值调参'!$AC$37,0)),0),IF($A16&gt;=8,(F16+$C$3)*MAX(0,IF('01_数值调参'!$AD$7&lt;=$A16,-'01_数值调参'!$AD$37,0),IF('01_数值调参'!$AE$7&lt;=$A16,-'01_数值调参'!$AE$37,0),IF('01_数值调参'!$AF$7&lt;=$A16,-'01_数值调参'!$AF$37,0),IF('01_数值调参'!$AG$7&lt;=$A16,-'01_数值调参'!$AG$37,0)),0),IF($A16&gt;=10,(G16+$C$3)*MAX(0,IF('01_数值调参'!$AH$7&lt;=$A16,-'01_数值调参'!$AH$37,0),IF('01_数值调参'!$AI$7&lt;=$A16,-'01_数值调参'!$AI$37,0),IF('01_数值调参'!$AJ$7&lt;=$A16,-'01_数值调参'!$AJ$37,0),IF('01_数值调参'!$AK$7&lt;=$A16,-'01_数值调参'!$AK$37,0),IF('01_数值调参'!$AL$7&lt;=$A16,-'01_数值调参'!$AL$37,0),IF('01_数值调参'!$AM$7&lt;=$A16,-'01_数值调参'!$AM$37,0)),0),0)),"队列待修正"))</x:f>
        <x:v>0</x:v>
      </x:c>
      <x:c r="AB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Y$7,"—",SUM(IF($A16&gt;=2,(C16+$C$3)*MAX(0,IF('01_数值调参'!$N$7&lt;=$A16,-'01_数值调参'!$N$38,0),IF('01_数值调参'!$O$7&lt;=$A16,-'01_数值调参'!$O$38,0),IF('01_数值调参'!$P$7&lt;=$A16,-'01_数值调参'!$P$38,0),IF('01_数值调参'!$Q$7&lt;=$A16,-'01_数值调参'!$Q$38,0),IF('01_数值调参'!$R$7&lt;=$A16,-'01_数值调参'!$R$38,0)),0),IF($A16&gt;=4,(D16+$C$3)*MAX(0,IF('01_数值调参'!$S$7&lt;=$A16,-'01_数值调参'!$S$38,0),IF('01_数值调参'!$T$7&lt;=$A16,-'01_数值调参'!$T$38,0),IF('01_数值调参'!$U$7&lt;=$A16,-'01_数值调参'!$U$38,0),IF('01_数值调参'!$V$7&lt;=$A16,-'01_数值调参'!$V$38,0),IF('01_数值调参'!$W$7&lt;=$A16,-'01_数值调参'!$W$38,0)),0),IF($A16&gt;=6,(E16+$C$3)*MAX(0,IF('01_数值调参'!$X$7&lt;=$A16,-'01_数值调参'!$X$38,0),IF('01_数值调参'!$Y$7&lt;=$A16,0,0),IF('01_数值调参'!$Z$7&lt;=$A16,-'01_数值调参'!$Z$38,0),IF('01_数值调参'!$AA$7&lt;=$A16,-'01_数值调参'!$AA$38,0),IF('01_数值调参'!$AB$7&lt;=$A16,-'01_数值调参'!$AB$38,0),IF('01_数值调参'!$AC$7&lt;=$A16,-'01_数值调参'!$AC$38,0)),0),IF($A16&gt;=8,(F16+$C$3)*MAX(0,IF('01_数值调参'!$AD$7&lt;=$A16,-'01_数值调参'!$AD$38,0),IF('01_数值调参'!$AE$7&lt;=$A16,-'01_数值调参'!$AE$38,0),IF('01_数值调参'!$AF$7&lt;=$A16,-'01_数值调参'!$AF$38,0),IF('01_数值调参'!$AG$7&lt;=$A16,-'01_数值调参'!$AG$38,0)),0),IF($A16&gt;=10,(G16+$C$3)*MAX(0,IF('01_数值调参'!$AH$7&lt;=$A16,-'01_数值调参'!$AH$38,0),IF('01_数值调参'!$AI$7&lt;=$A16,-'01_数值调参'!$AI$38,0),IF('01_数值调参'!$AJ$7&lt;=$A16,-'01_数值调参'!$AJ$38,0),IF('01_数值调参'!$AK$7&lt;=$A16,-'01_数值调参'!$AK$38,0),IF('01_数值调参'!$AL$7&lt;=$A16,-'01_数值调参'!$AL$38,0),IF('01_数值调参'!$AM$7&lt;=$A16,-'01_数值调参'!$AM$38,0)),0),0)),"队列待修正"))</x:f>
        <x:v>0</x:v>
      </x:c>
      <x:c r="AC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Z$7,"—",SUM(IF($A16&gt;=2,(C16+$C$3)*MAX(0,IF('01_数值调参'!$N$7&lt;=$A16,-'01_数值调参'!$N$39,0),IF('01_数值调参'!$O$7&lt;=$A16,-'01_数值调参'!$O$39,0),IF('01_数值调参'!$P$7&lt;=$A16,-'01_数值调参'!$P$39,0),IF('01_数值调参'!$Q$7&lt;=$A16,-'01_数值调参'!$Q$39,0),IF('01_数值调参'!$R$7&lt;=$A16,-'01_数值调参'!$R$39,0)),0),IF($A16&gt;=4,(D16+$C$3)*MAX(0,IF('01_数值调参'!$S$7&lt;=$A16,-'01_数值调参'!$S$39,0),IF('01_数值调参'!$T$7&lt;=$A16,-'01_数值调参'!$T$39,0),IF('01_数值调参'!$U$7&lt;=$A16,-'01_数值调参'!$U$39,0),IF('01_数值调参'!$V$7&lt;=$A16,-'01_数值调参'!$V$39,0),IF('01_数值调参'!$W$7&lt;=$A16,-'01_数值调参'!$W$39,0)),0),IF($A16&gt;=6,(E16+$C$3)*MAX(0,IF('01_数值调参'!$X$7&lt;=$A16,-'01_数值调参'!$X$39,0),IF('01_数值调参'!$Y$7&lt;=$A16,-'01_数值调参'!$Y$39,0),IF('01_数值调参'!$Z$7&lt;=$A16,0,0),IF('01_数值调参'!$AA$7&lt;=$A16,-'01_数值调参'!$AA$39,0),IF('01_数值调参'!$AB$7&lt;=$A16,-'01_数值调参'!$AB$39,0),IF('01_数值调参'!$AC$7&lt;=$A16,-'01_数值调参'!$AC$39,0)),0),IF($A16&gt;=8,(F16+$C$3)*MAX(0,IF('01_数值调参'!$AD$7&lt;=$A16,-'01_数值调参'!$AD$39,0),IF('01_数值调参'!$AE$7&lt;=$A16,-'01_数值调参'!$AE$39,0),IF('01_数值调参'!$AF$7&lt;=$A16,-'01_数值调参'!$AF$39,0),IF('01_数值调参'!$AG$7&lt;=$A16,-'01_数值调参'!$AG$39,0)),0),IF($A16&gt;=10,(G16+$C$3)*MAX(0,IF('01_数值调参'!$AH$7&lt;=$A16,-'01_数值调参'!$AH$39,0),IF('01_数值调参'!$AI$7&lt;=$A16,-'01_数值调参'!$AI$39,0),IF('01_数值调参'!$AJ$7&lt;=$A16,-'01_数值调参'!$AJ$39,0),IF('01_数值调参'!$AK$7&lt;=$A16,-'01_数值调参'!$AK$39,0),IF('01_数值调参'!$AL$7&lt;=$A16,-'01_数值调参'!$AL$39,0),IF('01_数值调参'!$AM$7&lt;=$A16,-'01_数值调参'!$AM$39,0)),0),0)),"队列待修正"))</x:f>
        <x:v>—</x:v>
      </x:c>
      <x:c r="AD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A$7,"—",SUM(IF($A16&gt;=2,(C16+$C$3)*MAX(0,IF('01_数值调参'!$N$7&lt;=$A16,-'01_数值调参'!$N$40,0),IF('01_数值调参'!$O$7&lt;=$A16,-'01_数值调参'!$O$40,0),IF('01_数值调参'!$P$7&lt;=$A16,-'01_数值调参'!$P$40,0),IF('01_数值调参'!$Q$7&lt;=$A16,-'01_数值调参'!$Q$40,0),IF('01_数值调参'!$R$7&lt;=$A16,-'01_数值调参'!$R$40,0)),0),IF($A16&gt;=4,(D16+$C$3)*MAX(0,IF('01_数值调参'!$S$7&lt;=$A16,-'01_数值调参'!$S$40,0),IF('01_数值调参'!$T$7&lt;=$A16,-'01_数值调参'!$T$40,0),IF('01_数值调参'!$U$7&lt;=$A16,-'01_数值调参'!$U$40,0),IF('01_数值调参'!$V$7&lt;=$A16,-'01_数值调参'!$V$40,0),IF('01_数值调参'!$W$7&lt;=$A16,-'01_数值调参'!$W$40,0)),0),IF($A16&gt;=6,(E16+$C$3)*MAX(0,IF('01_数值调参'!$X$7&lt;=$A16,-'01_数值调参'!$X$40,0),IF('01_数值调参'!$Y$7&lt;=$A16,-'01_数值调参'!$Y$40,0),IF('01_数值调参'!$Z$7&lt;=$A16,-'01_数值调参'!$Z$40,0),IF('01_数值调参'!$AA$7&lt;=$A16,0,0),IF('01_数值调参'!$AB$7&lt;=$A16,-'01_数值调参'!$AB$40,0),IF('01_数值调参'!$AC$7&lt;=$A16,-'01_数值调参'!$AC$40,0)),0),IF($A16&gt;=8,(F16+$C$3)*MAX(0,IF('01_数值调参'!$AD$7&lt;=$A16,-'01_数值调参'!$AD$40,0),IF('01_数值调参'!$AE$7&lt;=$A16,-'01_数值调参'!$AE$40,0),IF('01_数值调参'!$AF$7&lt;=$A16,-'01_数值调参'!$AF$40,0),IF('01_数值调参'!$AG$7&lt;=$A16,-'01_数值调参'!$AG$40,0)),0),IF($A16&gt;=10,(G16+$C$3)*MAX(0,IF('01_数值调参'!$AH$7&lt;=$A16,-'01_数值调参'!$AH$40,0),IF('01_数值调参'!$AI$7&lt;=$A16,-'01_数值调参'!$AI$40,0),IF('01_数值调参'!$AJ$7&lt;=$A16,-'01_数值调参'!$AJ$40,0),IF('01_数值调参'!$AK$7&lt;=$A16,-'01_数值调参'!$AK$40,0),IF('01_数值调参'!$AL$7&lt;=$A16,-'01_数值调参'!$AL$40,0),IF('01_数值调参'!$AM$7&lt;=$A16,-'01_数值调参'!$AM$40,0)),0),0)),"队列待修正"))</x:f>
        <x:v>—</x:v>
      </x:c>
      <x:c r="AE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B$7,"—",SUM(IF($A16&gt;=2,(C16+$C$3)*MAX(0,IF('01_数值调参'!$N$7&lt;=$A16,-'01_数值调参'!$N$41,0),IF('01_数值调参'!$O$7&lt;=$A16,-'01_数值调参'!$O$41,0),IF('01_数值调参'!$P$7&lt;=$A16,-'01_数值调参'!$P$41,0),IF('01_数值调参'!$Q$7&lt;=$A16,-'01_数值调参'!$Q$41,0),IF('01_数值调参'!$R$7&lt;=$A16,-'01_数值调参'!$R$41,0)),0),IF($A16&gt;=4,(D16+$C$3)*MAX(0,IF('01_数值调参'!$S$7&lt;=$A16,-'01_数值调参'!$S$41,0),IF('01_数值调参'!$T$7&lt;=$A16,-'01_数值调参'!$T$41,0),IF('01_数值调参'!$U$7&lt;=$A16,-'01_数值调参'!$U$41,0),IF('01_数值调参'!$V$7&lt;=$A16,-'01_数值调参'!$V$41,0),IF('01_数值调参'!$W$7&lt;=$A16,-'01_数值调参'!$W$41,0)),0),IF($A16&gt;=6,(E16+$C$3)*MAX(0,IF('01_数值调参'!$X$7&lt;=$A16,-'01_数值调参'!$X$41,0),IF('01_数值调参'!$Y$7&lt;=$A16,-'01_数值调参'!$Y$41,0),IF('01_数值调参'!$Z$7&lt;=$A16,-'01_数值调参'!$Z$41,0),IF('01_数值调参'!$AA$7&lt;=$A16,-'01_数值调参'!$AA$41,0),IF('01_数值调参'!$AB$7&lt;=$A16,0,0),IF('01_数值调参'!$AC$7&lt;=$A16,-'01_数值调参'!$AC$41,0)),0),IF($A16&gt;=8,(F16+$C$3)*MAX(0,IF('01_数值调参'!$AD$7&lt;=$A16,-'01_数值调参'!$AD$41,0),IF('01_数值调参'!$AE$7&lt;=$A16,-'01_数值调参'!$AE$41,0),IF('01_数值调参'!$AF$7&lt;=$A16,-'01_数值调参'!$AF$41,0),IF('01_数值调参'!$AG$7&lt;=$A16,-'01_数值调参'!$AG$41,0)),0),IF($A16&gt;=10,(G16+$C$3)*MAX(0,IF('01_数值调参'!$AH$7&lt;=$A16,-'01_数值调参'!$AH$41,0),IF('01_数值调参'!$AI$7&lt;=$A16,-'01_数值调参'!$AI$41,0),IF('01_数值调参'!$AJ$7&lt;=$A16,-'01_数值调参'!$AJ$41,0),IF('01_数值调参'!$AK$7&lt;=$A16,-'01_数值调参'!$AK$41,0),IF('01_数值调参'!$AL$7&lt;=$A16,-'01_数值调参'!$AL$41,0),IF('01_数值调参'!$AM$7&lt;=$A16,-'01_数值调参'!$AM$41,0)),0),0)),"队列待修正"))</x:f>
        <x:v>—</x:v>
      </x:c>
      <x:c r="AF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C$7,"—",SUM(IF($A16&gt;=2,(C16+$C$3)*MAX(0,IF('01_数值调参'!$N$7&lt;=$A16,-'01_数值调参'!$N$42,0),IF('01_数值调参'!$O$7&lt;=$A16,-'01_数值调参'!$O$42,0),IF('01_数值调参'!$P$7&lt;=$A16,-'01_数值调参'!$P$42,0),IF('01_数值调参'!$Q$7&lt;=$A16,-'01_数值调参'!$Q$42,0),IF('01_数值调参'!$R$7&lt;=$A16,-'01_数值调参'!$R$42,0)),0),IF($A16&gt;=4,(D16+$C$3)*MAX(0,IF('01_数值调参'!$S$7&lt;=$A16,-'01_数值调参'!$S$42,0),IF('01_数值调参'!$T$7&lt;=$A16,-'01_数值调参'!$T$42,0),IF('01_数值调参'!$U$7&lt;=$A16,-'01_数值调参'!$U$42,0),IF('01_数值调参'!$V$7&lt;=$A16,-'01_数值调参'!$V$42,0),IF('01_数值调参'!$W$7&lt;=$A16,-'01_数值调参'!$W$42,0)),0),IF($A16&gt;=6,(E16+$C$3)*MAX(0,IF('01_数值调参'!$X$7&lt;=$A16,-'01_数值调参'!$X$42,0),IF('01_数值调参'!$Y$7&lt;=$A16,-'01_数值调参'!$Y$42,0),IF('01_数值调参'!$Z$7&lt;=$A16,-'01_数值调参'!$Z$42,0),IF('01_数值调参'!$AA$7&lt;=$A16,-'01_数值调参'!$AA$42,0),IF('01_数值调参'!$AB$7&lt;=$A16,-'01_数值调参'!$AB$42,0),IF('01_数值调参'!$AC$7&lt;=$A16,0,0)),0),IF($A16&gt;=8,(F16+$C$3)*MAX(0,IF('01_数值调参'!$AD$7&lt;=$A16,-'01_数值调参'!$AD$42,0),IF('01_数值调参'!$AE$7&lt;=$A16,-'01_数值调参'!$AE$42,0),IF('01_数值调参'!$AF$7&lt;=$A16,-'01_数值调参'!$AF$42,0),IF('01_数值调参'!$AG$7&lt;=$A16,-'01_数值调参'!$AG$42,0)),0),IF($A16&gt;=10,(G16+$C$3)*MAX(0,IF('01_数值调参'!$AH$7&lt;=$A16,-'01_数值调参'!$AH$42,0),IF('01_数值调参'!$AI$7&lt;=$A16,-'01_数值调参'!$AI$42,0),IF('01_数值调参'!$AJ$7&lt;=$A16,-'01_数值调参'!$AJ$42,0),IF('01_数值调参'!$AK$7&lt;=$A16,-'01_数值调参'!$AK$42,0),IF('01_数值调参'!$AL$7&lt;=$A16,-'01_数值调参'!$AL$42,0),IF('01_数值调参'!$AM$7&lt;=$A16,-'01_数值调参'!$AM$42,0)),0),0)),"队列待修正"))</x:f>
        <x:v>—</x:v>
      </x:c>
      <x:c r="AG16" s="191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D$7,"—",SUM(IF($A16&gt;=2,(C16+$C$3)*MAX(0,IF('01_数值调参'!$N$7&lt;=$A16,-'01_数值调参'!$N$43,0),IF('01_数值调参'!$O$7&lt;=$A16,-'01_数值调参'!$O$43,0),IF('01_数值调参'!$P$7&lt;=$A16,-'01_数值调参'!$P$43,0),IF('01_数值调参'!$Q$7&lt;=$A16,-'01_数值调参'!$Q$43,0),IF('01_数值调参'!$R$7&lt;=$A16,-'01_数值调参'!$R$43,0)),0),IF($A16&gt;=4,(D16+$C$3)*MAX(0,IF('01_数值调参'!$S$7&lt;=$A16,-'01_数值调参'!$S$43,0),IF('01_数值调参'!$T$7&lt;=$A16,-'01_数值调参'!$T$43,0),IF('01_数值调参'!$U$7&lt;=$A16,-'01_数值调参'!$U$43,0),IF('01_数值调参'!$V$7&lt;=$A16,-'01_数值调参'!$V$43,0),IF('01_数值调参'!$W$7&lt;=$A16,-'01_数值调参'!$W$43,0)),0),IF($A16&gt;=6,(E16+$C$3)*MAX(0,IF('01_数值调参'!$X$7&lt;=$A16,-'01_数值调参'!$X$43,0),IF('01_数值调参'!$Y$7&lt;=$A16,-'01_数值调参'!$Y$43,0),IF('01_数值调参'!$Z$7&lt;=$A16,-'01_数值调参'!$Z$43,0),IF('01_数值调参'!$AA$7&lt;=$A16,-'01_数值调参'!$AA$43,0),IF('01_数值调参'!$AB$7&lt;=$A16,-'01_数值调参'!$AB$43,0),IF('01_数值调参'!$AC$7&lt;=$A16,-'01_数值调参'!$AC$43,0)),0),IF($A16&gt;=8,(F16+$C$3)*MAX(0,IF('01_数值调参'!$AD$7&lt;=$A16,0,0),IF('01_数值调参'!$AE$7&lt;=$A16,-'01_数值调参'!$AE$43,0),IF('01_数值调参'!$AF$7&lt;=$A16,-'01_数值调参'!$AF$43,0),IF('01_数值调参'!$AG$7&lt;=$A16,-'01_数值调参'!$AG$43,0)),0),IF($A16&gt;=10,(G16+$C$3)*MAX(0,IF('01_数值调参'!$AH$7&lt;=$A16,-'01_数值调参'!$AH$43,0),IF('01_数值调参'!$AI$7&lt;=$A16,-'01_数值调参'!$AI$43,0),IF('01_数值调参'!$AJ$7&lt;=$A16,-'01_数值调参'!$AJ$43,0),IF('01_数值调参'!$AK$7&lt;=$A16,-'01_数值调参'!$AK$43,0),IF('01_数值调参'!$AL$7&lt;=$A16,-'01_数值调参'!$AL$43,0),IF('01_数值调参'!$AM$7&lt;=$A16,-'01_数值调参'!$AM$43,0)),0),0)),"队列待修正"))</x:f>
        <x:v>0</x:v>
      </x:c>
      <x:c r="AH16" s="179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E$7,"—",SUM(IF($A16&gt;=2,(C16+$C$3)*MAX(0,IF('01_数值调参'!$N$7&lt;=$A16,-'01_数值调参'!$N$44,0),IF('01_数值调参'!$O$7&lt;=$A16,-'01_数值调参'!$O$44,0),IF('01_数值调参'!$P$7&lt;=$A16,-'01_数值调参'!$P$44,0),IF('01_数值调参'!$Q$7&lt;=$A16,-'01_数值调参'!$Q$44,0),IF('01_数值调参'!$R$7&lt;=$A16,-'01_数值调参'!$R$44,0)),0),IF($A16&gt;=4,(D16+$C$3)*MAX(0,IF('01_数值调参'!$S$7&lt;=$A16,-'01_数值调参'!$S$44,0),IF('01_数值调参'!$T$7&lt;=$A16,-'01_数值调参'!$T$44,0),IF('01_数值调参'!$U$7&lt;=$A16,-'01_数值调参'!$U$44,0),IF('01_数值调参'!$V$7&lt;=$A16,-'01_数值调参'!$V$44,0),IF('01_数值调参'!$W$7&lt;=$A16,-'01_数值调参'!$W$44,0)),0),IF($A16&gt;=6,(E16+$C$3)*MAX(0,IF('01_数值调参'!$X$7&lt;=$A16,-'01_数值调参'!$X$44,0),IF('01_数值调参'!$Y$7&lt;=$A16,-'01_数值调参'!$Y$44,0),IF('01_数值调参'!$Z$7&lt;=$A16,-'01_数值调参'!$Z$44,0),IF('01_数值调参'!$AA$7&lt;=$A16,-'01_数值调参'!$AA$44,0),IF('01_数值调参'!$AB$7&lt;=$A16,-'01_数值调参'!$AB$44,0),IF('01_数值调参'!$AC$7&lt;=$A16,-'01_数值调参'!$AC$44,0)),0),IF($A16&gt;=8,(F16+$C$3)*MAX(0,IF('01_数值调参'!$AD$7&lt;=$A16,-'01_数值调参'!$AD$44,0),IF('01_数值调参'!$AE$7&lt;=$A16,0,0),IF('01_数值调参'!$AF$7&lt;=$A16,-'01_数值调参'!$AF$44,0),IF('01_数值调参'!$AG$7&lt;=$A16,-'01_数值调参'!$AG$44,0)),0),IF($A16&gt;=10,(G16+$C$3)*MAX(0,IF('01_数值调参'!$AH$7&lt;=$A16,-'01_数值调参'!$AH$44,0),IF('01_数值调参'!$AI$7&lt;=$A16,-'01_数值调参'!$AI$44,0),IF('01_数值调参'!$AJ$7&lt;=$A16,-'01_数值调参'!$AJ$44,0),IF('01_数值调参'!$AK$7&lt;=$A16,-'01_数值调参'!$AK$44,0),IF('01_数值调参'!$AL$7&lt;=$A16,-'01_数值调参'!$AL$44,0),IF('01_数值调参'!$AM$7&lt;=$A16,-'01_数值调参'!$AM$44,0)),0),0)),"队列待修正"))</x:f>
        <x:v>0</x:v>
      </x:c>
      <x:c r="AI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F$7,"—",SUM(IF($A16&gt;=2,(C16+$C$3)*MAX(0,IF('01_数值调参'!$N$7&lt;=$A16,-'01_数值调参'!$N$45,0),IF('01_数值调参'!$O$7&lt;=$A16,-'01_数值调参'!$O$45,0),IF('01_数值调参'!$P$7&lt;=$A16,-'01_数值调参'!$P$45,0),IF('01_数值调参'!$Q$7&lt;=$A16,-'01_数值调参'!$Q$45,0),IF('01_数值调参'!$R$7&lt;=$A16,-'01_数值调参'!$R$45,0)),0),IF($A16&gt;=4,(D16+$C$3)*MAX(0,IF('01_数值调参'!$S$7&lt;=$A16,-'01_数值调参'!$S$45,0),IF('01_数值调参'!$T$7&lt;=$A16,-'01_数值调参'!$T$45,0),IF('01_数值调参'!$U$7&lt;=$A16,-'01_数值调参'!$U$45,0),IF('01_数值调参'!$V$7&lt;=$A16,-'01_数值调参'!$V$45,0),IF('01_数值调参'!$W$7&lt;=$A16,-'01_数值调参'!$W$45,0)),0),IF($A16&gt;=6,(E16+$C$3)*MAX(0,IF('01_数值调参'!$X$7&lt;=$A16,-'01_数值调参'!$X$45,0),IF('01_数值调参'!$Y$7&lt;=$A16,-'01_数值调参'!$Y$45,0),IF('01_数值调参'!$Z$7&lt;=$A16,-'01_数值调参'!$Z$45,0),IF('01_数值调参'!$AA$7&lt;=$A16,-'01_数值调参'!$AA$45,0),IF('01_数值调参'!$AB$7&lt;=$A16,-'01_数值调参'!$AB$45,0),IF('01_数值调参'!$AC$7&lt;=$A16,-'01_数值调参'!$AC$45,0)),0),IF($A16&gt;=8,(F16+$C$3)*MAX(0,IF('01_数值调参'!$AD$7&lt;=$A16,-'01_数值调参'!$AD$45,0),IF('01_数值调参'!$AE$7&lt;=$A16,-'01_数值调参'!$AE$45,0),IF('01_数值调参'!$AF$7&lt;=$A16,0,0),IF('01_数值调参'!$AG$7&lt;=$A16,-'01_数值调参'!$AG$45,0)),0),IF($A16&gt;=10,(G16+$C$3)*MAX(0,IF('01_数值调参'!$AH$7&lt;=$A16,-'01_数值调参'!$AH$45,0),IF('01_数值调参'!$AI$7&lt;=$A16,-'01_数值调参'!$AI$45,0),IF('01_数值调参'!$AJ$7&lt;=$A16,-'01_数值调参'!$AJ$45,0),IF('01_数值调参'!$AK$7&lt;=$A16,-'01_数值调参'!$AK$45,0),IF('01_数值调参'!$AL$7&lt;=$A16,-'01_数值调参'!$AL$45,0),IF('01_数值调参'!$AM$7&lt;=$A16,-'01_数值调参'!$AM$45,0)),0),0)),"队列待修正"))</x:f>
        <x:v>—</x:v>
      </x:c>
      <x:c r="AJ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G$7,"—",SUM(IF($A16&gt;=2,(C16+$C$3)*MAX(0,IF('01_数值调参'!$N$7&lt;=$A16,-'01_数值调参'!$N$46,0),IF('01_数值调参'!$O$7&lt;=$A16,-'01_数值调参'!$O$46,0),IF('01_数值调参'!$P$7&lt;=$A16,-'01_数值调参'!$P$46,0),IF('01_数值调参'!$Q$7&lt;=$A16,-'01_数值调参'!$Q$46,0),IF('01_数值调参'!$R$7&lt;=$A16,-'01_数值调参'!$R$46,0)),0),IF($A16&gt;=4,(D16+$C$3)*MAX(0,IF('01_数值调参'!$S$7&lt;=$A16,-'01_数值调参'!$S$46,0),IF('01_数值调参'!$T$7&lt;=$A16,-'01_数值调参'!$T$46,0),IF('01_数值调参'!$U$7&lt;=$A16,-'01_数值调参'!$U$46,0),IF('01_数值调参'!$V$7&lt;=$A16,-'01_数值调参'!$V$46,0),IF('01_数值调参'!$W$7&lt;=$A16,-'01_数值调参'!$W$46,0)),0),IF($A16&gt;=6,(E16+$C$3)*MAX(0,IF('01_数值调参'!$X$7&lt;=$A16,-'01_数值调参'!$X$46,0),IF('01_数值调参'!$Y$7&lt;=$A16,-'01_数值调参'!$Y$46,0),IF('01_数值调参'!$Z$7&lt;=$A16,-'01_数值调参'!$Z$46,0),IF('01_数值调参'!$AA$7&lt;=$A16,-'01_数值调参'!$AA$46,0),IF('01_数值调参'!$AB$7&lt;=$A16,-'01_数值调参'!$AB$46,0),IF('01_数值调参'!$AC$7&lt;=$A16,-'01_数值调参'!$AC$46,0)),0),IF($A16&gt;=8,(F16+$C$3)*MAX(0,IF('01_数值调参'!$AD$7&lt;=$A16,-'01_数值调参'!$AD$46,0),IF('01_数值调参'!$AE$7&lt;=$A16,-'01_数值调参'!$AE$46,0),IF('01_数值调参'!$AF$7&lt;=$A16,-'01_数值调参'!$AF$46,0),IF('01_数值调参'!$AG$7&lt;=$A16,0,0)),0),IF($A16&gt;=10,(G16+$C$3)*MAX(0,IF('01_数值调参'!$AH$7&lt;=$A16,-'01_数值调参'!$AH$46,0),IF('01_数值调参'!$AI$7&lt;=$A16,-'01_数值调参'!$AI$46,0),IF('01_数值调参'!$AJ$7&lt;=$A16,-'01_数值调参'!$AJ$46,0),IF('01_数值调参'!$AK$7&lt;=$A16,-'01_数值调参'!$AK$46,0),IF('01_数值调参'!$AL$7&lt;=$A16,-'01_数值调参'!$AL$46,0),IF('01_数值调参'!$AM$7&lt;=$A16,-'01_数值调参'!$AM$46,0)),0),0)),"队列待修正"))</x:f>
        <x:v>—</x:v>
      </x:c>
      <x:c r="AK16" s="191" t="n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H$7,"—",SUM(IF($A16&gt;=2,(C16+$C$3)*MAX(0,IF('01_数值调参'!$N$7&lt;=$A16,-'01_数值调参'!$N$47,0),IF('01_数值调参'!$O$7&lt;=$A16,-'01_数值调参'!$O$47,0),IF('01_数值调参'!$P$7&lt;=$A16,-'01_数值调参'!$P$47,0),IF('01_数值调参'!$Q$7&lt;=$A16,-'01_数值调参'!$Q$47,0),IF('01_数值调参'!$R$7&lt;=$A16,-'01_数值调参'!$R$47,0)),0),IF($A16&gt;=4,(D16+$C$3)*MAX(0,IF('01_数值调参'!$S$7&lt;=$A16,-'01_数值调参'!$S$47,0),IF('01_数值调参'!$T$7&lt;=$A16,-'01_数值调参'!$T$47,0),IF('01_数值调参'!$U$7&lt;=$A16,-'01_数值调参'!$U$47,0),IF('01_数值调参'!$V$7&lt;=$A16,-'01_数值调参'!$V$47,0),IF('01_数值调参'!$W$7&lt;=$A16,-'01_数值调参'!$W$47,0)),0),IF($A16&gt;=6,(E16+$C$3)*MAX(0,IF('01_数值调参'!$X$7&lt;=$A16,-'01_数值调参'!$X$47,0),IF('01_数值调参'!$Y$7&lt;=$A16,-'01_数值调参'!$Y$47,0),IF('01_数值调参'!$Z$7&lt;=$A16,-'01_数值调参'!$Z$47,0),IF('01_数值调参'!$AA$7&lt;=$A16,-'01_数值调参'!$AA$47,0),IF('01_数值调参'!$AB$7&lt;=$A16,-'01_数值调参'!$AB$47,0),IF('01_数值调参'!$AC$7&lt;=$A16,-'01_数值调参'!$AC$47,0)),0),IF($A16&gt;=8,(F16+$C$3)*MAX(0,IF('01_数值调参'!$AD$7&lt;=$A16,-'01_数值调参'!$AD$47,0),IF('01_数值调参'!$AE$7&lt;=$A16,-'01_数值调参'!$AE$47,0),IF('01_数值调参'!$AF$7&lt;=$A16,-'01_数值调参'!$AF$47,0),IF('01_数值调参'!$AG$7&lt;=$A16,-'01_数值调参'!$AG$47,0)),0),IF($A16&gt;=10,(G16+$C$3)*MAX(0,IF('01_数值调参'!$AH$7&lt;=$A16,0,0),IF('01_数值调参'!$AI$7&lt;=$A16,-'01_数值调参'!$AI$47,0),IF('01_数值调参'!$AJ$7&lt;=$A16,-'01_数值调参'!$AJ$47,0),IF('01_数值调参'!$AK$7&lt;=$A16,-'01_数值调参'!$AK$47,0),IF('01_数值调参'!$AL$7&lt;=$A16,-'01_数值调参'!$AL$47,0),IF('01_数值调参'!$AM$7&lt;=$A16,-'01_数值调参'!$AM$47,0)),0),0)),"队列待修正"))</x:f>
        <x:v>0</x:v>
      </x:c>
      <x:c r="AL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I$7,"—",SUM(IF($A16&gt;=2,(C16+$C$3)*MAX(0,IF('01_数值调参'!$N$7&lt;=$A16,-'01_数值调参'!$N$48,0),IF('01_数值调参'!$O$7&lt;=$A16,-'01_数值调参'!$O$48,0),IF('01_数值调参'!$P$7&lt;=$A16,-'01_数值调参'!$P$48,0),IF('01_数值调参'!$Q$7&lt;=$A16,-'01_数值调参'!$Q$48,0),IF('01_数值调参'!$R$7&lt;=$A16,-'01_数值调参'!$R$48,0)),0),IF($A16&gt;=4,(D16+$C$3)*MAX(0,IF('01_数值调参'!$S$7&lt;=$A16,-'01_数值调参'!$S$48,0),IF('01_数值调参'!$T$7&lt;=$A16,-'01_数值调参'!$T$48,0),IF('01_数值调参'!$U$7&lt;=$A16,-'01_数值调参'!$U$48,0),IF('01_数值调参'!$V$7&lt;=$A16,-'01_数值调参'!$V$48,0),IF('01_数值调参'!$W$7&lt;=$A16,-'01_数值调参'!$W$48,0)),0),IF($A16&gt;=6,(E16+$C$3)*MAX(0,IF('01_数值调参'!$X$7&lt;=$A16,-'01_数值调参'!$X$48,0),IF('01_数值调参'!$Y$7&lt;=$A16,-'01_数值调参'!$Y$48,0),IF('01_数值调参'!$Z$7&lt;=$A16,-'01_数值调参'!$Z$48,0),IF('01_数值调参'!$AA$7&lt;=$A16,-'01_数值调参'!$AA$48,0),IF('01_数值调参'!$AB$7&lt;=$A16,-'01_数值调参'!$AB$48,0),IF('01_数值调参'!$AC$7&lt;=$A16,-'01_数值调参'!$AC$48,0)),0),IF($A16&gt;=8,(F16+$C$3)*MAX(0,IF('01_数值调参'!$AD$7&lt;=$A16,-'01_数值调参'!$AD$48,0),IF('01_数值调参'!$AE$7&lt;=$A16,-'01_数值调参'!$AE$48,0),IF('01_数值调参'!$AF$7&lt;=$A16,-'01_数值调参'!$AF$48,0),IF('01_数值调参'!$AG$7&lt;=$A16,-'01_数值调参'!$AG$48,0)),0),IF($A16&gt;=10,(G16+$C$3)*MAX(0,IF('01_数值调参'!$AH$7&lt;=$A16,-'01_数值调参'!$AH$48,0),IF('01_数值调参'!$AI$7&lt;=$A16,0,0),IF('01_数值调参'!$AJ$7&lt;=$A16,-'01_数值调参'!$AJ$48,0),IF('01_数值调参'!$AK$7&lt;=$A16,-'01_数值调参'!$AK$48,0),IF('01_数值调参'!$AL$7&lt;=$A16,-'01_数值调参'!$AL$48,0),IF('01_数值调参'!$AM$7&lt;=$A16,-'01_数值调参'!$AM$48,0)),0),0)),"队列待修正"))</x:f>
        <x:v>—</x:v>
      </x:c>
      <x:c r="AM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J$7,"—",SUM(IF($A16&gt;=2,(C16+$C$3)*MAX(0,IF('01_数值调参'!$N$7&lt;=$A16,-'01_数值调参'!$N$49,0),IF('01_数值调参'!$O$7&lt;=$A16,-'01_数值调参'!$O$49,0),IF('01_数值调参'!$P$7&lt;=$A16,-'01_数值调参'!$P$49,0),IF('01_数值调参'!$Q$7&lt;=$A16,-'01_数值调参'!$Q$49,0),IF('01_数值调参'!$R$7&lt;=$A16,-'01_数值调参'!$R$49,0)),0),IF($A16&gt;=4,(D16+$C$3)*MAX(0,IF('01_数值调参'!$S$7&lt;=$A16,-'01_数值调参'!$S$49,0),IF('01_数值调参'!$T$7&lt;=$A16,-'01_数值调参'!$T$49,0),IF('01_数值调参'!$U$7&lt;=$A16,-'01_数值调参'!$U$49,0),IF('01_数值调参'!$V$7&lt;=$A16,-'01_数值调参'!$V$49,0),IF('01_数值调参'!$W$7&lt;=$A16,-'01_数值调参'!$W$49,0)),0),IF($A16&gt;=6,(E16+$C$3)*MAX(0,IF('01_数值调参'!$X$7&lt;=$A16,-'01_数值调参'!$X$49,0),IF('01_数值调参'!$Y$7&lt;=$A16,-'01_数值调参'!$Y$49,0),IF('01_数值调参'!$Z$7&lt;=$A16,-'01_数值调参'!$Z$49,0),IF('01_数值调参'!$AA$7&lt;=$A16,-'01_数值调参'!$AA$49,0),IF('01_数值调参'!$AB$7&lt;=$A16,-'01_数值调参'!$AB$49,0),IF('01_数值调参'!$AC$7&lt;=$A16,-'01_数值调参'!$AC$49,0)),0),IF($A16&gt;=8,(F16+$C$3)*MAX(0,IF('01_数值调参'!$AD$7&lt;=$A16,-'01_数值调参'!$AD$49,0),IF('01_数值调参'!$AE$7&lt;=$A16,-'01_数值调参'!$AE$49,0),IF('01_数值调参'!$AF$7&lt;=$A16,-'01_数值调参'!$AF$49,0),IF('01_数值调参'!$AG$7&lt;=$A16,-'01_数值调参'!$AG$49,0)),0),IF($A16&gt;=10,(G16+$C$3)*MAX(0,IF('01_数值调参'!$AH$7&lt;=$A16,-'01_数值调参'!$AH$49,0),IF('01_数值调参'!$AI$7&lt;=$A16,-'01_数值调参'!$AI$49,0),IF('01_数值调参'!$AJ$7&lt;=$A16,0,0),IF('01_数值调参'!$AK$7&lt;=$A16,-'01_数值调参'!$AK$49,0),IF('01_数值调参'!$AL$7&lt;=$A16,-'01_数值调参'!$AL$49,0),IF('01_数值调参'!$AM$7&lt;=$A16,-'01_数值调参'!$AM$49,0)),0),0)),"队列待修正"))</x:f>
        <x:v>—</x:v>
      </x:c>
      <x:c r="AN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K$7,"—",SUM(IF($A16&gt;=2,(C16+$C$3)*MAX(0,IF('01_数值调参'!$N$7&lt;=$A16,-'01_数值调参'!$N$50,0),IF('01_数值调参'!$O$7&lt;=$A16,-'01_数值调参'!$O$50,0),IF('01_数值调参'!$P$7&lt;=$A16,-'01_数值调参'!$P$50,0),IF('01_数值调参'!$Q$7&lt;=$A16,-'01_数值调参'!$Q$50,0),IF('01_数值调参'!$R$7&lt;=$A16,-'01_数值调参'!$R$50,0)),0),IF($A16&gt;=4,(D16+$C$3)*MAX(0,IF('01_数值调参'!$S$7&lt;=$A16,-'01_数值调参'!$S$50,0),IF('01_数值调参'!$T$7&lt;=$A16,-'01_数值调参'!$T$50,0),IF('01_数值调参'!$U$7&lt;=$A16,-'01_数值调参'!$U$50,0),IF('01_数值调参'!$V$7&lt;=$A16,-'01_数值调参'!$V$50,0),IF('01_数值调参'!$W$7&lt;=$A16,-'01_数值调参'!$W$50,0)),0),IF($A16&gt;=6,(E16+$C$3)*MAX(0,IF('01_数值调参'!$X$7&lt;=$A16,-'01_数值调参'!$X$50,0),IF('01_数值调参'!$Y$7&lt;=$A16,-'01_数值调参'!$Y$50,0),IF('01_数值调参'!$Z$7&lt;=$A16,-'01_数值调参'!$Z$50,0),IF('01_数值调参'!$AA$7&lt;=$A16,-'01_数值调参'!$AA$50,0),IF('01_数值调参'!$AB$7&lt;=$A16,-'01_数值调参'!$AB$50,0),IF('01_数值调参'!$AC$7&lt;=$A16,-'01_数值调参'!$AC$50,0)),0),IF($A16&gt;=8,(F16+$C$3)*MAX(0,IF('01_数值调参'!$AD$7&lt;=$A16,-'01_数值调参'!$AD$50,0),IF('01_数值调参'!$AE$7&lt;=$A16,-'01_数值调参'!$AE$50,0),IF('01_数值调参'!$AF$7&lt;=$A16,-'01_数值调参'!$AF$50,0),IF('01_数值调参'!$AG$7&lt;=$A16,-'01_数值调参'!$AG$50,0)),0),IF($A16&gt;=10,(G16+$C$3)*MAX(0,IF('01_数值调参'!$AH$7&lt;=$A16,-'01_数值调参'!$AH$50,0),IF('01_数值调参'!$AI$7&lt;=$A16,-'01_数值调参'!$AI$50,0),IF('01_数值调参'!$AJ$7&lt;=$A16,-'01_数值调参'!$AJ$50,0),IF('01_数值调参'!$AK$7&lt;=$A16,0,0),IF('01_数值调参'!$AL$7&lt;=$A16,-'01_数值调参'!$AL$50,0),IF('01_数值调参'!$AM$7&lt;=$A16,-'01_数值调参'!$AM$50,0)),0),0)),"队列待修正"))</x:f>
        <x:v>—</x:v>
      </x:c>
      <x:c r="AO16" s="179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L$7,"—",SUM(IF($A16&gt;=2,(C16+$C$3)*MAX(0,IF('01_数值调参'!$N$7&lt;=$A16,-'01_数值调参'!$N$51,0),IF('01_数值调参'!$O$7&lt;=$A16,-'01_数值调参'!$O$51,0),IF('01_数值调参'!$P$7&lt;=$A16,-'01_数值调参'!$P$51,0),IF('01_数值调参'!$Q$7&lt;=$A16,-'01_数值调参'!$Q$51,0),IF('01_数值调参'!$R$7&lt;=$A16,-'01_数值调参'!$R$51,0)),0),IF($A16&gt;=4,(D16+$C$3)*MAX(0,IF('01_数值调参'!$S$7&lt;=$A16,-'01_数值调参'!$S$51,0),IF('01_数值调参'!$T$7&lt;=$A16,-'01_数值调参'!$T$51,0),IF('01_数值调参'!$U$7&lt;=$A16,-'01_数值调参'!$U$51,0),IF('01_数值调参'!$V$7&lt;=$A16,-'01_数值调参'!$V$51,0),IF('01_数值调参'!$W$7&lt;=$A16,-'01_数值调参'!$W$51,0)),0),IF($A16&gt;=6,(E16+$C$3)*MAX(0,IF('01_数值调参'!$X$7&lt;=$A16,-'01_数值调参'!$X$51,0),IF('01_数值调参'!$Y$7&lt;=$A16,-'01_数值调参'!$Y$51,0),IF('01_数值调参'!$Z$7&lt;=$A16,-'01_数值调参'!$Z$51,0),IF('01_数值调参'!$AA$7&lt;=$A16,-'01_数值调参'!$AA$51,0),IF('01_数值调参'!$AB$7&lt;=$A16,-'01_数值调参'!$AB$51,0),IF('01_数值调参'!$AC$7&lt;=$A16,-'01_数值调参'!$AC$51,0)),0),IF($A16&gt;=8,(F16+$C$3)*MAX(0,IF('01_数值调参'!$AD$7&lt;=$A16,-'01_数值调参'!$AD$51,0),IF('01_数值调参'!$AE$7&lt;=$A16,-'01_数值调参'!$AE$51,0),IF('01_数值调参'!$AF$7&lt;=$A16,-'01_数值调参'!$AF$51,0),IF('01_数值调参'!$AG$7&lt;=$A16,-'01_数值调参'!$AG$51,0)),0),IF($A16&gt;=10,(G16+$C$3)*MAX(0,IF('01_数值调参'!$AH$7&lt;=$A16,-'01_数值调参'!$AH$51,0),IF('01_数值调参'!$AI$7&lt;=$A16,-'01_数值调参'!$AI$51,0),IF('01_数值调参'!$AJ$7&lt;=$A16,-'01_数值调参'!$AJ$51,0),IF('01_数值调参'!$AK$7&lt;=$A16,-'01_数值调参'!$AK$51,0),IF('01_数值调参'!$AL$7&lt;=$A16,0,0),IF('01_数值调参'!$AM$7&lt;=$A16,-'01_数值调参'!$AM$51,0)),0),0)),"队列待修正"))</x:f>
        <x:v>—</x:v>
      </x:c>
      <x:c r="AP16" s="180" t="str">
        <x:f>IF('01_数值调参'!$D$3&lt;&gt;"配方有效","待修正",IF(AND(OR($C$3=0,$C$3=1),ISNUMBER(C16),C16&gt;=0,MOD(C16,1)=0,ISNUMBER(D16),D16&gt;=0,MOD(D16,1)=0,ISNUMBER(E16),E16&gt;=0,MOD(E16,1)=0,ISNUMBER(F16),F16&gt;=0,MOD(F16,1)=0,ISNUMBER(G16),G16&gt;=0,MOD(G16,1)=0,TRUE),IF($A16&lt;'01_数值调参'!$AM$7,"—",SUM(IF($A16&gt;=2,(C16+$C$3)*MAX(0,IF('01_数值调参'!$N$7&lt;=$A16,-'01_数值调参'!$N$52,0),IF('01_数值调参'!$O$7&lt;=$A16,-'01_数值调参'!$O$52,0),IF('01_数值调参'!$P$7&lt;=$A16,-'01_数值调参'!$P$52,0),IF('01_数值调参'!$Q$7&lt;=$A16,-'01_数值调参'!$Q$52,0),IF('01_数值调参'!$R$7&lt;=$A16,-'01_数值调参'!$R$52,0)),0),IF($A16&gt;=4,(D16+$C$3)*MAX(0,IF('01_数值调参'!$S$7&lt;=$A16,-'01_数值调参'!$S$52,0),IF('01_数值调参'!$T$7&lt;=$A16,-'01_数值调参'!$T$52,0),IF('01_数值调参'!$U$7&lt;=$A16,-'01_数值调参'!$U$52,0),IF('01_数值调参'!$V$7&lt;=$A16,-'01_数值调参'!$V$52,0),IF('01_数值调参'!$W$7&lt;=$A16,-'01_数值调参'!$W$52,0)),0),IF($A16&gt;=6,(E16+$C$3)*MAX(0,IF('01_数值调参'!$X$7&lt;=$A16,-'01_数值调参'!$X$52,0),IF('01_数值调参'!$Y$7&lt;=$A16,-'01_数值调参'!$Y$52,0),IF('01_数值调参'!$Z$7&lt;=$A16,-'01_数值调参'!$Z$52,0),IF('01_数值调参'!$AA$7&lt;=$A16,-'01_数值调参'!$AA$52,0),IF('01_数值调参'!$AB$7&lt;=$A16,-'01_数值调参'!$AB$52,0),IF('01_数值调参'!$AC$7&lt;=$A16,-'01_数值调参'!$AC$52,0)),0),IF($A16&gt;=8,(F16+$C$3)*MAX(0,IF('01_数值调参'!$AD$7&lt;=$A16,-'01_数值调参'!$AD$52,0),IF('01_数值调参'!$AE$7&lt;=$A16,-'01_数值调参'!$AE$52,0),IF('01_数值调参'!$AF$7&lt;=$A16,-'01_数值调参'!$AF$52,0),IF('01_数值调参'!$AG$7&lt;=$A16,-'01_数值调参'!$AG$52,0)),0),IF($A16&gt;=10,(G16+$C$3)*MAX(0,IF('01_数值调参'!$AH$7&lt;=$A16,-'01_数值调参'!$AH$52,0),IF('01_数值调参'!$AI$7&lt;=$A16,-'01_数值调参'!$AI$52,0),IF('01_数值调参'!$AJ$7&lt;=$A16,-'01_数值调参'!$AJ$52,0),IF('01_数值调参'!$AK$7&lt;=$A16,-'01_数值调参'!$AK$52,0),IF('01_数值调参'!$AL$7&lt;=$A16,-'01_数值调参'!$AL$52,0),IF('01_数值调参'!$AM$7&lt;=$A16,0,0)),0),0)),"队列待修正"))</x:f>
        <x:v>—</x:v>
      </x:c>
    </x:row>
    <x:row r="17" ht="25" customHeight="1">
      <x:c r="A17" s="213" t="n">
        <x:v>11</x:v>
      </x:c>
      <x:c r="B17" s="214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SUM(IF($A17&gt;=2,(C17+$C$3)*MAX(0,IF('01_数值调参'!$N$7&lt;=$A17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17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17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17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17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17&gt;=4,(D17+$C$3)*MAX(0,IF('01_数值调参'!$S$7&lt;=$A17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17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17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17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17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17&gt;=6,(E17+$C$3)*MAX(0,IF('01_数值调参'!$X$7&lt;=$A17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17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17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17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17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17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17&gt;=8,(F17+$C$3)*MAX(0,IF('01_数值调参'!$AD$7&lt;=$A17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17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17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17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17&gt;=10,(G17+$C$3)*MAX(0,IF('01_数值调参'!$AH$7&lt;=$A17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17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17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17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17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17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42</x:v>
      </x:c>
      <x:c r="C17" s="215" t="n">
        <x:v>2</x:v>
      </x:c>
      <x:c r="D17" s="215" t="n">
        <x:v>2</x:v>
      </x:c>
      <x:c r="E17" s="215" t="n">
        <x:v>2</x:v>
      </x:c>
      <x:c r="F17" s="215" t="n">
        <x:v>2</x:v>
      </x:c>
      <x:c r="G17" s="215" t="n">
        <x:v>2</x:v>
      </x:c>
      <x:c r="H17" s="216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E$7,"—",SUM(IF($A17&gt;=2,(C17+$C$3)*MAX(0,IF('01_数值调参'!$N$7&lt;=$A17,-'01_数值调参'!$N$18,0),IF('01_数值调参'!$O$7&lt;=$A17,-'01_数值调参'!$O$18,0),IF('01_数值调参'!$P$7&lt;=$A17,-'01_数值调参'!$P$18,0),IF('01_数值调参'!$Q$7&lt;=$A17,-'01_数值调参'!$Q$18,0),IF('01_数值调参'!$R$7&lt;=$A17,-'01_数值调参'!$R$18,0)),0),IF($A17&gt;=4,(D17+$C$3)*MAX(0,IF('01_数值调参'!$S$7&lt;=$A17,-'01_数值调参'!$S$18,0),IF('01_数值调参'!$T$7&lt;=$A17,-'01_数值调参'!$T$18,0),IF('01_数值调参'!$U$7&lt;=$A17,-'01_数值调参'!$U$18,0),IF('01_数值调参'!$V$7&lt;=$A17,-'01_数值调参'!$V$18,0),IF('01_数值调参'!$W$7&lt;=$A17,-'01_数值调参'!$W$18,0)),0),IF($A17&gt;=6,(E17+$C$3)*MAX(0,IF('01_数值调参'!$X$7&lt;=$A17,-'01_数值调参'!$X$18,0),IF('01_数值调参'!$Y$7&lt;=$A17,-'01_数值调参'!$Y$18,0),IF('01_数值调参'!$Z$7&lt;=$A17,-'01_数值调参'!$Z$18,0),IF('01_数值调参'!$AA$7&lt;=$A17,-'01_数值调参'!$AA$18,0),IF('01_数值调参'!$AB$7&lt;=$A17,-'01_数值调参'!$AB$18,0),IF('01_数值调参'!$AC$7&lt;=$A17,-'01_数值调参'!$AC$18,0)),0),IF($A17&gt;=8,(F17+$C$3)*MAX(0,IF('01_数值调参'!$AD$7&lt;=$A17,-'01_数值调参'!$AD$18,0),IF('01_数值调参'!$AE$7&lt;=$A17,-'01_数值调参'!$AE$18,0),IF('01_数值调参'!$AF$7&lt;=$A17,-'01_数值调参'!$AF$18,0),IF('01_数值调参'!$AG$7&lt;=$A17,-'01_数值调参'!$AG$18,0)),0),IF($A17&gt;=10,(G17+$C$3)*MAX(0,IF('01_数值调参'!$AH$7&lt;=$A17,-'01_数值调参'!$AH$18,0),IF('01_数值调参'!$AI$7&lt;=$A17,-'01_数值调参'!$AI$18,0),IF('01_数值调参'!$AJ$7&lt;=$A17,-'01_数值调参'!$AJ$18,0),IF('01_数值调参'!$AK$7&lt;=$A17,-'01_数值调参'!$AK$18,0),IF('01_数值调参'!$AL$7&lt;=$A17,-'01_数值调参'!$AL$18,0),IF('01_数值调参'!$AM$7&lt;=$A17,-'01_数值调参'!$AM$18,0)),0),0)),"队列待修正"))</x:f>
        <x:v>12</x:v>
      </x:c>
      <x:c r="I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F$7,"—",SUM(IF($A17&gt;=2,(C17+$C$3)*MAX(0,IF('01_数值调参'!$N$7&lt;=$A17,-'01_数值调参'!$N$19,0),IF('01_数值调参'!$O$7&lt;=$A17,-'01_数值调参'!$O$19,0),IF('01_数值调参'!$P$7&lt;=$A17,-'01_数值调参'!$P$19,0),IF('01_数值调参'!$Q$7&lt;=$A17,-'01_数值调参'!$Q$19,0),IF('01_数值调参'!$R$7&lt;=$A17,-'01_数值调参'!$R$19,0)),0),IF($A17&gt;=4,(D17+$C$3)*MAX(0,IF('01_数值调参'!$S$7&lt;=$A17,-'01_数值调参'!$S$19,0),IF('01_数值调参'!$T$7&lt;=$A17,-'01_数值调参'!$T$19,0),IF('01_数值调参'!$U$7&lt;=$A17,-'01_数值调参'!$U$19,0),IF('01_数值调参'!$V$7&lt;=$A17,-'01_数值调参'!$V$19,0),IF('01_数值调参'!$W$7&lt;=$A17,-'01_数值调参'!$W$19,0)),0),IF($A17&gt;=6,(E17+$C$3)*MAX(0,IF('01_数值调参'!$X$7&lt;=$A17,-'01_数值调参'!$X$19,0),IF('01_数值调参'!$Y$7&lt;=$A17,-'01_数值调参'!$Y$19,0),IF('01_数值调参'!$Z$7&lt;=$A17,-'01_数值调参'!$Z$19,0),IF('01_数值调参'!$AA$7&lt;=$A17,-'01_数值调参'!$AA$19,0),IF('01_数值调参'!$AB$7&lt;=$A17,-'01_数值调参'!$AB$19,0),IF('01_数值调参'!$AC$7&lt;=$A17,-'01_数值调参'!$AC$19,0)),0),IF($A17&gt;=8,(F17+$C$3)*MAX(0,IF('01_数值调参'!$AD$7&lt;=$A17,-'01_数值调参'!$AD$19,0),IF('01_数值调参'!$AE$7&lt;=$A17,-'01_数值调参'!$AE$19,0),IF('01_数值调参'!$AF$7&lt;=$A17,-'01_数值调参'!$AF$19,0),IF('01_数值调参'!$AG$7&lt;=$A17,-'01_数值调参'!$AG$19,0)),0),IF($A17&gt;=10,(G17+$C$3)*MAX(0,IF('01_数值调参'!$AH$7&lt;=$A17,-'01_数值调参'!$AH$19,0),IF('01_数值调参'!$AI$7&lt;=$A17,-'01_数值调参'!$AI$19,0),IF('01_数值调参'!$AJ$7&lt;=$A17,-'01_数值调参'!$AJ$19,0),IF('01_数值调参'!$AK$7&lt;=$A17,-'01_数值调参'!$AK$19,0),IF('01_数值调参'!$AL$7&lt;=$A17,-'01_数值调参'!$AL$19,0),IF('01_数值调参'!$AM$7&lt;=$A17,-'01_数值调参'!$AM$19,0)),0),0)),"队列待修正"))</x:f>
        <x:v>9</x:v>
      </x:c>
      <x:c r="J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G$7,"—",SUM(IF($A17&gt;=2,(C17+$C$3)*MAX(0,IF('01_数值调参'!$N$7&lt;=$A17,-'01_数值调参'!$N$20,0),IF('01_数值调参'!$O$7&lt;=$A17,-'01_数值调参'!$O$20,0),IF('01_数值调参'!$P$7&lt;=$A17,-'01_数值调参'!$P$20,0),IF('01_数值调参'!$Q$7&lt;=$A17,-'01_数值调参'!$Q$20,0),IF('01_数值调参'!$R$7&lt;=$A17,-'01_数值调参'!$R$20,0)),0),IF($A17&gt;=4,(D17+$C$3)*MAX(0,IF('01_数值调参'!$S$7&lt;=$A17,-'01_数值调参'!$S$20,0),IF('01_数值调参'!$T$7&lt;=$A17,-'01_数值调参'!$T$20,0),IF('01_数值调参'!$U$7&lt;=$A17,-'01_数值调参'!$U$20,0),IF('01_数值调参'!$V$7&lt;=$A17,-'01_数值调参'!$V$20,0),IF('01_数值调参'!$W$7&lt;=$A17,-'01_数值调参'!$W$20,0)),0),IF($A17&gt;=6,(E17+$C$3)*MAX(0,IF('01_数值调参'!$X$7&lt;=$A17,-'01_数值调参'!$X$20,0),IF('01_数值调参'!$Y$7&lt;=$A17,-'01_数值调参'!$Y$20,0),IF('01_数值调参'!$Z$7&lt;=$A17,-'01_数值调参'!$Z$20,0),IF('01_数值调参'!$AA$7&lt;=$A17,-'01_数值调参'!$AA$20,0),IF('01_数值调参'!$AB$7&lt;=$A17,-'01_数值调参'!$AB$20,0),IF('01_数值调参'!$AC$7&lt;=$A17,-'01_数值调参'!$AC$20,0)),0),IF($A17&gt;=8,(F17+$C$3)*MAX(0,IF('01_数值调参'!$AD$7&lt;=$A17,-'01_数值调参'!$AD$20,0),IF('01_数值调参'!$AE$7&lt;=$A17,-'01_数值调参'!$AE$20,0),IF('01_数值调参'!$AF$7&lt;=$A17,-'01_数值调参'!$AF$20,0),IF('01_数值调参'!$AG$7&lt;=$A17,-'01_数值调参'!$AG$20,0)),0),IF($A17&gt;=10,(G17+$C$3)*MAX(0,IF('01_数值调参'!$AH$7&lt;=$A17,-'01_数值调参'!$AH$20,0),IF('01_数值调参'!$AI$7&lt;=$A17,-'01_数值调参'!$AI$20,0),IF('01_数值调参'!$AJ$7&lt;=$A17,-'01_数值调参'!$AJ$20,0),IF('01_数值调参'!$AK$7&lt;=$A17,-'01_数值调参'!$AK$20,0),IF('01_数值调参'!$AL$7&lt;=$A17,-'01_数值调参'!$AL$20,0),IF('01_数值调参'!$AM$7&lt;=$A17,-'01_数值调参'!$AM$20,0)),0),0)),"队列待修正"))</x:f>
        <x:v>12</x:v>
      </x:c>
      <x:c r="K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H$7,"—",SUM(IF($A17&gt;=2,(C17+$C$3)*MAX(0,IF('01_数值调参'!$N$7&lt;=$A17,-'01_数值调参'!$N$21,0),IF('01_数值调参'!$O$7&lt;=$A17,-'01_数值调参'!$O$21,0),IF('01_数值调参'!$P$7&lt;=$A17,-'01_数值调参'!$P$21,0),IF('01_数值调参'!$Q$7&lt;=$A17,-'01_数值调参'!$Q$21,0),IF('01_数值调参'!$R$7&lt;=$A17,-'01_数值调参'!$R$21,0)),0),IF($A17&gt;=4,(D17+$C$3)*MAX(0,IF('01_数值调参'!$S$7&lt;=$A17,-'01_数值调参'!$S$21,0),IF('01_数值调参'!$T$7&lt;=$A17,-'01_数值调参'!$T$21,0),IF('01_数值调参'!$U$7&lt;=$A17,-'01_数值调参'!$U$21,0),IF('01_数值调参'!$V$7&lt;=$A17,-'01_数值调参'!$V$21,0),IF('01_数值调参'!$W$7&lt;=$A17,-'01_数值调参'!$W$21,0)),0),IF($A17&gt;=6,(E17+$C$3)*MAX(0,IF('01_数值调参'!$X$7&lt;=$A17,-'01_数值调参'!$X$21,0),IF('01_数值调参'!$Y$7&lt;=$A17,-'01_数值调参'!$Y$21,0),IF('01_数值调参'!$Z$7&lt;=$A17,-'01_数值调参'!$Z$21,0),IF('01_数值调参'!$AA$7&lt;=$A17,-'01_数值调参'!$AA$21,0),IF('01_数值调参'!$AB$7&lt;=$A17,-'01_数值调参'!$AB$21,0),IF('01_数值调参'!$AC$7&lt;=$A17,-'01_数值调参'!$AC$21,0)),0),IF($A17&gt;=8,(F17+$C$3)*MAX(0,IF('01_数值调参'!$AD$7&lt;=$A17,-'01_数值调参'!$AD$21,0),IF('01_数值调参'!$AE$7&lt;=$A17,-'01_数值调参'!$AE$21,0),IF('01_数值调参'!$AF$7&lt;=$A17,-'01_数值调参'!$AF$21,0),IF('01_数值调参'!$AG$7&lt;=$A17,-'01_数值调参'!$AG$21,0)),0),IF($A17&gt;=10,(G17+$C$3)*MAX(0,IF('01_数值调参'!$AH$7&lt;=$A17,-'01_数值调参'!$AH$21,0),IF('01_数值调参'!$AI$7&lt;=$A17,-'01_数值调参'!$AI$21,0),IF('01_数值调参'!$AJ$7&lt;=$A17,-'01_数值调参'!$AJ$21,0),IF('01_数值调参'!$AK$7&lt;=$A17,-'01_数值调参'!$AK$21,0),IF('01_数值调参'!$AL$7&lt;=$A17,-'01_数值调参'!$AL$21,0),IF('01_数值调参'!$AM$7&lt;=$A17,-'01_数值调参'!$AM$21,0)),0),0)),"队列待修正"))</x:f>
        <x:v>6</x:v>
      </x:c>
      <x:c r="L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I$7,"—",SUM(IF($A17&gt;=2,(C17+$C$3)*MAX(0,IF('01_数值调参'!$N$7&lt;=$A17,-'01_数值调参'!$N$22,0),IF('01_数值调参'!$O$7&lt;=$A17,-'01_数值调参'!$O$22,0),IF('01_数值调参'!$P$7&lt;=$A17,-'01_数值调参'!$P$22,0),IF('01_数值调参'!$Q$7&lt;=$A17,-'01_数值调参'!$Q$22,0),IF('01_数值调参'!$R$7&lt;=$A17,-'01_数值调参'!$R$22,0)),0),IF($A17&gt;=4,(D17+$C$3)*MAX(0,IF('01_数值调参'!$S$7&lt;=$A17,-'01_数值调参'!$S$22,0),IF('01_数值调参'!$T$7&lt;=$A17,-'01_数值调参'!$T$22,0),IF('01_数值调参'!$U$7&lt;=$A17,-'01_数值调参'!$U$22,0),IF('01_数值调参'!$V$7&lt;=$A17,-'01_数值调参'!$V$22,0),IF('01_数值调参'!$W$7&lt;=$A17,-'01_数值调参'!$W$22,0)),0),IF($A17&gt;=6,(E17+$C$3)*MAX(0,IF('01_数值调参'!$X$7&lt;=$A17,-'01_数值调参'!$X$22,0),IF('01_数值调参'!$Y$7&lt;=$A17,-'01_数值调参'!$Y$22,0),IF('01_数值调参'!$Z$7&lt;=$A17,-'01_数值调参'!$Z$22,0),IF('01_数值调参'!$AA$7&lt;=$A17,-'01_数值调参'!$AA$22,0),IF('01_数值调参'!$AB$7&lt;=$A17,-'01_数值调参'!$AB$22,0),IF('01_数值调参'!$AC$7&lt;=$A17,-'01_数值调参'!$AC$22,0)),0),IF($A17&gt;=8,(F17+$C$3)*MAX(0,IF('01_数值调参'!$AD$7&lt;=$A17,-'01_数值调参'!$AD$22,0),IF('01_数值调参'!$AE$7&lt;=$A17,-'01_数值调参'!$AE$22,0),IF('01_数值调参'!$AF$7&lt;=$A17,-'01_数值调参'!$AF$22,0),IF('01_数值调参'!$AG$7&lt;=$A17,-'01_数值调参'!$AG$22,0)),0),IF($A17&gt;=10,(G17+$C$3)*MAX(0,IF('01_数值调参'!$AH$7&lt;=$A17,-'01_数值调参'!$AH$22,0),IF('01_数值调参'!$AI$7&lt;=$A17,-'01_数值调参'!$AI$22,0),IF('01_数值调参'!$AJ$7&lt;=$A17,-'01_数值调参'!$AJ$22,0),IF('01_数值调参'!$AK$7&lt;=$A17,-'01_数值调参'!$AK$22,0),IF('01_数值调参'!$AL$7&lt;=$A17,-'01_数值调参'!$AL$22,0),IF('01_数值调参'!$AM$7&lt;=$A17,-'01_数值调参'!$AM$22,0)),0),0)),"队列待修正"))</x:f>
        <x:v>6</x:v>
      </x:c>
      <x:c r="M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J$7,"—",SUM(IF($A17&gt;=2,(C17+$C$3)*MAX(0,IF('01_数值调参'!$N$7&lt;=$A17,-'01_数值调参'!$N$23,0),IF('01_数值调参'!$O$7&lt;=$A17,-'01_数值调参'!$O$23,0),IF('01_数值调参'!$P$7&lt;=$A17,-'01_数值调参'!$P$23,0),IF('01_数值调参'!$Q$7&lt;=$A17,-'01_数值调参'!$Q$23,0),IF('01_数值调参'!$R$7&lt;=$A17,-'01_数值调参'!$R$23,0)),0),IF($A17&gt;=4,(D17+$C$3)*MAX(0,IF('01_数值调参'!$S$7&lt;=$A17,-'01_数值调参'!$S$23,0),IF('01_数值调参'!$T$7&lt;=$A17,-'01_数值调参'!$T$23,0),IF('01_数值调参'!$U$7&lt;=$A17,-'01_数值调参'!$U$23,0),IF('01_数值调参'!$V$7&lt;=$A17,-'01_数值调参'!$V$23,0),IF('01_数值调参'!$W$7&lt;=$A17,-'01_数值调参'!$W$23,0)),0),IF($A17&gt;=6,(E17+$C$3)*MAX(0,IF('01_数值调参'!$X$7&lt;=$A17,-'01_数值调参'!$X$23,0),IF('01_数值调参'!$Y$7&lt;=$A17,-'01_数值调参'!$Y$23,0),IF('01_数值调参'!$Z$7&lt;=$A17,-'01_数值调参'!$Z$23,0),IF('01_数值调参'!$AA$7&lt;=$A17,-'01_数值调参'!$AA$23,0),IF('01_数值调参'!$AB$7&lt;=$A17,-'01_数值调参'!$AB$23,0),IF('01_数值调参'!$AC$7&lt;=$A17,-'01_数值调参'!$AC$23,0)),0),IF($A17&gt;=8,(F17+$C$3)*MAX(0,IF('01_数值调参'!$AD$7&lt;=$A17,-'01_数值调参'!$AD$23,0),IF('01_数值调参'!$AE$7&lt;=$A17,-'01_数值调参'!$AE$23,0),IF('01_数值调参'!$AF$7&lt;=$A17,-'01_数值调参'!$AF$23,0),IF('01_数值调参'!$AG$7&lt;=$A17,-'01_数值调参'!$AG$23,0)),0),IF($A17&gt;=10,(G17+$C$3)*MAX(0,IF('01_数值调参'!$AH$7&lt;=$A17,-'01_数值调参'!$AH$23,0),IF('01_数值调参'!$AI$7&lt;=$A17,-'01_数值调参'!$AI$23,0),IF('01_数值调参'!$AJ$7&lt;=$A17,-'01_数值调参'!$AJ$23,0),IF('01_数值调参'!$AK$7&lt;=$A17,-'01_数值调参'!$AK$23,0),IF('01_数值调参'!$AL$7&lt;=$A17,-'01_数值调参'!$AL$23,0),IF('01_数值调参'!$AM$7&lt;=$A17,-'01_数值调参'!$AM$23,0)),0),0)),"队列待修正"))</x:f>
        <x:v>9</x:v>
      </x:c>
      <x:c r="N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K$7,"—",SUM(IF($A17&gt;=2,(C17+$C$3)*MAX(0,IF('01_数值调参'!$N$7&lt;=$A17,-'01_数值调参'!$N$24,0),IF('01_数值调参'!$O$7&lt;=$A17,-'01_数值调参'!$O$24,0),IF('01_数值调参'!$P$7&lt;=$A17,-'01_数值调参'!$P$24,0),IF('01_数值调参'!$Q$7&lt;=$A17,-'01_数值调参'!$Q$24,0),IF('01_数值调参'!$R$7&lt;=$A17,-'01_数值调参'!$R$24,0)),0),IF($A17&gt;=4,(D17+$C$3)*MAX(0,IF('01_数值调参'!$S$7&lt;=$A17,-'01_数值调参'!$S$24,0),IF('01_数值调参'!$T$7&lt;=$A17,-'01_数值调参'!$T$24,0),IF('01_数值调参'!$U$7&lt;=$A17,-'01_数值调参'!$U$24,0),IF('01_数值调参'!$V$7&lt;=$A17,-'01_数值调参'!$V$24,0),IF('01_数值调参'!$W$7&lt;=$A17,-'01_数值调参'!$W$24,0)),0),IF($A17&gt;=6,(E17+$C$3)*MAX(0,IF('01_数值调参'!$X$7&lt;=$A17,-'01_数值调参'!$X$24,0),IF('01_数值调参'!$Y$7&lt;=$A17,-'01_数值调参'!$Y$24,0),IF('01_数值调参'!$Z$7&lt;=$A17,-'01_数值调参'!$Z$24,0),IF('01_数值调参'!$AA$7&lt;=$A17,-'01_数值调参'!$AA$24,0),IF('01_数值调参'!$AB$7&lt;=$A17,-'01_数值调参'!$AB$24,0),IF('01_数值调参'!$AC$7&lt;=$A17,-'01_数值调参'!$AC$24,0)),0),IF($A17&gt;=8,(F17+$C$3)*MAX(0,IF('01_数值调参'!$AD$7&lt;=$A17,-'01_数值调参'!$AD$24,0),IF('01_数值调参'!$AE$7&lt;=$A17,-'01_数值调参'!$AE$24,0),IF('01_数值调参'!$AF$7&lt;=$A17,-'01_数值调参'!$AF$24,0),IF('01_数值调参'!$AG$7&lt;=$A17,-'01_数值调参'!$AG$24,0)),0),IF($A17&gt;=10,(G17+$C$3)*MAX(0,IF('01_数值调参'!$AH$7&lt;=$A17,-'01_数值调参'!$AH$24,0),IF('01_数值调参'!$AI$7&lt;=$A17,-'01_数值调参'!$AI$24,0),IF('01_数值调参'!$AJ$7&lt;=$A17,-'01_数值调参'!$AJ$24,0),IF('01_数值调参'!$AK$7&lt;=$A17,-'01_数值调参'!$AK$24,0),IF('01_数值调参'!$AL$7&lt;=$A17,-'01_数值调参'!$AL$24,0),IF('01_数值调参'!$AM$7&lt;=$A17,-'01_数值调参'!$AM$24,0)),0),0)),"队列待修正"))</x:f>
        <x:v>—</x:v>
      </x:c>
      <x:c r="O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L$7,"—",SUM(IF($A17&gt;=2,(C17+$C$3)*MAX(0,IF('01_数值调参'!$N$7&lt;=$A17,-'01_数值调参'!$N$25,0),IF('01_数值调参'!$O$7&lt;=$A17,-'01_数值调参'!$O$25,0),IF('01_数值调参'!$P$7&lt;=$A17,-'01_数值调参'!$P$25,0),IF('01_数值调参'!$Q$7&lt;=$A17,-'01_数值调参'!$Q$25,0),IF('01_数值调参'!$R$7&lt;=$A17,-'01_数值调参'!$R$25,0)),0),IF($A17&gt;=4,(D17+$C$3)*MAX(0,IF('01_数值调参'!$S$7&lt;=$A17,-'01_数值调参'!$S$25,0),IF('01_数值调参'!$T$7&lt;=$A17,-'01_数值调参'!$T$25,0),IF('01_数值调参'!$U$7&lt;=$A17,-'01_数值调参'!$U$25,0),IF('01_数值调参'!$V$7&lt;=$A17,-'01_数值调参'!$V$25,0),IF('01_数值调参'!$W$7&lt;=$A17,-'01_数值调参'!$W$25,0)),0),IF($A17&gt;=6,(E17+$C$3)*MAX(0,IF('01_数值调参'!$X$7&lt;=$A17,-'01_数值调参'!$X$25,0),IF('01_数值调参'!$Y$7&lt;=$A17,-'01_数值调参'!$Y$25,0),IF('01_数值调参'!$Z$7&lt;=$A17,-'01_数值调参'!$Z$25,0),IF('01_数值调参'!$AA$7&lt;=$A17,-'01_数值调参'!$AA$25,0),IF('01_数值调参'!$AB$7&lt;=$A17,-'01_数值调参'!$AB$25,0),IF('01_数值调参'!$AC$7&lt;=$A17,-'01_数值调参'!$AC$25,0)),0),IF($A17&gt;=8,(F17+$C$3)*MAX(0,IF('01_数值调参'!$AD$7&lt;=$A17,-'01_数值调参'!$AD$25,0),IF('01_数值调参'!$AE$7&lt;=$A17,-'01_数值调参'!$AE$25,0),IF('01_数值调参'!$AF$7&lt;=$A17,-'01_数值调参'!$AF$25,0),IF('01_数值调参'!$AG$7&lt;=$A17,-'01_数值调参'!$AG$25,0)),0),IF($A17&gt;=10,(G17+$C$3)*MAX(0,IF('01_数值调参'!$AH$7&lt;=$A17,-'01_数值调参'!$AH$25,0),IF('01_数值调参'!$AI$7&lt;=$A17,-'01_数值调参'!$AI$25,0),IF('01_数值调参'!$AJ$7&lt;=$A17,-'01_数值调参'!$AJ$25,0),IF('01_数值调参'!$AK$7&lt;=$A17,-'01_数值调参'!$AK$25,0),IF('01_数值调参'!$AL$7&lt;=$A17,-'01_数值调参'!$AL$25,0),IF('01_数值调参'!$AM$7&lt;=$A17,-'01_数值调参'!$AM$25,0)),0),0)),"队列待修正"))</x:f>
        <x:v>—</x:v>
      </x:c>
      <x:c r="P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M$7,"—",SUM(IF($A17&gt;=2,(C17+$C$3)*MAX(0,IF('01_数值调参'!$N$7&lt;=$A17,-'01_数值调参'!$N$26,0),IF('01_数值调参'!$O$7&lt;=$A17,-'01_数值调参'!$O$26,0),IF('01_数值调参'!$P$7&lt;=$A17,-'01_数值调参'!$P$26,0),IF('01_数值调参'!$Q$7&lt;=$A17,-'01_数值调参'!$Q$26,0),IF('01_数值调参'!$R$7&lt;=$A17,-'01_数值调参'!$R$26,0)),0),IF($A17&gt;=4,(D17+$C$3)*MAX(0,IF('01_数值调参'!$S$7&lt;=$A17,-'01_数值调参'!$S$26,0),IF('01_数值调参'!$T$7&lt;=$A17,-'01_数值调参'!$T$26,0),IF('01_数值调参'!$U$7&lt;=$A17,-'01_数值调参'!$U$26,0),IF('01_数值调参'!$V$7&lt;=$A17,-'01_数值调参'!$V$26,0),IF('01_数值调参'!$W$7&lt;=$A17,-'01_数值调参'!$W$26,0)),0),IF($A17&gt;=6,(E17+$C$3)*MAX(0,IF('01_数值调参'!$X$7&lt;=$A17,-'01_数值调参'!$X$26,0),IF('01_数值调参'!$Y$7&lt;=$A17,-'01_数值调参'!$Y$26,0),IF('01_数值调参'!$Z$7&lt;=$A17,-'01_数值调参'!$Z$26,0),IF('01_数值调参'!$AA$7&lt;=$A17,-'01_数值调参'!$AA$26,0),IF('01_数值调参'!$AB$7&lt;=$A17,-'01_数值调参'!$AB$26,0),IF('01_数值调参'!$AC$7&lt;=$A17,-'01_数值调参'!$AC$26,0)),0),IF($A17&gt;=8,(F17+$C$3)*MAX(0,IF('01_数值调参'!$AD$7&lt;=$A17,-'01_数值调参'!$AD$26,0),IF('01_数值调参'!$AE$7&lt;=$A17,-'01_数值调参'!$AE$26,0),IF('01_数值调参'!$AF$7&lt;=$A17,-'01_数值调参'!$AF$26,0),IF('01_数值调参'!$AG$7&lt;=$A17,-'01_数值调参'!$AG$26,0)),0),IF($A17&gt;=10,(G17+$C$3)*MAX(0,IF('01_数值调参'!$AH$7&lt;=$A17,-'01_数值调参'!$AH$26,0),IF('01_数值调参'!$AI$7&lt;=$A17,-'01_数值调参'!$AI$26,0),IF('01_数值调参'!$AJ$7&lt;=$A17,-'01_数值调参'!$AJ$26,0),IF('01_数值调参'!$AK$7&lt;=$A17,-'01_数值调参'!$AK$26,0),IF('01_数值调参'!$AL$7&lt;=$A17,-'01_数值调参'!$AL$26,0),IF('01_数值调参'!$AM$7&lt;=$A17,-'01_数值调参'!$AM$26,0)),0),0)),"队列待修正"))</x:f>
        <x:v>—</x:v>
      </x:c>
      <x:c r="Q17" s="216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N$7,"—",SUM(IF($A17&gt;=2,(C17+$C$3)*MAX(0,IF('01_数值调参'!$N$7&lt;=$A17,0,0),IF('01_数值调参'!$O$7&lt;=$A17,-'01_数值调参'!$O$27,0),IF('01_数值调参'!$P$7&lt;=$A17,-'01_数值调参'!$P$27,0),IF('01_数值调参'!$Q$7&lt;=$A17,-'01_数值调参'!$Q$27,0),IF('01_数值调参'!$R$7&lt;=$A17,-'01_数值调参'!$R$27,0)),0),IF($A17&gt;=4,(D17+$C$3)*MAX(0,IF('01_数值调参'!$S$7&lt;=$A17,-'01_数值调参'!$S$27,0),IF('01_数值调参'!$T$7&lt;=$A17,-'01_数值调参'!$T$27,0),IF('01_数值调参'!$U$7&lt;=$A17,-'01_数值调参'!$U$27,0),IF('01_数值调参'!$V$7&lt;=$A17,-'01_数值调参'!$V$27,0),IF('01_数值调参'!$W$7&lt;=$A17,-'01_数值调参'!$W$27,0)),0),IF($A17&gt;=6,(E17+$C$3)*MAX(0,IF('01_数值调参'!$X$7&lt;=$A17,-'01_数值调参'!$X$27,0),IF('01_数值调参'!$Y$7&lt;=$A17,-'01_数值调参'!$Y$27,0),IF('01_数值调参'!$Z$7&lt;=$A17,-'01_数值调参'!$Z$27,0),IF('01_数值调参'!$AA$7&lt;=$A17,-'01_数值调参'!$AA$27,0),IF('01_数值调参'!$AB$7&lt;=$A17,-'01_数值调参'!$AB$27,0),IF('01_数值调参'!$AC$7&lt;=$A17,-'01_数值调参'!$AC$27,0)),0),IF($A17&gt;=8,(F17+$C$3)*MAX(0,IF('01_数值调参'!$AD$7&lt;=$A17,-'01_数值调参'!$AD$27,0),IF('01_数值调参'!$AE$7&lt;=$A17,-'01_数值调参'!$AE$27,0),IF('01_数值调参'!$AF$7&lt;=$A17,-'01_数值调参'!$AF$27,0),IF('01_数值调参'!$AG$7&lt;=$A17,-'01_数值调参'!$AG$27,0)),0),IF($A17&gt;=10,(G17+$C$3)*MAX(0,IF('01_数值调参'!$AH$7&lt;=$A17,-'01_数值调参'!$AH$27,0),IF('01_数值调参'!$AI$7&lt;=$A17,-'01_数值调参'!$AI$27,0),IF('01_数值调参'!$AJ$7&lt;=$A17,-'01_数值调参'!$AJ$27,0),IF('01_数值调参'!$AK$7&lt;=$A17,-'01_数值调参'!$AK$27,0),IF('01_数值调参'!$AL$7&lt;=$A17,-'01_数值调参'!$AL$27,0),IF('01_数值调参'!$AM$7&lt;=$A17,-'01_数值调参'!$AM$27,0)),0),0)),"队列待修正"))</x:f>
        <x:v>3</x:v>
      </x:c>
      <x:c r="R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O$7,"—",SUM(IF($A17&gt;=2,(C17+$C$3)*MAX(0,IF('01_数值调参'!$N$7&lt;=$A17,-'01_数值调参'!$N$28,0),IF('01_数值调参'!$O$7&lt;=$A17,0,0),IF('01_数值调参'!$P$7&lt;=$A17,-'01_数值调参'!$P$28,0),IF('01_数值调参'!$Q$7&lt;=$A17,-'01_数值调参'!$Q$28,0),IF('01_数值调参'!$R$7&lt;=$A17,-'01_数值调参'!$R$28,0)),0),IF($A17&gt;=4,(D17+$C$3)*MAX(0,IF('01_数值调参'!$S$7&lt;=$A17,-'01_数值调参'!$S$28,0),IF('01_数值调参'!$T$7&lt;=$A17,-'01_数值调参'!$T$28,0),IF('01_数值调参'!$U$7&lt;=$A17,-'01_数值调参'!$U$28,0),IF('01_数值调参'!$V$7&lt;=$A17,-'01_数值调参'!$V$28,0),IF('01_数值调参'!$W$7&lt;=$A17,-'01_数值调参'!$W$28,0)),0),IF($A17&gt;=6,(E17+$C$3)*MAX(0,IF('01_数值调参'!$X$7&lt;=$A17,-'01_数值调参'!$X$28,0),IF('01_数值调参'!$Y$7&lt;=$A17,-'01_数值调参'!$Y$28,0),IF('01_数值调参'!$Z$7&lt;=$A17,-'01_数值调参'!$Z$28,0),IF('01_数值调参'!$AA$7&lt;=$A17,-'01_数值调参'!$AA$28,0),IF('01_数值调参'!$AB$7&lt;=$A17,-'01_数值调参'!$AB$28,0),IF('01_数值调参'!$AC$7&lt;=$A17,-'01_数值调参'!$AC$28,0)),0),IF($A17&gt;=8,(F17+$C$3)*MAX(0,IF('01_数值调参'!$AD$7&lt;=$A17,-'01_数值调参'!$AD$28,0),IF('01_数值调参'!$AE$7&lt;=$A17,-'01_数值调参'!$AE$28,0),IF('01_数值调参'!$AF$7&lt;=$A17,-'01_数值调参'!$AF$28,0),IF('01_数值调参'!$AG$7&lt;=$A17,-'01_数值调参'!$AG$28,0)),0),IF($A17&gt;=10,(G17+$C$3)*MAX(0,IF('01_数值调参'!$AH$7&lt;=$A17,-'01_数值调参'!$AH$28,0),IF('01_数值调参'!$AI$7&lt;=$A17,-'01_数值调参'!$AI$28,0),IF('01_数值调参'!$AJ$7&lt;=$A17,-'01_数值调参'!$AJ$28,0),IF('01_数值调参'!$AK$7&lt;=$A17,-'01_数值调参'!$AK$28,0),IF('01_数值调参'!$AL$7&lt;=$A17,-'01_数值调参'!$AL$28,0),IF('01_数值调参'!$AM$7&lt;=$A17,-'01_数值调参'!$AM$28,0)),0),0)),"队列待修正"))</x:f>
        <x:v>3</x:v>
      </x:c>
      <x:c r="S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P$7,"—",SUM(IF($A17&gt;=2,(C17+$C$3)*MAX(0,IF('01_数值调参'!$N$7&lt;=$A17,-'01_数值调参'!$N$29,0),IF('01_数值调参'!$O$7&lt;=$A17,-'01_数值调参'!$O$29,0),IF('01_数值调参'!$P$7&lt;=$A17,0,0),IF('01_数值调参'!$Q$7&lt;=$A17,-'01_数值调参'!$Q$29,0),IF('01_数值调参'!$R$7&lt;=$A17,-'01_数值调参'!$R$29,0)),0),IF($A17&gt;=4,(D17+$C$3)*MAX(0,IF('01_数值调参'!$S$7&lt;=$A17,-'01_数值调参'!$S$29,0),IF('01_数值调参'!$T$7&lt;=$A17,-'01_数值调参'!$T$29,0),IF('01_数值调参'!$U$7&lt;=$A17,-'01_数值调参'!$U$29,0),IF('01_数值调参'!$V$7&lt;=$A17,-'01_数值调参'!$V$29,0),IF('01_数值调参'!$W$7&lt;=$A17,-'01_数值调参'!$W$29,0)),0),IF($A17&gt;=6,(E17+$C$3)*MAX(0,IF('01_数值调参'!$X$7&lt;=$A17,-'01_数值调参'!$X$29,0),IF('01_数值调参'!$Y$7&lt;=$A17,-'01_数值调参'!$Y$29,0),IF('01_数值调参'!$Z$7&lt;=$A17,-'01_数值调参'!$Z$29,0),IF('01_数值调参'!$AA$7&lt;=$A17,-'01_数值调参'!$AA$29,0),IF('01_数值调参'!$AB$7&lt;=$A17,-'01_数值调参'!$AB$29,0),IF('01_数值调参'!$AC$7&lt;=$A17,-'01_数值调参'!$AC$29,0)),0),IF($A17&gt;=8,(F17+$C$3)*MAX(0,IF('01_数值调参'!$AD$7&lt;=$A17,-'01_数值调参'!$AD$29,0),IF('01_数值调参'!$AE$7&lt;=$A17,-'01_数值调参'!$AE$29,0),IF('01_数值调参'!$AF$7&lt;=$A17,-'01_数值调参'!$AF$29,0),IF('01_数值调参'!$AG$7&lt;=$A17,-'01_数值调参'!$AG$29,0)),0),IF($A17&gt;=10,(G17+$C$3)*MAX(0,IF('01_数值调参'!$AH$7&lt;=$A17,-'01_数值调参'!$AH$29,0),IF('01_数值调参'!$AI$7&lt;=$A17,-'01_数值调参'!$AI$29,0),IF('01_数值调参'!$AJ$7&lt;=$A17,-'01_数值调参'!$AJ$29,0),IF('01_数值调参'!$AK$7&lt;=$A17,-'01_数值调参'!$AK$29,0),IF('01_数值调参'!$AL$7&lt;=$A17,-'01_数值调参'!$AL$29,0),IF('01_数值调参'!$AM$7&lt;=$A17,-'01_数值调参'!$AM$29,0)),0),0)),"队列待修正"))</x:f>
        <x:v>3</x:v>
      </x:c>
      <x:c r="T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Q$7,"—",SUM(IF($A17&gt;=2,(C17+$C$3)*MAX(0,IF('01_数值调参'!$N$7&lt;=$A17,-'01_数值调参'!$N$30,0),IF('01_数值调参'!$O$7&lt;=$A17,-'01_数值调参'!$O$30,0),IF('01_数值调参'!$P$7&lt;=$A17,-'01_数值调参'!$P$30,0),IF('01_数值调参'!$Q$7&lt;=$A17,0,0),IF('01_数值调参'!$R$7&lt;=$A17,-'01_数值调参'!$R$30,0)),0),IF($A17&gt;=4,(D17+$C$3)*MAX(0,IF('01_数值调参'!$S$7&lt;=$A17,-'01_数值调参'!$S$30,0),IF('01_数值调参'!$T$7&lt;=$A17,-'01_数值调参'!$T$30,0),IF('01_数值调参'!$U$7&lt;=$A17,-'01_数值调参'!$U$30,0),IF('01_数值调参'!$V$7&lt;=$A17,-'01_数值调参'!$V$30,0),IF('01_数值调参'!$W$7&lt;=$A17,-'01_数值调参'!$W$30,0)),0),IF($A17&gt;=6,(E17+$C$3)*MAX(0,IF('01_数值调参'!$X$7&lt;=$A17,-'01_数值调参'!$X$30,0),IF('01_数值调参'!$Y$7&lt;=$A17,-'01_数值调参'!$Y$30,0),IF('01_数值调参'!$Z$7&lt;=$A17,-'01_数值调参'!$Z$30,0),IF('01_数值调参'!$AA$7&lt;=$A17,-'01_数值调参'!$AA$30,0),IF('01_数值调参'!$AB$7&lt;=$A17,-'01_数值调参'!$AB$30,0),IF('01_数值调参'!$AC$7&lt;=$A17,-'01_数值调参'!$AC$30,0)),0),IF($A17&gt;=8,(F17+$C$3)*MAX(0,IF('01_数值调参'!$AD$7&lt;=$A17,-'01_数值调参'!$AD$30,0),IF('01_数值调参'!$AE$7&lt;=$A17,-'01_数值调参'!$AE$30,0),IF('01_数值调参'!$AF$7&lt;=$A17,-'01_数值调参'!$AF$30,0),IF('01_数值调参'!$AG$7&lt;=$A17,-'01_数值调参'!$AG$30,0)),0),IF($A17&gt;=10,(G17+$C$3)*MAX(0,IF('01_数值调参'!$AH$7&lt;=$A17,-'01_数值调参'!$AH$30,0),IF('01_数值调参'!$AI$7&lt;=$A17,-'01_数值调参'!$AI$30,0),IF('01_数值调参'!$AJ$7&lt;=$A17,-'01_数值调参'!$AJ$30,0),IF('01_数值调参'!$AK$7&lt;=$A17,-'01_数值调参'!$AK$30,0),IF('01_数值调参'!$AL$7&lt;=$A17,-'01_数值调参'!$AL$30,0),IF('01_数值调参'!$AM$7&lt;=$A17,-'01_数值调参'!$AM$30,0)),0),0)),"队列待修正"))</x:f>
        <x:v>—</x:v>
      </x:c>
      <x:c r="U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R$7,"—",SUM(IF($A17&gt;=2,(C17+$C$3)*MAX(0,IF('01_数值调参'!$N$7&lt;=$A17,-'01_数值调参'!$N$31,0),IF('01_数值调参'!$O$7&lt;=$A17,-'01_数值调参'!$O$31,0),IF('01_数值调参'!$P$7&lt;=$A17,-'01_数值调参'!$P$31,0),IF('01_数值调参'!$Q$7&lt;=$A17,-'01_数值调参'!$Q$31,0),IF('01_数值调参'!$R$7&lt;=$A17,0,0)),0),IF($A17&gt;=4,(D17+$C$3)*MAX(0,IF('01_数值调参'!$S$7&lt;=$A17,-'01_数值调参'!$S$31,0),IF('01_数值调参'!$T$7&lt;=$A17,-'01_数值调参'!$T$31,0),IF('01_数值调参'!$U$7&lt;=$A17,-'01_数值调参'!$U$31,0),IF('01_数值调参'!$V$7&lt;=$A17,-'01_数值调参'!$V$31,0),IF('01_数值调参'!$W$7&lt;=$A17,-'01_数值调参'!$W$31,0)),0),IF($A17&gt;=6,(E17+$C$3)*MAX(0,IF('01_数值调参'!$X$7&lt;=$A17,-'01_数值调参'!$X$31,0),IF('01_数值调参'!$Y$7&lt;=$A17,-'01_数值调参'!$Y$31,0),IF('01_数值调参'!$Z$7&lt;=$A17,-'01_数值调参'!$Z$31,0),IF('01_数值调参'!$AA$7&lt;=$A17,-'01_数值调参'!$AA$31,0),IF('01_数值调参'!$AB$7&lt;=$A17,-'01_数值调参'!$AB$31,0),IF('01_数值调参'!$AC$7&lt;=$A17,-'01_数值调参'!$AC$31,0)),0),IF($A17&gt;=8,(F17+$C$3)*MAX(0,IF('01_数值调参'!$AD$7&lt;=$A17,-'01_数值调参'!$AD$31,0),IF('01_数值调参'!$AE$7&lt;=$A17,-'01_数值调参'!$AE$31,0),IF('01_数值调参'!$AF$7&lt;=$A17,-'01_数值调参'!$AF$31,0),IF('01_数值调参'!$AG$7&lt;=$A17,-'01_数值调参'!$AG$31,0)),0),IF($A17&gt;=10,(G17+$C$3)*MAX(0,IF('01_数值调参'!$AH$7&lt;=$A17,-'01_数值调参'!$AH$31,0),IF('01_数值调参'!$AI$7&lt;=$A17,-'01_数值调参'!$AI$31,0),IF('01_数值调参'!$AJ$7&lt;=$A17,-'01_数值调参'!$AJ$31,0),IF('01_数值调参'!$AK$7&lt;=$A17,-'01_数值调参'!$AK$31,0),IF('01_数值调参'!$AL$7&lt;=$A17,-'01_数值调参'!$AL$31,0),IF('01_数值调参'!$AM$7&lt;=$A17,-'01_数值调参'!$AM$31,0)),0),0)),"队列待修正"))</x:f>
        <x:v>—</x:v>
      </x:c>
      <x:c r="V17" s="216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S$7,"—",SUM(IF($A17&gt;=2,(C17+$C$3)*MAX(0,IF('01_数值调参'!$N$7&lt;=$A17,-'01_数值调参'!$N$32,0),IF('01_数值调参'!$O$7&lt;=$A17,-'01_数值调参'!$O$32,0),IF('01_数值调参'!$P$7&lt;=$A17,-'01_数值调参'!$P$32,0),IF('01_数值调参'!$Q$7&lt;=$A17,-'01_数值调参'!$Q$32,0),IF('01_数值调参'!$R$7&lt;=$A17,-'01_数值调参'!$R$32,0)),0),IF($A17&gt;=4,(D17+$C$3)*MAX(0,IF('01_数值调参'!$S$7&lt;=$A17,0,0),IF('01_数值调参'!$T$7&lt;=$A17,-'01_数值调参'!$T$32,0),IF('01_数值调参'!$U$7&lt;=$A17,-'01_数值调参'!$U$32,0),IF('01_数值调参'!$V$7&lt;=$A17,-'01_数值调参'!$V$32,0),IF('01_数值调参'!$W$7&lt;=$A17,-'01_数值调参'!$W$32,0)),0),IF($A17&gt;=6,(E17+$C$3)*MAX(0,IF('01_数值调参'!$X$7&lt;=$A17,-'01_数值调参'!$X$32,0),IF('01_数值调参'!$Y$7&lt;=$A17,-'01_数值调参'!$Y$32,0),IF('01_数值调参'!$Z$7&lt;=$A17,-'01_数值调参'!$Z$32,0),IF('01_数值调参'!$AA$7&lt;=$A17,-'01_数值调参'!$AA$32,0),IF('01_数值调参'!$AB$7&lt;=$A17,-'01_数值调参'!$AB$32,0),IF('01_数值调参'!$AC$7&lt;=$A17,-'01_数值调参'!$AC$32,0)),0),IF($A17&gt;=8,(F17+$C$3)*MAX(0,IF('01_数值调参'!$AD$7&lt;=$A17,-'01_数值调参'!$AD$32,0),IF('01_数值调参'!$AE$7&lt;=$A17,-'01_数值调参'!$AE$32,0),IF('01_数值调参'!$AF$7&lt;=$A17,-'01_数值调参'!$AF$32,0),IF('01_数值调参'!$AG$7&lt;=$A17,-'01_数值调参'!$AG$32,0)),0),IF($A17&gt;=10,(G17+$C$3)*MAX(0,IF('01_数值调参'!$AH$7&lt;=$A17,-'01_数值调参'!$AH$32,0),IF('01_数值调参'!$AI$7&lt;=$A17,-'01_数值调参'!$AI$32,0),IF('01_数值调参'!$AJ$7&lt;=$A17,-'01_数值调参'!$AJ$32,0),IF('01_数值调参'!$AK$7&lt;=$A17,-'01_数值调参'!$AK$32,0),IF('01_数值调参'!$AL$7&lt;=$A17,-'01_数值调参'!$AL$32,0),IF('01_数值调参'!$AM$7&lt;=$A17,-'01_数值调参'!$AM$32,0)),0),0)),"队列待修正"))</x:f>
        <x:v>6</x:v>
      </x:c>
      <x:c r="W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T$7,"—",SUM(IF($A17&gt;=2,(C17+$C$3)*MAX(0,IF('01_数值调参'!$N$7&lt;=$A17,-'01_数值调参'!$N$33,0),IF('01_数值调参'!$O$7&lt;=$A17,-'01_数值调参'!$O$33,0),IF('01_数值调参'!$P$7&lt;=$A17,-'01_数值调参'!$P$33,0),IF('01_数值调参'!$Q$7&lt;=$A17,-'01_数值调参'!$Q$33,0),IF('01_数值调参'!$R$7&lt;=$A17,-'01_数值调参'!$R$33,0)),0),IF($A17&gt;=4,(D17+$C$3)*MAX(0,IF('01_数值调参'!$S$7&lt;=$A17,-'01_数值调参'!$S$33,0),IF('01_数值调参'!$T$7&lt;=$A17,0,0),IF('01_数值调参'!$U$7&lt;=$A17,-'01_数值调参'!$U$33,0),IF('01_数值调参'!$V$7&lt;=$A17,-'01_数值调参'!$V$33,0),IF('01_数值调参'!$W$7&lt;=$A17,-'01_数值调参'!$W$33,0)),0),IF($A17&gt;=6,(E17+$C$3)*MAX(0,IF('01_数值调参'!$X$7&lt;=$A17,-'01_数值调参'!$X$33,0),IF('01_数值调参'!$Y$7&lt;=$A17,-'01_数值调参'!$Y$33,0),IF('01_数值调参'!$Z$7&lt;=$A17,-'01_数值调参'!$Z$33,0),IF('01_数值调参'!$AA$7&lt;=$A17,-'01_数值调参'!$AA$33,0),IF('01_数值调参'!$AB$7&lt;=$A17,-'01_数值调参'!$AB$33,0),IF('01_数值调参'!$AC$7&lt;=$A17,-'01_数值调参'!$AC$33,0)),0),IF($A17&gt;=8,(F17+$C$3)*MAX(0,IF('01_数值调参'!$AD$7&lt;=$A17,-'01_数值调参'!$AD$33,0),IF('01_数值调参'!$AE$7&lt;=$A17,-'01_数值调参'!$AE$33,0),IF('01_数值调参'!$AF$7&lt;=$A17,-'01_数值调参'!$AF$33,0),IF('01_数值调参'!$AG$7&lt;=$A17,-'01_数值调参'!$AG$33,0)),0),IF($A17&gt;=10,(G17+$C$3)*MAX(0,IF('01_数值调参'!$AH$7&lt;=$A17,-'01_数值调参'!$AH$33,0),IF('01_数值调参'!$AI$7&lt;=$A17,-'01_数值调参'!$AI$33,0),IF('01_数值调参'!$AJ$7&lt;=$A17,-'01_数值调参'!$AJ$33,0),IF('01_数值调参'!$AK$7&lt;=$A17,-'01_数值调参'!$AK$33,0),IF('01_数值调参'!$AL$7&lt;=$A17,-'01_数值调参'!$AL$33,0),IF('01_数值调参'!$AM$7&lt;=$A17,-'01_数值调参'!$AM$33,0)),0),0)),"队列待修正"))</x:f>
        <x:v>3</x:v>
      </x:c>
      <x:c r="X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U$7,"—",SUM(IF($A17&gt;=2,(C17+$C$3)*MAX(0,IF('01_数值调参'!$N$7&lt;=$A17,-'01_数值调参'!$N$34,0),IF('01_数值调参'!$O$7&lt;=$A17,-'01_数值调参'!$O$34,0),IF('01_数值调参'!$P$7&lt;=$A17,-'01_数值调参'!$P$34,0),IF('01_数值调参'!$Q$7&lt;=$A17,-'01_数值调参'!$Q$34,0),IF('01_数值调参'!$R$7&lt;=$A17,-'01_数值调参'!$R$34,0)),0),IF($A17&gt;=4,(D17+$C$3)*MAX(0,IF('01_数值调参'!$S$7&lt;=$A17,-'01_数值调参'!$S$34,0),IF('01_数值调参'!$T$7&lt;=$A17,-'01_数值调参'!$T$34,0),IF('01_数值调参'!$U$7&lt;=$A17,0,0),IF('01_数值调参'!$V$7&lt;=$A17,-'01_数值调参'!$V$34,0),IF('01_数值调参'!$W$7&lt;=$A17,-'01_数值调参'!$W$34,0)),0),IF($A17&gt;=6,(E17+$C$3)*MAX(0,IF('01_数值调参'!$X$7&lt;=$A17,-'01_数值调参'!$X$34,0),IF('01_数值调参'!$Y$7&lt;=$A17,-'01_数值调参'!$Y$34,0),IF('01_数值调参'!$Z$7&lt;=$A17,-'01_数值调参'!$Z$34,0),IF('01_数值调参'!$AA$7&lt;=$A17,-'01_数值调参'!$AA$34,0),IF('01_数值调参'!$AB$7&lt;=$A17,-'01_数值调参'!$AB$34,0),IF('01_数值调参'!$AC$7&lt;=$A17,-'01_数值调参'!$AC$34,0)),0),IF($A17&gt;=8,(F17+$C$3)*MAX(0,IF('01_数值调参'!$AD$7&lt;=$A17,-'01_数值调参'!$AD$34,0),IF('01_数值调参'!$AE$7&lt;=$A17,-'01_数值调参'!$AE$34,0),IF('01_数值调参'!$AF$7&lt;=$A17,-'01_数值调参'!$AF$34,0),IF('01_数值调参'!$AG$7&lt;=$A17,-'01_数值调参'!$AG$34,0)),0),IF($A17&gt;=10,(G17+$C$3)*MAX(0,IF('01_数值调参'!$AH$7&lt;=$A17,-'01_数值调参'!$AH$34,0),IF('01_数值调参'!$AI$7&lt;=$A17,-'01_数值调参'!$AI$34,0),IF('01_数值调参'!$AJ$7&lt;=$A17,-'01_数值调参'!$AJ$34,0),IF('01_数值调参'!$AK$7&lt;=$A17,-'01_数值调参'!$AK$34,0),IF('01_数值调参'!$AL$7&lt;=$A17,-'01_数值调参'!$AL$34,0),IF('01_数值调参'!$AM$7&lt;=$A17,-'01_数值调参'!$AM$34,0)),0),0)),"队列待修正"))</x:f>
        <x:v>0</x:v>
      </x:c>
      <x:c r="Y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V$7,"—",SUM(IF($A17&gt;=2,(C17+$C$3)*MAX(0,IF('01_数值调参'!$N$7&lt;=$A17,-'01_数值调参'!$N$35,0),IF('01_数值调参'!$O$7&lt;=$A17,-'01_数值调参'!$O$35,0),IF('01_数值调参'!$P$7&lt;=$A17,-'01_数值调参'!$P$35,0),IF('01_数值调参'!$Q$7&lt;=$A17,-'01_数值调参'!$Q$35,0),IF('01_数值调参'!$R$7&lt;=$A17,-'01_数值调参'!$R$35,0)),0),IF($A17&gt;=4,(D17+$C$3)*MAX(0,IF('01_数值调参'!$S$7&lt;=$A17,-'01_数值调参'!$S$35,0),IF('01_数值调参'!$T$7&lt;=$A17,-'01_数值调参'!$T$35,0),IF('01_数值调参'!$U$7&lt;=$A17,-'01_数值调参'!$U$35,0),IF('01_数值调参'!$V$7&lt;=$A17,0,0),IF('01_数值调参'!$W$7&lt;=$A17,-'01_数值调参'!$W$35,0)),0),IF($A17&gt;=6,(E17+$C$3)*MAX(0,IF('01_数值调参'!$X$7&lt;=$A17,-'01_数值调参'!$X$35,0),IF('01_数值调参'!$Y$7&lt;=$A17,-'01_数值调参'!$Y$35,0),IF('01_数值调参'!$Z$7&lt;=$A17,-'01_数值调参'!$Z$35,0),IF('01_数值调参'!$AA$7&lt;=$A17,-'01_数值调参'!$AA$35,0),IF('01_数值调参'!$AB$7&lt;=$A17,-'01_数值调参'!$AB$35,0),IF('01_数值调参'!$AC$7&lt;=$A17,-'01_数值调参'!$AC$35,0)),0),IF($A17&gt;=8,(F17+$C$3)*MAX(0,IF('01_数值调参'!$AD$7&lt;=$A17,-'01_数值调参'!$AD$35,0),IF('01_数值调参'!$AE$7&lt;=$A17,-'01_数值调参'!$AE$35,0),IF('01_数值调参'!$AF$7&lt;=$A17,-'01_数值调参'!$AF$35,0),IF('01_数值调参'!$AG$7&lt;=$A17,-'01_数值调参'!$AG$35,0)),0),IF($A17&gt;=10,(G17+$C$3)*MAX(0,IF('01_数值调参'!$AH$7&lt;=$A17,-'01_数值调参'!$AH$35,0),IF('01_数值调参'!$AI$7&lt;=$A17,-'01_数值调参'!$AI$35,0),IF('01_数值调参'!$AJ$7&lt;=$A17,-'01_数值调参'!$AJ$35,0),IF('01_数值调参'!$AK$7&lt;=$A17,-'01_数值调参'!$AK$35,0),IF('01_数值调参'!$AL$7&lt;=$A17,-'01_数值调参'!$AL$35,0),IF('01_数值调参'!$AM$7&lt;=$A17,-'01_数值调参'!$AM$35,0)),0),0)),"队列待修正"))</x:f>
        <x:v>—</x:v>
      </x:c>
      <x:c r="Z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W$7,"—",SUM(IF($A17&gt;=2,(C17+$C$3)*MAX(0,IF('01_数值调参'!$N$7&lt;=$A17,-'01_数值调参'!$N$36,0),IF('01_数值调参'!$O$7&lt;=$A17,-'01_数值调参'!$O$36,0),IF('01_数值调参'!$P$7&lt;=$A17,-'01_数值调参'!$P$36,0),IF('01_数值调参'!$Q$7&lt;=$A17,-'01_数值调参'!$Q$36,0),IF('01_数值调参'!$R$7&lt;=$A17,-'01_数值调参'!$R$36,0)),0),IF($A17&gt;=4,(D17+$C$3)*MAX(0,IF('01_数值调参'!$S$7&lt;=$A17,-'01_数值调参'!$S$36,0),IF('01_数值调参'!$T$7&lt;=$A17,-'01_数值调参'!$T$36,0),IF('01_数值调参'!$U$7&lt;=$A17,-'01_数值调参'!$U$36,0),IF('01_数值调参'!$V$7&lt;=$A17,-'01_数值调参'!$V$36,0),IF('01_数值调参'!$W$7&lt;=$A17,0,0)),0),IF($A17&gt;=6,(E17+$C$3)*MAX(0,IF('01_数值调参'!$X$7&lt;=$A17,-'01_数值调参'!$X$36,0),IF('01_数值调参'!$Y$7&lt;=$A17,-'01_数值调参'!$Y$36,0),IF('01_数值调参'!$Z$7&lt;=$A17,-'01_数值调参'!$Z$36,0),IF('01_数值调参'!$AA$7&lt;=$A17,-'01_数值调参'!$AA$36,0),IF('01_数值调参'!$AB$7&lt;=$A17,-'01_数值调参'!$AB$36,0),IF('01_数值调参'!$AC$7&lt;=$A17,-'01_数值调参'!$AC$36,0)),0),IF($A17&gt;=8,(F17+$C$3)*MAX(0,IF('01_数值调参'!$AD$7&lt;=$A17,-'01_数值调参'!$AD$36,0),IF('01_数值调参'!$AE$7&lt;=$A17,-'01_数值调参'!$AE$36,0),IF('01_数值调参'!$AF$7&lt;=$A17,-'01_数值调参'!$AF$36,0),IF('01_数值调参'!$AG$7&lt;=$A17,-'01_数值调参'!$AG$36,0)),0),IF($A17&gt;=10,(G17+$C$3)*MAX(0,IF('01_数值调参'!$AH$7&lt;=$A17,-'01_数值调参'!$AH$36,0),IF('01_数值调参'!$AI$7&lt;=$A17,-'01_数值调参'!$AI$36,0),IF('01_数值调参'!$AJ$7&lt;=$A17,-'01_数值调参'!$AJ$36,0),IF('01_数值调参'!$AK$7&lt;=$A17,-'01_数值调参'!$AK$36,0),IF('01_数值调参'!$AL$7&lt;=$A17,-'01_数值调参'!$AL$36,0),IF('01_数值调参'!$AM$7&lt;=$A17,-'01_数值调参'!$AM$36,0)),0),0)),"队列待修正"))</x:f>
        <x:v>—</x:v>
      </x:c>
      <x:c r="AA17" s="216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X$7,"—",SUM(IF($A17&gt;=2,(C17+$C$3)*MAX(0,IF('01_数值调参'!$N$7&lt;=$A17,-'01_数值调参'!$N$37,0),IF('01_数值调参'!$O$7&lt;=$A17,-'01_数值调参'!$O$37,0),IF('01_数值调参'!$P$7&lt;=$A17,-'01_数值调参'!$P$37,0),IF('01_数值调参'!$Q$7&lt;=$A17,-'01_数值调参'!$Q$37,0),IF('01_数值调参'!$R$7&lt;=$A17,-'01_数值调参'!$R$37,0)),0),IF($A17&gt;=4,(D17+$C$3)*MAX(0,IF('01_数值调参'!$S$7&lt;=$A17,-'01_数值调参'!$S$37,0),IF('01_数值调参'!$T$7&lt;=$A17,-'01_数值调参'!$T$37,0),IF('01_数值调参'!$U$7&lt;=$A17,-'01_数值调参'!$U$37,0),IF('01_数值调参'!$V$7&lt;=$A17,-'01_数值调参'!$V$37,0),IF('01_数值调参'!$W$7&lt;=$A17,-'01_数值调参'!$W$37,0)),0),IF($A17&gt;=6,(E17+$C$3)*MAX(0,IF('01_数值调参'!$X$7&lt;=$A17,0,0),IF('01_数值调参'!$Y$7&lt;=$A17,-'01_数值调参'!$Y$37,0),IF('01_数值调参'!$Z$7&lt;=$A17,-'01_数值调参'!$Z$37,0),IF('01_数值调参'!$AA$7&lt;=$A17,-'01_数值调参'!$AA$37,0),IF('01_数值调参'!$AB$7&lt;=$A17,-'01_数值调参'!$AB$37,0),IF('01_数值调参'!$AC$7&lt;=$A17,-'01_数值调参'!$AC$37,0)),0),IF($A17&gt;=8,(F17+$C$3)*MAX(0,IF('01_数值调参'!$AD$7&lt;=$A17,-'01_数值调参'!$AD$37,0),IF('01_数值调参'!$AE$7&lt;=$A17,-'01_数值调参'!$AE$37,0),IF('01_数值调参'!$AF$7&lt;=$A17,-'01_数值调参'!$AF$37,0),IF('01_数值调参'!$AG$7&lt;=$A17,-'01_数值调参'!$AG$37,0)),0),IF($A17&gt;=10,(G17+$C$3)*MAX(0,IF('01_数值调参'!$AH$7&lt;=$A17,-'01_数值调参'!$AH$37,0),IF('01_数值调参'!$AI$7&lt;=$A17,-'01_数值调参'!$AI$37,0),IF('01_数值调参'!$AJ$7&lt;=$A17,-'01_数值调参'!$AJ$37,0),IF('01_数值调参'!$AK$7&lt;=$A17,-'01_数值调参'!$AK$37,0),IF('01_数值调参'!$AL$7&lt;=$A17,-'01_数值调参'!$AL$37,0),IF('01_数值调参'!$AM$7&lt;=$A17,-'01_数值调参'!$AM$37,0)),0),0)),"队列待修正"))</x:f>
        <x:v>0</x:v>
      </x:c>
      <x:c r="AB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Y$7,"—",SUM(IF($A17&gt;=2,(C17+$C$3)*MAX(0,IF('01_数值调参'!$N$7&lt;=$A17,-'01_数值调参'!$N$38,0),IF('01_数值调参'!$O$7&lt;=$A17,-'01_数值调参'!$O$38,0),IF('01_数值调参'!$P$7&lt;=$A17,-'01_数值调参'!$P$38,0),IF('01_数值调参'!$Q$7&lt;=$A17,-'01_数值调参'!$Q$38,0),IF('01_数值调参'!$R$7&lt;=$A17,-'01_数值调参'!$R$38,0)),0),IF($A17&gt;=4,(D17+$C$3)*MAX(0,IF('01_数值调参'!$S$7&lt;=$A17,-'01_数值调参'!$S$38,0),IF('01_数值调参'!$T$7&lt;=$A17,-'01_数值调参'!$T$38,0),IF('01_数值调参'!$U$7&lt;=$A17,-'01_数值调参'!$U$38,0),IF('01_数值调参'!$V$7&lt;=$A17,-'01_数值调参'!$V$38,0),IF('01_数值调参'!$W$7&lt;=$A17,-'01_数值调参'!$W$38,0)),0),IF($A17&gt;=6,(E17+$C$3)*MAX(0,IF('01_数值调参'!$X$7&lt;=$A17,-'01_数值调参'!$X$38,0),IF('01_数值调参'!$Y$7&lt;=$A17,0,0),IF('01_数值调参'!$Z$7&lt;=$A17,-'01_数值调参'!$Z$38,0),IF('01_数值调参'!$AA$7&lt;=$A17,-'01_数值调参'!$AA$38,0),IF('01_数值调参'!$AB$7&lt;=$A17,-'01_数值调参'!$AB$38,0),IF('01_数值调参'!$AC$7&lt;=$A17,-'01_数值调参'!$AC$38,0)),0),IF($A17&gt;=8,(F17+$C$3)*MAX(0,IF('01_数值调参'!$AD$7&lt;=$A17,-'01_数值调参'!$AD$38,0),IF('01_数值调参'!$AE$7&lt;=$A17,-'01_数值调参'!$AE$38,0),IF('01_数值调参'!$AF$7&lt;=$A17,-'01_数值调参'!$AF$38,0),IF('01_数值调参'!$AG$7&lt;=$A17,-'01_数值调参'!$AG$38,0)),0),IF($A17&gt;=10,(G17+$C$3)*MAX(0,IF('01_数值调参'!$AH$7&lt;=$A17,-'01_数值调参'!$AH$38,0),IF('01_数值调参'!$AI$7&lt;=$A17,-'01_数值调参'!$AI$38,0),IF('01_数值调参'!$AJ$7&lt;=$A17,-'01_数值调参'!$AJ$38,0),IF('01_数值调参'!$AK$7&lt;=$A17,-'01_数值调参'!$AK$38,0),IF('01_数值调参'!$AL$7&lt;=$A17,-'01_数值调参'!$AL$38,0),IF('01_数值调参'!$AM$7&lt;=$A17,-'01_数值调参'!$AM$38,0)),0),0)),"队列待修正"))</x:f>
        <x:v>0</x:v>
      </x:c>
      <x:c r="AC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Z$7,"—",SUM(IF($A17&gt;=2,(C17+$C$3)*MAX(0,IF('01_数值调参'!$N$7&lt;=$A17,-'01_数值调参'!$N$39,0),IF('01_数值调参'!$O$7&lt;=$A17,-'01_数值调参'!$O$39,0),IF('01_数值调参'!$P$7&lt;=$A17,-'01_数值调参'!$P$39,0),IF('01_数值调参'!$Q$7&lt;=$A17,-'01_数值调参'!$Q$39,0),IF('01_数值调参'!$R$7&lt;=$A17,-'01_数值调参'!$R$39,0)),0),IF($A17&gt;=4,(D17+$C$3)*MAX(0,IF('01_数值调参'!$S$7&lt;=$A17,-'01_数值调参'!$S$39,0),IF('01_数值调参'!$T$7&lt;=$A17,-'01_数值调参'!$T$39,0),IF('01_数值调参'!$U$7&lt;=$A17,-'01_数值调参'!$U$39,0),IF('01_数值调参'!$V$7&lt;=$A17,-'01_数值调参'!$V$39,0),IF('01_数值调参'!$W$7&lt;=$A17,-'01_数值调参'!$W$39,0)),0),IF($A17&gt;=6,(E17+$C$3)*MAX(0,IF('01_数值调参'!$X$7&lt;=$A17,-'01_数值调参'!$X$39,0),IF('01_数值调参'!$Y$7&lt;=$A17,-'01_数值调参'!$Y$39,0),IF('01_数值调参'!$Z$7&lt;=$A17,0,0),IF('01_数值调参'!$AA$7&lt;=$A17,-'01_数值调参'!$AA$39,0),IF('01_数值调参'!$AB$7&lt;=$A17,-'01_数值调参'!$AB$39,0),IF('01_数值调参'!$AC$7&lt;=$A17,-'01_数值调参'!$AC$39,0)),0),IF($A17&gt;=8,(F17+$C$3)*MAX(0,IF('01_数值调参'!$AD$7&lt;=$A17,-'01_数值调参'!$AD$39,0),IF('01_数值调参'!$AE$7&lt;=$A17,-'01_数值调参'!$AE$39,0),IF('01_数值调参'!$AF$7&lt;=$A17,-'01_数值调参'!$AF$39,0),IF('01_数值调参'!$AG$7&lt;=$A17,-'01_数值调参'!$AG$39,0)),0),IF($A17&gt;=10,(G17+$C$3)*MAX(0,IF('01_数值调参'!$AH$7&lt;=$A17,-'01_数值调参'!$AH$39,0),IF('01_数值调参'!$AI$7&lt;=$A17,-'01_数值调参'!$AI$39,0),IF('01_数值调参'!$AJ$7&lt;=$A17,-'01_数值调参'!$AJ$39,0),IF('01_数值调参'!$AK$7&lt;=$A17,-'01_数值调参'!$AK$39,0),IF('01_数值调参'!$AL$7&lt;=$A17,-'01_数值调参'!$AL$39,0),IF('01_数值调参'!$AM$7&lt;=$A17,-'01_数值调参'!$AM$39,0)),0),0)),"队列待修正"))</x:f>
        <x:v>0</x:v>
      </x:c>
      <x:c r="AD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A$7,"—",SUM(IF($A17&gt;=2,(C17+$C$3)*MAX(0,IF('01_数值调参'!$N$7&lt;=$A17,-'01_数值调参'!$N$40,0),IF('01_数值调参'!$O$7&lt;=$A17,-'01_数值调参'!$O$40,0),IF('01_数值调参'!$P$7&lt;=$A17,-'01_数值调参'!$P$40,0),IF('01_数值调参'!$Q$7&lt;=$A17,-'01_数值调参'!$Q$40,0),IF('01_数值调参'!$R$7&lt;=$A17,-'01_数值调参'!$R$40,0)),0),IF($A17&gt;=4,(D17+$C$3)*MAX(0,IF('01_数值调参'!$S$7&lt;=$A17,-'01_数值调参'!$S$40,0),IF('01_数值调参'!$T$7&lt;=$A17,-'01_数值调参'!$T$40,0),IF('01_数值调参'!$U$7&lt;=$A17,-'01_数值调参'!$U$40,0),IF('01_数值调参'!$V$7&lt;=$A17,-'01_数值调参'!$V$40,0),IF('01_数值调参'!$W$7&lt;=$A17,-'01_数值调参'!$W$40,0)),0),IF($A17&gt;=6,(E17+$C$3)*MAX(0,IF('01_数值调参'!$X$7&lt;=$A17,-'01_数值调参'!$X$40,0),IF('01_数值调参'!$Y$7&lt;=$A17,-'01_数值调参'!$Y$40,0),IF('01_数值调参'!$Z$7&lt;=$A17,-'01_数值调参'!$Z$40,0),IF('01_数值调参'!$AA$7&lt;=$A17,0,0),IF('01_数值调参'!$AB$7&lt;=$A17,-'01_数值调参'!$AB$40,0),IF('01_数值调参'!$AC$7&lt;=$A17,-'01_数值调参'!$AC$40,0)),0),IF($A17&gt;=8,(F17+$C$3)*MAX(0,IF('01_数值调参'!$AD$7&lt;=$A17,-'01_数值调参'!$AD$40,0),IF('01_数值调参'!$AE$7&lt;=$A17,-'01_数值调参'!$AE$40,0),IF('01_数值调参'!$AF$7&lt;=$A17,-'01_数值调参'!$AF$40,0),IF('01_数值调参'!$AG$7&lt;=$A17,-'01_数值调参'!$AG$40,0)),0),IF($A17&gt;=10,(G17+$C$3)*MAX(0,IF('01_数值调参'!$AH$7&lt;=$A17,-'01_数值调参'!$AH$40,0),IF('01_数值调参'!$AI$7&lt;=$A17,-'01_数值调参'!$AI$40,0),IF('01_数值调参'!$AJ$7&lt;=$A17,-'01_数值调参'!$AJ$40,0),IF('01_数值调参'!$AK$7&lt;=$A17,-'01_数值调参'!$AK$40,0),IF('01_数值调参'!$AL$7&lt;=$A17,-'01_数值调参'!$AL$40,0),IF('01_数值调参'!$AM$7&lt;=$A17,-'01_数值调参'!$AM$40,0)),0),0)),"队列待修正"))</x:f>
        <x:v>—</x:v>
      </x:c>
      <x:c r="AE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B$7,"—",SUM(IF($A17&gt;=2,(C17+$C$3)*MAX(0,IF('01_数值调参'!$N$7&lt;=$A17,-'01_数值调参'!$N$41,0),IF('01_数值调参'!$O$7&lt;=$A17,-'01_数值调参'!$O$41,0),IF('01_数值调参'!$P$7&lt;=$A17,-'01_数值调参'!$P$41,0),IF('01_数值调参'!$Q$7&lt;=$A17,-'01_数值调参'!$Q$41,0),IF('01_数值调参'!$R$7&lt;=$A17,-'01_数值调参'!$R$41,0)),0),IF($A17&gt;=4,(D17+$C$3)*MAX(0,IF('01_数值调参'!$S$7&lt;=$A17,-'01_数值调参'!$S$41,0),IF('01_数值调参'!$T$7&lt;=$A17,-'01_数值调参'!$T$41,0),IF('01_数值调参'!$U$7&lt;=$A17,-'01_数值调参'!$U$41,0),IF('01_数值调参'!$V$7&lt;=$A17,-'01_数值调参'!$V$41,0),IF('01_数值调参'!$W$7&lt;=$A17,-'01_数值调参'!$W$41,0)),0),IF($A17&gt;=6,(E17+$C$3)*MAX(0,IF('01_数值调参'!$X$7&lt;=$A17,-'01_数值调参'!$X$41,0),IF('01_数值调参'!$Y$7&lt;=$A17,-'01_数值调参'!$Y$41,0),IF('01_数值调参'!$Z$7&lt;=$A17,-'01_数值调参'!$Z$41,0),IF('01_数值调参'!$AA$7&lt;=$A17,-'01_数值调参'!$AA$41,0),IF('01_数值调参'!$AB$7&lt;=$A17,0,0),IF('01_数值调参'!$AC$7&lt;=$A17,-'01_数值调参'!$AC$41,0)),0),IF($A17&gt;=8,(F17+$C$3)*MAX(0,IF('01_数值调参'!$AD$7&lt;=$A17,-'01_数值调参'!$AD$41,0),IF('01_数值调参'!$AE$7&lt;=$A17,-'01_数值调参'!$AE$41,0),IF('01_数值调参'!$AF$7&lt;=$A17,-'01_数值调参'!$AF$41,0),IF('01_数值调参'!$AG$7&lt;=$A17,-'01_数值调参'!$AG$41,0)),0),IF($A17&gt;=10,(G17+$C$3)*MAX(0,IF('01_数值调参'!$AH$7&lt;=$A17,-'01_数值调参'!$AH$41,0),IF('01_数值调参'!$AI$7&lt;=$A17,-'01_数值调参'!$AI$41,0),IF('01_数值调参'!$AJ$7&lt;=$A17,-'01_数值调参'!$AJ$41,0),IF('01_数值调参'!$AK$7&lt;=$A17,-'01_数值调参'!$AK$41,0),IF('01_数值调参'!$AL$7&lt;=$A17,-'01_数值调参'!$AL$41,0),IF('01_数值调参'!$AM$7&lt;=$A17,-'01_数值调参'!$AM$41,0)),0),0)),"队列待修正"))</x:f>
        <x:v>—</x:v>
      </x:c>
      <x:c r="AF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C$7,"—",SUM(IF($A17&gt;=2,(C17+$C$3)*MAX(0,IF('01_数值调参'!$N$7&lt;=$A17,-'01_数值调参'!$N$42,0),IF('01_数值调参'!$O$7&lt;=$A17,-'01_数值调参'!$O$42,0),IF('01_数值调参'!$P$7&lt;=$A17,-'01_数值调参'!$P$42,0),IF('01_数值调参'!$Q$7&lt;=$A17,-'01_数值调参'!$Q$42,0),IF('01_数值调参'!$R$7&lt;=$A17,-'01_数值调参'!$R$42,0)),0),IF($A17&gt;=4,(D17+$C$3)*MAX(0,IF('01_数值调参'!$S$7&lt;=$A17,-'01_数值调参'!$S$42,0),IF('01_数值调参'!$T$7&lt;=$A17,-'01_数值调参'!$T$42,0),IF('01_数值调参'!$U$7&lt;=$A17,-'01_数值调参'!$U$42,0),IF('01_数值调参'!$V$7&lt;=$A17,-'01_数值调参'!$V$42,0),IF('01_数值调参'!$W$7&lt;=$A17,-'01_数值调参'!$W$42,0)),0),IF($A17&gt;=6,(E17+$C$3)*MAX(0,IF('01_数值调参'!$X$7&lt;=$A17,-'01_数值调参'!$X$42,0),IF('01_数值调参'!$Y$7&lt;=$A17,-'01_数值调参'!$Y$42,0),IF('01_数值调参'!$Z$7&lt;=$A17,-'01_数值调参'!$Z$42,0),IF('01_数值调参'!$AA$7&lt;=$A17,-'01_数值调参'!$AA$42,0),IF('01_数值调参'!$AB$7&lt;=$A17,-'01_数值调参'!$AB$42,0),IF('01_数值调参'!$AC$7&lt;=$A17,0,0)),0),IF($A17&gt;=8,(F17+$C$3)*MAX(0,IF('01_数值调参'!$AD$7&lt;=$A17,-'01_数值调参'!$AD$42,0),IF('01_数值调参'!$AE$7&lt;=$A17,-'01_数值调参'!$AE$42,0),IF('01_数值调参'!$AF$7&lt;=$A17,-'01_数值调参'!$AF$42,0),IF('01_数值调参'!$AG$7&lt;=$A17,-'01_数值调参'!$AG$42,0)),0),IF($A17&gt;=10,(G17+$C$3)*MAX(0,IF('01_数值调参'!$AH$7&lt;=$A17,-'01_数值调参'!$AH$42,0),IF('01_数值调参'!$AI$7&lt;=$A17,-'01_数值调参'!$AI$42,0),IF('01_数值调参'!$AJ$7&lt;=$A17,-'01_数值调参'!$AJ$42,0),IF('01_数值调参'!$AK$7&lt;=$A17,-'01_数值调参'!$AK$42,0),IF('01_数值调参'!$AL$7&lt;=$A17,-'01_数值调参'!$AL$42,0),IF('01_数值调参'!$AM$7&lt;=$A17,-'01_数值调参'!$AM$42,0)),0),0)),"队列待修正"))</x:f>
        <x:v>—</x:v>
      </x:c>
      <x:c r="AG17" s="216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D$7,"—",SUM(IF($A17&gt;=2,(C17+$C$3)*MAX(0,IF('01_数值调参'!$N$7&lt;=$A17,-'01_数值调参'!$N$43,0),IF('01_数值调参'!$O$7&lt;=$A17,-'01_数值调参'!$O$43,0),IF('01_数值调参'!$P$7&lt;=$A17,-'01_数值调参'!$P$43,0),IF('01_数值调参'!$Q$7&lt;=$A17,-'01_数值调参'!$Q$43,0),IF('01_数值调参'!$R$7&lt;=$A17,-'01_数值调参'!$R$43,0)),0),IF($A17&gt;=4,(D17+$C$3)*MAX(0,IF('01_数值调参'!$S$7&lt;=$A17,-'01_数值调参'!$S$43,0),IF('01_数值调参'!$T$7&lt;=$A17,-'01_数值调参'!$T$43,0),IF('01_数值调参'!$U$7&lt;=$A17,-'01_数值调参'!$U$43,0),IF('01_数值调参'!$V$7&lt;=$A17,-'01_数值调参'!$V$43,0),IF('01_数值调参'!$W$7&lt;=$A17,-'01_数值调参'!$W$43,0)),0),IF($A17&gt;=6,(E17+$C$3)*MAX(0,IF('01_数值调参'!$X$7&lt;=$A17,-'01_数值调参'!$X$43,0),IF('01_数值调参'!$Y$7&lt;=$A17,-'01_数值调参'!$Y$43,0),IF('01_数值调参'!$Z$7&lt;=$A17,-'01_数值调参'!$Z$43,0),IF('01_数值调参'!$AA$7&lt;=$A17,-'01_数值调参'!$AA$43,0),IF('01_数值调参'!$AB$7&lt;=$A17,-'01_数值调参'!$AB$43,0),IF('01_数值调参'!$AC$7&lt;=$A17,-'01_数值调参'!$AC$43,0)),0),IF($A17&gt;=8,(F17+$C$3)*MAX(0,IF('01_数值调参'!$AD$7&lt;=$A17,0,0),IF('01_数值调参'!$AE$7&lt;=$A17,-'01_数值调参'!$AE$43,0),IF('01_数值调参'!$AF$7&lt;=$A17,-'01_数值调参'!$AF$43,0),IF('01_数值调参'!$AG$7&lt;=$A17,-'01_数值调参'!$AG$43,0)),0),IF($A17&gt;=10,(G17+$C$3)*MAX(0,IF('01_数值调参'!$AH$7&lt;=$A17,-'01_数值调参'!$AH$43,0),IF('01_数值调参'!$AI$7&lt;=$A17,-'01_数值调参'!$AI$43,0),IF('01_数值调参'!$AJ$7&lt;=$A17,-'01_数值调参'!$AJ$43,0),IF('01_数值调参'!$AK$7&lt;=$A17,-'01_数值调参'!$AK$43,0),IF('01_数值调参'!$AL$7&lt;=$A17,-'01_数值调参'!$AL$43,0),IF('01_数值调参'!$AM$7&lt;=$A17,-'01_数值调参'!$AM$43,0)),0),0)),"队列待修正"))</x:f>
        <x:v>0</x:v>
      </x:c>
      <x:c r="AH17" s="217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E$7,"—",SUM(IF($A17&gt;=2,(C17+$C$3)*MAX(0,IF('01_数值调参'!$N$7&lt;=$A17,-'01_数值调参'!$N$44,0),IF('01_数值调参'!$O$7&lt;=$A17,-'01_数值调参'!$O$44,0),IF('01_数值调参'!$P$7&lt;=$A17,-'01_数值调参'!$P$44,0),IF('01_数值调参'!$Q$7&lt;=$A17,-'01_数值调参'!$Q$44,0),IF('01_数值调参'!$R$7&lt;=$A17,-'01_数值调参'!$R$44,0)),0),IF($A17&gt;=4,(D17+$C$3)*MAX(0,IF('01_数值调参'!$S$7&lt;=$A17,-'01_数值调参'!$S$44,0),IF('01_数值调参'!$T$7&lt;=$A17,-'01_数值调参'!$T$44,0),IF('01_数值调参'!$U$7&lt;=$A17,-'01_数值调参'!$U$44,0),IF('01_数值调参'!$V$7&lt;=$A17,-'01_数值调参'!$V$44,0),IF('01_数值调参'!$W$7&lt;=$A17,-'01_数值调参'!$W$44,0)),0),IF($A17&gt;=6,(E17+$C$3)*MAX(0,IF('01_数值调参'!$X$7&lt;=$A17,-'01_数值调参'!$X$44,0),IF('01_数值调参'!$Y$7&lt;=$A17,-'01_数值调参'!$Y$44,0),IF('01_数值调参'!$Z$7&lt;=$A17,-'01_数值调参'!$Z$44,0),IF('01_数值调参'!$AA$7&lt;=$A17,-'01_数值调参'!$AA$44,0),IF('01_数值调参'!$AB$7&lt;=$A17,-'01_数值调参'!$AB$44,0),IF('01_数值调参'!$AC$7&lt;=$A17,-'01_数值调参'!$AC$44,0)),0),IF($A17&gt;=8,(F17+$C$3)*MAX(0,IF('01_数值调参'!$AD$7&lt;=$A17,-'01_数值调参'!$AD$44,0),IF('01_数值调参'!$AE$7&lt;=$A17,0,0),IF('01_数值调参'!$AF$7&lt;=$A17,-'01_数值调参'!$AF$44,0),IF('01_数值调参'!$AG$7&lt;=$A17,-'01_数值调参'!$AG$44,0)),0),IF($A17&gt;=10,(G17+$C$3)*MAX(0,IF('01_数值调参'!$AH$7&lt;=$A17,-'01_数值调参'!$AH$44,0),IF('01_数值调参'!$AI$7&lt;=$A17,-'01_数值调参'!$AI$44,0),IF('01_数值调参'!$AJ$7&lt;=$A17,-'01_数值调参'!$AJ$44,0),IF('01_数值调参'!$AK$7&lt;=$A17,-'01_数值调参'!$AK$44,0),IF('01_数值调参'!$AL$7&lt;=$A17,-'01_数值调参'!$AL$44,0),IF('01_数值调参'!$AM$7&lt;=$A17,-'01_数值调参'!$AM$44,0)),0),0)),"队列待修正"))</x:f>
        <x:v>0</x:v>
      </x:c>
      <x:c r="AI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F$7,"—",SUM(IF($A17&gt;=2,(C17+$C$3)*MAX(0,IF('01_数值调参'!$N$7&lt;=$A17,-'01_数值调参'!$N$45,0),IF('01_数值调参'!$O$7&lt;=$A17,-'01_数值调参'!$O$45,0),IF('01_数值调参'!$P$7&lt;=$A17,-'01_数值调参'!$P$45,0),IF('01_数值调参'!$Q$7&lt;=$A17,-'01_数值调参'!$Q$45,0),IF('01_数值调参'!$R$7&lt;=$A17,-'01_数值调参'!$R$45,0)),0),IF($A17&gt;=4,(D17+$C$3)*MAX(0,IF('01_数值调参'!$S$7&lt;=$A17,-'01_数值调参'!$S$45,0),IF('01_数值调参'!$T$7&lt;=$A17,-'01_数值调参'!$T$45,0),IF('01_数值调参'!$U$7&lt;=$A17,-'01_数值调参'!$U$45,0),IF('01_数值调参'!$V$7&lt;=$A17,-'01_数值调参'!$V$45,0),IF('01_数值调参'!$W$7&lt;=$A17,-'01_数值调参'!$W$45,0)),0),IF($A17&gt;=6,(E17+$C$3)*MAX(0,IF('01_数值调参'!$X$7&lt;=$A17,-'01_数值调参'!$X$45,0),IF('01_数值调参'!$Y$7&lt;=$A17,-'01_数值调参'!$Y$45,0),IF('01_数值调参'!$Z$7&lt;=$A17,-'01_数值调参'!$Z$45,0),IF('01_数值调参'!$AA$7&lt;=$A17,-'01_数值调参'!$AA$45,0),IF('01_数值调参'!$AB$7&lt;=$A17,-'01_数值调参'!$AB$45,0),IF('01_数值调参'!$AC$7&lt;=$A17,-'01_数值调参'!$AC$45,0)),0),IF($A17&gt;=8,(F17+$C$3)*MAX(0,IF('01_数值调参'!$AD$7&lt;=$A17,-'01_数值调参'!$AD$45,0),IF('01_数值调参'!$AE$7&lt;=$A17,-'01_数值调参'!$AE$45,0),IF('01_数值调参'!$AF$7&lt;=$A17,0,0),IF('01_数值调参'!$AG$7&lt;=$A17,-'01_数值调参'!$AG$45,0)),0),IF($A17&gt;=10,(G17+$C$3)*MAX(0,IF('01_数值调参'!$AH$7&lt;=$A17,-'01_数值调参'!$AH$45,0),IF('01_数值调参'!$AI$7&lt;=$A17,-'01_数值调参'!$AI$45,0),IF('01_数值调参'!$AJ$7&lt;=$A17,-'01_数值调参'!$AJ$45,0),IF('01_数值调参'!$AK$7&lt;=$A17,-'01_数值调参'!$AK$45,0),IF('01_数值调参'!$AL$7&lt;=$A17,-'01_数值调参'!$AL$45,0),IF('01_数值调参'!$AM$7&lt;=$A17,-'01_数值调参'!$AM$45,0)),0),0)),"队列待修正"))</x:f>
        <x:v>—</x:v>
      </x:c>
      <x:c r="AJ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G$7,"—",SUM(IF($A17&gt;=2,(C17+$C$3)*MAX(0,IF('01_数值调参'!$N$7&lt;=$A17,-'01_数值调参'!$N$46,0),IF('01_数值调参'!$O$7&lt;=$A17,-'01_数值调参'!$O$46,0),IF('01_数值调参'!$P$7&lt;=$A17,-'01_数值调参'!$P$46,0),IF('01_数值调参'!$Q$7&lt;=$A17,-'01_数值调参'!$Q$46,0),IF('01_数值调参'!$R$7&lt;=$A17,-'01_数值调参'!$R$46,0)),0),IF($A17&gt;=4,(D17+$C$3)*MAX(0,IF('01_数值调参'!$S$7&lt;=$A17,-'01_数值调参'!$S$46,0),IF('01_数值调参'!$T$7&lt;=$A17,-'01_数值调参'!$T$46,0),IF('01_数值调参'!$U$7&lt;=$A17,-'01_数值调参'!$U$46,0),IF('01_数值调参'!$V$7&lt;=$A17,-'01_数值调参'!$V$46,0),IF('01_数值调参'!$W$7&lt;=$A17,-'01_数值调参'!$W$46,0)),0),IF($A17&gt;=6,(E17+$C$3)*MAX(0,IF('01_数值调参'!$X$7&lt;=$A17,-'01_数值调参'!$X$46,0),IF('01_数值调参'!$Y$7&lt;=$A17,-'01_数值调参'!$Y$46,0),IF('01_数值调参'!$Z$7&lt;=$A17,-'01_数值调参'!$Z$46,0),IF('01_数值调参'!$AA$7&lt;=$A17,-'01_数值调参'!$AA$46,0),IF('01_数值调参'!$AB$7&lt;=$A17,-'01_数值调参'!$AB$46,0),IF('01_数值调参'!$AC$7&lt;=$A17,-'01_数值调参'!$AC$46,0)),0),IF($A17&gt;=8,(F17+$C$3)*MAX(0,IF('01_数值调参'!$AD$7&lt;=$A17,-'01_数值调参'!$AD$46,0),IF('01_数值调参'!$AE$7&lt;=$A17,-'01_数值调参'!$AE$46,0),IF('01_数值调参'!$AF$7&lt;=$A17,-'01_数值调参'!$AF$46,0),IF('01_数值调参'!$AG$7&lt;=$A17,0,0)),0),IF($A17&gt;=10,(G17+$C$3)*MAX(0,IF('01_数值调参'!$AH$7&lt;=$A17,-'01_数值调参'!$AH$46,0),IF('01_数值调参'!$AI$7&lt;=$A17,-'01_数值调参'!$AI$46,0),IF('01_数值调参'!$AJ$7&lt;=$A17,-'01_数值调参'!$AJ$46,0),IF('01_数值调参'!$AK$7&lt;=$A17,-'01_数值调参'!$AK$46,0),IF('01_数值调参'!$AL$7&lt;=$A17,-'01_数值调参'!$AL$46,0),IF('01_数值调参'!$AM$7&lt;=$A17,-'01_数值调参'!$AM$46,0)),0),0)),"队列待修正"))</x:f>
        <x:v>—</x:v>
      </x:c>
      <x:c r="AK17" s="216" t="n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H$7,"—",SUM(IF($A17&gt;=2,(C17+$C$3)*MAX(0,IF('01_数值调参'!$N$7&lt;=$A17,-'01_数值调参'!$N$47,0),IF('01_数值调参'!$O$7&lt;=$A17,-'01_数值调参'!$O$47,0),IF('01_数值调参'!$P$7&lt;=$A17,-'01_数值调参'!$P$47,0),IF('01_数值调参'!$Q$7&lt;=$A17,-'01_数值调参'!$Q$47,0),IF('01_数值调参'!$R$7&lt;=$A17,-'01_数值调参'!$R$47,0)),0),IF($A17&gt;=4,(D17+$C$3)*MAX(0,IF('01_数值调参'!$S$7&lt;=$A17,-'01_数值调参'!$S$47,0),IF('01_数值调参'!$T$7&lt;=$A17,-'01_数值调参'!$T$47,0),IF('01_数值调参'!$U$7&lt;=$A17,-'01_数值调参'!$U$47,0),IF('01_数值调参'!$V$7&lt;=$A17,-'01_数值调参'!$V$47,0),IF('01_数值调参'!$W$7&lt;=$A17,-'01_数值调参'!$W$47,0)),0),IF($A17&gt;=6,(E17+$C$3)*MAX(0,IF('01_数值调参'!$X$7&lt;=$A17,-'01_数值调参'!$X$47,0),IF('01_数值调参'!$Y$7&lt;=$A17,-'01_数值调参'!$Y$47,0),IF('01_数值调参'!$Z$7&lt;=$A17,-'01_数值调参'!$Z$47,0),IF('01_数值调参'!$AA$7&lt;=$A17,-'01_数值调参'!$AA$47,0),IF('01_数值调参'!$AB$7&lt;=$A17,-'01_数值调参'!$AB$47,0),IF('01_数值调参'!$AC$7&lt;=$A17,-'01_数值调参'!$AC$47,0)),0),IF($A17&gt;=8,(F17+$C$3)*MAX(0,IF('01_数值调参'!$AD$7&lt;=$A17,-'01_数值调参'!$AD$47,0),IF('01_数值调参'!$AE$7&lt;=$A17,-'01_数值调参'!$AE$47,0),IF('01_数值调参'!$AF$7&lt;=$A17,-'01_数值调参'!$AF$47,0),IF('01_数值调参'!$AG$7&lt;=$A17,-'01_数值调参'!$AG$47,0)),0),IF($A17&gt;=10,(G17+$C$3)*MAX(0,IF('01_数值调参'!$AH$7&lt;=$A17,0,0),IF('01_数值调参'!$AI$7&lt;=$A17,-'01_数值调参'!$AI$47,0),IF('01_数值调参'!$AJ$7&lt;=$A17,-'01_数值调参'!$AJ$47,0),IF('01_数值调参'!$AK$7&lt;=$A17,-'01_数值调参'!$AK$47,0),IF('01_数值调参'!$AL$7&lt;=$A17,-'01_数值调参'!$AL$47,0),IF('01_数值调参'!$AM$7&lt;=$A17,-'01_数值调参'!$AM$47,0)),0),0)),"队列待修正"))</x:f>
        <x:v>0</x:v>
      </x:c>
      <x:c r="AL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I$7,"—",SUM(IF($A17&gt;=2,(C17+$C$3)*MAX(0,IF('01_数值调参'!$N$7&lt;=$A17,-'01_数值调参'!$N$48,0),IF('01_数值调参'!$O$7&lt;=$A17,-'01_数值调参'!$O$48,0),IF('01_数值调参'!$P$7&lt;=$A17,-'01_数值调参'!$P$48,0),IF('01_数值调参'!$Q$7&lt;=$A17,-'01_数值调参'!$Q$48,0),IF('01_数值调参'!$R$7&lt;=$A17,-'01_数值调参'!$R$48,0)),0),IF($A17&gt;=4,(D17+$C$3)*MAX(0,IF('01_数值调参'!$S$7&lt;=$A17,-'01_数值调参'!$S$48,0),IF('01_数值调参'!$T$7&lt;=$A17,-'01_数值调参'!$T$48,0),IF('01_数值调参'!$U$7&lt;=$A17,-'01_数值调参'!$U$48,0),IF('01_数值调参'!$V$7&lt;=$A17,-'01_数值调参'!$V$48,0),IF('01_数值调参'!$W$7&lt;=$A17,-'01_数值调参'!$W$48,0)),0),IF($A17&gt;=6,(E17+$C$3)*MAX(0,IF('01_数值调参'!$X$7&lt;=$A17,-'01_数值调参'!$X$48,0),IF('01_数值调参'!$Y$7&lt;=$A17,-'01_数值调参'!$Y$48,0),IF('01_数值调参'!$Z$7&lt;=$A17,-'01_数值调参'!$Z$48,0),IF('01_数值调参'!$AA$7&lt;=$A17,-'01_数值调参'!$AA$48,0),IF('01_数值调参'!$AB$7&lt;=$A17,-'01_数值调参'!$AB$48,0),IF('01_数值调参'!$AC$7&lt;=$A17,-'01_数值调参'!$AC$48,0)),0),IF($A17&gt;=8,(F17+$C$3)*MAX(0,IF('01_数值调参'!$AD$7&lt;=$A17,-'01_数值调参'!$AD$48,0),IF('01_数值调参'!$AE$7&lt;=$A17,-'01_数值调参'!$AE$48,0),IF('01_数值调参'!$AF$7&lt;=$A17,-'01_数值调参'!$AF$48,0),IF('01_数值调参'!$AG$7&lt;=$A17,-'01_数值调参'!$AG$48,0)),0),IF($A17&gt;=10,(G17+$C$3)*MAX(0,IF('01_数值调参'!$AH$7&lt;=$A17,-'01_数值调参'!$AH$48,0),IF('01_数值调参'!$AI$7&lt;=$A17,0,0),IF('01_数值调参'!$AJ$7&lt;=$A17,-'01_数值调参'!$AJ$48,0),IF('01_数值调参'!$AK$7&lt;=$A17,-'01_数值调参'!$AK$48,0),IF('01_数值调参'!$AL$7&lt;=$A17,-'01_数值调参'!$AL$48,0),IF('01_数值调参'!$AM$7&lt;=$A17,-'01_数值调参'!$AM$48,0)),0),0)),"队列待修正"))</x:f>
        <x:v>—</x:v>
      </x:c>
      <x:c r="AM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J$7,"—",SUM(IF($A17&gt;=2,(C17+$C$3)*MAX(0,IF('01_数值调参'!$N$7&lt;=$A17,-'01_数值调参'!$N$49,0),IF('01_数值调参'!$O$7&lt;=$A17,-'01_数值调参'!$O$49,0),IF('01_数值调参'!$P$7&lt;=$A17,-'01_数值调参'!$P$49,0),IF('01_数值调参'!$Q$7&lt;=$A17,-'01_数值调参'!$Q$49,0),IF('01_数值调参'!$R$7&lt;=$A17,-'01_数值调参'!$R$49,0)),0),IF($A17&gt;=4,(D17+$C$3)*MAX(0,IF('01_数值调参'!$S$7&lt;=$A17,-'01_数值调参'!$S$49,0),IF('01_数值调参'!$T$7&lt;=$A17,-'01_数值调参'!$T$49,0),IF('01_数值调参'!$U$7&lt;=$A17,-'01_数值调参'!$U$49,0),IF('01_数值调参'!$V$7&lt;=$A17,-'01_数值调参'!$V$49,0),IF('01_数值调参'!$W$7&lt;=$A17,-'01_数值调参'!$W$49,0)),0),IF($A17&gt;=6,(E17+$C$3)*MAX(0,IF('01_数值调参'!$X$7&lt;=$A17,-'01_数值调参'!$X$49,0),IF('01_数值调参'!$Y$7&lt;=$A17,-'01_数值调参'!$Y$49,0),IF('01_数值调参'!$Z$7&lt;=$A17,-'01_数值调参'!$Z$49,0),IF('01_数值调参'!$AA$7&lt;=$A17,-'01_数值调参'!$AA$49,0),IF('01_数值调参'!$AB$7&lt;=$A17,-'01_数值调参'!$AB$49,0),IF('01_数值调参'!$AC$7&lt;=$A17,-'01_数值调参'!$AC$49,0)),0),IF($A17&gt;=8,(F17+$C$3)*MAX(0,IF('01_数值调参'!$AD$7&lt;=$A17,-'01_数值调参'!$AD$49,0),IF('01_数值调参'!$AE$7&lt;=$A17,-'01_数值调参'!$AE$49,0),IF('01_数值调参'!$AF$7&lt;=$A17,-'01_数值调参'!$AF$49,0),IF('01_数值调参'!$AG$7&lt;=$A17,-'01_数值调参'!$AG$49,0)),0),IF($A17&gt;=10,(G17+$C$3)*MAX(0,IF('01_数值调参'!$AH$7&lt;=$A17,-'01_数值调参'!$AH$49,0),IF('01_数值调参'!$AI$7&lt;=$A17,-'01_数值调参'!$AI$49,0),IF('01_数值调参'!$AJ$7&lt;=$A17,0,0),IF('01_数值调参'!$AK$7&lt;=$A17,-'01_数值调参'!$AK$49,0),IF('01_数值调参'!$AL$7&lt;=$A17,-'01_数值调参'!$AL$49,0),IF('01_数值调参'!$AM$7&lt;=$A17,-'01_数值调参'!$AM$49,0)),0),0)),"队列待修正"))</x:f>
        <x:v>—</x:v>
      </x:c>
      <x:c r="AN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K$7,"—",SUM(IF($A17&gt;=2,(C17+$C$3)*MAX(0,IF('01_数值调参'!$N$7&lt;=$A17,-'01_数值调参'!$N$50,0),IF('01_数值调参'!$O$7&lt;=$A17,-'01_数值调参'!$O$50,0),IF('01_数值调参'!$P$7&lt;=$A17,-'01_数值调参'!$P$50,0),IF('01_数值调参'!$Q$7&lt;=$A17,-'01_数值调参'!$Q$50,0),IF('01_数值调参'!$R$7&lt;=$A17,-'01_数值调参'!$R$50,0)),0),IF($A17&gt;=4,(D17+$C$3)*MAX(0,IF('01_数值调参'!$S$7&lt;=$A17,-'01_数值调参'!$S$50,0),IF('01_数值调参'!$T$7&lt;=$A17,-'01_数值调参'!$T$50,0),IF('01_数值调参'!$U$7&lt;=$A17,-'01_数值调参'!$U$50,0),IF('01_数值调参'!$V$7&lt;=$A17,-'01_数值调参'!$V$50,0),IF('01_数值调参'!$W$7&lt;=$A17,-'01_数值调参'!$W$50,0)),0),IF($A17&gt;=6,(E17+$C$3)*MAX(0,IF('01_数值调参'!$X$7&lt;=$A17,-'01_数值调参'!$X$50,0),IF('01_数值调参'!$Y$7&lt;=$A17,-'01_数值调参'!$Y$50,0),IF('01_数值调参'!$Z$7&lt;=$A17,-'01_数值调参'!$Z$50,0),IF('01_数值调参'!$AA$7&lt;=$A17,-'01_数值调参'!$AA$50,0),IF('01_数值调参'!$AB$7&lt;=$A17,-'01_数值调参'!$AB$50,0),IF('01_数值调参'!$AC$7&lt;=$A17,-'01_数值调参'!$AC$50,0)),0),IF($A17&gt;=8,(F17+$C$3)*MAX(0,IF('01_数值调参'!$AD$7&lt;=$A17,-'01_数值调参'!$AD$50,0),IF('01_数值调参'!$AE$7&lt;=$A17,-'01_数值调参'!$AE$50,0),IF('01_数值调参'!$AF$7&lt;=$A17,-'01_数值调参'!$AF$50,0),IF('01_数值调参'!$AG$7&lt;=$A17,-'01_数值调参'!$AG$50,0)),0),IF($A17&gt;=10,(G17+$C$3)*MAX(0,IF('01_数值调参'!$AH$7&lt;=$A17,-'01_数值调参'!$AH$50,0),IF('01_数值调参'!$AI$7&lt;=$A17,-'01_数值调参'!$AI$50,0),IF('01_数值调参'!$AJ$7&lt;=$A17,-'01_数值调参'!$AJ$50,0),IF('01_数值调参'!$AK$7&lt;=$A17,0,0),IF('01_数值调参'!$AL$7&lt;=$A17,-'01_数值调参'!$AL$50,0),IF('01_数值调参'!$AM$7&lt;=$A17,-'01_数值调参'!$AM$50,0)),0),0)),"队列待修正"))</x:f>
        <x:v>—</x:v>
      </x:c>
      <x:c r="AO17" s="217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L$7,"—",SUM(IF($A17&gt;=2,(C17+$C$3)*MAX(0,IF('01_数值调参'!$N$7&lt;=$A17,-'01_数值调参'!$N$51,0),IF('01_数值调参'!$O$7&lt;=$A17,-'01_数值调参'!$O$51,0),IF('01_数值调参'!$P$7&lt;=$A17,-'01_数值调参'!$P$51,0),IF('01_数值调参'!$Q$7&lt;=$A17,-'01_数值调参'!$Q$51,0),IF('01_数值调参'!$R$7&lt;=$A17,-'01_数值调参'!$R$51,0)),0),IF($A17&gt;=4,(D17+$C$3)*MAX(0,IF('01_数值调参'!$S$7&lt;=$A17,-'01_数值调参'!$S$51,0),IF('01_数值调参'!$T$7&lt;=$A17,-'01_数值调参'!$T$51,0),IF('01_数值调参'!$U$7&lt;=$A17,-'01_数值调参'!$U$51,0),IF('01_数值调参'!$V$7&lt;=$A17,-'01_数值调参'!$V$51,0),IF('01_数值调参'!$W$7&lt;=$A17,-'01_数值调参'!$W$51,0)),0),IF($A17&gt;=6,(E17+$C$3)*MAX(0,IF('01_数值调参'!$X$7&lt;=$A17,-'01_数值调参'!$X$51,0),IF('01_数值调参'!$Y$7&lt;=$A17,-'01_数值调参'!$Y$51,0),IF('01_数值调参'!$Z$7&lt;=$A17,-'01_数值调参'!$Z$51,0),IF('01_数值调参'!$AA$7&lt;=$A17,-'01_数值调参'!$AA$51,0),IF('01_数值调参'!$AB$7&lt;=$A17,-'01_数值调参'!$AB$51,0),IF('01_数值调参'!$AC$7&lt;=$A17,-'01_数值调参'!$AC$51,0)),0),IF($A17&gt;=8,(F17+$C$3)*MAX(0,IF('01_数值调参'!$AD$7&lt;=$A17,-'01_数值调参'!$AD$51,0),IF('01_数值调参'!$AE$7&lt;=$A17,-'01_数值调参'!$AE$51,0),IF('01_数值调参'!$AF$7&lt;=$A17,-'01_数值调参'!$AF$51,0),IF('01_数值调参'!$AG$7&lt;=$A17,-'01_数值调参'!$AG$51,0)),0),IF($A17&gt;=10,(G17+$C$3)*MAX(0,IF('01_数值调参'!$AH$7&lt;=$A17,-'01_数值调参'!$AH$51,0),IF('01_数值调参'!$AI$7&lt;=$A17,-'01_数值调参'!$AI$51,0),IF('01_数值调参'!$AJ$7&lt;=$A17,-'01_数值调参'!$AJ$51,0),IF('01_数值调参'!$AK$7&lt;=$A17,-'01_数值调参'!$AK$51,0),IF('01_数值调参'!$AL$7&lt;=$A17,0,0),IF('01_数值调参'!$AM$7&lt;=$A17,-'01_数值调参'!$AM$51,0)),0),0)),"队列待修正"))</x:f>
        <x:v>—</x:v>
      </x:c>
      <x:c r="AP17" s="218" t="str">
        <x:f>IF('01_数值调参'!$D$3&lt;&gt;"配方有效","待修正",IF(AND(OR($C$3=0,$C$3=1),ISNUMBER(C17),C17&gt;=0,MOD(C17,1)=0,ISNUMBER(D17),D17&gt;=0,MOD(D17,1)=0,ISNUMBER(E17),E17&gt;=0,MOD(E17,1)=0,ISNUMBER(F17),F17&gt;=0,MOD(F17,1)=0,ISNUMBER(G17),G17&gt;=0,MOD(G17,1)=0,TRUE),IF($A17&lt;'01_数值调参'!$AM$7,"—",SUM(IF($A17&gt;=2,(C17+$C$3)*MAX(0,IF('01_数值调参'!$N$7&lt;=$A17,-'01_数值调参'!$N$52,0),IF('01_数值调参'!$O$7&lt;=$A17,-'01_数值调参'!$O$52,0),IF('01_数值调参'!$P$7&lt;=$A17,-'01_数值调参'!$P$52,0),IF('01_数值调参'!$Q$7&lt;=$A17,-'01_数值调参'!$Q$52,0),IF('01_数值调参'!$R$7&lt;=$A17,-'01_数值调参'!$R$52,0)),0),IF($A17&gt;=4,(D17+$C$3)*MAX(0,IF('01_数值调参'!$S$7&lt;=$A17,-'01_数值调参'!$S$52,0),IF('01_数值调参'!$T$7&lt;=$A17,-'01_数值调参'!$T$52,0),IF('01_数值调参'!$U$7&lt;=$A17,-'01_数值调参'!$U$52,0),IF('01_数值调参'!$V$7&lt;=$A17,-'01_数值调参'!$V$52,0),IF('01_数值调参'!$W$7&lt;=$A17,-'01_数值调参'!$W$52,0)),0),IF($A17&gt;=6,(E17+$C$3)*MAX(0,IF('01_数值调参'!$X$7&lt;=$A17,-'01_数值调参'!$X$52,0),IF('01_数值调参'!$Y$7&lt;=$A17,-'01_数值调参'!$Y$52,0),IF('01_数值调参'!$Z$7&lt;=$A17,-'01_数值调参'!$Z$52,0),IF('01_数值调参'!$AA$7&lt;=$A17,-'01_数值调参'!$AA$52,0),IF('01_数值调参'!$AB$7&lt;=$A17,-'01_数值调参'!$AB$52,0),IF('01_数值调参'!$AC$7&lt;=$A17,-'01_数值调参'!$AC$52,0)),0),IF($A17&gt;=8,(F17+$C$3)*MAX(0,IF('01_数值调参'!$AD$7&lt;=$A17,-'01_数值调参'!$AD$52,0),IF('01_数值调参'!$AE$7&lt;=$A17,-'01_数值调参'!$AE$52,0),IF('01_数值调参'!$AF$7&lt;=$A17,-'01_数值调参'!$AF$52,0),IF('01_数值调参'!$AG$7&lt;=$A17,-'01_数值调参'!$AG$52,0)),0),IF($A17&gt;=10,(G17+$C$3)*MAX(0,IF('01_数值调参'!$AH$7&lt;=$A17,-'01_数值调参'!$AH$52,0),IF('01_数值调参'!$AI$7&lt;=$A17,-'01_数值调参'!$AI$52,0),IF('01_数值调参'!$AJ$7&lt;=$A17,-'01_数值调参'!$AJ$52,0),IF('01_数值调参'!$AK$7&lt;=$A17,-'01_数值调参'!$AK$52,0),IF('01_数值调参'!$AL$7&lt;=$A17,-'01_数值调参'!$AL$52,0),IF('01_数值调参'!$AM$7&lt;=$A17,0,0)),0),0)),"队列待修正"))</x:f>
        <x:v>—</x:v>
      </x:c>
    </x:row>
    <x:row r="18" ht="25" customHeight="1">
      <x:c r="A18" s="176" t="n">
        <x:v>12</x:v>
      </x:c>
      <x:c r="B18" s="177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SUM(IF($A18&gt;=2,(C18+$C$3)*MAX(0,IF('01_数值调参'!$N$7&lt;=$A18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18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18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18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18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18&gt;=4,(D18+$C$3)*MAX(0,IF('01_数值调参'!$S$7&lt;=$A18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18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18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18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18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18&gt;=6,(E18+$C$3)*MAX(0,IF('01_数值调参'!$X$7&lt;=$A18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18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18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18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18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18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18&gt;=8,(F18+$C$3)*MAX(0,IF('01_数值调参'!$AD$7&lt;=$A18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18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18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18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18&gt;=10,(G18+$C$3)*MAX(0,IF('01_数值调参'!$AH$7&lt;=$A18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18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18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18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18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18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42</x:v>
      </x:c>
      <x:c r="C18" s="178" t="n">
        <x:v>2</x:v>
      </x:c>
      <x:c r="D18" s="178" t="n">
        <x:v>2</x:v>
      </x:c>
      <x:c r="E18" s="178" t="n">
        <x:v>2</x:v>
      </x:c>
      <x:c r="F18" s="178" t="n">
        <x:v>2</x:v>
      </x:c>
      <x:c r="G18" s="178" t="n">
        <x:v>2</x:v>
      </x:c>
      <x:c r="H18" s="191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E$7,"—",SUM(IF($A18&gt;=2,(C18+$C$3)*MAX(0,IF('01_数值调参'!$N$7&lt;=$A18,-'01_数值调参'!$N$18,0),IF('01_数值调参'!$O$7&lt;=$A18,-'01_数值调参'!$O$18,0),IF('01_数值调参'!$P$7&lt;=$A18,-'01_数值调参'!$P$18,0),IF('01_数值调参'!$Q$7&lt;=$A18,-'01_数值调参'!$Q$18,0),IF('01_数值调参'!$R$7&lt;=$A18,-'01_数值调参'!$R$18,0)),0),IF($A18&gt;=4,(D18+$C$3)*MAX(0,IF('01_数值调参'!$S$7&lt;=$A18,-'01_数值调参'!$S$18,0),IF('01_数值调参'!$T$7&lt;=$A18,-'01_数值调参'!$T$18,0),IF('01_数值调参'!$U$7&lt;=$A18,-'01_数值调参'!$U$18,0),IF('01_数值调参'!$V$7&lt;=$A18,-'01_数值调参'!$V$18,0),IF('01_数值调参'!$W$7&lt;=$A18,-'01_数值调参'!$W$18,0)),0),IF($A18&gt;=6,(E18+$C$3)*MAX(0,IF('01_数值调参'!$X$7&lt;=$A18,-'01_数值调参'!$X$18,0),IF('01_数值调参'!$Y$7&lt;=$A18,-'01_数值调参'!$Y$18,0),IF('01_数值调参'!$Z$7&lt;=$A18,-'01_数值调参'!$Z$18,0),IF('01_数值调参'!$AA$7&lt;=$A18,-'01_数值调参'!$AA$18,0),IF('01_数值调参'!$AB$7&lt;=$A18,-'01_数值调参'!$AB$18,0),IF('01_数值调参'!$AC$7&lt;=$A18,-'01_数值调参'!$AC$18,0)),0),IF($A18&gt;=8,(F18+$C$3)*MAX(0,IF('01_数值调参'!$AD$7&lt;=$A18,-'01_数值调参'!$AD$18,0),IF('01_数值调参'!$AE$7&lt;=$A18,-'01_数值调参'!$AE$18,0),IF('01_数值调参'!$AF$7&lt;=$A18,-'01_数值调参'!$AF$18,0),IF('01_数值调参'!$AG$7&lt;=$A18,-'01_数值调参'!$AG$18,0)),0),IF($A18&gt;=10,(G18+$C$3)*MAX(0,IF('01_数值调参'!$AH$7&lt;=$A18,-'01_数值调参'!$AH$18,0),IF('01_数值调参'!$AI$7&lt;=$A18,-'01_数值调参'!$AI$18,0),IF('01_数值调参'!$AJ$7&lt;=$A18,-'01_数值调参'!$AJ$18,0),IF('01_数值调参'!$AK$7&lt;=$A18,-'01_数值调参'!$AK$18,0),IF('01_数值调参'!$AL$7&lt;=$A18,-'01_数值调参'!$AL$18,0),IF('01_数值调参'!$AM$7&lt;=$A18,-'01_数值调参'!$AM$18,0)),0),0)),"队列待修正"))</x:f>
        <x:v>12</x:v>
      </x:c>
      <x:c r="I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F$7,"—",SUM(IF($A18&gt;=2,(C18+$C$3)*MAX(0,IF('01_数值调参'!$N$7&lt;=$A18,-'01_数值调参'!$N$19,0),IF('01_数值调参'!$O$7&lt;=$A18,-'01_数值调参'!$O$19,0),IF('01_数值调参'!$P$7&lt;=$A18,-'01_数值调参'!$P$19,0),IF('01_数值调参'!$Q$7&lt;=$A18,-'01_数值调参'!$Q$19,0),IF('01_数值调参'!$R$7&lt;=$A18,-'01_数值调参'!$R$19,0)),0),IF($A18&gt;=4,(D18+$C$3)*MAX(0,IF('01_数值调参'!$S$7&lt;=$A18,-'01_数值调参'!$S$19,0),IF('01_数值调参'!$T$7&lt;=$A18,-'01_数值调参'!$T$19,0),IF('01_数值调参'!$U$7&lt;=$A18,-'01_数值调参'!$U$19,0),IF('01_数值调参'!$V$7&lt;=$A18,-'01_数值调参'!$V$19,0),IF('01_数值调参'!$W$7&lt;=$A18,-'01_数值调参'!$W$19,0)),0),IF($A18&gt;=6,(E18+$C$3)*MAX(0,IF('01_数值调参'!$X$7&lt;=$A18,-'01_数值调参'!$X$19,0),IF('01_数值调参'!$Y$7&lt;=$A18,-'01_数值调参'!$Y$19,0),IF('01_数值调参'!$Z$7&lt;=$A18,-'01_数值调参'!$Z$19,0),IF('01_数值调参'!$AA$7&lt;=$A18,-'01_数值调参'!$AA$19,0),IF('01_数值调参'!$AB$7&lt;=$A18,-'01_数值调参'!$AB$19,0),IF('01_数值调参'!$AC$7&lt;=$A18,-'01_数值调参'!$AC$19,0)),0),IF($A18&gt;=8,(F18+$C$3)*MAX(0,IF('01_数值调参'!$AD$7&lt;=$A18,-'01_数值调参'!$AD$19,0),IF('01_数值调参'!$AE$7&lt;=$A18,-'01_数值调参'!$AE$19,0),IF('01_数值调参'!$AF$7&lt;=$A18,-'01_数值调参'!$AF$19,0),IF('01_数值调参'!$AG$7&lt;=$A18,-'01_数值调参'!$AG$19,0)),0),IF($A18&gt;=10,(G18+$C$3)*MAX(0,IF('01_数值调参'!$AH$7&lt;=$A18,-'01_数值调参'!$AH$19,0),IF('01_数值调参'!$AI$7&lt;=$A18,-'01_数值调参'!$AI$19,0),IF('01_数值调参'!$AJ$7&lt;=$A18,-'01_数值调参'!$AJ$19,0),IF('01_数值调参'!$AK$7&lt;=$A18,-'01_数值调参'!$AK$19,0),IF('01_数值调参'!$AL$7&lt;=$A18,-'01_数值调参'!$AL$19,0),IF('01_数值调参'!$AM$7&lt;=$A18,-'01_数值调参'!$AM$19,0)),0),0)),"队列待修正"))</x:f>
        <x:v>9</x:v>
      </x:c>
      <x:c r="J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G$7,"—",SUM(IF($A18&gt;=2,(C18+$C$3)*MAX(0,IF('01_数值调参'!$N$7&lt;=$A18,-'01_数值调参'!$N$20,0),IF('01_数值调参'!$O$7&lt;=$A18,-'01_数值调参'!$O$20,0),IF('01_数值调参'!$P$7&lt;=$A18,-'01_数值调参'!$P$20,0),IF('01_数值调参'!$Q$7&lt;=$A18,-'01_数值调参'!$Q$20,0),IF('01_数值调参'!$R$7&lt;=$A18,-'01_数值调参'!$R$20,0)),0),IF($A18&gt;=4,(D18+$C$3)*MAX(0,IF('01_数值调参'!$S$7&lt;=$A18,-'01_数值调参'!$S$20,0),IF('01_数值调参'!$T$7&lt;=$A18,-'01_数值调参'!$T$20,0),IF('01_数值调参'!$U$7&lt;=$A18,-'01_数值调参'!$U$20,0),IF('01_数值调参'!$V$7&lt;=$A18,-'01_数值调参'!$V$20,0),IF('01_数值调参'!$W$7&lt;=$A18,-'01_数值调参'!$W$20,0)),0),IF($A18&gt;=6,(E18+$C$3)*MAX(0,IF('01_数值调参'!$X$7&lt;=$A18,-'01_数值调参'!$X$20,0),IF('01_数值调参'!$Y$7&lt;=$A18,-'01_数值调参'!$Y$20,0),IF('01_数值调参'!$Z$7&lt;=$A18,-'01_数值调参'!$Z$20,0),IF('01_数值调参'!$AA$7&lt;=$A18,-'01_数值调参'!$AA$20,0),IF('01_数值调参'!$AB$7&lt;=$A18,-'01_数值调参'!$AB$20,0),IF('01_数值调参'!$AC$7&lt;=$A18,-'01_数值调参'!$AC$20,0)),0),IF($A18&gt;=8,(F18+$C$3)*MAX(0,IF('01_数值调参'!$AD$7&lt;=$A18,-'01_数值调参'!$AD$20,0),IF('01_数值调参'!$AE$7&lt;=$A18,-'01_数值调参'!$AE$20,0),IF('01_数值调参'!$AF$7&lt;=$A18,-'01_数值调参'!$AF$20,0),IF('01_数值调参'!$AG$7&lt;=$A18,-'01_数值调参'!$AG$20,0)),0),IF($A18&gt;=10,(G18+$C$3)*MAX(0,IF('01_数值调参'!$AH$7&lt;=$A18,-'01_数值调参'!$AH$20,0),IF('01_数值调参'!$AI$7&lt;=$A18,-'01_数值调参'!$AI$20,0),IF('01_数值调参'!$AJ$7&lt;=$A18,-'01_数值调参'!$AJ$20,0),IF('01_数值调参'!$AK$7&lt;=$A18,-'01_数值调参'!$AK$20,0),IF('01_数值调参'!$AL$7&lt;=$A18,-'01_数值调参'!$AL$20,0),IF('01_数值调参'!$AM$7&lt;=$A18,-'01_数值调参'!$AM$20,0)),0),0)),"队列待修正"))</x:f>
        <x:v>12</x:v>
      </x:c>
      <x:c r="K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H$7,"—",SUM(IF($A18&gt;=2,(C18+$C$3)*MAX(0,IF('01_数值调参'!$N$7&lt;=$A18,-'01_数值调参'!$N$21,0),IF('01_数值调参'!$O$7&lt;=$A18,-'01_数值调参'!$O$21,0),IF('01_数值调参'!$P$7&lt;=$A18,-'01_数值调参'!$P$21,0),IF('01_数值调参'!$Q$7&lt;=$A18,-'01_数值调参'!$Q$21,0),IF('01_数值调参'!$R$7&lt;=$A18,-'01_数值调参'!$R$21,0)),0),IF($A18&gt;=4,(D18+$C$3)*MAX(0,IF('01_数值调参'!$S$7&lt;=$A18,-'01_数值调参'!$S$21,0),IF('01_数值调参'!$T$7&lt;=$A18,-'01_数值调参'!$T$21,0),IF('01_数值调参'!$U$7&lt;=$A18,-'01_数值调参'!$U$21,0),IF('01_数值调参'!$V$7&lt;=$A18,-'01_数值调参'!$V$21,0),IF('01_数值调参'!$W$7&lt;=$A18,-'01_数值调参'!$W$21,0)),0),IF($A18&gt;=6,(E18+$C$3)*MAX(0,IF('01_数值调参'!$X$7&lt;=$A18,-'01_数值调参'!$X$21,0),IF('01_数值调参'!$Y$7&lt;=$A18,-'01_数值调参'!$Y$21,0),IF('01_数值调参'!$Z$7&lt;=$A18,-'01_数值调参'!$Z$21,0),IF('01_数值调参'!$AA$7&lt;=$A18,-'01_数值调参'!$AA$21,0),IF('01_数值调参'!$AB$7&lt;=$A18,-'01_数值调参'!$AB$21,0),IF('01_数值调参'!$AC$7&lt;=$A18,-'01_数值调参'!$AC$21,0)),0),IF($A18&gt;=8,(F18+$C$3)*MAX(0,IF('01_数值调参'!$AD$7&lt;=$A18,-'01_数值调参'!$AD$21,0),IF('01_数值调参'!$AE$7&lt;=$A18,-'01_数值调参'!$AE$21,0),IF('01_数值调参'!$AF$7&lt;=$A18,-'01_数值调参'!$AF$21,0),IF('01_数值调参'!$AG$7&lt;=$A18,-'01_数值调参'!$AG$21,0)),0),IF($A18&gt;=10,(G18+$C$3)*MAX(0,IF('01_数值调参'!$AH$7&lt;=$A18,-'01_数值调参'!$AH$21,0),IF('01_数值调参'!$AI$7&lt;=$A18,-'01_数值调参'!$AI$21,0),IF('01_数值调参'!$AJ$7&lt;=$A18,-'01_数值调参'!$AJ$21,0),IF('01_数值调参'!$AK$7&lt;=$A18,-'01_数值调参'!$AK$21,0),IF('01_数值调参'!$AL$7&lt;=$A18,-'01_数值调参'!$AL$21,0),IF('01_数值调参'!$AM$7&lt;=$A18,-'01_数值调参'!$AM$21,0)),0),0)),"队列待修正"))</x:f>
        <x:v>6</x:v>
      </x:c>
      <x:c r="L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I$7,"—",SUM(IF($A18&gt;=2,(C18+$C$3)*MAX(0,IF('01_数值调参'!$N$7&lt;=$A18,-'01_数值调参'!$N$22,0),IF('01_数值调参'!$O$7&lt;=$A18,-'01_数值调参'!$O$22,0),IF('01_数值调参'!$P$7&lt;=$A18,-'01_数值调参'!$P$22,0),IF('01_数值调参'!$Q$7&lt;=$A18,-'01_数值调参'!$Q$22,0),IF('01_数值调参'!$R$7&lt;=$A18,-'01_数值调参'!$R$22,0)),0),IF($A18&gt;=4,(D18+$C$3)*MAX(0,IF('01_数值调参'!$S$7&lt;=$A18,-'01_数值调参'!$S$22,0),IF('01_数值调参'!$T$7&lt;=$A18,-'01_数值调参'!$T$22,0),IF('01_数值调参'!$U$7&lt;=$A18,-'01_数值调参'!$U$22,0),IF('01_数值调参'!$V$7&lt;=$A18,-'01_数值调参'!$V$22,0),IF('01_数值调参'!$W$7&lt;=$A18,-'01_数值调参'!$W$22,0)),0),IF($A18&gt;=6,(E18+$C$3)*MAX(0,IF('01_数值调参'!$X$7&lt;=$A18,-'01_数值调参'!$X$22,0),IF('01_数值调参'!$Y$7&lt;=$A18,-'01_数值调参'!$Y$22,0),IF('01_数值调参'!$Z$7&lt;=$A18,-'01_数值调参'!$Z$22,0),IF('01_数值调参'!$AA$7&lt;=$A18,-'01_数值调参'!$AA$22,0),IF('01_数值调参'!$AB$7&lt;=$A18,-'01_数值调参'!$AB$22,0),IF('01_数值调参'!$AC$7&lt;=$A18,-'01_数值调参'!$AC$22,0)),0),IF($A18&gt;=8,(F18+$C$3)*MAX(0,IF('01_数值调参'!$AD$7&lt;=$A18,-'01_数值调参'!$AD$22,0),IF('01_数值调参'!$AE$7&lt;=$A18,-'01_数值调参'!$AE$22,0),IF('01_数值调参'!$AF$7&lt;=$A18,-'01_数值调参'!$AF$22,0),IF('01_数值调参'!$AG$7&lt;=$A18,-'01_数值调参'!$AG$22,0)),0),IF($A18&gt;=10,(G18+$C$3)*MAX(0,IF('01_数值调参'!$AH$7&lt;=$A18,-'01_数值调参'!$AH$22,0),IF('01_数值调参'!$AI$7&lt;=$A18,-'01_数值调参'!$AI$22,0),IF('01_数值调参'!$AJ$7&lt;=$A18,-'01_数值调参'!$AJ$22,0),IF('01_数值调参'!$AK$7&lt;=$A18,-'01_数值调参'!$AK$22,0),IF('01_数值调参'!$AL$7&lt;=$A18,-'01_数值调参'!$AL$22,0),IF('01_数值调参'!$AM$7&lt;=$A18,-'01_数值调参'!$AM$22,0)),0),0)),"队列待修正"))</x:f>
        <x:v>6</x:v>
      </x:c>
      <x:c r="M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J$7,"—",SUM(IF($A18&gt;=2,(C18+$C$3)*MAX(0,IF('01_数值调参'!$N$7&lt;=$A18,-'01_数值调参'!$N$23,0),IF('01_数值调参'!$O$7&lt;=$A18,-'01_数值调参'!$O$23,0),IF('01_数值调参'!$P$7&lt;=$A18,-'01_数值调参'!$P$23,0),IF('01_数值调参'!$Q$7&lt;=$A18,-'01_数值调参'!$Q$23,0),IF('01_数值调参'!$R$7&lt;=$A18,-'01_数值调参'!$R$23,0)),0),IF($A18&gt;=4,(D18+$C$3)*MAX(0,IF('01_数值调参'!$S$7&lt;=$A18,-'01_数值调参'!$S$23,0),IF('01_数值调参'!$T$7&lt;=$A18,-'01_数值调参'!$T$23,0),IF('01_数值调参'!$U$7&lt;=$A18,-'01_数值调参'!$U$23,0),IF('01_数值调参'!$V$7&lt;=$A18,-'01_数值调参'!$V$23,0),IF('01_数值调参'!$W$7&lt;=$A18,-'01_数值调参'!$W$23,0)),0),IF($A18&gt;=6,(E18+$C$3)*MAX(0,IF('01_数值调参'!$X$7&lt;=$A18,-'01_数值调参'!$X$23,0),IF('01_数值调参'!$Y$7&lt;=$A18,-'01_数值调参'!$Y$23,0),IF('01_数值调参'!$Z$7&lt;=$A18,-'01_数值调参'!$Z$23,0),IF('01_数值调参'!$AA$7&lt;=$A18,-'01_数值调参'!$AA$23,0),IF('01_数值调参'!$AB$7&lt;=$A18,-'01_数值调参'!$AB$23,0),IF('01_数值调参'!$AC$7&lt;=$A18,-'01_数值调参'!$AC$23,0)),0),IF($A18&gt;=8,(F18+$C$3)*MAX(0,IF('01_数值调参'!$AD$7&lt;=$A18,-'01_数值调参'!$AD$23,0),IF('01_数值调参'!$AE$7&lt;=$A18,-'01_数值调参'!$AE$23,0),IF('01_数值调参'!$AF$7&lt;=$A18,-'01_数值调参'!$AF$23,0),IF('01_数值调参'!$AG$7&lt;=$A18,-'01_数值调参'!$AG$23,0)),0),IF($A18&gt;=10,(G18+$C$3)*MAX(0,IF('01_数值调参'!$AH$7&lt;=$A18,-'01_数值调参'!$AH$23,0),IF('01_数值调参'!$AI$7&lt;=$A18,-'01_数值调参'!$AI$23,0),IF('01_数值调参'!$AJ$7&lt;=$A18,-'01_数值调参'!$AJ$23,0),IF('01_数值调参'!$AK$7&lt;=$A18,-'01_数值调参'!$AK$23,0),IF('01_数值调参'!$AL$7&lt;=$A18,-'01_数值调参'!$AL$23,0),IF('01_数值调参'!$AM$7&lt;=$A18,-'01_数值调参'!$AM$23,0)),0),0)),"队列待修正"))</x:f>
        <x:v>9</x:v>
      </x:c>
      <x:c r="N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K$7,"—",SUM(IF($A18&gt;=2,(C18+$C$3)*MAX(0,IF('01_数值调参'!$N$7&lt;=$A18,-'01_数值调参'!$N$24,0),IF('01_数值调参'!$O$7&lt;=$A18,-'01_数值调参'!$O$24,0),IF('01_数值调参'!$P$7&lt;=$A18,-'01_数值调参'!$P$24,0),IF('01_数值调参'!$Q$7&lt;=$A18,-'01_数值调参'!$Q$24,0),IF('01_数值调参'!$R$7&lt;=$A18,-'01_数值调参'!$R$24,0)),0),IF($A18&gt;=4,(D18+$C$3)*MAX(0,IF('01_数值调参'!$S$7&lt;=$A18,-'01_数值调参'!$S$24,0),IF('01_数值调参'!$T$7&lt;=$A18,-'01_数值调参'!$T$24,0),IF('01_数值调参'!$U$7&lt;=$A18,-'01_数值调参'!$U$24,0),IF('01_数值调参'!$V$7&lt;=$A18,-'01_数值调参'!$V$24,0),IF('01_数值调参'!$W$7&lt;=$A18,-'01_数值调参'!$W$24,0)),0),IF($A18&gt;=6,(E18+$C$3)*MAX(0,IF('01_数值调参'!$X$7&lt;=$A18,-'01_数值调参'!$X$24,0),IF('01_数值调参'!$Y$7&lt;=$A18,-'01_数值调参'!$Y$24,0),IF('01_数值调参'!$Z$7&lt;=$A18,-'01_数值调参'!$Z$24,0),IF('01_数值调参'!$AA$7&lt;=$A18,-'01_数值调参'!$AA$24,0),IF('01_数值调参'!$AB$7&lt;=$A18,-'01_数值调参'!$AB$24,0),IF('01_数值调参'!$AC$7&lt;=$A18,-'01_数值调参'!$AC$24,0)),0),IF($A18&gt;=8,(F18+$C$3)*MAX(0,IF('01_数值调参'!$AD$7&lt;=$A18,-'01_数值调参'!$AD$24,0),IF('01_数值调参'!$AE$7&lt;=$A18,-'01_数值调参'!$AE$24,0),IF('01_数值调参'!$AF$7&lt;=$A18,-'01_数值调参'!$AF$24,0),IF('01_数值调参'!$AG$7&lt;=$A18,-'01_数值调参'!$AG$24,0)),0),IF($A18&gt;=10,(G18+$C$3)*MAX(0,IF('01_数值调参'!$AH$7&lt;=$A18,-'01_数值调参'!$AH$24,0),IF('01_数值调参'!$AI$7&lt;=$A18,-'01_数值调参'!$AI$24,0),IF('01_数值调参'!$AJ$7&lt;=$A18,-'01_数值调参'!$AJ$24,0),IF('01_数值调参'!$AK$7&lt;=$A18,-'01_数值调参'!$AK$24,0),IF('01_数值调参'!$AL$7&lt;=$A18,-'01_数值调参'!$AL$24,0),IF('01_数值调参'!$AM$7&lt;=$A18,-'01_数值调参'!$AM$24,0)),0),0)),"队列待修正"))</x:f>
        <x:v>—</x:v>
      </x:c>
      <x:c r="O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L$7,"—",SUM(IF($A18&gt;=2,(C18+$C$3)*MAX(0,IF('01_数值调参'!$N$7&lt;=$A18,-'01_数值调参'!$N$25,0),IF('01_数值调参'!$O$7&lt;=$A18,-'01_数值调参'!$O$25,0),IF('01_数值调参'!$P$7&lt;=$A18,-'01_数值调参'!$P$25,0),IF('01_数值调参'!$Q$7&lt;=$A18,-'01_数值调参'!$Q$25,0),IF('01_数值调参'!$R$7&lt;=$A18,-'01_数值调参'!$R$25,0)),0),IF($A18&gt;=4,(D18+$C$3)*MAX(0,IF('01_数值调参'!$S$7&lt;=$A18,-'01_数值调参'!$S$25,0),IF('01_数值调参'!$T$7&lt;=$A18,-'01_数值调参'!$T$25,0),IF('01_数值调参'!$U$7&lt;=$A18,-'01_数值调参'!$U$25,0),IF('01_数值调参'!$V$7&lt;=$A18,-'01_数值调参'!$V$25,0),IF('01_数值调参'!$W$7&lt;=$A18,-'01_数值调参'!$W$25,0)),0),IF($A18&gt;=6,(E18+$C$3)*MAX(0,IF('01_数值调参'!$X$7&lt;=$A18,-'01_数值调参'!$X$25,0),IF('01_数值调参'!$Y$7&lt;=$A18,-'01_数值调参'!$Y$25,0),IF('01_数值调参'!$Z$7&lt;=$A18,-'01_数值调参'!$Z$25,0),IF('01_数值调参'!$AA$7&lt;=$A18,-'01_数值调参'!$AA$25,0),IF('01_数值调参'!$AB$7&lt;=$A18,-'01_数值调参'!$AB$25,0),IF('01_数值调参'!$AC$7&lt;=$A18,-'01_数值调参'!$AC$25,0)),0),IF($A18&gt;=8,(F18+$C$3)*MAX(0,IF('01_数值调参'!$AD$7&lt;=$A18,-'01_数值调参'!$AD$25,0),IF('01_数值调参'!$AE$7&lt;=$A18,-'01_数值调参'!$AE$25,0),IF('01_数值调参'!$AF$7&lt;=$A18,-'01_数值调参'!$AF$25,0),IF('01_数值调参'!$AG$7&lt;=$A18,-'01_数值调参'!$AG$25,0)),0),IF($A18&gt;=10,(G18+$C$3)*MAX(0,IF('01_数值调参'!$AH$7&lt;=$A18,-'01_数值调参'!$AH$25,0),IF('01_数值调参'!$AI$7&lt;=$A18,-'01_数值调参'!$AI$25,0),IF('01_数值调参'!$AJ$7&lt;=$A18,-'01_数值调参'!$AJ$25,0),IF('01_数值调参'!$AK$7&lt;=$A18,-'01_数值调参'!$AK$25,0),IF('01_数值调参'!$AL$7&lt;=$A18,-'01_数值调参'!$AL$25,0),IF('01_数值调参'!$AM$7&lt;=$A18,-'01_数值调参'!$AM$25,0)),0),0)),"队列待修正"))</x:f>
        <x:v>—</x:v>
      </x:c>
      <x:c r="P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M$7,"—",SUM(IF($A18&gt;=2,(C18+$C$3)*MAX(0,IF('01_数值调参'!$N$7&lt;=$A18,-'01_数值调参'!$N$26,0),IF('01_数值调参'!$O$7&lt;=$A18,-'01_数值调参'!$O$26,0),IF('01_数值调参'!$P$7&lt;=$A18,-'01_数值调参'!$P$26,0),IF('01_数值调参'!$Q$7&lt;=$A18,-'01_数值调参'!$Q$26,0),IF('01_数值调参'!$R$7&lt;=$A18,-'01_数值调参'!$R$26,0)),0),IF($A18&gt;=4,(D18+$C$3)*MAX(0,IF('01_数值调参'!$S$7&lt;=$A18,-'01_数值调参'!$S$26,0),IF('01_数值调参'!$T$7&lt;=$A18,-'01_数值调参'!$T$26,0),IF('01_数值调参'!$U$7&lt;=$A18,-'01_数值调参'!$U$26,0),IF('01_数值调参'!$V$7&lt;=$A18,-'01_数值调参'!$V$26,0),IF('01_数值调参'!$W$7&lt;=$A18,-'01_数值调参'!$W$26,0)),0),IF($A18&gt;=6,(E18+$C$3)*MAX(0,IF('01_数值调参'!$X$7&lt;=$A18,-'01_数值调参'!$X$26,0),IF('01_数值调参'!$Y$7&lt;=$A18,-'01_数值调参'!$Y$26,0),IF('01_数值调参'!$Z$7&lt;=$A18,-'01_数值调参'!$Z$26,0),IF('01_数值调参'!$AA$7&lt;=$A18,-'01_数值调参'!$AA$26,0),IF('01_数值调参'!$AB$7&lt;=$A18,-'01_数值调参'!$AB$26,0),IF('01_数值调参'!$AC$7&lt;=$A18,-'01_数值调参'!$AC$26,0)),0),IF($A18&gt;=8,(F18+$C$3)*MAX(0,IF('01_数值调参'!$AD$7&lt;=$A18,-'01_数值调参'!$AD$26,0),IF('01_数值调参'!$AE$7&lt;=$A18,-'01_数值调参'!$AE$26,0),IF('01_数值调参'!$AF$7&lt;=$A18,-'01_数值调参'!$AF$26,0),IF('01_数值调参'!$AG$7&lt;=$A18,-'01_数值调参'!$AG$26,0)),0),IF($A18&gt;=10,(G18+$C$3)*MAX(0,IF('01_数值调参'!$AH$7&lt;=$A18,-'01_数值调参'!$AH$26,0),IF('01_数值调参'!$AI$7&lt;=$A18,-'01_数值调参'!$AI$26,0),IF('01_数值调参'!$AJ$7&lt;=$A18,-'01_数值调参'!$AJ$26,0),IF('01_数值调参'!$AK$7&lt;=$A18,-'01_数值调参'!$AK$26,0),IF('01_数值调参'!$AL$7&lt;=$A18,-'01_数值调参'!$AL$26,0),IF('01_数值调参'!$AM$7&lt;=$A18,-'01_数值调参'!$AM$26,0)),0),0)),"队列待修正"))</x:f>
        <x:v>—</x:v>
      </x:c>
      <x:c r="Q18" s="191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N$7,"—",SUM(IF($A18&gt;=2,(C18+$C$3)*MAX(0,IF('01_数值调参'!$N$7&lt;=$A18,0,0),IF('01_数值调参'!$O$7&lt;=$A18,-'01_数值调参'!$O$27,0),IF('01_数值调参'!$P$7&lt;=$A18,-'01_数值调参'!$P$27,0),IF('01_数值调参'!$Q$7&lt;=$A18,-'01_数值调参'!$Q$27,0),IF('01_数值调参'!$R$7&lt;=$A18,-'01_数值调参'!$R$27,0)),0),IF($A18&gt;=4,(D18+$C$3)*MAX(0,IF('01_数值调参'!$S$7&lt;=$A18,-'01_数值调参'!$S$27,0),IF('01_数值调参'!$T$7&lt;=$A18,-'01_数值调参'!$T$27,0),IF('01_数值调参'!$U$7&lt;=$A18,-'01_数值调参'!$U$27,0),IF('01_数值调参'!$V$7&lt;=$A18,-'01_数值调参'!$V$27,0),IF('01_数值调参'!$W$7&lt;=$A18,-'01_数值调参'!$W$27,0)),0),IF($A18&gt;=6,(E18+$C$3)*MAX(0,IF('01_数值调参'!$X$7&lt;=$A18,-'01_数值调参'!$X$27,0),IF('01_数值调参'!$Y$7&lt;=$A18,-'01_数值调参'!$Y$27,0),IF('01_数值调参'!$Z$7&lt;=$A18,-'01_数值调参'!$Z$27,0),IF('01_数值调参'!$AA$7&lt;=$A18,-'01_数值调参'!$AA$27,0),IF('01_数值调参'!$AB$7&lt;=$A18,-'01_数值调参'!$AB$27,0),IF('01_数值调参'!$AC$7&lt;=$A18,-'01_数值调参'!$AC$27,0)),0),IF($A18&gt;=8,(F18+$C$3)*MAX(0,IF('01_数值调参'!$AD$7&lt;=$A18,-'01_数值调参'!$AD$27,0),IF('01_数值调参'!$AE$7&lt;=$A18,-'01_数值调参'!$AE$27,0),IF('01_数值调参'!$AF$7&lt;=$A18,-'01_数值调参'!$AF$27,0),IF('01_数值调参'!$AG$7&lt;=$A18,-'01_数值调参'!$AG$27,0)),0),IF($A18&gt;=10,(G18+$C$3)*MAX(0,IF('01_数值调参'!$AH$7&lt;=$A18,-'01_数值调参'!$AH$27,0),IF('01_数值调参'!$AI$7&lt;=$A18,-'01_数值调参'!$AI$27,0),IF('01_数值调参'!$AJ$7&lt;=$A18,-'01_数值调参'!$AJ$27,0),IF('01_数值调参'!$AK$7&lt;=$A18,-'01_数值调参'!$AK$27,0),IF('01_数值调参'!$AL$7&lt;=$A18,-'01_数值调参'!$AL$27,0),IF('01_数值调参'!$AM$7&lt;=$A18,-'01_数值调参'!$AM$27,0)),0),0)),"队列待修正"))</x:f>
        <x:v>3</x:v>
      </x:c>
      <x:c r="R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O$7,"—",SUM(IF($A18&gt;=2,(C18+$C$3)*MAX(0,IF('01_数值调参'!$N$7&lt;=$A18,-'01_数值调参'!$N$28,0),IF('01_数值调参'!$O$7&lt;=$A18,0,0),IF('01_数值调参'!$P$7&lt;=$A18,-'01_数值调参'!$P$28,0),IF('01_数值调参'!$Q$7&lt;=$A18,-'01_数值调参'!$Q$28,0),IF('01_数值调参'!$R$7&lt;=$A18,-'01_数值调参'!$R$28,0)),0),IF($A18&gt;=4,(D18+$C$3)*MAX(0,IF('01_数值调参'!$S$7&lt;=$A18,-'01_数值调参'!$S$28,0),IF('01_数值调参'!$T$7&lt;=$A18,-'01_数值调参'!$T$28,0),IF('01_数值调参'!$U$7&lt;=$A18,-'01_数值调参'!$U$28,0),IF('01_数值调参'!$V$7&lt;=$A18,-'01_数值调参'!$V$28,0),IF('01_数值调参'!$W$7&lt;=$A18,-'01_数值调参'!$W$28,0)),0),IF($A18&gt;=6,(E18+$C$3)*MAX(0,IF('01_数值调参'!$X$7&lt;=$A18,-'01_数值调参'!$X$28,0),IF('01_数值调参'!$Y$7&lt;=$A18,-'01_数值调参'!$Y$28,0),IF('01_数值调参'!$Z$7&lt;=$A18,-'01_数值调参'!$Z$28,0),IF('01_数值调参'!$AA$7&lt;=$A18,-'01_数值调参'!$AA$28,0),IF('01_数值调参'!$AB$7&lt;=$A18,-'01_数值调参'!$AB$28,0),IF('01_数值调参'!$AC$7&lt;=$A18,-'01_数值调参'!$AC$28,0)),0),IF($A18&gt;=8,(F18+$C$3)*MAX(0,IF('01_数值调参'!$AD$7&lt;=$A18,-'01_数值调参'!$AD$28,0),IF('01_数值调参'!$AE$7&lt;=$A18,-'01_数值调参'!$AE$28,0),IF('01_数值调参'!$AF$7&lt;=$A18,-'01_数值调参'!$AF$28,0),IF('01_数值调参'!$AG$7&lt;=$A18,-'01_数值调参'!$AG$28,0)),0),IF($A18&gt;=10,(G18+$C$3)*MAX(0,IF('01_数值调参'!$AH$7&lt;=$A18,-'01_数值调参'!$AH$28,0),IF('01_数值调参'!$AI$7&lt;=$A18,-'01_数值调参'!$AI$28,0),IF('01_数值调参'!$AJ$7&lt;=$A18,-'01_数值调参'!$AJ$28,0),IF('01_数值调参'!$AK$7&lt;=$A18,-'01_数值调参'!$AK$28,0),IF('01_数值调参'!$AL$7&lt;=$A18,-'01_数值调参'!$AL$28,0),IF('01_数值调参'!$AM$7&lt;=$A18,-'01_数值调参'!$AM$28,0)),0),0)),"队列待修正"))</x:f>
        <x:v>3</x:v>
      </x:c>
      <x:c r="S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P$7,"—",SUM(IF($A18&gt;=2,(C18+$C$3)*MAX(0,IF('01_数值调参'!$N$7&lt;=$A18,-'01_数值调参'!$N$29,0),IF('01_数值调参'!$O$7&lt;=$A18,-'01_数值调参'!$O$29,0),IF('01_数值调参'!$P$7&lt;=$A18,0,0),IF('01_数值调参'!$Q$7&lt;=$A18,-'01_数值调参'!$Q$29,0),IF('01_数值调参'!$R$7&lt;=$A18,-'01_数值调参'!$R$29,0)),0),IF($A18&gt;=4,(D18+$C$3)*MAX(0,IF('01_数值调参'!$S$7&lt;=$A18,-'01_数值调参'!$S$29,0),IF('01_数值调参'!$T$7&lt;=$A18,-'01_数值调参'!$T$29,0),IF('01_数值调参'!$U$7&lt;=$A18,-'01_数值调参'!$U$29,0),IF('01_数值调参'!$V$7&lt;=$A18,-'01_数值调参'!$V$29,0),IF('01_数值调参'!$W$7&lt;=$A18,-'01_数值调参'!$W$29,0)),0),IF($A18&gt;=6,(E18+$C$3)*MAX(0,IF('01_数值调参'!$X$7&lt;=$A18,-'01_数值调参'!$X$29,0),IF('01_数值调参'!$Y$7&lt;=$A18,-'01_数值调参'!$Y$29,0),IF('01_数值调参'!$Z$7&lt;=$A18,-'01_数值调参'!$Z$29,0),IF('01_数值调参'!$AA$7&lt;=$A18,-'01_数值调参'!$AA$29,0),IF('01_数值调参'!$AB$7&lt;=$A18,-'01_数值调参'!$AB$29,0),IF('01_数值调参'!$AC$7&lt;=$A18,-'01_数值调参'!$AC$29,0)),0),IF($A18&gt;=8,(F18+$C$3)*MAX(0,IF('01_数值调参'!$AD$7&lt;=$A18,-'01_数值调参'!$AD$29,0),IF('01_数值调参'!$AE$7&lt;=$A18,-'01_数值调参'!$AE$29,0),IF('01_数值调参'!$AF$7&lt;=$A18,-'01_数值调参'!$AF$29,0),IF('01_数值调参'!$AG$7&lt;=$A18,-'01_数值调参'!$AG$29,0)),0),IF($A18&gt;=10,(G18+$C$3)*MAX(0,IF('01_数值调参'!$AH$7&lt;=$A18,-'01_数值调参'!$AH$29,0),IF('01_数值调参'!$AI$7&lt;=$A18,-'01_数值调参'!$AI$29,0),IF('01_数值调参'!$AJ$7&lt;=$A18,-'01_数值调参'!$AJ$29,0),IF('01_数值调参'!$AK$7&lt;=$A18,-'01_数值调参'!$AK$29,0),IF('01_数值调参'!$AL$7&lt;=$A18,-'01_数值调参'!$AL$29,0),IF('01_数值调参'!$AM$7&lt;=$A18,-'01_数值调参'!$AM$29,0)),0),0)),"队列待修正"))</x:f>
        <x:v>3</x:v>
      </x:c>
      <x:c r="T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Q$7,"—",SUM(IF($A18&gt;=2,(C18+$C$3)*MAX(0,IF('01_数值调参'!$N$7&lt;=$A18,-'01_数值调参'!$N$30,0),IF('01_数值调参'!$O$7&lt;=$A18,-'01_数值调参'!$O$30,0),IF('01_数值调参'!$P$7&lt;=$A18,-'01_数值调参'!$P$30,0),IF('01_数值调参'!$Q$7&lt;=$A18,0,0),IF('01_数值调参'!$R$7&lt;=$A18,-'01_数值调参'!$R$30,0)),0),IF($A18&gt;=4,(D18+$C$3)*MAX(0,IF('01_数值调参'!$S$7&lt;=$A18,-'01_数值调参'!$S$30,0),IF('01_数值调参'!$T$7&lt;=$A18,-'01_数值调参'!$T$30,0),IF('01_数值调参'!$U$7&lt;=$A18,-'01_数值调参'!$U$30,0),IF('01_数值调参'!$V$7&lt;=$A18,-'01_数值调参'!$V$30,0),IF('01_数值调参'!$W$7&lt;=$A18,-'01_数值调参'!$W$30,0)),0),IF($A18&gt;=6,(E18+$C$3)*MAX(0,IF('01_数值调参'!$X$7&lt;=$A18,-'01_数值调参'!$X$30,0),IF('01_数值调参'!$Y$7&lt;=$A18,-'01_数值调参'!$Y$30,0),IF('01_数值调参'!$Z$7&lt;=$A18,-'01_数值调参'!$Z$30,0),IF('01_数值调参'!$AA$7&lt;=$A18,-'01_数值调参'!$AA$30,0),IF('01_数值调参'!$AB$7&lt;=$A18,-'01_数值调参'!$AB$30,0),IF('01_数值调参'!$AC$7&lt;=$A18,-'01_数值调参'!$AC$30,0)),0),IF($A18&gt;=8,(F18+$C$3)*MAX(0,IF('01_数值调参'!$AD$7&lt;=$A18,-'01_数值调参'!$AD$30,0),IF('01_数值调参'!$AE$7&lt;=$A18,-'01_数值调参'!$AE$30,0),IF('01_数值调参'!$AF$7&lt;=$A18,-'01_数值调参'!$AF$30,0),IF('01_数值调参'!$AG$7&lt;=$A18,-'01_数值调参'!$AG$30,0)),0),IF($A18&gt;=10,(G18+$C$3)*MAX(0,IF('01_数值调参'!$AH$7&lt;=$A18,-'01_数值调参'!$AH$30,0),IF('01_数值调参'!$AI$7&lt;=$A18,-'01_数值调参'!$AI$30,0),IF('01_数值调参'!$AJ$7&lt;=$A18,-'01_数值调参'!$AJ$30,0),IF('01_数值调参'!$AK$7&lt;=$A18,-'01_数值调参'!$AK$30,0),IF('01_数值调参'!$AL$7&lt;=$A18,-'01_数值调参'!$AL$30,0),IF('01_数值调参'!$AM$7&lt;=$A18,-'01_数值调参'!$AM$30,0)),0),0)),"队列待修正"))</x:f>
        <x:v>—</x:v>
      </x:c>
      <x:c r="U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R$7,"—",SUM(IF($A18&gt;=2,(C18+$C$3)*MAX(0,IF('01_数值调参'!$N$7&lt;=$A18,-'01_数值调参'!$N$31,0),IF('01_数值调参'!$O$7&lt;=$A18,-'01_数值调参'!$O$31,0),IF('01_数值调参'!$P$7&lt;=$A18,-'01_数值调参'!$P$31,0),IF('01_数值调参'!$Q$7&lt;=$A18,-'01_数值调参'!$Q$31,0),IF('01_数值调参'!$R$7&lt;=$A18,0,0)),0),IF($A18&gt;=4,(D18+$C$3)*MAX(0,IF('01_数值调参'!$S$7&lt;=$A18,-'01_数值调参'!$S$31,0),IF('01_数值调参'!$T$7&lt;=$A18,-'01_数值调参'!$T$31,0),IF('01_数值调参'!$U$7&lt;=$A18,-'01_数值调参'!$U$31,0),IF('01_数值调参'!$V$7&lt;=$A18,-'01_数值调参'!$V$31,0),IF('01_数值调参'!$W$7&lt;=$A18,-'01_数值调参'!$W$31,0)),0),IF($A18&gt;=6,(E18+$C$3)*MAX(0,IF('01_数值调参'!$X$7&lt;=$A18,-'01_数值调参'!$X$31,0),IF('01_数值调参'!$Y$7&lt;=$A18,-'01_数值调参'!$Y$31,0),IF('01_数值调参'!$Z$7&lt;=$A18,-'01_数值调参'!$Z$31,0),IF('01_数值调参'!$AA$7&lt;=$A18,-'01_数值调参'!$AA$31,0),IF('01_数值调参'!$AB$7&lt;=$A18,-'01_数值调参'!$AB$31,0),IF('01_数值调参'!$AC$7&lt;=$A18,-'01_数值调参'!$AC$31,0)),0),IF($A18&gt;=8,(F18+$C$3)*MAX(0,IF('01_数值调参'!$AD$7&lt;=$A18,-'01_数值调参'!$AD$31,0),IF('01_数值调参'!$AE$7&lt;=$A18,-'01_数值调参'!$AE$31,0),IF('01_数值调参'!$AF$7&lt;=$A18,-'01_数值调参'!$AF$31,0),IF('01_数值调参'!$AG$7&lt;=$A18,-'01_数值调参'!$AG$31,0)),0),IF($A18&gt;=10,(G18+$C$3)*MAX(0,IF('01_数值调参'!$AH$7&lt;=$A18,-'01_数值调参'!$AH$31,0),IF('01_数值调参'!$AI$7&lt;=$A18,-'01_数值调参'!$AI$31,0),IF('01_数值调参'!$AJ$7&lt;=$A18,-'01_数值调参'!$AJ$31,0),IF('01_数值调参'!$AK$7&lt;=$A18,-'01_数值调参'!$AK$31,0),IF('01_数值调参'!$AL$7&lt;=$A18,-'01_数值调参'!$AL$31,0),IF('01_数值调参'!$AM$7&lt;=$A18,-'01_数值调参'!$AM$31,0)),0),0)),"队列待修正"))</x:f>
        <x:v>—</x:v>
      </x:c>
      <x:c r="V18" s="191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S$7,"—",SUM(IF($A18&gt;=2,(C18+$C$3)*MAX(0,IF('01_数值调参'!$N$7&lt;=$A18,-'01_数值调参'!$N$32,0),IF('01_数值调参'!$O$7&lt;=$A18,-'01_数值调参'!$O$32,0),IF('01_数值调参'!$P$7&lt;=$A18,-'01_数值调参'!$P$32,0),IF('01_数值调参'!$Q$7&lt;=$A18,-'01_数值调参'!$Q$32,0),IF('01_数值调参'!$R$7&lt;=$A18,-'01_数值调参'!$R$32,0)),0),IF($A18&gt;=4,(D18+$C$3)*MAX(0,IF('01_数值调参'!$S$7&lt;=$A18,0,0),IF('01_数值调参'!$T$7&lt;=$A18,-'01_数值调参'!$T$32,0),IF('01_数值调参'!$U$7&lt;=$A18,-'01_数值调参'!$U$32,0),IF('01_数值调参'!$V$7&lt;=$A18,-'01_数值调参'!$V$32,0),IF('01_数值调参'!$W$7&lt;=$A18,-'01_数值调参'!$W$32,0)),0),IF($A18&gt;=6,(E18+$C$3)*MAX(0,IF('01_数值调参'!$X$7&lt;=$A18,-'01_数值调参'!$X$32,0),IF('01_数值调参'!$Y$7&lt;=$A18,-'01_数值调参'!$Y$32,0),IF('01_数值调参'!$Z$7&lt;=$A18,-'01_数值调参'!$Z$32,0),IF('01_数值调参'!$AA$7&lt;=$A18,-'01_数值调参'!$AA$32,0),IF('01_数值调参'!$AB$7&lt;=$A18,-'01_数值调参'!$AB$32,0),IF('01_数值调参'!$AC$7&lt;=$A18,-'01_数值调参'!$AC$32,0)),0),IF($A18&gt;=8,(F18+$C$3)*MAX(0,IF('01_数值调参'!$AD$7&lt;=$A18,-'01_数值调参'!$AD$32,0),IF('01_数值调参'!$AE$7&lt;=$A18,-'01_数值调参'!$AE$32,0),IF('01_数值调参'!$AF$7&lt;=$A18,-'01_数值调参'!$AF$32,0),IF('01_数值调参'!$AG$7&lt;=$A18,-'01_数值调参'!$AG$32,0)),0),IF($A18&gt;=10,(G18+$C$3)*MAX(0,IF('01_数值调参'!$AH$7&lt;=$A18,-'01_数值调参'!$AH$32,0),IF('01_数值调参'!$AI$7&lt;=$A18,-'01_数值调参'!$AI$32,0),IF('01_数值调参'!$AJ$7&lt;=$A18,-'01_数值调参'!$AJ$32,0),IF('01_数值调参'!$AK$7&lt;=$A18,-'01_数值调参'!$AK$32,0),IF('01_数值调参'!$AL$7&lt;=$A18,-'01_数值调参'!$AL$32,0),IF('01_数值调参'!$AM$7&lt;=$A18,-'01_数值调参'!$AM$32,0)),0),0)),"队列待修正"))</x:f>
        <x:v>6</x:v>
      </x:c>
      <x:c r="W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T$7,"—",SUM(IF($A18&gt;=2,(C18+$C$3)*MAX(0,IF('01_数值调参'!$N$7&lt;=$A18,-'01_数值调参'!$N$33,0),IF('01_数值调参'!$O$7&lt;=$A18,-'01_数值调参'!$O$33,0),IF('01_数值调参'!$P$7&lt;=$A18,-'01_数值调参'!$P$33,0),IF('01_数值调参'!$Q$7&lt;=$A18,-'01_数值调参'!$Q$33,0),IF('01_数值调参'!$R$7&lt;=$A18,-'01_数值调参'!$R$33,0)),0),IF($A18&gt;=4,(D18+$C$3)*MAX(0,IF('01_数值调参'!$S$7&lt;=$A18,-'01_数值调参'!$S$33,0),IF('01_数值调参'!$T$7&lt;=$A18,0,0),IF('01_数值调参'!$U$7&lt;=$A18,-'01_数值调参'!$U$33,0),IF('01_数值调参'!$V$7&lt;=$A18,-'01_数值调参'!$V$33,0),IF('01_数值调参'!$W$7&lt;=$A18,-'01_数值调参'!$W$33,0)),0),IF($A18&gt;=6,(E18+$C$3)*MAX(0,IF('01_数值调参'!$X$7&lt;=$A18,-'01_数值调参'!$X$33,0),IF('01_数值调参'!$Y$7&lt;=$A18,-'01_数值调参'!$Y$33,0),IF('01_数值调参'!$Z$7&lt;=$A18,-'01_数值调参'!$Z$33,0),IF('01_数值调参'!$AA$7&lt;=$A18,-'01_数值调参'!$AA$33,0),IF('01_数值调参'!$AB$7&lt;=$A18,-'01_数值调参'!$AB$33,0),IF('01_数值调参'!$AC$7&lt;=$A18,-'01_数值调参'!$AC$33,0)),0),IF($A18&gt;=8,(F18+$C$3)*MAX(0,IF('01_数值调参'!$AD$7&lt;=$A18,-'01_数值调参'!$AD$33,0),IF('01_数值调参'!$AE$7&lt;=$A18,-'01_数值调参'!$AE$33,0),IF('01_数值调参'!$AF$7&lt;=$A18,-'01_数值调参'!$AF$33,0),IF('01_数值调参'!$AG$7&lt;=$A18,-'01_数值调参'!$AG$33,0)),0),IF($A18&gt;=10,(G18+$C$3)*MAX(0,IF('01_数值调参'!$AH$7&lt;=$A18,-'01_数值调参'!$AH$33,0),IF('01_数值调参'!$AI$7&lt;=$A18,-'01_数值调参'!$AI$33,0),IF('01_数值调参'!$AJ$7&lt;=$A18,-'01_数值调参'!$AJ$33,0),IF('01_数值调参'!$AK$7&lt;=$A18,-'01_数值调参'!$AK$33,0),IF('01_数值调参'!$AL$7&lt;=$A18,-'01_数值调参'!$AL$33,0),IF('01_数值调参'!$AM$7&lt;=$A18,-'01_数值调参'!$AM$33,0)),0),0)),"队列待修正"))</x:f>
        <x:v>3</x:v>
      </x:c>
      <x:c r="X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U$7,"—",SUM(IF($A18&gt;=2,(C18+$C$3)*MAX(0,IF('01_数值调参'!$N$7&lt;=$A18,-'01_数值调参'!$N$34,0),IF('01_数值调参'!$O$7&lt;=$A18,-'01_数值调参'!$O$34,0),IF('01_数值调参'!$P$7&lt;=$A18,-'01_数值调参'!$P$34,0),IF('01_数值调参'!$Q$7&lt;=$A18,-'01_数值调参'!$Q$34,0),IF('01_数值调参'!$R$7&lt;=$A18,-'01_数值调参'!$R$34,0)),0),IF($A18&gt;=4,(D18+$C$3)*MAX(0,IF('01_数值调参'!$S$7&lt;=$A18,-'01_数值调参'!$S$34,0),IF('01_数值调参'!$T$7&lt;=$A18,-'01_数值调参'!$T$34,0),IF('01_数值调参'!$U$7&lt;=$A18,0,0),IF('01_数值调参'!$V$7&lt;=$A18,-'01_数值调参'!$V$34,0),IF('01_数值调参'!$W$7&lt;=$A18,-'01_数值调参'!$W$34,0)),0),IF($A18&gt;=6,(E18+$C$3)*MAX(0,IF('01_数值调参'!$X$7&lt;=$A18,-'01_数值调参'!$X$34,0),IF('01_数值调参'!$Y$7&lt;=$A18,-'01_数值调参'!$Y$34,0),IF('01_数值调参'!$Z$7&lt;=$A18,-'01_数值调参'!$Z$34,0),IF('01_数值调参'!$AA$7&lt;=$A18,-'01_数值调参'!$AA$34,0),IF('01_数值调参'!$AB$7&lt;=$A18,-'01_数值调参'!$AB$34,0),IF('01_数值调参'!$AC$7&lt;=$A18,-'01_数值调参'!$AC$34,0)),0),IF($A18&gt;=8,(F18+$C$3)*MAX(0,IF('01_数值调参'!$AD$7&lt;=$A18,-'01_数值调参'!$AD$34,0),IF('01_数值调参'!$AE$7&lt;=$A18,-'01_数值调参'!$AE$34,0),IF('01_数值调参'!$AF$7&lt;=$A18,-'01_数值调参'!$AF$34,0),IF('01_数值调参'!$AG$7&lt;=$A18,-'01_数值调参'!$AG$34,0)),0),IF($A18&gt;=10,(G18+$C$3)*MAX(0,IF('01_数值调参'!$AH$7&lt;=$A18,-'01_数值调参'!$AH$34,0),IF('01_数值调参'!$AI$7&lt;=$A18,-'01_数值调参'!$AI$34,0),IF('01_数值调参'!$AJ$7&lt;=$A18,-'01_数值调参'!$AJ$34,0),IF('01_数值调参'!$AK$7&lt;=$A18,-'01_数值调参'!$AK$34,0),IF('01_数值调参'!$AL$7&lt;=$A18,-'01_数值调参'!$AL$34,0),IF('01_数值调参'!$AM$7&lt;=$A18,-'01_数值调参'!$AM$34,0)),0),0)),"队列待修正"))</x:f>
        <x:v>0</x:v>
      </x:c>
      <x:c r="Y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V$7,"—",SUM(IF($A18&gt;=2,(C18+$C$3)*MAX(0,IF('01_数值调参'!$N$7&lt;=$A18,-'01_数值调参'!$N$35,0),IF('01_数值调参'!$O$7&lt;=$A18,-'01_数值调参'!$O$35,0),IF('01_数值调参'!$P$7&lt;=$A18,-'01_数值调参'!$P$35,0),IF('01_数值调参'!$Q$7&lt;=$A18,-'01_数值调参'!$Q$35,0),IF('01_数值调参'!$R$7&lt;=$A18,-'01_数值调参'!$R$35,0)),0),IF($A18&gt;=4,(D18+$C$3)*MAX(0,IF('01_数值调参'!$S$7&lt;=$A18,-'01_数值调参'!$S$35,0),IF('01_数值调参'!$T$7&lt;=$A18,-'01_数值调参'!$T$35,0),IF('01_数值调参'!$U$7&lt;=$A18,-'01_数值调参'!$U$35,0),IF('01_数值调参'!$V$7&lt;=$A18,0,0),IF('01_数值调参'!$W$7&lt;=$A18,-'01_数值调参'!$W$35,0)),0),IF($A18&gt;=6,(E18+$C$3)*MAX(0,IF('01_数值调参'!$X$7&lt;=$A18,-'01_数值调参'!$X$35,0),IF('01_数值调参'!$Y$7&lt;=$A18,-'01_数值调参'!$Y$35,0),IF('01_数值调参'!$Z$7&lt;=$A18,-'01_数值调参'!$Z$35,0),IF('01_数值调参'!$AA$7&lt;=$A18,-'01_数值调参'!$AA$35,0),IF('01_数值调参'!$AB$7&lt;=$A18,-'01_数值调参'!$AB$35,0),IF('01_数值调参'!$AC$7&lt;=$A18,-'01_数值调参'!$AC$35,0)),0),IF($A18&gt;=8,(F18+$C$3)*MAX(0,IF('01_数值调参'!$AD$7&lt;=$A18,-'01_数值调参'!$AD$35,0),IF('01_数值调参'!$AE$7&lt;=$A18,-'01_数值调参'!$AE$35,0),IF('01_数值调参'!$AF$7&lt;=$A18,-'01_数值调参'!$AF$35,0),IF('01_数值调参'!$AG$7&lt;=$A18,-'01_数值调参'!$AG$35,0)),0),IF($A18&gt;=10,(G18+$C$3)*MAX(0,IF('01_数值调参'!$AH$7&lt;=$A18,-'01_数值调参'!$AH$35,0),IF('01_数值调参'!$AI$7&lt;=$A18,-'01_数值调参'!$AI$35,0),IF('01_数值调参'!$AJ$7&lt;=$A18,-'01_数值调参'!$AJ$35,0),IF('01_数值调参'!$AK$7&lt;=$A18,-'01_数值调参'!$AK$35,0),IF('01_数值调参'!$AL$7&lt;=$A18,-'01_数值调参'!$AL$35,0),IF('01_数值调参'!$AM$7&lt;=$A18,-'01_数值调参'!$AM$35,0)),0),0)),"队列待修正"))</x:f>
        <x:v>—</x:v>
      </x:c>
      <x:c r="Z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W$7,"—",SUM(IF($A18&gt;=2,(C18+$C$3)*MAX(0,IF('01_数值调参'!$N$7&lt;=$A18,-'01_数值调参'!$N$36,0),IF('01_数值调参'!$O$7&lt;=$A18,-'01_数值调参'!$O$36,0),IF('01_数值调参'!$P$7&lt;=$A18,-'01_数值调参'!$P$36,0),IF('01_数值调参'!$Q$7&lt;=$A18,-'01_数值调参'!$Q$36,0),IF('01_数值调参'!$R$7&lt;=$A18,-'01_数值调参'!$R$36,0)),0),IF($A18&gt;=4,(D18+$C$3)*MAX(0,IF('01_数值调参'!$S$7&lt;=$A18,-'01_数值调参'!$S$36,0),IF('01_数值调参'!$T$7&lt;=$A18,-'01_数值调参'!$T$36,0),IF('01_数值调参'!$U$7&lt;=$A18,-'01_数值调参'!$U$36,0),IF('01_数值调参'!$V$7&lt;=$A18,-'01_数值调参'!$V$36,0),IF('01_数值调参'!$W$7&lt;=$A18,0,0)),0),IF($A18&gt;=6,(E18+$C$3)*MAX(0,IF('01_数值调参'!$X$7&lt;=$A18,-'01_数值调参'!$X$36,0),IF('01_数值调参'!$Y$7&lt;=$A18,-'01_数值调参'!$Y$36,0),IF('01_数值调参'!$Z$7&lt;=$A18,-'01_数值调参'!$Z$36,0),IF('01_数值调参'!$AA$7&lt;=$A18,-'01_数值调参'!$AA$36,0),IF('01_数值调参'!$AB$7&lt;=$A18,-'01_数值调参'!$AB$36,0),IF('01_数值调参'!$AC$7&lt;=$A18,-'01_数值调参'!$AC$36,0)),0),IF($A18&gt;=8,(F18+$C$3)*MAX(0,IF('01_数值调参'!$AD$7&lt;=$A18,-'01_数值调参'!$AD$36,0),IF('01_数值调参'!$AE$7&lt;=$A18,-'01_数值调参'!$AE$36,0),IF('01_数值调参'!$AF$7&lt;=$A18,-'01_数值调参'!$AF$36,0),IF('01_数值调参'!$AG$7&lt;=$A18,-'01_数值调参'!$AG$36,0)),0),IF($A18&gt;=10,(G18+$C$3)*MAX(0,IF('01_数值调参'!$AH$7&lt;=$A18,-'01_数值调参'!$AH$36,0),IF('01_数值调参'!$AI$7&lt;=$A18,-'01_数值调参'!$AI$36,0),IF('01_数值调参'!$AJ$7&lt;=$A18,-'01_数值调参'!$AJ$36,0),IF('01_数值调参'!$AK$7&lt;=$A18,-'01_数值调参'!$AK$36,0),IF('01_数值调参'!$AL$7&lt;=$A18,-'01_数值调参'!$AL$36,0),IF('01_数值调参'!$AM$7&lt;=$A18,-'01_数值调参'!$AM$36,0)),0),0)),"队列待修正"))</x:f>
        <x:v>—</x:v>
      </x:c>
      <x:c r="AA18" s="191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X$7,"—",SUM(IF($A18&gt;=2,(C18+$C$3)*MAX(0,IF('01_数值调参'!$N$7&lt;=$A18,-'01_数值调参'!$N$37,0),IF('01_数值调参'!$O$7&lt;=$A18,-'01_数值调参'!$O$37,0),IF('01_数值调参'!$P$7&lt;=$A18,-'01_数值调参'!$P$37,0),IF('01_数值调参'!$Q$7&lt;=$A18,-'01_数值调参'!$Q$37,0),IF('01_数值调参'!$R$7&lt;=$A18,-'01_数值调参'!$R$37,0)),0),IF($A18&gt;=4,(D18+$C$3)*MAX(0,IF('01_数值调参'!$S$7&lt;=$A18,-'01_数值调参'!$S$37,0),IF('01_数值调参'!$T$7&lt;=$A18,-'01_数值调参'!$T$37,0),IF('01_数值调参'!$U$7&lt;=$A18,-'01_数值调参'!$U$37,0),IF('01_数值调参'!$V$7&lt;=$A18,-'01_数值调参'!$V$37,0),IF('01_数值调参'!$W$7&lt;=$A18,-'01_数值调参'!$W$37,0)),0),IF($A18&gt;=6,(E18+$C$3)*MAX(0,IF('01_数值调参'!$X$7&lt;=$A18,0,0),IF('01_数值调参'!$Y$7&lt;=$A18,-'01_数值调参'!$Y$37,0),IF('01_数值调参'!$Z$7&lt;=$A18,-'01_数值调参'!$Z$37,0),IF('01_数值调参'!$AA$7&lt;=$A18,-'01_数值调参'!$AA$37,0),IF('01_数值调参'!$AB$7&lt;=$A18,-'01_数值调参'!$AB$37,0),IF('01_数值调参'!$AC$7&lt;=$A18,-'01_数值调参'!$AC$37,0)),0),IF($A18&gt;=8,(F18+$C$3)*MAX(0,IF('01_数值调参'!$AD$7&lt;=$A18,-'01_数值调参'!$AD$37,0),IF('01_数值调参'!$AE$7&lt;=$A18,-'01_数值调参'!$AE$37,0),IF('01_数值调参'!$AF$7&lt;=$A18,-'01_数值调参'!$AF$37,0),IF('01_数值调参'!$AG$7&lt;=$A18,-'01_数值调参'!$AG$37,0)),0),IF($A18&gt;=10,(G18+$C$3)*MAX(0,IF('01_数值调参'!$AH$7&lt;=$A18,-'01_数值调参'!$AH$37,0),IF('01_数值调参'!$AI$7&lt;=$A18,-'01_数值调参'!$AI$37,0),IF('01_数值调参'!$AJ$7&lt;=$A18,-'01_数值调参'!$AJ$37,0),IF('01_数值调参'!$AK$7&lt;=$A18,-'01_数值调参'!$AK$37,0),IF('01_数值调参'!$AL$7&lt;=$A18,-'01_数值调参'!$AL$37,0),IF('01_数值调参'!$AM$7&lt;=$A18,-'01_数值调参'!$AM$37,0)),0),0)),"队列待修正"))</x:f>
        <x:v>0</x:v>
      </x:c>
      <x:c r="AB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Y$7,"—",SUM(IF($A18&gt;=2,(C18+$C$3)*MAX(0,IF('01_数值调参'!$N$7&lt;=$A18,-'01_数值调参'!$N$38,0),IF('01_数值调参'!$O$7&lt;=$A18,-'01_数值调参'!$O$38,0),IF('01_数值调参'!$P$7&lt;=$A18,-'01_数值调参'!$P$38,0),IF('01_数值调参'!$Q$7&lt;=$A18,-'01_数值调参'!$Q$38,0),IF('01_数值调参'!$R$7&lt;=$A18,-'01_数值调参'!$R$38,0)),0),IF($A18&gt;=4,(D18+$C$3)*MAX(0,IF('01_数值调参'!$S$7&lt;=$A18,-'01_数值调参'!$S$38,0),IF('01_数值调参'!$T$7&lt;=$A18,-'01_数值调参'!$T$38,0),IF('01_数值调参'!$U$7&lt;=$A18,-'01_数值调参'!$U$38,0),IF('01_数值调参'!$V$7&lt;=$A18,-'01_数值调参'!$V$38,0),IF('01_数值调参'!$W$7&lt;=$A18,-'01_数值调参'!$W$38,0)),0),IF($A18&gt;=6,(E18+$C$3)*MAX(0,IF('01_数值调参'!$X$7&lt;=$A18,-'01_数值调参'!$X$38,0),IF('01_数值调参'!$Y$7&lt;=$A18,0,0),IF('01_数值调参'!$Z$7&lt;=$A18,-'01_数值调参'!$Z$38,0),IF('01_数值调参'!$AA$7&lt;=$A18,-'01_数值调参'!$AA$38,0),IF('01_数值调参'!$AB$7&lt;=$A18,-'01_数值调参'!$AB$38,0),IF('01_数值调参'!$AC$7&lt;=$A18,-'01_数值调参'!$AC$38,0)),0),IF($A18&gt;=8,(F18+$C$3)*MAX(0,IF('01_数值调参'!$AD$7&lt;=$A18,-'01_数值调参'!$AD$38,0),IF('01_数值调参'!$AE$7&lt;=$A18,-'01_数值调参'!$AE$38,0),IF('01_数值调参'!$AF$7&lt;=$A18,-'01_数值调参'!$AF$38,0),IF('01_数值调参'!$AG$7&lt;=$A18,-'01_数值调参'!$AG$38,0)),0),IF($A18&gt;=10,(G18+$C$3)*MAX(0,IF('01_数值调参'!$AH$7&lt;=$A18,-'01_数值调参'!$AH$38,0),IF('01_数值调参'!$AI$7&lt;=$A18,-'01_数值调参'!$AI$38,0),IF('01_数值调参'!$AJ$7&lt;=$A18,-'01_数值调参'!$AJ$38,0),IF('01_数值调参'!$AK$7&lt;=$A18,-'01_数值调参'!$AK$38,0),IF('01_数值调参'!$AL$7&lt;=$A18,-'01_数值调参'!$AL$38,0),IF('01_数值调参'!$AM$7&lt;=$A18,-'01_数值调参'!$AM$38,0)),0),0)),"队列待修正"))</x:f>
        <x:v>0</x:v>
      </x:c>
      <x:c r="AC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Z$7,"—",SUM(IF($A18&gt;=2,(C18+$C$3)*MAX(0,IF('01_数值调参'!$N$7&lt;=$A18,-'01_数值调参'!$N$39,0),IF('01_数值调参'!$O$7&lt;=$A18,-'01_数值调参'!$O$39,0),IF('01_数值调参'!$P$7&lt;=$A18,-'01_数值调参'!$P$39,0),IF('01_数值调参'!$Q$7&lt;=$A18,-'01_数值调参'!$Q$39,0),IF('01_数值调参'!$R$7&lt;=$A18,-'01_数值调参'!$R$39,0)),0),IF($A18&gt;=4,(D18+$C$3)*MAX(0,IF('01_数值调参'!$S$7&lt;=$A18,-'01_数值调参'!$S$39,0),IF('01_数值调参'!$T$7&lt;=$A18,-'01_数值调参'!$T$39,0),IF('01_数值调参'!$U$7&lt;=$A18,-'01_数值调参'!$U$39,0),IF('01_数值调参'!$V$7&lt;=$A18,-'01_数值调参'!$V$39,0),IF('01_数值调参'!$W$7&lt;=$A18,-'01_数值调参'!$W$39,0)),0),IF($A18&gt;=6,(E18+$C$3)*MAX(0,IF('01_数值调参'!$X$7&lt;=$A18,-'01_数值调参'!$X$39,0),IF('01_数值调参'!$Y$7&lt;=$A18,-'01_数值调参'!$Y$39,0),IF('01_数值调参'!$Z$7&lt;=$A18,0,0),IF('01_数值调参'!$AA$7&lt;=$A18,-'01_数值调参'!$AA$39,0),IF('01_数值调参'!$AB$7&lt;=$A18,-'01_数值调参'!$AB$39,0),IF('01_数值调参'!$AC$7&lt;=$A18,-'01_数值调参'!$AC$39,0)),0),IF($A18&gt;=8,(F18+$C$3)*MAX(0,IF('01_数值调参'!$AD$7&lt;=$A18,-'01_数值调参'!$AD$39,0),IF('01_数值调参'!$AE$7&lt;=$A18,-'01_数值调参'!$AE$39,0),IF('01_数值调参'!$AF$7&lt;=$A18,-'01_数值调参'!$AF$39,0),IF('01_数值调参'!$AG$7&lt;=$A18,-'01_数值调参'!$AG$39,0)),0),IF($A18&gt;=10,(G18+$C$3)*MAX(0,IF('01_数值调参'!$AH$7&lt;=$A18,-'01_数值调参'!$AH$39,0),IF('01_数值调参'!$AI$7&lt;=$A18,-'01_数值调参'!$AI$39,0),IF('01_数值调参'!$AJ$7&lt;=$A18,-'01_数值调参'!$AJ$39,0),IF('01_数值调参'!$AK$7&lt;=$A18,-'01_数值调参'!$AK$39,0),IF('01_数值调参'!$AL$7&lt;=$A18,-'01_数值调参'!$AL$39,0),IF('01_数值调参'!$AM$7&lt;=$A18,-'01_数值调参'!$AM$39,0)),0),0)),"队列待修正"))</x:f>
        <x:v>0</x:v>
      </x:c>
      <x:c r="AD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A$7,"—",SUM(IF($A18&gt;=2,(C18+$C$3)*MAX(0,IF('01_数值调参'!$N$7&lt;=$A18,-'01_数值调参'!$N$40,0),IF('01_数值调参'!$O$7&lt;=$A18,-'01_数值调参'!$O$40,0),IF('01_数值调参'!$P$7&lt;=$A18,-'01_数值调参'!$P$40,0),IF('01_数值调参'!$Q$7&lt;=$A18,-'01_数值调参'!$Q$40,0),IF('01_数值调参'!$R$7&lt;=$A18,-'01_数值调参'!$R$40,0)),0),IF($A18&gt;=4,(D18+$C$3)*MAX(0,IF('01_数值调参'!$S$7&lt;=$A18,-'01_数值调参'!$S$40,0),IF('01_数值调参'!$T$7&lt;=$A18,-'01_数值调参'!$T$40,0),IF('01_数值调参'!$U$7&lt;=$A18,-'01_数值调参'!$U$40,0),IF('01_数值调参'!$V$7&lt;=$A18,-'01_数值调参'!$V$40,0),IF('01_数值调参'!$W$7&lt;=$A18,-'01_数值调参'!$W$40,0)),0),IF($A18&gt;=6,(E18+$C$3)*MAX(0,IF('01_数值调参'!$X$7&lt;=$A18,-'01_数值调参'!$X$40,0),IF('01_数值调参'!$Y$7&lt;=$A18,-'01_数值调参'!$Y$40,0),IF('01_数值调参'!$Z$7&lt;=$A18,-'01_数值调参'!$Z$40,0),IF('01_数值调参'!$AA$7&lt;=$A18,0,0),IF('01_数值调参'!$AB$7&lt;=$A18,-'01_数值调参'!$AB$40,0),IF('01_数值调参'!$AC$7&lt;=$A18,-'01_数值调参'!$AC$40,0)),0),IF($A18&gt;=8,(F18+$C$3)*MAX(0,IF('01_数值调参'!$AD$7&lt;=$A18,-'01_数值调参'!$AD$40,0),IF('01_数值调参'!$AE$7&lt;=$A18,-'01_数值调参'!$AE$40,0),IF('01_数值调参'!$AF$7&lt;=$A18,-'01_数值调参'!$AF$40,0),IF('01_数值调参'!$AG$7&lt;=$A18,-'01_数值调参'!$AG$40,0)),0),IF($A18&gt;=10,(G18+$C$3)*MAX(0,IF('01_数值调参'!$AH$7&lt;=$A18,-'01_数值调参'!$AH$40,0),IF('01_数值调参'!$AI$7&lt;=$A18,-'01_数值调参'!$AI$40,0),IF('01_数值调参'!$AJ$7&lt;=$A18,-'01_数值调参'!$AJ$40,0),IF('01_数值调参'!$AK$7&lt;=$A18,-'01_数值调参'!$AK$40,0),IF('01_数值调参'!$AL$7&lt;=$A18,-'01_数值调参'!$AL$40,0),IF('01_数值调参'!$AM$7&lt;=$A18,-'01_数值调参'!$AM$40,0)),0),0)),"队列待修正"))</x:f>
        <x:v>—</x:v>
      </x:c>
      <x:c r="AE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B$7,"—",SUM(IF($A18&gt;=2,(C18+$C$3)*MAX(0,IF('01_数值调参'!$N$7&lt;=$A18,-'01_数值调参'!$N$41,0),IF('01_数值调参'!$O$7&lt;=$A18,-'01_数值调参'!$O$41,0),IF('01_数值调参'!$P$7&lt;=$A18,-'01_数值调参'!$P$41,0),IF('01_数值调参'!$Q$7&lt;=$A18,-'01_数值调参'!$Q$41,0),IF('01_数值调参'!$R$7&lt;=$A18,-'01_数值调参'!$R$41,0)),0),IF($A18&gt;=4,(D18+$C$3)*MAX(0,IF('01_数值调参'!$S$7&lt;=$A18,-'01_数值调参'!$S$41,0),IF('01_数值调参'!$T$7&lt;=$A18,-'01_数值调参'!$T$41,0),IF('01_数值调参'!$U$7&lt;=$A18,-'01_数值调参'!$U$41,0),IF('01_数值调参'!$V$7&lt;=$A18,-'01_数值调参'!$V$41,0),IF('01_数值调参'!$W$7&lt;=$A18,-'01_数值调参'!$W$41,0)),0),IF($A18&gt;=6,(E18+$C$3)*MAX(0,IF('01_数值调参'!$X$7&lt;=$A18,-'01_数值调参'!$X$41,0),IF('01_数值调参'!$Y$7&lt;=$A18,-'01_数值调参'!$Y$41,0),IF('01_数值调参'!$Z$7&lt;=$A18,-'01_数值调参'!$Z$41,0),IF('01_数值调参'!$AA$7&lt;=$A18,-'01_数值调参'!$AA$41,0),IF('01_数值调参'!$AB$7&lt;=$A18,0,0),IF('01_数值调参'!$AC$7&lt;=$A18,-'01_数值调参'!$AC$41,0)),0),IF($A18&gt;=8,(F18+$C$3)*MAX(0,IF('01_数值调参'!$AD$7&lt;=$A18,-'01_数值调参'!$AD$41,0),IF('01_数值调参'!$AE$7&lt;=$A18,-'01_数值调参'!$AE$41,0),IF('01_数值调参'!$AF$7&lt;=$A18,-'01_数值调参'!$AF$41,0),IF('01_数值调参'!$AG$7&lt;=$A18,-'01_数值调参'!$AG$41,0)),0),IF($A18&gt;=10,(G18+$C$3)*MAX(0,IF('01_数值调参'!$AH$7&lt;=$A18,-'01_数值调参'!$AH$41,0),IF('01_数值调参'!$AI$7&lt;=$A18,-'01_数值调参'!$AI$41,0),IF('01_数值调参'!$AJ$7&lt;=$A18,-'01_数值调参'!$AJ$41,0),IF('01_数值调参'!$AK$7&lt;=$A18,-'01_数值调参'!$AK$41,0),IF('01_数值调参'!$AL$7&lt;=$A18,-'01_数值调参'!$AL$41,0),IF('01_数值调参'!$AM$7&lt;=$A18,-'01_数值调参'!$AM$41,0)),0),0)),"队列待修正"))</x:f>
        <x:v>—</x:v>
      </x:c>
      <x:c r="AF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C$7,"—",SUM(IF($A18&gt;=2,(C18+$C$3)*MAX(0,IF('01_数值调参'!$N$7&lt;=$A18,-'01_数值调参'!$N$42,0),IF('01_数值调参'!$O$7&lt;=$A18,-'01_数值调参'!$O$42,0),IF('01_数值调参'!$P$7&lt;=$A18,-'01_数值调参'!$P$42,0),IF('01_数值调参'!$Q$7&lt;=$A18,-'01_数值调参'!$Q$42,0),IF('01_数值调参'!$R$7&lt;=$A18,-'01_数值调参'!$R$42,0)),0),IF($A18&gt;=4,(D18+$C$3)*MAX(0,IF('01_数值调参'!$S$7&lt;=$A18,-'01_数值调参'!$S$42,0),IF('01_数值调参'!$T$7&lt;=$A18,-'01_数值调参'!$T$42,0),IF('01_数值调参'!$U$7&lt;=$A18,-'01_数值调参'!$U$42,0),IF('01_数值调参'!$V$7&lt;=$A18,-'01_数值调参'!$V$42,0),IF('01_数值调参'!$W$7&lt;=$A18,-'01_数值调参'!$W$42,0)),0),IF($A18&gt;=6,(E18+$C$3)*MAX(0,IF('01_数值调参'!$X$7&lt;=$A18,-'01_数值调参'!$X$42,0),IF('01_数值调参'!$Y$7&lt;=$A18,-'01_数值调参'!$Y$42,0),IF('01_数值调参'!$Z$7&lt;=$A18,-'01_数值调参'!$Z$42,0),IF('01_数值调参'!$AA$7&lt;=$A18,-'01_数值调参'!$AA$42,0),IF('01_数值调参'!$AB$7&lt;=$A18,-'01_数值调参'!$AB$42,0),IF('01_数值调参'!$AC$7&lt;=$A18,0,0)),0),IF($A18&gt;=8,(F18+$C$3)*MAX(0,IF('01_数值调参'!$AD$7&lt;=$A18,-'01_数值调参'!$AD$42,0),IF('01_数值调参'!$AE$7&lt;=$A18,-'01_数值调参'!$AE$42,0),IF('01_数值调参'!$AF$7&lt;=$A18,-'01_数值调参'!$AF$42,0),IF('01_数值调参'!$AG$7&lt;=$A18,-'01_数值调参'!$AG$42,0)),0),IF($A18&gt;=10,(G18+$C$3)*MAX(0,IF('01_数值调参'!$AH$7&lt;=$A18,-'01_数值调参'!$AH$42,0),IF('01_数值调参'!$AI$7&lt;=$A18,-'01_数值调参'!$AI$42,0),IF('01_数值调参'!$AJ$7&lt;=$A18,-'01_数值调参'!$AJ$42,0),IF('01_数值调参'!$AK$7&lt;=$A18,-'01_数值调参'!$AK$42,0),IF('01_数值调参'!$AL$7&lt;=$A18,-'01_数值调参'!$AL$42,0),IF('01_数值调参'!$AM$7&lt;=$A18,-'01_数值调参'!$AM$42,0)),0),0)),"队列待修正"))</x:f>
        <x:v>—</x:v>
      </x:c>
      <x:c r="AG18" s="191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D$7,"—",SUM(IF($A18&gt;=2,(C18+$C$3)*MAX(0,IF('01_数值调参'!$N$7&lt;=$A18,-'01_数值调参'!$N$43,0),IF('01_数值调参'!$O$7&lt;=$A18,-'01_数值调参'!$O$43,0),IF('01_数值调参'!$P$7&lt;=$A18,-'01_数值调参'!$P$43,0),IF('01_数值调参'!$Q$7&lt;=$A18,-'01_数值调参'!$Q$43,0),IF('01_数值调参'!$R$7&lt;=$A18,-'01_数值调参'!$R$43,0)),0),IF($A18&gt;=4,(D18+$C$3)*MAX(0,IF('01_数值调参'!$S$7&lt;=$A18,-'01_数值调参'!$S$43,0),IF('01_数值调参'!$T$7&lt;=$A18,-'01_数值调参'!$T$43,0),IF('01_数值调参'!$U$7&lt;=$A18,-'01_数值调参'!$U$43,0),IF('01_数值调参'!$V$7&lt;=$A18,-'01_数值调参'!$V$43,0),IF('01_数值调参'!$W$7&lt;=$A18,-'01_数值调参'!$W$43,0)),0),IF($A18&gt;=6,(E18+$C$3)*MAX(0,IF('01_数值调参'!$X$7&lt;=$A18,-'01_数值调参'!$X$43,0),IF('01_数值调参'!$Y$7&lt;=$A18,-'01_数值调参'!$Y$43,0),IF('01_数值调参'!$Z$7&lt;=$A18,-'01_数值调参'!$Z$43,0),IF('01_数值调参'!$AA$7&lt;=$A18,-'01_数值调参'!$AA$43,0),IF('01_数值调参'!$AB$7&lt;=$A18,-'01_数值调参'!$AB$43,0),IF('01_数值调参'!$AC$7&lt;=$A18,-'01_数值调参'!$AC$43,0)),0),IF($A18&gt;=8,(F18+$C$3)*MAX(0,IF('01_数值调参'!$AD$7&lt;=$A18,0,0),IF('01_数值调参'!$AE$7&lt;=$A18,-'01_数值调参'!$AE$43,0),IF('01_数值调参'!$AF$7&lt;=$A18,-'01_数值调参'!$AF$43,0),IF('01_数值调参'!$AG$7&lt;=$A18,-'01_数值调参'!$AG$43,0)),0),IF($A18&gt;=10,(G18+$C$3)*MAX(0,IF('01_数值调参'!$AH$7&lt;=$A18,-'01_数值调参'!$AH$43,0),IF('01_数值调参'!$AI$7&lt;=$A18,-'01_数值调参'!$AI$43,0),IF('01_数值调参'!$AJ$7&lt;=$A18,-'01_数值调参'!$AJ$43,0),IF('01_数值调参'!$AK$7&lt;=$A18,-'01_数值调参'!$AK$43,0),IF('01_数值调参'!$AL$7&lt;=$A18,-'01_数值调参'!$AL$43,0),IF('01_数值调参'!$AM$7&lt;=$A18,-'01_数值调参'!$AM$43,0)),0),0)),"队列待修正"))</x:f>
        <x:v>3</x:v>
      </x:c>
      <x:c r="AH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E$7,"—",SUM(IF($A18&gt;=2,(C18+$C$3)*MAX(0,IF('01_数值调参'!$N$7&lt;=$A18,-'01_数值调参'!$N$44,0),IF('01_数值调参'!$O$7&lt;=$A18,-'01_数值调参'!$O$44,0),IF('01_数值调参'!$P$7&lt;=$A18,-'01_数值调参'!$P$44,0),IF('01_数值调参'!$Q$7&lt;=$A18,-'01_数值调参'!$Q$44,0),IF('01_数值调参'!$R$7&lt;=$A18,-'01_数值调参'!$R$44,0)),0),IF($A18&gt;=4,(D18+$C$3)*MAX(0,IF('01_数值调参'!$S$7&lt;=$A18,-'01_数值调参'!$S$44,0),IF('01_数值调参'!$T$7&lt;=$A18,-'01_数值调参'!$T$44,0),IF('01_数值调参'!$U$7&lt;=$A18,-'01_数值调参'!$U$44,0),IF('01_数值调参'!$V$7&lt;=$A18,-'01_数值调参'!$V$44,0),IF('01_数值调参'!$W$7&lt;=$A18,-'01_数值调参'!$W$44,0)),0),IF($A18&gt;=6,(E18+$C$3)*MAX(0,IF('01_数值调参'!$X$7&lt;=$A18,-'01_数值调参'!$X$44,0),IF('01_数值调参'!$Y$7&lt;=$A18,-'01_数值调参'!$Y$44,0),IF('01_数值调参'!$Z$7&lt;=$A18,-'01_数值调参'!$Z$44,0),IF('01_数值调参'!$AA$7&lt;=$A18,-'01_数值调参'!$AA$44,0),IF('01_数值调参'!$AB$7&lt;=$A18,-'01_数值调参'!$AB$44,0),IF('01_数值调参'!$AC$7&lt;=$A18,-'01_数值调参'!$AC$44,0)),0),IF($A18&gt;=8,(F18+$C$3)*MAX(0,IF('01_数值调参'!$AD$7&lt;=$A18,-'01_数值调参'!$AD$44,0),IF('01_数值调参'!$AE$7&lt;=$A18,0,0),IF('01_数值调参'!$AF$7&lt;=$A18,-'01_数值调参'!$AF$44,0),IF('01_数值调参'!$AG$7&lt;=$A18,-'01_数值调参'!$AG$44,0)),0),IF($A18&gt;=10,(G18+$C$3)*MAX(0,IF('01_数值调参'!$AH$7&lt;=$A18,-'01_数值调参'!$AH$44,0),IF('01_数值调参'!$AI$7&lt;=$A18,-'01_数值调参'!$AI$44,0),IF('01_数值调参'!$AJ$7&lt;=$A18,-'01_数值调参'!$AJ$44,0),IF('01_数值调参'!$AK$7&lt;=$A18,-'01_数值调参'!$AK$44,0),IF('01_数值调参'!$AL$7&lt;=$A18,-'01_数值调参'!$AL$44,0),IF('01_数值调参'!$AM$7&lt;=$A18,-'01_数值调参'!$AM$44,0)),0),0)),"队列待修正"))</x:f>
        <x:v>0</x:v>
      </x:c>
      <x:c r="AI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F$7,"—",SUM(IF($A18&gt;=2,(C18+$C$3)*MAX(0,IF('01_数值调参'!$N$7&lt;=$A18,-'01_数值调参'!$N$45,0),IF('01_数值调参'!$O$7&lt;=$A18,-'01_数值调参'!$O$45,0),IF('01_数值调参'!$P$7&lt;=$A18,-'01_数值调参'!$P$45,0),IF('01_数值调参'!$Q$7&lt;=$A18,-'01_数值调参'!$Q$45,0),IF('01_数值调参'!$R$7&lt;=$A18,-'01_数值调参'!$R$45,0)),0),IF($A18&gt;=4,(D18+$C$3)*MAX(0,IF('01_数值调参'!$S$7&lt;=$A18,-'01_数值调参'!$S$45,0),IF('01_数值调参'!$T$7&lt;=$A18,-'01_数值调参'!$T$45,0),IF('01_数值调参'!$U$7&lt;=$A18,-'01_数值调参'!$U$45,0),IF('01_数值调参'!$V$7&lt;=$A18,-'01_数值调参'!$V$45,0),IF('01_数值调参'!$W$7&lt;=$A18,-'01_数值调参'!$W$45,0)),0),IF($A18&gt;=6,(E18+$C$3)*MAX(0,IF('01_数值调参'!$X$7&lt;=$A18,-'01_数值调参'!$X$45,0),IF('01_数值调参'!$Y$7&lt;=$A18,-'01_数值调参'!$Y$45,0),IF('01_数值调参'!$Z$7&lt;=$A18,-'01_数值调参'!$Z$45,0),IF('01_数值调参'!$AA$7&lt;=$A18,-'01_数值调参'!$AA$45,0),IF('01_数值调参'!$AB$7&lt;=$A18,-'01_数值调参'!$AB$45,0),IF('01_数值调参'!$AC$7&lt;=$A18,-'01_数值调参'!$AC$45,0)),0),IF($A18&gt;=8,(F18+$C$3)*MAX(0,IF('01_数值调参'!$AD$7&lt;=$A18,-'01_数值调参'!$AD$45,0),IF('01_数值调参'!$AE$7&lt;=$A18,-'01_数值调参'!$AE$45,0),IF('01_数值调参'!$AF$7&lt;=$A18,0,0),IF('01_数值调参'!$AG$7&lt;=$A18,-'01_数值调参'!$AG$45,0)),0),IF($A18&gt;=10,(G18+$C$3)*MAX(0,IF('01_数值调参'!$AH$7&lt;=$A18,-'01_数值调参'!$AH$45,0),IF('01_数值调参'!$AI$7&lt;=$A18,-'01_数值调参'!$AI$45,0),IF('01_数值调参'!$AJ$7&lt;=$A18,-'01_数值调参'!$AJ$45,0),IF('01_数值调参'!$AK$7&lt;=$A18,-'01_数值调参'!$AK$45,0),IF('01_数值调参'!$AL$7&lt;=$A18,-'01_数值调参'!$AL$45,0),IF('01_数值调参'!$AM$7&lt;=$A18,-'01_数值调参'!$AM$45,0)),0),0)),"队列待修正"))</x:f>
        <x:v>—</x:v>
      </x:c>
      <x:c r="AJ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G$7,"—",SUM(IF($A18&gt;=2,(C18+$C$3)*MAX(0,IF('01_数值调参'!$N$7&lt;=$A18,-'01_数值调参'!$N$46,0),IF('01_数值调参'!$O$7&lt;=$A18,-'01_数值调参'!$O$46,0),IF('01_数值调参'!$P$7&lt;=$A18,-'01_数值调参'!$P$46,0),IF('01_数值调参'!$Q$7&lt;=$A18,-'01_数值调参'!$Q$46,0),IF('01_数值调参'!$R$7&lt;=$A18,-'01_数值调参'!$R$46,0)),0),IF($A18&gt;=4,(D18+$C$3)*MAX(0,IF('01_数值调参'!$S$7&lt;=$A18,-'01_数值调参'!$S$46,0),IF('01_数值调参'!$T$7&lt;=$A18,-'01_数值调参'!$T$46,0),IF('01_数值调参'!$U$7&lt;=$A18,-'01_数值调参'!$U$46,0),IF('01_数值调参'!$V$7&lt;=$A18,-'01_数值调参'!$V$46,0),IF('01_数值调参'!$W$7&lt;=$A18,-'01_数值调参'!$W$46,0)),0),IF($A18&gt;=6,(E18+$C$3)*MAX(0,IF('01_数值调参'!$X$7&lt;=$A18,-'01_数值调参'!$X$46,0),IF('01_数值调参'!$Y$7&lt;=$A18,-'01_数值调参'!$Y$46,0),IF('01_数值调参'!$Z$7&lt;=$A18,-'01_数值调参'!$Z$46,0),IF('01_数值调参'!$AA$7&lt;=$A18,-'01_数值调参'!$AA$46,0),IF('01_数值调参'!$AB$7&lt;=$A18,-'01_数值调参'!$AB$46,0),IF('01_数值调参'!$AC$7&lt;=$A18,-'01_数值调参'!$AC$46,0)),0),IF($A18&gt;=8,(F18+$C$3)*MAX(0,IF('01_数值调参'!$AD$7&lt;=$A18,-'01_数值调参'!$AD$46,0),IF('01_数值调参'!$AE$7&lt;=$A18,-'01_数值调参'!$AE$46,0),IF('01_数值调参'!$AF$7&lt;=$A18,-'01_数值调参'!$AF$46,0),IF('01_数值调参'!$AG$7&lt;=$A18,0,0)),0),IF($A18&gt;=10,(G18+$C$3)*MAX(0,IF('01_数值调参'!$AH$7&lt;=$A18,-'01_数值调参'!$AH$46,0),IF('01_数值调参'!$AI$7&lt;=$A18,-'01_数值调参'!$AI$46,0),IF('01_数值调参'!$AJ$7&lt;=$A18,-'01_数值调参'!$AJ$46,0),IF('01_数值调参'!$AK$7&lt;=$A18,-'01_数值调参'!$AK$46,0),IF('01_数值调参'!$AL$7&lt;=$A18,-'01_数值调参'!$AL$46,0),IF('01_数值调参'!$AM$7&lt;=$A18,-'01_数值调参'!$AM$46,0)),0),0)),"队列待修正"))</x:f>
        <x:v>—</x:v>
      </x:c>
      <x:c r="AK18" s="191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H$7,"—",SUM(IF($A18&gt;=2,(C18+$C$3)*MAX(0,IF('01_数值调参'!$N$7&lt;=$A18,-'01_数值调参'!$N$47,0),IF('01_数值调参'!$O$7&lt;=$A18,-'01_数值调参'!$O$47,0),IF('01_数值调参'!$P$7&lt;=$A18,-'01_数值调参'!$P$47,0),IF('01_数值调参'!$Q$7&lt;=$A18,-'01_数值调参'!$Q$47,0),IF('01_数值调参'!$R$7&lt;=$A18,-'01_数值调参'!$R$47,0)),0),IF($A18&gt;=4,(D18+$C$3)*MAX(0,IF('01_数值调参'!$S$7&lt;=$A18,-'01_数值调参'!$S$47,0),IF('01_数值调参'!$T$7&lt;=$A18,-'01_数值调参'!$T$47,0),IF('01_数值调参'!$U$7&lt;=$A18,-'01_数值调参'!$U$47,0),IF('01_数值调参'!$V$7&lt;=$A18,-'01_数值调参'!$V$47,0),IF('01_数值调参'!$W$7&lt;=$A18,-'01_数值调参'!$W$47,0)),0),IF($A18&gt;=6,(E18+$C$3)*MAX(0,IF('01_数值调参'!$X$7&lt;=$A18,-'01_数值调参'!$X$47,0),IF('01_数值调参'!$Y$7&lt;=$A18,-'01_数值调参'!$Y$47,0),IF('01_数值调参'!$Z$7&lt;=$A18,-'01_数值调参'!$Z$47,0),IF('01_数值调参'!$AA$7&lt;=$A18,-'01_数值调参'!$AA$47,0),IF('01_数值调参'!$AB$7&lt;=$A18,-'01_数值调参'!$AB$47,0),IF('01_数值调参'!$AC$7&lt;=$A18,-'01_数值调参'!$AC$47,0)),0),IF($A18&gt;=8,(F18+$C$3)*MAX(0,IF('01_数值调参'!$AD$7&lt;=$A18,-'01_数值调参'!$AD$47,0),IF('01_数值调参'!$AE$7&lt;=$A18,-'01_数值调参'!$AE$47,0),IF('01_数值调参'!$AF$7&lt;=$A18,-'01_数值调参'!$AF$47,0),IF('01_数值调参'!$AG$7&lt;=$A18,-'01_数值调参'!$AG$47,0)),0),IF($A18&gt;=10,(G18+$C$3)*MAX(0,IF('01_数值调参'!$AH$7&lt;=$A18,0,0),IF('01_数值调参'!$AI$7&lt;=$A18,-'01_数值调参'!$AI$47,0),IF('01_数值调参'!$AJ$7&lt;=$A18,-'01_数值调参'!$AJ$47,0),IF('01_数值调参'!$AK$7&lt;=$A18,-'01_数值调参'!$AK$47,0),IF('01_数值调参'!$AL$7&lt;=$A18,-'01_数值调参'!$AL$47,0),IF('01_数值调参'!$AM$7&lt;=$A18,-'01_数值调参'!$AM$47,0)),0),0)),"队列待修正"))</x:f>
        <x:v>0</x:v>
      </x:c>
      <x:c r="AL18" s="179" t="n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I$7,"—",SUM(IF($A18&gt;=2,(C18+$C$3)*MAX(0,IF('01_数值调参'!$N$7&lt;=$A18,-'01_数值调参'!$N$48,0),IF('01_数值调参'!$O$7&lt;=$A18,-'01_数值调参'!$O$48,0),IF('01_数值调参'!$P$7&lt;=$A18,-'01_数值调参'!$P$48,0),IF('01_数值调参'!$Q$7&lt;=$A18,-'01_数值调参'!$Q$48,0),IF('01_数值调参'!$R$7&lt;=$A18,-'01_数值调参'!$R$48,0)),0),IF($A18&gt;=4,(D18+$C$3)*MAX(0,IF('01_数值调参'!$S$7&lt;=$A18,-'01_数值调参'!$S$48,0),IF('01_数值调参'!$T$7&lt;=$A18,-'01_数值调参'!$T$48,0),IF('01_数值调参'!$U$7&lt;=$A18,-'01_数值调参'!$U$48,0),IF('01_数值调参'!$V$7&lt;=$A18,-'01_数值调参'!$V$48,0),IF('01_数值调参'!$W$7&lt;=$A18,-'01_数值调参'!$W$48,0)),0),IF($A18&gt;=6,(E18+$C$3)*MAX(0,IF('01_数值调参'!$X$7&lt;=$A18,-'01_数值调参'!$X$48,0),IF('01_数值调参'!$Y$7&lt;=$A18,-'01_数值调参'!$Y$48,0),IF('01_数值调参'!$Z$7&lt;=$A18,-'01_数值调参'!$Z$48,0),IF('01_数值调参'!$AA$7&lt;=$A18,-'01_数值调参'!$AA$48,0),IF('01_数值调参'!$AB$7&lt;=$A18,-'01_数值调参'!$AB$48,0),IF('01_数值调参'!$AC$7&lt;=$A18,-'01_数值调参'!$AC$48,0)),0),IF($A18&gt;=8,(F18+$C$3)*MAX(0,IF('01_数值调参'!$AD$7&lt;=$A18,-'01_数值调参'!$AD$48,0),IF('01_数值调参'!$AE$7&lt;=$A18,-'01_数值调参'!$AE$48,0),IF('01_数值调参'!$AF$7&lt;=$A18,-'01_数值调参'!$AF$48,0),IF('01_数值调参'!$AG$7&lt;=$A18,-'01_数值调参'!$AG$48,0)),0),IF($A18&gt;=10,(G18+$C$3)*MAX(0,IF('01_数值调参'!$AH$7&lt;=$A18,-'01_数值调参'!$AH$48,0),IF('01_数值调参'!$AI$7&lt;=$A18,0,0),IF('01_数值调参'!$AJ$7&lt;=$A18,-'01_数值调参'!$AJ$48,0),IF('01_数值调参'!$AK$7&lt;=$A18,-'01_数值调参'!$AK$48,0),IF('01_数值调参'!$AL$7&lt;=$A18,-'01_数值调参'!$AL$48,0),IF('01_数值调参'!$AM$7&lt;=$A18,-'01_数值调参'!$AM$48,0)),0),0)),"队列待修正"))</x:f>
        <x:v>0</x:v>
      </x:c>
      <x:c r="AM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J$7,"—",SUM(IF($A18&gt;=2,(C18+$C$3)*MAX(0,IF('01_数值调参'!$N$7&lt;=$A18,-'01_数值调参'!$N$49,0),IF('01_数值调参'!$O$7&lt;=$A18,-'01_数值调参'!$O$49,0),IF('01_数值调参'!$P$7&lt;=$A18,-'01_数值调参'!$P$49,0),IF('01_数值调参'!$Q$7&lt;=$A18,-'01_数值调参'!$Q$49,0),IF('01_数值调参'!$R$7&lt;=$A18,-'01_数值调参'!$R$49,0)),0),IF($A18&gt;=4,(D18+$C$3)*MAX(0,IF('01_数值调参'!$S$7&lt;=$A18,-'01_数值调参'!$S$49,0),IF('01_数值调参'!$T$7&lt;=$A18,-'01_数值调参'!$T$49,0),IF('01_数值调参'!$U$7&lt;=$A18,-'01_数值调参'!$U$49,0),IF('01_数值调参'!$V$7&lt;=$A18,-'01_数值调参'!$V$49,0),IF('01_数值调参'!$W$7&lt;=$A18,-'01_数值调参'!$W$49,0)),0),IF($A18&gt;=6,(E18+$C$3)*MAX(0,IF('01_数值调参'!$X$7&lt;=$A18,-'01_数值调参'!$X$49,0),IF('01_数值调参'!$Y$7&lt;=$A18,-'01_数值调参'!$Y$49,0),IF('01_数值调参'!$Z$7&lt;=$A18,-'01_数值调参'!$Z$49,0),IF('01_数值调参'!$AA$7&lt;=$A18,-'01_数值调参'!$AA$49,0),IF('01_数值调参'!$AB$7&lt;=$A18,-'01_数值调参'!$AB$49,0),IF('01_数值调参'!$AC$7&lt;=$A18,-'01_数值调参'!$AC$49,0)),0),IF($A18&gt;=8,(F18+$C$3)*MAX(0,IF('01_数值调参'!$AD$7&lt;=$A18,-'01_数值调参'!$AD$49,0),IF('01_数值调参'!$AE$7&lt;=$A18,-'01_数值调参'!$AE$49,0),IF('01_数值调参'!$AF$7&lt;=$A18,-'01_数值调参'!$AF$49,0),IF('01_数值调参'!$AG$7&lt;=$A18,-'01_数值调参'!$AG$49,0)),0),IF($A18&gt;=10,(G18+$C$3)*MAX(0,IF('01_数值调参'!$AH$7&lt;=$A18,-'01_数值调参'!$AH$49,0),IF('01_数值调参'!$AI$7&lt;=$A18,-'01_数值调参'!$AI$49,0),IF('01_数值调参'!$AJ$7&lt;=$A18,0,0),IF('01_数值调参'!$AK$7&lt;=$A18,-'01_数值调参'!$AK$49,0),IF('01_数值调参'!$AL$7&lt;=$A18,-'01_数值调参'!$AL$49,0),IF('01_数值调参'!$AM$7&lt;=$A18,-'01_数值调参'!$AM$49,0)),0),0)),"队列待修正"))</x:f>
        <x:v>—</x:v>
      </x:c>
      <x:c r="AN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K$7,"—",SUM(IF($A18&gt;=2,(C18+$C$3)*MAX(0,IF('01_数值调参'!$N$7&lt;=$A18,-'01_数值调参'!$N$50,0),IF('01_数值调参'!$O$7&lt;=$A18,-'01_数值调参'!$O$50,0),IF('01_数值调参'!$P$7&lt;=$A18,-'01_数值调参'!$P$50,0),IF('01_数值调参'!$Q$7&lt;=$A18,-'01_数值调参'!$Q$50,0),IF('01_数值调参'!$R$7&lt;=$A18,-'01_数值调参'!$R$50,0)),0),IF($A18&gt;=4,(D18+$C$3)*MAX(0,IF('01_数值调参'!$S$7&lt;=$A18,-'01_数值调参'!$S$50,0),IF('01_数值调参'!$T$7&lt;=$A18,-'01_数值调参'!$T$50,0),IF('01_数值调参'!$U$7&lt;=$A18,-'01_数值调参'!$U$50,0),IF('01_数值调参'!$V$7&lt;=$A18,-'01_数值调参'!$V$50,0),IF('01_数值调参'!$W$7&lt;=$A18,-'01_数值调参'!$W$50,0)),0),IF($A18&gt;=6,(E18+$C$3)*MAX(0,IF('01_数值调参'!$X$7&lt;=$A18,-'01_数值调参'!$X$50,0),IF('01_数值调参'!$Y$7&lt;=$A18,-'01_数值调参'!$Y$50,0),IF('01_数值调参'!$Z$7&lt;=$A18,-'01_数值调参'!$Z$50,0),IF('01_数值调参'!$AA$7&lt;=$A18,-'01_数值调参'!$AA$50,0),IF('01_数值调参'!$AB$7&lt;=$A18,-'01_数值调参'!$AB$50,0),IF('01_数值调参'!$AC$7&lt;=$A18,-'01_数值调参'!$AC$50,0)),0),IF($A18&gt;=8,(F18+$C$3)*MAX(0,IF('01_数值调参'!$AD$7&lt;=$A18,-'01_数值调参'!$AD$50,0),IF('01_数值调参'!$AE$7&lt;=$A18,-'01_数值调参'!$AE$50,0),IF('01_数值调参'!$AF$7&lt;=$A18,-'01_数值调参'!$AF$50,0),IF('01_数值调参'!$AG$7&lt;=$A18,-'01_数值调参'!$AG$50,0)),0),IF($A18&gt;=10,(G18+$C$3)*MAX(0,IF('01_数值调参'!$AH$7&lt;=$A18,-'01_数值调参'!$AH$50,0),IF('01_数值调参'!$AI$7&lt;=$A18,-'01_数值调参'!$AI$50,0),IF('01_数值调参'!$AJ$7&lt;=$A18,-'01_数值调参'!$AJ$50,0),IF('01_数值调参'!$AK$7&lt;=$A18,0,0),IF('01_数值调参'!$AL$7&lt;=$A18,-'01_数值调参'!$AL$50,0),IF('01_数值调参'!$AM$7&lt;=$A18,-'01_数值调参'!$AM$50,0)),0),0)),"队列待修正"))</x:f>
        <x:v>—</x:v>
      </x:c>
      <x:c r="AO18" s="179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L$7,"—",SUM(IF($A18&gt;=2,(C18+$C$3)*MAX(0,IF('01_数值调参'!$N$7&lt;=$A18,-'01_数值调参'!$N$51,0),IF('01_数值调参'!$O$7&lt;=$A18,-'01_数值调参'!$O$51,0),IF('01_数值调参'!$P$7&lt;=$A18,-'01_数值调参'!$P$51,0),IF('01_数值调参'!$Q$7&lt;=$A18,-'01_数值调参'!$Q$51,0),IF('01_数值调参'!$R$7&lt;=$A18,-'01_数值调参'!$R$51,0)),0),IF($A18&gt;=4,(D18+$C$3)*MAX(0,IF('01_数值调参'!$S$7&lt;=$A18,-'01_数值调参'!$S$51,0),IF('01_数值调参'!$T$7&lt;=$A18,-'01_数值调参'!$T$51,0),IF('01_数值调参'!$U$7&lt;=$A18,-'01_数值调参'!$U$51,0),IF('01_数值调参'!$V$7&lt;=$A18,-'01_数值调参'!$V$51,0),IF('01_数值调参'!$W$7&lt;=$A18,-'01_数值调参'!$W$51,0)),0),IF($A18&gt;=6,(E18+$C$3)*MAX(0,IF('01_数值调参'!$X$7&lt;=$A18,-'01_数值调参'!$X$51,0),IF('01_数值调参'!$Y$7&lt;=$A18,-'01_数值调参'!$Y$51,0),IF('01_数值调参'!$Z$7&lt;=$A18,-'01_数值调参'!$Z$51,0),IF('01_数值调参'!$AA$7&lt;=$A18,-'01_数值调参'!$AA$51,0),IF('01_数值调参'!$AB$7&lt;=$A18,-'01_数值调参'!$AB$51,0),IF('01_数值调参'!$AC$7&lt;=$A18,-'01_数值调参'!$AC$51,0)),0),IF($A18&gt;=8,(F18+$C$3)*MAX(0,IF('01_数值调参'!$AD$7&lt;=$A18,-'01_数值调参'!$AD$51,0),IF('01_数值调参'!$AE$7&lt;=$A18,-'01_数值调参'!$AE$51,0),IF('01_数值调参'!$AF$7&lt;=$A18,-'01_数值调参'!$AF$51,0),IF('01_数值调参'!$AG$7&lt;=$A18,-'01_数值调参'!$AG$51,0)),0),IF($A18&gt;=10,(G18+$C$3)*MAX(0,IF('01_数值调参'!$AH$7&lt;=$A18,-'01_数值调参'!$AH$51,0),IF('01_数值调参'!$AI$7&lt;=$A18,-'01_数值调参'!$AI$51,0),IF('01_数值调参'!$AJ$7&lt;=$A18,-'01_数值调参'!$AJ$51,0),IF('01_数值调参'!$AK$7&lt;=$A18,-'01_数值调参'!$AK$51,0),IF('01_数值调参'!$AL$7&lt;=$A18,0,0),IF('01_数值调参'!$AM$7&lt;=$A18,-'01_数值调参'!$AM$51,0)),0),0)),"队列待修正"))</x:f>
        <x:v>—</x:v>
      </x:c>
      <x:c r="AP18" s="180" t="str">
        <x:f>IF('01_数值调参'!$D$3&lt;&gt;"配方有效","待修正",IF(AND(OR($C$3=0,$C$3=1),ISNUMBER(C18),C18&gt;=0,MOD(C18,1)=0,ISNUMBER(D18),D18&gt;=0,MOD(D18,1)=0,ISNUMBER(E18),E18&gt;=0,MOD(E18,1)=0,ISNUMBER(F18),F18&gt;=0,MOD(F18,1)=0,ISNUMBER(G18),G18&gt;=0,MOD(G18,1)=0,TRUE),IF($A18&lt;'01_数值调参'!$AM$7,"—",SUM(IF($A18&gt;=2,(C18+$C$3)*MAX(0,IF('01_数值调参'!$N$7&lt;=$A18,-'01_数值调参'!$N$52,0),IF('01_数值调参'!$O$7&lt;=$A18,-'01_数值调参'!$O$52,0),IF('01_数值调参'!$P$7&lt;=$A18,-'01_数值调参'!$P$52,0),IF('01_数值调参'!$Q$7&lt;=$A18,-'01_数值调参'!$Q$52,0),IF('01_数值调参'!$R$7&lt;=$A18,-'01_数值调参'!$R$52,0)),0),IF($A18&gt;=4,(D18+$C$3)*MAX(0,IF('01_数值调参'!$S$7&lt;=$A18,-'01_数值调参'!$S$52,0),IF('01_数值调参'!$T$7&lt;=$A18,-'01_数值调参'!$T$52,0),IF('01_数值调参'!$U$7&lt;=$A18,-'01_数值调参'!$U$52,0),IF('01_数值调参'!$V$7&lt;=$A18,-'01_数值调参'!$V$52,0),IF('01_数值调参'!$W$7&lt;=$A18,-'01_数值调参'!$W$52,0)),0),IF($A18&gt;=6,(E18+$C$3)*MAX(0,IF('01_数值调参'!$X$7&lt;=$A18,-'01_数值调参'!$X$52,0),IF('01_数值调参'!$Y$7&lt;=$A18,-'01_数值调参'!$Y$52,0),IF('01_数值调参'!$Z$7&lt;=$A18,-'01_数值调参'!$Z$52,0),IF('01_数值调参'!$AA$7&lt;=$A18,-'01_数值调参'!$AA$52,0),IF('01_数值调参'!$AB$7&lt;=$A18,-'01_数值调参'!$AB$52,0),IF('01_数值调参'!$AC$7&lt;=$A18,-'01_数值调参'!$AC$52,0)),0),IF($A18&gt;=8,(F18+$C$3)*MAX(0,IF('01_数值调参'!$AD$7&lt;=$A18,-'01_数值调参'!$AD$52,0),IF('01_数值调参'!$AE$7&lt;=$A18,-'01_数值调参'!$AE$52,0),IF('01_数值调参'!$AF$7&lt;=$A18,-'01_数值调参'!$AF$52,0),IF('01_数值调参'!$AG$7&lt;=$A18,-'01_数值调参'!$AG$52,0)),0),IF($A18&gt;=10,(G18+$C$3)*MAX(0,IF('01_数值调参'!$AH$7&lt;=$A18,-'01_数值调参'!$AH$52,0),IF('01_数值调参'!$AI$7&lt;=$A18,-'01_数值调参'!$AI$52,0),IF('01_数值调参'!$AJ$7&lt;=$A18,-'01_数值调参'!$AJ$52,0),IF('01_数值调参'!$AK$7&lt;=$A18,-'01_数值调参'!$AK$52,0),IF('01_数值调参'!$AL$7&lt;=$A18,-'01_数值调参'!$AL$52,0),IF('01_数值调参'!$AM$7&lt;=$A18,0,0)),0),0)),"队列待修正"))</x:f>
        <x:v>—</x:v>
      </x:c>
    </x:row>
    <x:row r="19" ht="25" customHeight="1">
      <x:c r="A19" s="176" t="n">
        <x:v>13</x:v>
      </x:c>
      <x:c r="B19" s="177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SUM(IF($A19&gt;=2,(C19+$C$3)*MAX(0,IF('01_数值调参'!$N$7&lt;=$A19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19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19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19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19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19&gt;=4,(D19+$C$3)*MAX(0,IF('01_数值调参'!$S$7&lt;=$A19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19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19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19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19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19&gt;=6,(E19+$C$3)*MAX(0,IF('01_数值调参'!$X$7&lt;=$A19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19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19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19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19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19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19&gt;=8,(F19+$C$3)*MAX(0,IF('01_数值调参'!$AD$7&lt;=$A19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19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19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19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19&gt;=10,(G19+$C$3)*MAX(0,IF('01_数值调参'!$AH$7&lt;=$A19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19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19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19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19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19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48</x:v>
      </x:c>
      <x:c r="C19" s="178" t="n">
        <x:v>2</x:v>
      </x:c>
      <x:c r="D19" s="178" t="n">
        <x:v>2</x:v>
      </x:c>
      <x:c r="E19" s="178" t="n">
        <x:v>2</x:v>
      </x:c>
      <x:c r="F19" s="178" t="n">
        <x:v>2</x:v>
      </x:c>
      <x:c r="G19" s="178" t="n">
        <x:v>2</x:v>
      </x:c>
      <x:c r="H19" s="191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E$7,"—",SUM(IF($A19&gt;=2,(C19+$C$3)*MAX(0,IF('01_数值调参'!$N$7&lt;=$A19,-'01_数值调参'!$N$18,0),IF('01_数值调参'!$O$7&lt;=$A19,-'01_数值调参'!$O$18,0),IF('01_数值调参'!$P$7&lt;=$A19,-'01_数值调参'!$P$18,0),IF('01_数值调参'!$Q$7&lt;=$A19,-'01_数值调参'!$Q$18,0),IF('01_数值调参'!$R$7&lt;=$A19,-'01_数值调参'!$R$18,0)),0),IF($A19&gt;=4,(D19+$C$3)*MAX(0,IF('01_数值调参'!$S$7&lt;=$A19,-'01_数值调参'!$S$18,0),IF('01_数值调参'!$T$7&lt;=$A19,-'01_数值调参'!$T$18,0),IF('01_数值调参'!$U$7&lt;=$A19,-'01_数值调参'!$U$18,0),IF('01_数值调参'!$V$7&lt;=$A19,-'01_数值调参'!$V$18,0),IF('01_数值调参'!$W$7&lt;=$A19,-'01_数值调参'!$W$18,0)),0),IF($A19&gt;=6,(E19+$C$3)*MAX(0,IF('01_数值调参'!$X$7&lt;=$A19,-'01_数值调参'!$X$18,0),IF('01_数值调参'!$Y$7&lt;=$A19,-'01_数值调参'!$Y$18,0),IF('01_数值调参'!$Z$7&lt;=$A19,-'01_数值调参'!$Z$18,0),IF('01_数值调参'!$AA$7&lt;=$A19,-'01_数值调参'!$AA$18,0),IF('01_数值调参'!$AB$7&lt;=$A19,-'01_数值调参'!$AB$18,0),IF('01_数值调参'!$AC$7&lt;=$A19,-'01_数值调参'!$AC$18,0)),0),IF($A19&gt;=8,(F19+$C$3)*MAX(0,IF('01_数值调参'!$AD$7&lt;=$A19,-'01_数值调参'!$AD$18,0),IF('01_数值调参'!$AE$7&lt;=$A19,-'01_数值调参'!$AE$18,0),IF('01_数值调参'!$AF$7&lt;=$A19,-'01_数值调参'!$AF$18,0),IF('01_数值调参'!$AG$7&lt;=$A19,-'01_数值调参'!$AG$18,0)),0),IF($A19&gt;=10,(G19+$C$3)*MAX(0,IF('01_数值调参'!$AH$7&lt;=$A19,-'01_数值调参'!$AH$18,0),IF('01_数值调参'!$AI$7&lt;=$A19,-'01_数值调参'!$AI$18,0),IF('01_数值调参'!$AJ$7&lt;=$A19,-'01_数值调参'!$AJ$18,0),IF('01_数值调参'!$AK$7&lt;=$A19,-'01_数值调参'!$AK$18,0),IF('01_数值调参'!$AL$7&lt;=$A19,-'01_数值调参'!$AL$18,0),IF('01_数值调参'!$AM$7&lt;=$A19,-'01_数值调参'!$AM$18,0)),0),0)),"队列待修正"))</x:f>
        <x:v>12</x:v>
      </x:c>
      <x:c r="I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F$7,"—",SUM(IF($A19&gt;=2,(C19+$C$3)*MAX(0,IF('01_数值调参'!$N$7&lt;=$A19,-'01_数值调参'!$N$19,0),IF('01_数值调参'!$O$7&lt;=$A19,-'01_数值调参'!$O$19,0),IF('01_数值调参'!$P$7&lt;=$A19,-'01_数值调参'!$P$19,0),IF('01_数值调参'!$Q$7&lt;=$A19,-'01_数值调参'!$Q$19,0),IF('01_数值调参'!$R$7&lt;=$A19,-'01_数值调参'!$R$19,0)),0),IF($A19&gt;=4,(D19+$C$3)*MAX(0,IF('01_数值调参'!$S$7&lt;=$A19,-'01_数值调参'!$S$19,0),IF('01_数值调参'!$T$7&lt;=$A19,-'01_数值调参'!$T$19,0),IF('01_数值调参'!$U$7&lt;=$A19,-'01_数值调参'!$U$19,0),IF('01_数值调参'!$V$7&lt;=$A19,-'01_数值调参'!$V$19,0),IF('01_数值调参'!$W$7&lt;=$A19,-'01_数值调参'!$W$19,0)),0),IF($A19&gt;=6,(E19+$C$3)*MAX(0,IF('01_数值调参'!$X$7&lt;=$A19,-'01_数值调参'!$X$19,0),IF('01_数值调参'!$Y$7&lt;=$A19,-'01_数值调参'!$Y$19,0),IF('01_数值调参'!$Z$7&lt;=$A19,-'01_数值调参'!$Z$19,0),IF('01_数值调参'!$AA$7&lt;=$A19,-'01_数值调参'!$AA$19,0),IF('01_数值调参'!$AB$7&lt;=$A19,-'01_数值调参'!$AB$19,0),IF('01_数值调参'!$AC$7&lt;=$A19,-'01_数值调参'!$AC$19,0)),0),IF($A19&gt;=8,(F19+$C$3)*MAX(0,IF('01_数值调参'!$AD$7&lt;=$A19,-'01_数值调参'!$AD$19,0),IF('01_数值调参'!$AE$7&lt;=$A19,-'01_数值调参'!$AE$19,0),IF('01_数值调参'!$AF$7&lt;=$A19,-'01_数值调参'!$AF$19,0),IF('01_数值调参'!$AG$7&lt;=$A19,-'01_数值调参'!$AG$19,0)),0),IF($A19&gt;=10,(G19+$C$3)*MAX(0,IF('01_数值调参'!$AH$7&lt;=$A19,-'01_数值调参'!$AH$19,0),IF('01_数值调参'!$AI$7&lt;=$A19,-'01_数值调参'!$AI$19,0),IF('01_数值调参'!$AJ$7&lt;=$A19,-'01_数值调参'!$AJ$19,0),IF('01_数值调参'!$AK$7&lt;=$A19,-'01_数值调参'!$AK$19,0),IF('01_数值调参'!$AL$7&lt;=$A19,-'01_数值调参'!$AL$19,0),IF('01_数值调参'!$AM$7&lt;=$A19,-'01_数值调参'!$AM$19,0)),0),0)),"队列待修正"))</x:f>
        <x:v>12</x:v>
      </x:c>
      <x:c r="J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G$7,"—",SUM(IF($A19&gt;=2,(C19+$C$3)*MAX(0,IF('01_数值调参'!$N$7&lt;=$A19,-'01_数值调参'!$N$20,0),IF('01_数值调参'!$O$7&lt;=$A19,-'01_数值调参'!$O$20,0),IF('01_数值调参'!$P$7&lt;=$A19,-'01_数值调参'!$P$20,0),IF('01_数值调参'!$Q$7&lt;=$A19,-'01_数值调参'!$Q$20,0),IF('01_数值调参'!$R$7&lt;=$A19,-'01_数值调参'!$R$20,0)),0),IF($A19&gt;=4,(D19+$C$3)*MAX(0,IF('01_数值调参'!$S$7&lt;=$A19,-'01_数值调参'!$S$20,0),IF('01_数值调参'!$T$7&lt;=$A19,-'01_数值调参'!$T$20,0),IF('01_数值调参'!$U$7&lt;=$A19,-'01_数值调参'!$U$20,0),IF('01_数值调参'!$V$7&lt;=$A19,-'01_数值调参'!$V$20,0),IF('01_数值调参'!$W$7&lt;=$A19,-'01_数值调参'!$W$20,0)),0),IF($A19&gt;=6,(E19+$C$3)*MAX(0,IF('01_数值调参'!$X$7&lt;=$A19,-'01_数值调参'!$X$20,0),IF('01_数值调参'!$Y$7&lt;=$A19,-'01_数值调参'!$Y$20,0),IF('01_数值调参'!$Z$7&lt;=$A19,-'01_数值调参'!$Z$20,0),IF('01_数值调参'!$AA$7&lt;=$A19,-'01_数值调参'!$AA$20,0),IF('01_数值调参'!$AB$7&lt;=$A19,-'01_数值调参'!$AB$20,0),IF('01_数值调参'!$AC$7&lt;=$A19,-'01_数值调参'!$AC$20,0)),0),IF($A19&gt;=8,(F19+$C$3)*MAX(0,IF('01_数值调参'!$AD$7&lt;=$A19,-'01_数值调参'!$AD$20,0),IF('01_数值调参'!$AE$7&lt;=$A19,-'01_数值调参'!$AE$20,0),IF('01_数值调参'!$AF$7&lt;=$A19,-'01_数值调参'!$AF$20,0),IF('01_数值调参'!$AG$7&lt;=$A19,-'01_数值调参'!$AG$20,0)),0),IF($A19&gt;=10,(G19+$C$3)*MAX(0,IF('01_数值调参'!$AH$7&lt;=$A19,-'01_数值调参'!$AH$20,0),IF('01_数值调参'!$AI$7&lt;=$A19,-'01_数值调参'!$AI$20,0),IF('01_数值调参'!$AJ$7&lt;=$A19,-'01_数值调参'!$AJ$20,0),IF('01_数值调参'!$AK$7&lt;=$A19,-'01_数值调参'!$AK$20,0),IF('01_数值调参'!$AL$7&lt;=$A19,-'01_数值调参'!$AL$20,0),IF('01_数值调参'!$AM$7&lt;=$A19,-'01_数值调参'!$AM$20,0)),0),0)),"队列待修正"))</x:f>
        <x:v>12</x:v>
      </x:c>
      <x:c r="K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H$7,"—",SUM(IF($A19&gt;=2,(C19+$C$3)*MAX(0,IF('01_数值调参'!$N$7&lt;=$A19,-'01_数值调参'!$N$21,0),IF('01_数值调参'!$O$7&lt;=$A19,-'01_数值调参'!$O$21,0),IF('01_数值调参'!$P$7&lt;=$A19,-'01_数值调参'!$P$21,0),IF('01_数值调参'!$Q$7&lt;=$A19,-'01_数值调参'!$Q$21,0),IF('01_数值调参'!$R$7&lt;=$A19,-'01_数值调参'!$R$21,0)),0),IF($A19&gt;=4,(D19+$C$3)*MAX(0,IF('01_数值调参'!$S$7&lt;=$A19,-'01_数值调参'!$S$21,0),IF('01_数值调参'!$T$7&lt;=$A19,-'01_数值调参'!$T$21,0),IF('01_数值调参'!$U$7&lt;=$A19,-'01_数值调参'!$U$21,0),IF('01_数值调参'!$V$7&lt;=$A19,-'01_数值调参'!$V$21,0),IF('01_数值调参'!$W$7&lt;=$A19,-'01_数值调参'!$W$21,0)),0),IF($A19&gt;=6,(E19+$C$3)*MAX(0,IF('01_数值调参'!$X$7&lt;=$A19,-'01_数值调参'!$X$21,0),IF('01_数值调参'!$Y$7&lt;=$A19,-'01_数值调参'!$Y$21,0),IF('01_数值调参'!$Z$7&lt;=$A19,-'01_数值调参'!$Z$21,0),IF('01_数值调参'!$AA$7&lt;=$A19,-'01_数值调参'!$AA$21,0),IF('01_数值调参'!$AB$7&lt;=$A19,-'01_数值调参'!$AB$21,0),IF('01_数值调参'!$AC$7&lt;=$A19,-'01_数值调参'!$AC$21,0)),0),IF($A19&gt;=8,(F19+$C$3)*MAX(0,IF('01_数值调参'!$AD$7&lt;=$A19,-'01_数值调参'!$AD$21,0),IF('01_数值调参'!$AE$7&lt;=$A19,-'01_数值调参'!$AE$21,0),IF('01_数值调参'!$AF$7&lt;=$A19,-'01_数值调参'!$AF$21,0),IF('01_数值调参'!$AG$7&lt;=$A19,-'01_数值调参'!$AG$21,0)),0),IF($A19&gt;=10,(G19+$C$3)*MAX(0,IF('01_数值调参'!$AH$7&lt;=$A19,-'01_数值调参'!$AH$21,0),IF('01_数值调参'!$AI$7&lt;=$A19,-'01_数值调参'!$AI$21,0),IF('01_数值调参'!$AJ$7&lt;=$A19,-'01_数值调参'!$AJ$21,0),IF('01_数值调参'!$AK$7&lt;=$A19,-'01_数值调参'!$AK$21,0),IF('01_数值调参'!$AL$7&lt;=$A19,-'01_数值调参'!$AL$21,0),IF('01_数值调参'!$AM$7&lt;=$A19,-'01_数值调参'!$AM$21,0)),0),0)),"队列待修正"))</x:f>
        <x:v>6</x:v>
      </x:c>
      <x:c r="L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I$7,"—",SUM(IF($A19&gt;=2,(C19+$C$3)*MAX(0,IF('01_数值调参'!$N$7&lt;=$A19,-'01_数值调参'!$N$22,0),IF('01_数值调参'!$O$7&lt;=$A19,-'01_数值调参'!$O$22,0),IF('01_数值调参'!$P$7&lt;=$A19,-'01_数值调参'!$P$22,0),IF('01_数值调参'!$Q$7&lt;=$A19,-'01_数值调参'!$Q$22,0),IF('01_数值调参'!$R$7&lt;=$A19,-'01_数值调参'!$R$22,0)),0),IF($A19&gt;=4,(D19+$C$3)*MAX(0,IF('01_数值调参'!$S$7&lt;=$A19,-'01_数值调参'!$S$22,0),IF('01_数值调参'!$T$7&lt;=$A19,-'01_数值调参'!$T$22,0),IF('01_数值调参'!$U$7&lt;=$A19,-'01_数值调参'!$U$22,0),IF('01_数值调参'!$V$7&lt;=$A19,-'01_数值调参'!$V$22,0),IF('01_数值调参'!$W$7&lt;=$A19,-'01_数值调参'!$W$22,0)),0),IF($A19&gt;=6,(E19+$C$3)*MAX(0,IF('01_数值调参'!$X$7&lt;=$A19,-'01_数值调参'!$X$22,0),IF('01_数值调参'!$Y$7&lt;=$A19,-'01_数值调参'!$Y$22,0),IF('01_数值调参'!$Z$7&lt;=$A19,-'01_数值调参'!$Z$22,0),IF('01_数值调参'!$AA$7&lt;=$A19,-'01_数值调参'!$AA$22,0),IF('01_数值调参'!$AB$7&lt;=$A19,-'01_数值调参'!$AB$22,0),IF('01_数值调参'!$AC$7&lt;=$A19,-'01_数值调参'!$AC$22,0)),0),IF($A19&gt;=8,(F19+$C$3)*MAX(0,IF('01_数值调参'!$AD$7&lt;=$A19,-'01_数值调参'!$AD$22,0),IF('01_数值调参'!$AE$7&lt;=$A19,-'01_数值调参'!$AE$22,0),IF('01_数值调参'!$AF$7&lt;=$A19,-'01_数值调参'!$AF$22,0),IF('01_数值调参'!$AG$7&lt;=$A19,-'01_数值调参'!$AG$22,0)),0),IF($A19&gt;=10,(G19+$C$3)*MAX(0,IF('01_数值调参'!$AH$7&lt;=$A19,-'01_数值调参'!$AH$22,0),IF('01_数值调参'!$AI$7&lt;=$A19,-'01_数值调参'!$AI$22,0),IF('01_数值调参'!$AJ$7&lt;=$A19,-'01_数值调参'!$AJ$22,0),IF('01_数值调参'!$AK$7&lt;=$A19,-'01_数值调参'!$AK$22,0),IF('01_数值调参'!$AL$7&lt;=$A19,-'01_数值调参'!$AL$22,0),IF('01_数值调参'!$AM$7&lt;=$A19,-'01_数值调参'!$AM$22,0)),0),0)),"队列待修正"))</x:f>
        <x:v>6</x:v>
      </x:c>
      <x:c r="M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J$7,"—",SUM(IF($A19&gt;=2,(C19+$C$3)*MAX(0,IF('01_数值调参'!$N$7&lt;=$A19,-'01_数值调参'!$N$23,0),IF('01_数值调参'!$O$7&lt;=$A19,-'01_数值调参'!$O$23,0),IF('01_数值调参'!$P$7&lt;=$A19,-'01_数值调参'!$P$23,0),IF('01_数值调参'!$Q$7&lt;=$A19,-'01_数值调参'!$Q$23,0),IF('01_数值调参'!$R$7&lt;=$A19,-'01_数值调参'!$R$23,0)),0),IF($A19&gt;=4,(D19+$C$3)*MAX(0,IF('01_数值调参'!$S$7&lt;=$A19,-'01_数值调参'!$S$23,0),IF('01_数值调参'!$T$7&lt;=$A19,-'01_数值调参'!$T$23,0),IF('01_数值调参'!$U$7&lt;=$A19,-'01_数值调参'!$U$23,0),IF('01_数值调参'!$V$7&lt;=$A19,-'01_数值调参'!$V$23,0),IF('01_数值调参'!$W$7&lt;=$A19,-'01_数值调参'!$W$23,0)),0),IF($A19&gt;=6,(E19+$C$3)*MAX(0,IF('01_数值调参'!$X$7&lt;=$A19,-'01_数值调参'!$X$23,0),IF('01_数值调参'!$Y$7&lt;=$A19,-'01_数值调参'!$Y$23,0),IF('01_数值调参'!$Z$7&lt;=$A19,-'01_数值调参'!$Z$23,0),IF('01_数值调参'!$AA$7&lt;=$A19,-'01_数值调参'!$AA$23,0),IF('01_数值调参'!$AB$7&lt;=$A19,-'01_数值调参'!$AB$23,0),IF('01_数值调参'!$AC$7&lt;=$A19,-'01_数值调参'!$AC$23,0)),0),IF($A19&gt;=8,(F19+$C$3)*MAX(0,IF('01_数值调参'!$AD$7&lt;=$A19,-'01_数值调参'!$AD$23,0),IF('01_数值调参'!$AE$7&lt;=$A19,-'01_数值调参'!$AE$23,0),IF('01_数值调参'!$AF$7&lt;=$A19,-'01_数值调参'!$AF$23,0),IF('01_数值调参'!$AG$7&lt;=$A19,-'01_数值调参'!$AG$23,0)),0),IF($A19&gt;=10,(G19+$C$3)*MAX(0,IF('01_数值调参'!$AH$7&lt;=$A19,-'01_数值调参'!$AH$23,0),IF('01_数值调参'!$AI$7&lt;=$A19,-'01_数值调参'!$AI$23,0),IF('01_数值调参'!$AJ$7&lt;=$A19,-'01_数值调参'!$AJ$23,0),IF('01_数值调参'!$AK$7&lt;=$A19,-'01_数值调参'!$AK$23,0),IF('01_数值调参'!$AL$7&lt;=$A19,-'01_数值调参'!$AL$23,0),IF('01_数值调参'!$AM$7&lt;=$A19,-'01_数值调参'!$AM$23,0)),0),0)),"队列待修正"))</x:f>
        <x:v>9</x:v>
      </x:c>
      <x:c r="N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K$7,"—",SUM(IF($A19&gt;=2,(C19+$C$3)*MAX(0,IF('01_数值调参'!$N$7&lt;=$A19,-'01_数值调参'!$N$24,0),IF('01_数值调参'!$O$7&lt;=$A19,-'01_数值调参'!$O$24,0),IF('01_数值调参'!$P$7&lt;=$A19,-'01_数值调参'!$P$24,0),IF('01_数值调参'!$Q$7&lt;=$A19,-'01_数值调参'!$Q$24,0),IF('01_数值调参'!$R$7&lt;=$A19,-'01_数值调参'!$R$24,0)),0),IF($A19&gt;=4,(D19+$C$3)*MAX(0,IF('01_数值调参'!$S$7&lt;=$A19,-'01_数值调参'!$S$24,0),IF('01_数值调参'!$T$7&lt;=$A19,-'01_数值调参'!$T$24,0),IF('01_数值调参'!$U$7&lt;=$A19,-'01_数值调参'!$U$24,0),IF('01_数值调参'!$V$7&lt;=$A19,-'01_数值调参'!$V$24,0),IF('01_数值调参'!$W$7&lt;=$A19,-'01_数值调参'!$W$24,0)),0),IF($A19&gt;=6,(E19+$C$3)*MAX(0,IF('01_数值调参'!$X$7&lt;=$A19,-'01_数值调参'!$X$24,0),IF('01_数值调参'!$Y$7&lt;=$A19,-'01_数值调参'!$Y$24,0),IF('01_数值调参'!$Z$7&lt;=$A19,-'01_数值调参'!$Z$24,0),IF('01_数值调参'!$AA$7&lt;=$A19,-'01_数值调参'!$AA$24,0),IF('01_数值调参'!$AB$7&lt;=$A19,-'01_数值调参'!$AB$24,0),IF('01_数值调参'!$AC$7&lt;=$A19,-'01_数值调参'!$AC$24,0)),0),IF($A19&gt;=8,(F19+$C$3)*MAX(0,IF('01_数值调参'!$AD$7&lt;=$A19,-'01_数值调参'!$AD$24,0),IF('01_数值调参'!$AE$7&lt;=$A19,-'01_数值调参'!$AE$24,0),IF('01_数值调参'!$AF$7&lt;=$A19,-'01_数值调参'!$AF$24,0),IF('01_数值调参'!$AG$7&lt;=$A19,-'01_数值调参'!$AG$24,0)),0),IF($A19&gt;=10,(G19+$C$3)*MAX(0,IF('01_数值调参'!$AH$7&lt;=$A19,-'01_数值调参'!$AH$24,0),IF('01_数值调参'!$AI$7&lt;=$A19,-'01_数值调参'!$AI$24,0),IF('01_数值调参'!$AJ$7&lt;=$A19,-'01_数值调参'!$AJ$24,0),IF('01_数值调参'!$AK$7&lt;=$A19,-'01_数值调参'!$AK$24,0),IF('01_数值调参'!$AL$7&lt;=$A19,-'01_数值调参'!$AL$24,0),IF('01_数值调参'!$AM$7&lt;=$A19,-'01_数值调参'!$AM$24,0)),0),0)),"队列待修正"))</x:f>
        <x:v>9</x:v>
      </x:c>
      <x:c r="O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L$7,"—",SUM(IF($A19&gt;=2,(C19+$C$3)*MAX(0,IF('01_数值调参'!$N$7&lt;=$A19,-'01_数值调参'!$N$25,0),IF('01_数值调参'!$O$7&lt;=$A19,-'01_数值调参'!$O$25,0),IF('01_数值调参'!$P$7&lt;=$A19,-'01_数值调参'!$P$25,0),IF('01_数值调参'!$Q$7&lt;=$A19,-'01_数值调参'!$Q$25,0),IF('01_数值调参'!$R$7&lt;=$A19,-'01_数值调参'!$R$25,0)),0),IF($A19&gt;=4,(D19+$C$3)*MAX(0,IF('01_数值调参'!$S$7&lt;=$A19,-'01_数值调参'!$S$25,0),IF('01_数值调参'!$T$7&lt;=$A19,-'01_数值调参'!$T$25,0),IF('01_数值调参'!$U$7&lt;=$A19,-'01_数值调参'!$U$25,0),IF('01_数值调参'!$V$7&lt;=$A19,-'01_数值调参'!$V$25,0),IF('01_数值调参'!$W$7&lt;=$A19,-'01_数值调参'!$W$25,0)),0),IF($A19&gt;=6,(E19+$C$3)*MAX(0,IF('01_数值调参'!$X$7&lt;=$A19,-'01_数值调参'!$X$25,0),IF('01_数值调参'!$Y$7&lt;=$A19,-'01_数值调参'!$Y$25,0),IF('01_数值调参'!$Z$7&lt;=$A19,-'01_数值调参'!$Z$25,0),IF('01_数值调参'!$AA$7&lt;=$A19,-'01_数值调参'!$AA$25,0),IF('01_数值调参'!$AB$7&lt;=$A19,-'01_数值调参'!$AB$25,0),IF('01_数值调参'!$AC$7&lt;=$A19,-'01_数值调参'!$AC$25,0)),0),IF($A19&gt;=8,(F19+$C$3)*MAX(0,IF('01_数值调参'!$AD$7&lt;=$A19,-'01_数值调参'!$AD$25,0),IF('01_数值调参'!$AE$7&lt;=$A19,-'01_数值调参'!$AE$25,0),IF('01_数值调参'!$AF$7&lt;=$A19,-'01_数值调参'!$AF$25,0),IF('01_数值调参'!$AG$7&lt;=$A19,-'01_数值调参'!$AG$25,0)),0),IF($A19&gt;=10,(G19+$C$3)*MAX(0,IF('01_数值调参'!$AH$7&lt;=$A19,-'01_数值调参'!$AH$25,0),IF('01_数值调参'!$AI$7&lt;=$A19,-'01_数值调参'!$AI$25,0),IF('01_数值调参'!$AJ$7&lt;=$A19,-'01_数值调参'!$AJ$25,0),IF('01_数值调参'!$AK$7&lt;=$A19,-'01_数值调参'!$AK$25,0),IF('01_数值调参'!$AL$7&lt;=$A19,-'01_数值调参'!$AL$25,0),IF('01_数值调参'!$AM$7&lt;=$A19,-'01_数值调参'!$AM$25,0)),0),0)),"队列待修正"))</x:f>
        <x:v>—</x:v>
      </x:c>
      <x:c r="P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M$7,"—",SUM(IF($A19&gt;=2,(C19+$C$3)*MAX(0,IF('01_数值调参'!$N$7&lt;=$A19,-'01_数值调参'!$N$26,0),IF('01_数值调参'!$O$7&lt;=$A19,-'01_数值调参'!$O$26,0),IF('01_数值调参'!$P$7&lt;=$A19,-'01_数值调参'!$P$26,0),IF('01_数值调参'!$Q$7&lt;=$A19,-'01_数值调参'!$Q$26,0),IF('01_数值调参'!$R$7&lt;=$A19,-'01_数值调参'!$R$26,0)),0),IF($A19&gt;=4,(D19+$C$3)*MAX(0,IF('01_数值调参'!$S$7&lt;=$A19,-'01_数值调参'!$S$26,0),IF('01_数值调参'!$T$7&lt;=$A19,-'01_数值调参'!$T$26,0),IF('01_数值调参'!$U$7&lt;=$A19,-'01_数值调参'!$U$26,0),IF('01_数值调参'!$V$7&lt;=$A19,-'01_数值调参'!$V$26,0),IF('01_数值调参'!$W$7&lt;=$A19,-'01_数值调参'!$W$26,0)),0),IF($A19&gt;=6,(E19+$C$3)*MAX(0,IF('01_数值调参'!$X$7&lt;=$A19,-'01_数值调参'!$X$26,0),IF('01_数值调参'!$Y$7&lt;=$A19,-'01_数值调参'!$Y$26,0),IF('01_数值调参'!$Z$7&lt;=$A19,-'01_数值调参'!$Z$26,0),IF('01_数值调参'!$AA$7&lt;=$A19,-'01_数值调参'!$AA$26,0),IF('01_数值调参'!$AB$7&lt;=$A19,-'01_数值调参'!$AB$26,0),IF('01_数值调参'!$AC$7&lt;=$A19,-'01_数值调参'!$AC$26,0)),0),IF($A19&gt;=8,(F19+$C$3)*MAX(0,IF('01_数值调参'!$AD$7&lt;=$A19,-'01_数值调参'!$AD$26,0),IF('01_数值调参'!$AE$7&lt;=$A19,-'01_数值调参'!$AE$26,0),IF('01_数值调参'!$AF$7&lt;=$A19,-'01_数值调参'!$AF$26,0),IF('01_数值调参'!$AG$7&lt;=$A19,-'01_数值调参'!$AG$26,0)),0),IF($A19&gt;=10,(G19+$C$3)*MAX(0,IF('01_数值调参'!$AH$7&lt;=$A19,-'01_数值调参'!$AH$26,0),IF('01_数值调参'!$AI$7&lt;=$A19,-'01_数值调参'!$AI$26,0),IF('01_数值调参'!$AJ$7&lt;=$A19,-'01_数值调参'!$AJ$26,0),IF('01_数值调参'!$AK$7&lt;=$A19,-'01_数值调参'!$AK$26,0),IF('01_数值调参'!$AL$7&lt;=$A19,-'01_数值调参'!$AL$26,0),IF('01_数值调参'!$AM$7&lt;=$A19,-'01_数值调参'!$AM$26,0)),0),0)),"队列待修正"))</x:f>
        <x:v>—</x:v>
      </x:c>
      <x:c r="Q19" s="191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N$7,"—",SUM(IF($A19&gt;=2,(C19+$C$3)*MAX(0,IF('01_数值调参'!$N$7&lt;=$A19,0,0),IF('01_数值调参'!$O$7&lt;=$A19,-'01_数值调参'!$O$27,0),IF('01_数值调参'!$P$7&lt;=$A19,-'01_数值调参'!$P$27,0),IF('01_数值调参'!$Q$7&lt;=$A19,-'01_数值调参'!$Q$27,0),IF('01_数值调参'!$R$7&lt;=$A19,-'01_数值调参'!$R$27,0)),0),IF($A19&gt;=4,(D19+$C$3)*MAX(0,IF('01_数值调参'!$S$7&lt;=$A19,-'01_数值调参'!$S$27,0),IF('01_数值调参'!$T$7&lt;=$A19,-'01_数值调参'!$T$27,0),IF('01_数值调参'!$U$7&lt;=$A19,-'01_数值调参'!$U$27,0),IF('01_数值调参'!$V$7&lt;=$A19,-'01_数值调参'!$V$27,0),IF('01_数值调参'!$W$7&lt;=$A19,-'01_数值调参'!$W$27,0)),0),IF($A19&gt;=6,(E19+$C$3)*MAX(0,IF('01_数值调参'!$X$7&lt;=$A19,-'01_数值调参'!$X$27,0),IF('01_数值调参'!$Y$7&lt;=$A19,-'01_数值调参'!$Y$27,0),IF('01_数值调参'!$Z$7&lt;=$A19,-'01_数值调参'!$Z$27,0),IF('01_数值调参'!$AA$7&lt;=$A19,-'01_数值调参'!$AA$27,0),IF('01_数值调参'!$AB$7&lt;=$A19,-'01_数值调参'!$AB$27,0),IF('01_数值调参'!$AC$7&lt;=$A19,-'01_数值调参'!$AC$27,0)),0),IF($A19&gt;=8,(F19+$C$3)*MAX(0,IF('01_数值调参'!$AD$7&lt;=$A19,-'01_数值调参'!$AD$27,0),IF('01_数值调参'!$AE$7&lt;=$A19,-'01_数值调参'!$AE$27,0),IF('01_数值调参'!$AF$7&lt;=$A19,-'01_数值调参'!$AF$27,0),IF('01_数值调参'!$AG$7&lt;=$A19,-'01_数值调参'!$AG$27,0)),0),IF($A19&gt;=10,(G19+$C$3)*MAX(0,IF('01_数值调参'!$AH$7&lt;=$A19,-'01_数值调参'!$AH$27,0),IF('01_数值调参'!$AI$7&lt;=$A19,-'01_数值调参'!$AI$27,0),IF('01_数值调参'!$AJ$7&lt;=$A19,-'01_数值调参'!$AJ$27,0),IF('01_数值调参'!$AK$7&lt;=$A19,-'01_数值调参'!$AK$27,0),IF('01_数值调参'!$AL$7&lt;=$A19,-'01_数值调参'!$AL$27,0),IF('01_数值调参'!$AM$7&lt;=$A19,-'01_数值调参'!$AM$27,0)),0),0)),"队列待修正"))</x:f>
        <x:v>3</x:v>
      </x:c>
      <x:c r="R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O$7,"—",SUM(IF($A19&gt;=2,(C19+$C$3)*MAX(0,IF('01_数值调参'!$N$7&lt;=$A19,-'01_数值调参'!$N$28,0),IF('01_数值调参'!$O$7&lt;=$A19,0,0),IF('01_数值调参'!$P$7&lt;=$A19,-'01_数值调参'!$P$28,0),IF('01_数值调参'!$Q$7&lt;=$A19,-'01_数值调参'!$Q$28,0),IF('01_数值调参'!$R$7&lt;=$A19,-'01_数值调参'!$R$28,0)),0),IF($A19&gt;=4,(D19+$C$3)*MAX(0,IF('01_数值调参'!$S$7&lt;=$A19,-'01_数值调参'!$S$28,0),IF('01_数值调参'!$T$7&lt;=$A19,-'01_数值调参'!$T$28,0),IF('01_数值调参'!$U$7&lt;=$A19,-'01_数值调参'!$U$28,0),IF('01_数值调参'!$V$7&lt;=$A19,-'01_数值调参'!$V$28,0),IF('01_数值调参'!$W$7&lt;=$A19,-'01_数值调参'!$W$28,0)),0),IF($A19&gt;=6,(E19+$C$3)*MAX(0,IF('01_数值调参'!$X$7&lt;=$A19,-'01_数值调参'!$X$28,0),IF('01_数值调参'!$Y$7&lt;=$A19,-'01_数值调参'!$Y$28,0),IF('01_数值调参'!$Z$7&lt;=$A19,-'01_数值调参'!$Z$28,0),IF('01_数值调参'!$AA$7&lt;=$A19,-'01_数值调参'!$AA$28,0),IF('01_数值调参'!$AB$7&lt;=$A19,-'01_数值调参'!$AB$28,0),IF('01_数值调参'!$AC$7&lt;=$A19,-'01_数值调参'!$AC$28,0)),0),IF($A19&gt;=8,(F19+$C$3)*MAX(0,IF('01_数值调参'!$AD$7&lt;=$A19,-'01_数值调参'!$AD$28,0),IF('01_数值调参'!$AE$7&lt;=$A19,-'01_数值调参'!$AE$28,0),IF('01_数值调参'!$AF$7&lt;=$A19,-'01_数值调参'!$AF$28,0),IF('01_数值调参'!$AG$7&lt;=$A19,-'01_数值调参'!$AG$28,0)),0),IF($A19&gt;=10,(G19+$C$3)*MAX(0,IF('01_数值调参'!$AH$7&lt;=$A19,-'01_数值调参'!$AH$28,0),IF('01_数值调参'!$AI$7&lt;=$A19,-'01_数值调参'!$AI$28,0),IF('01_数值调参'!$AJ$7&lt;=$A19,-'01_数值调参'!$AJ$28,0),IF('01_数值调参'!$AK$7&lt;=$A19,-'01_数值调参'!$AK$28,0),IF('01_数值调参'!$AL$7&lt;=$A19,-'01_数值调参'!$AL$28,0),IF('01_数值调参'!$AM$7&lt;=$A19,-'01_数值调参'!$AM$28,0)),0),0)),"队列待修正"))</x:f>
        <x:v>3</x:v>
      </x:c>
      <x:c r="S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P$7,"—",SUM(IF($A19&gt;=2,(C19+$C$3)*MAX(0,IF('01_数值调参'!$N$7&lt;=$A19,-'01_数值调参'!$N$29,0),IF('01_数值调参'!$O$7&lt;=$A19,-'01_数值调参'!$O$29,0),IF('01_数值调参'!$P$7&lt;=$A19,0,0),IF('01_数值调参'!$Q$7&lt;=$A19,-'01_数值调参'!$Q$29,0),IF('01_数值调参'!$R$7&lt;=$A19,-'01_数值调参'!$R$29,0)),0),IF($A19&gt;=4,(D19+$C$3)*MAX(0,IF('01_数值调参'!$S$7&lt;=$A19,-'01_数值调参'!$S$29,0),IF('01_数值调参'!$T$7&lt;=$A19,-'01_数值调参'!$T$29,0),IF('01_数值调参'!$U$7&lt;=$A19,-'01_数值调参'!$U$29,0),IF('01_数值调参'!$V$7&lt;=$A19,-'01_数值调参'!$V$29,0),IF('01_数值调参'!$W$7&lt;=$A19,-'01_数值调参'!$W$29,0)),0),IF($A19&gt;=6,(E19+$C$3)*MAX(0,IF('01_数值调参'!$X$7&lt;=$A19,-'01_数值调参'!$X$29,0),IF('01_数值调参'!$Y$7&lt;=$A19,-'01_数值调参'!$Y$29,0),IF('01_数值调参'!$Z$7&lt;=$A19,-'01_数值调参'!$Z$29,0),IF('01_数值调参'!$AA$7&lt;=$A19,-'01_数值调参'!$AA$29,0),IF('01_数值调参'!$AB$7&lt;=$A19,-'01_数值调参'!$AB$29,0),IF('01_数值调参'!$AC$7&lt;=$A19,-'01_数值调参'!$AC$29,0)),0),IF($A19&gt;=8,(F19+$C$3)*MAX(0,IF('01_数值调参'!$AD$7&lt;=$A19,-'01_数值调参'!$AD$29,0),IF('01_数值调参'!$AE$7&lt;=$A19,-'01_数值调参'!$AE$29,0),IF('01_数值调参'!$AF$7&lt;=$A19,-'01_数值调参'!$AF$29,0),IF('01_数值调参'!$AG$7&lt;=$A19,-'01_数值调参'!$AG$29,0)),0),IF($A19&gt;=10,(G19+$C$3)*MAX(0,IF('01_数值调参'!$AH$7&lt;=$A19,-'01_数值调参'!$AH$29,0),IF('01_数值调参'!$AI$7&lt;=$A19,-'01_数值调参'!$AI$29,0),IF('01_数值调参'!$AJ$7&lt;=$A19,-'01_数值调参'!$AJ$29,0),IF('01_数值调参'!$AK$7&lt;=$A19,-'01_数值调参'!$AK$29,0),IF('01_数值调参'!$AL$7&lt;=$A19,-'01_数值调参'!$AL$29,0),IF('01_数值调参'!$AM$7&lt;=$A19,-'01_数值调参'!$AM$29,0)),0),0)),"队列待修正"))</x:f>
        <x:v>3</x:v>
      </x:c>
      <x:c r="T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Q$7,"—",SUM(IF($A19&gt;=2,(C19+$C$3)*MAX(0,IF('01_数值调参'!$N$7&lt;=$A19,-'01_数值调参'!$N$30,0),IF('01_数值调参'!$O$7&lt;=$A19,-'01_数值调参'!$O$30,0),IF('01_数值调参'!$P$7&lt;=$A19,-'01_数值调参'!$P$30,0),IF('01_数值调参'!$Q$7&lt;=$A19,0,0),IF('01_数值调参'!$R$7&lt;=$A19,-'01_数值调参'!$R$30,0)),0),IF($A19&gt;=4,(D19+$C$3)*MAX(0,IF('01_数值调参'!$S$7&lt;=$A19,-'01_数值调参'!$S$30,0),IF('01_数值调参'!$T$7&lt;=$A19,-'01_数值调参'!$T$30,0),IF('01_数值调参'!$U$7&lt;=$A19,-'01_数值调参'!$U$30,0),IF('01_数值调参'!$V$7&lt;=$A19,-'01_数值调参'!$V$30,0),IF('01_数值调参'!$W$7&lt;=$A19,-'01_数值调参'!$W$30,0)),0),IF($A19&gt;=6,(E19+$C$3)*MAX(0,IF('01_数值调参'!$X$7&lt;=$A19,-'01_数值调参'!$X$30,0),IF('01_数值调参'!$Y$7&lt;=$A19,-'01_数值调参'!$Y$30,0),IF('01_数值调参'!$Z$7&lt;=$A19,-'01_数值调参'!$Z$30,0),IF('01_数值调参'!$AA$7&lt;=$A19,-'01_数值调参'!$AA$30,0),IF('01_数值调参'!$AB$7&lt;=$A19,-'01_数值调参'!$AB$30,0),IF('01_数值调参'!$AC$7&lt;=$A19,-'01_数值调参'!$AC$30,0)),0),IF($A19&gt;=8,(F19+$C$3)*MAX(0,IF('01_数值调参'!$AD$7&lt;=$A19,-'01_数值调参'!$AD$30,0),IF('01_数值调参'!$AE$7&lt;=$A19,-'01_数值调参'!$AE$30,0),IF('01_数值调参'!$AF$7&lt;=$A19,-'01_数值调参'!$AF$30,0),IF('01_数值调参'!$AG$7&lt;=$A19,-'01_数值调参'!$AG$30,0)),0),IF($A19&gt;=10,(G19+$C$3)*MAX(0,IF('01_数值调参'!$AH$7&lt;=$A19,-'01_数值调参'!$AH$30,0),IF('01_数值调参'!$AI$7&lt;=$A19,-'01_数值调参'!$AI$30,0),IF('01_数值调参'!$AJ$7&lt;=$A19,-'01_数值调参'!$AJ$30,0),IF('01_数值调参'!$AK$7&lt;=$A19,-'01_数值调参'!$AK$30,0),IF('01_数值调参'!$AL$7&lt;=$A19,-'01_数值调参'!$AL$30,0),IF('01_数值调参'!$AM$7&lt;=$A19,-'01_数值调参'!$AM$30,0)),0),0)),"队列待修正"))</x:f>
        <x:v>0</x:v>
      </x:c>
      <x:c r="U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R$7,"—",SUM(IF($A19&gt;=2,(C19+$C$3)*MAX(0,IF('01_数值调参'!$N$7&lt;=$A19,-'01_数值调参'!$N$31,0),IF('01_数值调参'!$O$7&lt;=$A19,-'01_数值调参'!$O$31,0),IF('01_数值调参'!$P$7&lt;=$A19,-'01_数值调参'!$P$31,0),IF('01_数值调参'!$Q$7&lt;=$A19,-'01_数值调参'!$Q$31,0),IF('01_数值调参'!$R$7&lt;=$A19,0,0)),0),IF($A19&gt;=4,(D19+$C$3)*MAX(0,IF('01_数值调参'!$S$7&lt;=$A19,-'01_数值调参'!$S$31,0),IF('01_数值调参'!$T$7&lt;=$A19,-'01_数值调参'!$T$31,0),IF('01_数值调参'!$U$7&lt;=$A19,-'01_数值调参'!$U$31,0),IF('01_数值调参'!$V$7&lt;=$A19,-'01_数值调参'!$V$31,0),IF('01_数值调参'!$W$7&lt;=$A19,-'01_数值调参'!$W$31,0)),0),IF($A19&gt;=6,(E19+$C$3)*MAX(0,IF('01_数值调参'!$X$7&lt;=$A19,-'01_数值调参'!$X$31,0),IF('01_数值调参'!$Y$7&lt;=$A19,-'01_数值调参'!$Y$31,0),IF('01_数值调参'!$Z$7&lt;=$A19,-'01_数值调参'!$Z$31,0),IF('01_数值调参'!$AA$7&lt;=$A19,-'01_数值调参'!$AA$31,0),IF('01_数值调参'!$AB$7&lt;=$A19,-'01_数值调参'!$AB$31,0),IF('01_数值调参'!$AC$7&lt;=$A19,-'01_数值调参'!$AC$31,0)),0),IF($A19&gt;=8,(F19+$C$3)*MAX(0,IF('01_数值调参'!$AD$7&lt;=$A19,-'01_数值调参'!$AD$31,0),IF('01_数值调参'!$AE$7&lt;=$A19,-'01_数值调参'!$AE$31,0),IF('01_数值调参'!$AF$7&lt;=$A19,-'01_数值调参'!$AF$31,0),IF('01_数值调参'!$AG$7&lt;=$A19,-'01_数值调参'!$AG$31,0)),0),IF($A19&gt;=10,(G19+$C$3)*MAX(0,IF('01_数值调参'!$AH$7&lt;=$A19,-'01_数值调参'!$AH$31,0),IF('01_数值调参'!$AI$7&lt;=$A19,-'01_数值调参'!$AI$31,0),IF('01_数值调参'!$AJ$7&lt;=$A19,-'01_数值调参'!$AJ$31,0),IF('01_数值调参'!$AK$7&lt;=$A19,-'01_数值调参'!$AK$31,0),IF('01_数值调参'!$AL$7&lt;=$A19,-'01_数值调参'!$AL$31,0),IF('01_数值调参'!$AM$7&lt;=$A19,-'01_数值调参'!$AM$31,0)),0),0)),"队列待修正"))</x:f>
        <x:v>—</x:v>
      </x:c>
      <x:c r="V19" s="191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S$7,"—",SUM(IF($A19&gt;=2,(C19+$C$3)*MAX(0,IF('01_数值调参'!$N$7&lt;=$A19,-'01_数值调参'!$N$32,0),IF('01_数值调参'!$O$7&lt;=$A19,-'01_数值调参'!$O$32,0),IF('01_数值调参'!$P$7&lt;=$A19,-'01_数值调参'!$P$32,0),IF('01_数值调参'!$Q$7&lt;=$A19,-'01_数值调参'!$Q$32,0),IF('01_数值调参'!$R$7&lt;=$A19,-'01_数值调参'!$R$32,0)),0),IF($A19&gt;=4,(D19+$C$3)*MAX(0,IF('01_数值调参'!$S$7&lt;=$A19,0,0),IF('01_数值调参'!$T$7&lt;=$A19,-'01_数值调参'!$T$32,0),IF('01_数值调参'!$U$7&lt;=$A19,-'01_数值调参'!$U$32,0),IF('01_数值调参'!$V$7&lt;=$A19,-'01_数值调参'!$V$32,0),IF('01_数值调参'!$W$7&lt;=$A19,-'01_数值调参'!$W$32,0)),0),IF($A19&gt;=6,(E19+$C$3)*MAX(0,IF('01_数值调参'!$X$7&lt;=$A19,-'01_数值调参'!$X$32,0),IF('01_数值调参'!$Y$7&lt;=$A19,-'01_数值调参'!$Y$32,0),IF('01_数值调参'!$Z$7&lt;=$A19,-'01_数值调参'!$Z$32,0),IF('01_数值调参'!$AA$7&lt;=$A19,-'01_数值调参'!$AA$32,0),IF('01_数值调参'!$AB$7&lt;=$A19,-'01_数值调参'!$AB$32,0),IF('01_数值调参'!$AC$7&lt;=$A19,-'01_数值调参'!$AC$32,0)),0),IF($A19&gt;=8,(F19+$C$3)*MAX(0,IF('01_数值调参'!$AD$7&lt;=$A19,-'01_数值调参'!$AD$32,0),IF('01_数值调参'!$AE$7&lt;=$A19,-'01_数值调参'!$AE$32,0),IF('01_数值调参'!$AF$7&lt;=$A19,-'01_数值调参'!$AF$32,0),IF('01_数值调参'!$AG$7&lt;=$A19,-'01_数值调参'!$AG$32,0)),0),IF($A19&gt;=10,(G19+$C$3)*MAX(0,IF('01_数值调参'!$AH$7&lt;=$A19,-'01_数值调参'!$AH$32,0),IF('01_数值调参'!$AI$7&lt;=$A19,-'01_数值调参'!$AI$32,0),IF('01_数值调参'!$AJ$7&lt;=$A19,-'01_数值调参'!$AJ$32,0),IF('01_数值调参'!$AK$7&lt;=$A19,-'01_数值调参'!$AK$32,0),IF('01_数值调参'!$AL$7&lt;=$A19,-'01_数值调参'!$AL$32,0),IF('01_数值调参'!$AM$7&lt;=$A19,-'01_数值调参'!$AM$32,0)),0),0)),"队列待修正"))</x:f>
        <x:v>6</x:v>
      </x:c>
      <x:c r="W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T$7,"—",SUM(IF($A19&gt;=2,(C19+$C$3)*MAX(0,IF('01_数值调参'!$N$7&lt;=$A19,-'01_数值调参'!$N$33,0),IF('01_数值调参'!$O$7&lt;=$A19,-'01_数值调参'!$O$33,0),IF('01_数值调参'!$P$7&lt;=$A19,-'01_数值调参'!$P$33,0),IF('01_数值调参'!$Q$7&lt;=$A19,-'01_数值调参'!$Q$33,0),IF('01_数值调参'!$R$7&lt;=$A19,-'01_数值调参'!$R$33,0)),0),IF($A19&gt;=4,(D19+$C$3)*MAX(0,IF('01_数值调参'!$S$7&lt;=$A19,-'01_数值调参'!$S$33,0),IF('01_数值调参'!$T$7&lt;=$A19,0,0),IF('01_数值调参'!$U$7&lt;=$A19,-'01_数值调参'!$U$33,0),IF('01_数值调参'!$V$7&lt;=$A19,-'01_数值调参'!$V$33,0),IF('01_数值调参'!$W$7&lt;=$A19,-'01_数值调参'!$W$33,0)),0),IF($A19&gt;=6,(E19+$C$3)*MAX(0,IF('01_数值调参'!$X$7&lt;=$A19,-'01_数值调参'!$X$33,0),IF('01_数值调参'!$Y$7&lt;=$A19,-'01_数值调参'!$Y$33,0),IF('01_数值调参'!$Z$7&lt;=$A19,-'01_数值调参'!$Z$33,0),IF('01_数值调参'!$AA$7&lt;=$A19,-'01_数值调参'!$AA$33,0),IF('01_数值调参'!$AB$7&lt;=$A19,-'01_数值调参'!$AB$33,0),IF('01_数值调参'!$AC$7&lt;=$A19,-'01_数值调参'!$AC$33,0)),0),IF($A19&gt;=8,(F19+$C$3)*MAX(0,IF('01_数值调参'!$AD$7&lt;=$A19,-'01_数值调参'!$AD$33,0),IF('01_数值调参'!$AE$7&lt;=$A19,-'01_数值调参'!$AE$33,0),IF('01_数值调参'!$AF$7&lt;=$A19,-'01_数值调参'!$AF$33,0),IF('01_数值调参'!$AG$7&lt;=$A19,-'01_数值调参'!$AG$33,0)),0),IF($A19&gt;=10,(G19+$C$3)*MAX(0,IF('01_数值调参'!$AH$7&lt;=$A19,-'01_数值调参'!$AH$33,0),IF('01_数值调参'!$AI$7&lt;=$A19,-'01_数值调参'!$AI$33,0),IF('01_数值调参'!$AJ$7&lt;=$A19,-'01_数值调参'!$AJ$33,0),IF('01_数值调参'!$AK$7&lt;=$A19,-'01_数值调参'!$AK$33,0),IF('01_数值调参'!$AL$7&lt;=$A19,-'01_数值调参'!$AL$33,0),IF('01_数值调参'!$AM$7&lt;=$A19,-'01_数值调参'!$AM$33,0)),0),0)),"队列待修正"))</x:f>
        <x:v>3</x:v>
      </x:c>
      <x:c r="X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U$7,"—",SUM(IF($A19&gt;=2,(C19+$C$3)*MAX(0,IF('01_数值调参'!$N$7&lt;=$A19,-'01_数值调参'!$N$34,0),IF('01_数值调参'!$O$7&lt;=$A19,-'01_数值调参'!$O$34,0),IF('01_数值调参'!$P$7&lt;=$A19,-'01_数值调参'!$P$34,0),IF('01_数值调参'!$Q$7&lt;=$A19,-'01_数值调参'!$Q$34,0),IF('01_数值调参'!$R$7&lt;=$A19,-'01_数值调参'!$R$34,0)),0),IF($A19&gt;=4,(D19+$C$3)*MAX(0,IF('01_数值调参'!$S$7&lt;=$A19,-'01_数值调参'!$S$34,0),IF('01_数值调参'!$T$7&lt;=$A19,-'01_数值调参'!$T$34,0),IF('01_数值调参'!$U$7&lt;=$A19,0,0),IF('01_数值调参'!$V$7&lt;=$A19,-'01_数值调参'!$V$34,0),IF('01_数值调参'!$W$7&lt;=$A19,-'01_数值调参'!$W$34,0)),0),IF($A19&gt;=6,(E19+$C$3)*MAX(0,IF('01_数值调参'!$X$7&lt;=$A19,-'01_数值调参'!$X$34,0),IF('01_数值调参'!$Y$7&lt;=$A19,-'01_数值调参'!$Y$34,0),IF('01_数值调参'!$Z$7&lt;=$A19,-'01_数值调参'!$Z$34,0),IF('01_数值调参'!$AA$7&lt;=$A19,-'01_数值调参'!$AA$34,0),IF('01_数值调参'!$AB$7&lt;=$A19,-'01_数值调参'!$AB$34,0),IF('01_数值调参'!$AC$7&lt;=$A19,-'01_数值调参'!$AC$34,0)),0),IF($A19&gt;=8,(F19+$C$3)*MAX(0,IF('01_数值调参'!$AD$7&lt;=$A19,-'01_数值调参'!$AD$34,0),IF('01_数值调参'!$AE$7&lt;=$A19,-'01_数值调参'!$AE$34,0),IF('01_数值调参'!$AF$7&lt;=$A19,-'01_数值调参'!$AF$34,0),IF('01_数值调参'!$AG$7&lt;=$A19,-'01_数值调参'!$AG$34,0)),0),IF($A19&gt;=10,(G19+$C$3)*MAX(0,IF('01_数值调参'!$AH$7&lt;=$A19,-'01_数值调参'!$AH$34,0),IF('01_数值调参'!$AI$7&lt;=$A19,-'01_数值调参'!$AI$34,0),IF('01_数值调参'!$AJ$7&lt;=$A19,-'01_数值调参'!$AJ$34,0),IF('01_数值调参'!$AK$7&lt;=$A19,-'01_数值调参'!$AK$34,0),IF('01_数值调参'!$AL$7&lt;=$A19,-'01_数值调参'!$AL$34,0),IF('01_数值调参'!$AM$7&lt;=$A19,-'01_数值调参'!$AM$34,0)),0),0)),"队列待修正"))</x:f>
        <x:v>0</x:v>
      </x:c>
      <x:c r="Y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V$7,"—",SUM(IF($A19&gt;=2,(C19+$C$3)*MAX(0,IF('01_数值调参'!$N$7&lt;=$A19,-'01_数值调参'!$N$35,0),IF('01_数值调参'!$O$7&lt;=$A19,-'01_数值调参'!$O$35,0),IF('01_数值调参'!$P$7&lt;=$A19,-'01_数值调参'!$P$35,0),IF('01_数值调参'!$Q$7&lt;=$A19,-'01_数值调参'!$Q$35,0),IF('01_数值调参'!$R$7&lt;=$A19,-'01_数值调参'!$R$35,0)),0),IF($A19&gt;=4,(D19+$C$3)*MAX(0,IF('01_数值调参'!$S$7&lt;=$A19,-'01_数值调参'!$S$35,0),IF('01_数值调参'!$T$7&lt;=$A19,-'01_数值调参'!$T$35,0),IF('01_数值调参'!$U$7&lt;=$A19,-'01_数值调参'!$U$35,0),IF('01_数值调参'!$V$7&lt;=$A19,0,0),IF('01_数值调参'!$W$7&lt;=$A19,-'01_数值调参'!$W$35,0)),0),IF($A19&gt;=6,(E19+$C$3)*MAX(0,IF('01_数值调参'!$X$7&lt;=$A19,-'01_数值调参'!$X$35,0),IF('01_数值调参'!$Y$7&lt;=$A19,-'01_数值调参'!$Y$35,0),IF('01_数值调参'!$Z$7&lt;=$A19,-'01_数值调参'!$Z$35,0),IF('01_数值调参'!$AA$7&lt;=$A19,-'01_数值调参'!$AA$35,0),IF('01_数值调参'!$AB$7&lt;=$A19,-'01_数值调参'!$AB$35,0),IF('01_数值调参'!$AC$7&lt;=$A19,-'01_数值调参'!$AC$35,0)),0),IF($A19&gt;=8,(F19+$C$3)*MAX(0,IF('01_数值调参'!$AD$7&lt;=$A19,-'01_数值调参'!$AD$35,0),IF('01_数值调参'!$AE$7&lt;=$A19,-'01_数值调参'!$AE$35,0),IF('01_数值调参'!$AF$7&lt;=$A19,-'01_数值调参'!$AF$35,0),IF('01_数值调参'!$AG$7&lt;=$A19,-'01_数值调参'!$AG$35,0)),0),IF($A19&gt;=10,(G19+$C$3)*MAX(0,IF('01_数值调参'!$AH$7&lt;=$A19,-'01_数值调参'!$AH$35,0),IF('01_数值调参'!$AI$7&lt;=$A19,-'01_数值调参'!$AI$35,0),IF('01_数值调参'!$AJ$7&lt;=$A19,-'01_数值调参'!$AJ$35,0),IF('01_数值调参'!$AK$7&lt;=$A19,-'01_数值调参'!$AK$35,0),IF('01_数值调参'!$AL$7&lt;=$A19,-'01_数值调参'!$AL$35,0),IF('01_数值调参'!$AM$7&lt;=$A19,-'01_数值调参'!$AM$35,0)),0),0)),"队列待修正"))</x:f>
        <x:v>—</x:v>
      </x:c>
      <x:c r="Z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W$7,"—",SUM(IF($A19&gt;=2,(C19+$C$3)*MAX(0,IF('01_数值调参'!$N$7&lt;=$A19,-'01_数值调参'!$N$36,0),IF('01_数值调参'!$O$7&lt;=$A19,-'01_数值调参'!$O$36,0),IF('01_数值调参'!$P$7&lt;=$A19,-'01_数值调参'!$P$36,0),IF('01_数值调参'!$Q$7&lt;=$A19,-'01_数值调参'!$Q$36,0),IF('01_数值调参'!$R$7&lt;=$A19,-'01_数值调参'!$R$36,0)),0),IF($A19&gt;=4,(D19+$C$3)*MAX(0,IF('01_数值调参'!$S$7&lt;=$A19,-'01_数值调参'!$S$36,0),IF('01_数值调参'!$T$7&lt;=$A19,-'01_数值调参'!$T$36,0),IF('01_数值调参'!$U$7&lt;=$A19,-'01_数值调参'!$U$36,0),IF('01_数值调参'!$V$7&lt;=$A19,-'01_数值调参'!$V$36,0),IF('01_数值调参'!$W$7&lt;=$A19,0,0)),0),IF($A19&gt;=6,(E19+$C$3)*MAX(0,IF('01_数值调参'!$X$7&lt;=$A19,-'01_数值调参'!$X$36,0),IF('01_数值调参'!$Y$7&lt;=$A19,-'01_数值调参'!$Y$36,0),IF('01_数值调参'!$Z$7&lt;=$A19,-'01_数值调参'!$Z$36,0),IF('01_数值调参'!$AA$7&lt;=$A19,-'01_数值调参'!$AA$36,0),IF('01_数值调参'!$AB$7&lt;=$A19,-'01_数值调参'!$AB$36,0),IF('01_数值调参'!$AC$7&lt;=$A19,-'01_数值调参'!$AC$36,0)),0),IF($A19&gt;=8,(F19+$C$3)*MAX(0,IF('01_数值调参'!$AD$7&lt;=$A19,-'01_数值调参'!$AD$36,0),IF('01_数值调参'!$AE$7&lt;=$A19,-'01_数值调参'!$AE$36,0),IF('01_数值调参'!$AF$7&lt;=$A19,-'01_数值调参'!$AF$36,0),IF('01_数值调参'!$AG$7&lt;=$A19,-'01_数值调参'!$AG$36,0)),0),IF($A19&gt;=10,(G19+$C$3)*MAX(0,IF('01_数值调参'!$AH$7&lt;=$A19,-'01_数值调参'!$AH$36,0),IF('01_数值调参'!$AI$7&lt;=$A19,-'01_数值调参'!$AI$36,0),IF('01_数值调参'!$AJ$7&lt;=$A19,-'01_数值调参'!$AJ$36,0),IF('01_数值调参'!$AK$7&lt;=$A19,-'01_数值调参'!$AK$36,0),IF('01_数值调参'!$AL$7&lt;=$A19,-'01_数值调参'!$AL$36,0),IF('01_数值调参'!$AM$7&lt;=$A19,-'01_数值调参'!$AM$36,0)),0),0)),"队列待修正"))</x:f>
        <x:v>—</x:v>
      </x:c>
      <x:c r="AA19" s="191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X$7,"—",SUM(IF($A19&gt;=2,(C19+$C$3)*MAX(0,IF('01_数值调参'!$N$7&lt;=$A19,-'01_数值调参'!$N$37,0),IF('01_数值调参'!$O$7&lt;=$A19,-'01_数值调参'!$O$37,0),IF('01_数值调参'!$P$7&lt;=$A19,-'01_数值调参'!$P$37,0),IF('01_数值调参'!$Q$7&lt;=$A19,-'01_数值调参'!$Q$37,0),IF('01_数值调参'!$R$7&lt;=$A19,-'01_数值调参'!$R$37,0)),0),IF($A19&gt;=4,(D19+$C$3)*MAX(0,IF('01_数值调参'!$S$7&lt;=$A19,-'01_数值调参'!$S$37,0),IF('01_数值调参'!$T$7&lt;=$A19,-'01_数值调参'!$T$37,0),IF('01_数值调参'!$U$7&lt;=$A19,-'01_数值调参'!$U$37,0),IF('01_数值调参'!$V$7&lt;=$A19,-'01_数值调参'!$V$37,0),IF('01_数值调参'!$W$7&lt;=$A19,-'01_数值调参'!$W$37,0)),0),IF($A19&gt;=6,(E19+$C$3)*MAX(0,IF('01_数值调参'!$X$7&lt;=$A19,0,0),IF('01_数值调参'!$Y$7&lt;=$A19,-'01_数值调参'!$Y$37,0),IF('01_数值调参'!$Z$7&lt;=$A19,-'01_数值调参'!$Z$37,0),IF('01_数值调参'!$AA$7&lt;=$A19,-'01_数值调参'!$AA$37,0),IF('01_数值调参'!$AB$7&lt;=$A19,-'01_数值调参'!$AB$37,0),IF('01_数值调参'!$AC$7&lt;=$A19,-'01_数值调参'!$AC$37,0)),0),IF($A19&gt;=8,(F19+$C$3)*MAX(0,IF('01_数值调参'!$AD$7&lt;=$A19,-'01_数值调参'!$AD$37,0),IF('01_数值调参'!$AE$7&lt;=$A19,-'01_数值调参'!$AE$37,0),IF('01_数值调参'!$AF$7&lt;=$A19,-'01_数值调参'!$AF$37,0),IF('01_数值调参'!$AG$7&lt;=$A19,-'01_数值调参'!$AG$37,0)),0),IF($A19&gt;=10,(G19+$C$3)*MAX(0,IF('01_数值调参'!$AH$7&lt;=$A19,-'01_数值调参'!$AH$37,0),IF('01_数值调参'!$AI$7&lt;=$A19,-'01_数值调参'!$AI$37,0),IF('01_数值调参'!$AJ$7&lt;=$A19,-'01_数值调参'!$AJ$37,0),IF('01_数值调参'!$AK$7&lt;=$A19,-'01_数值调参'!$AK$37,0),IF('01_数值调参'!$AL$7&lt;=$A19,-'01_数值调参'!$AL$37,0),IF('01_数值调参'!$AM$7&lt;=$A19,-'01_数值调参'!$AM$37,0)),0),0)),"队列待修正"))</x:f>
        <x:v>0</x:v>
      </x:c>
      <x:c r="AB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Y$7,"—",SUM(IF($A19&gt;=2,(C19+$C$3)*MAX(0,IF('01_数值调参'!$N$7&lt;=$A19,-'01_数值调参'!$N$38,0),IF('01_数值调参'!$O$7&lt;=$A19,-'01_数值调参'!$O$38,0),IF('01_数值调参'!$P$7&lt;=$A19,-'01_数值调参'!$P$38,0),IF('01_数值调参'!$Q$7&lt;=$A19,-'01_数值调参'!$Q$38,0),IF('01_数值调参'!$R$7&lt;=$A19,-'01_数值调参'!$R$38,0)),0),IF($A19&gt;=4,(D19+$C$3)*MAX(0,IF('01_数值调参'!$S$7&lt;=$A19,-'01_数值调参'!$S$38,0),IF('01_数值调参'!$T$7&lt;=$A19,-'01_数值调参'!$T$38,0),IF('01_数值调参'!$U$7&lt;=$A19,-'01_数值调参'!$U$38,0),IF('01_数值调参'!$V$7&lt;=$A19,-'01_数值调参'!$V$38,0),IF('01_数值调参'!$W$7&lt;=$A19,-'01_数值调参'!$W$38,0)),0),IF($A19&gt;=6,(E19+$C$3)*MAX(0,IF('01_数值调参'!$X$7&lt;=$A19,-'01_数值调参'!$X$38,0),IF('01_数值调参'!$Y$7&lt;=$A19,0,0),IF('01_数值调参'!$Z$7&lt;=$A19,-'01_数值调参'!$Z$38,0),IF('01_数值调参'!$AA$7&lt;=$A19,-'01_数值调参'!$AA$38,0),IF('01_数值调参'!$AB$7&lt;=$A19,-'01_数值调参'!$AB$38,0),IF('01_数值调参'!$AC$7&lt;=$A19,-'01_数值调参'!$AC$38,0)),0),IF($A19&gt;=8,(F19+$C$3)*MAX(0,IF('01_数值调参'!$AD$7&lt;=$A19,-'01_数值调参'!$AD$38,0),IF('01_数值调参'!$AE$7&lt;=$A19,-'01_数值调参'!$AE$38,0),IF('01_数值调参'!$AF$7&lt;=$A19,-'01_数值调参'!$AF$38,0),IF('01_数值调参'!$AG$7&lt;=$A19,-'01_数值调参'!$AG$38,0)),0),IF($A19&gt;=10,(G19+$C$3)*MAX(0,IF('01_数值调参'!$AH$7&lt;=$A19,-'01_数值调参'!$AH$38,0),IF('01_数值调参'!$AI$7&lt;=$A19,-'01_数值调参'!$AI$38,0),IF('01_数值调参'!$AJ$7&lt;=$A19,-'01_数值调参'!$AJ$38,0),IF('01_数值调参'!$AK$7&lt;=$A19,-'01_数值调参'!$AK$38,0),IF('01_数值调参'!$AL$7&lt;=$A19,-'01_数值调参'!$AL$38,0),IF('01_数值调参'!$AM$7&lt;=$A19,-'01_数值调参'!$AM$38,0)),0),0)),"队列待修正"))</x:f>
        <x:v>0</x:v>
      </x:c>
      <x:c r="AC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Z$7,"—",SUM(IF($A19&gt;=2,(C19+$C$3)*MAX(0,IF('01_数值调参'!$N$7&lt;=$A19,-'01_数值调参'!$N$39,0),IF('01_数值调参'!$O$7&lt;=$A19,-'01_数值调参'!$O$39,0),IF('01_数值调参'!$P$7&lt;=$A19,-'01_数值调参'!$P$39,0),IF('01_数值调参'!$Q$7&lt;=$A19,-'01_数值调参'!$Q$39,0),IF('01_数值调参'!$R$7&lt;=$A19,-'01_数值调参'!$R$39,0)),0),IF($A19&gt;=4,(D19+$C$3)*MAX(0,IF('01_数值调参'!$S$7&lt;=$A19,-'01_数值调参'!$S$39,0),IF('01_数值调参'!$T$7&lt;=$A19,-'01_数值调参'!$T$39,0),IF('01_数值调参'!$U$7&lt;=$A19,-'01_数值调参'!$U$39,0),IF('01_数值调参'!$V$7&lt;=$A19,-'01_数值调参'!$V$39,0),IF('01_数值调参'!$W$7&lt;=$A19,-'01_数值调参'!$W$39,0)),0),IF($A19&gt;=6,(E19+$C$3)*MAX(0,IF('01_数值调参'!$X$7&lt;=$A19,-'01_数值调参'!$X$39,0),IF('01_数值调参'!$Y$7&lt;=$A19,-'01_数值调参'!$Y$39,0),IF('01_数值调参'!$Z$7&lt;=$A19,0,0),IF('01_数值调参'!$AA$7&lt;=$A19,-'01_数值调参'!$AA$39,0),IF('01_数值调参'!$AB$7&lt;=$A19,-'01_数值调参'!$AB$39,0),IF('01_数值调参'!$AC$7&lt;=$A19,-'01_数值调参'!$AC$39,0)),0),IF($A19&gt;=8,(F19+$C$3)*MAX(0,IF('01_数值调参'!$AD$7&lt;=$A19,-'01_数值调参'!$AD$39,0),IF('01_数值调参'!$AE$7&lt;=$A19,-'01_数值调参'!$AE$39,0),IF('01_数值调参'!$AF$7&lt;=$A19,-'01_数值调参'!$AF$39,0),IF('01_数值调参'!$AG$7&lt;=$A19,-'01_数值调参'!$AG$39,0)),0),IF($A19&gt;=10,(G19+$C$3)*MAX(0,IF('01_数值调参'!$AH$7&lt;=$A19,-'01_数值调参'!$AH$39,0),IF('01_数值调参'!$AI$7&lt;=$A19,-'01_数值调参'!$AI$39,0),IF('01_数值调参'!$AJ$7&lt;=$A19,-'01_数值调参'!$AJ$39,0),IF('01_数值调参'!$AK$7&lt;=$A19,-'01_数值调参'!$AK$39,0),IF('01_数值调参'!$AL$7&lt;=$A19,-'01_数值调参'!$AL$39,0),IF('01_数值调参'!$AM$7&lt;=$A19,-'01_数值调参'!$AM$39,0)),0),0)),"队列待修正"))</x:f>
        <x:v>0</x:v>
      </x:c>
      <x:c r="AD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A$7,"—",SUM(IF($A19&gt;=2,(C19+$C$3)*MAX(0,IF('01_数值调参'!$N$7&lt;=$A19,-'01_数值调参'!$N$40,0),IF('01_数值调参'!$O$7&lt;=$A19,-'01_数值调参'!$O$40,0),IF('01_数值调参'!$P$7&lt;=$A19,-'01_数值调参'!$P$40,0),IF('01_数值调参'!$Q$7&lt;=$A19,-'01_数值调参'!$Q$40,0),IF('01_数值调参'!$R$7&lt;=$A19,-'01_数值调参'!$R$40,0)),0),IF($A19&gt;=4,(D19+$C$3)*MAX(0,IF('01_数值调参'!$S$7&lt;=$A19,-'01_数值调参'!$S$40,0),IF('01_数值调参'!$T$7&lt;=$A19,-'01_数值调参'!$T$40,0),IF('01_数值调参'!$U$7&lt;=$A19,-'01_数值调参'!$U$40,0),IF('01_数值调参'!$V$7&lt;=$A19,-'01_数值调参'!$V$40,0),IF('01_数值调参'!$W$7&lt;=$A19,-'01_数值调参'!$W$40,0)),0),IF($A19&gt;=6,(E19+$C$3)*MAX(0,IF('01_数值调参'!$X$7&lt;=$A19,-'01_数值调参'!$X$40,0),IF('01_数值调参'!$Y$7&lt;=$A19,-'01_数值调参'!$Y$40,0),IF('01_数值调参'!$Z$7&lt;=$A19,-'01_数值调参'!$Z$40,0),IF('01_数值调参'!$AA$7&lt;=$A19,0,0),IF('01_数值调参'!$AB$7&lt;=$A19,-'01_数值调参'!$AB$40,0),IF('01_数值调参'!$AC$7&lt;=$A19,-'01_数值调参'!$AC$40,0)),0),IF($A19&gt;=8,(F19+$C$3)*MAX(0,IF('01_数值调参'!$AD$7&lt;=$A19,-'01_数值调参'!$AD$40,0),IF('01_数值调参'!$AE$7&lt;=$A19,-'01_数值调参'!$AE$40,0),IF('01_数值调参'!$AF$7&lt;=$A19,-'01_数值调参'!$AF$40,0),IF('01_数值调参'!$AG$7&lt;=$A19,-'01_数值调参'!$AG$40,0)),0),IF($A19&gt;=10,(G19+$C$3)*MAX(0,IF('01_数值调参'!$AH$7&lt;=$A19,-'01_数值调参'!$AH$40,0),IF('01_数值调参'!$AI$7&lt;=$A19,-'01_数值调参'!$AI$40,0),IF('01_数值调参'!$AJ$7&lt;=$A19,-'01_数值调参'!$AJ$40,0),IF('01_数值调参'!$AK$7&lt;=$A19,-'01_数值调参'!$AK$40,0),IF('01_数值调参'!$AL$7&lt;=$A19,-'01_数值调参'!$AL$40,0),IF('01_数值调参'!$AM$7&lt;=$A19,-'01_数值调参'!$AM$40,0)),0),0)),"队列待修正"))</x:f>
        <x:v>—</x:v>
      </x:c>
      <x:c r="AE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B$7,"—",SUM(IF($A19&gt;=2,(C19+$C$3)*MAX(0,IF('01_数值调参'!$N$7&lt;=$A19,-'01_数值调参'!$N$41,0),IF('01_数值调参'!$O$7&lt;=$A19,-'01_数值调参'!$O$41,0),IF('01_数值调参'!$P$7&lt;=$A19,-'01_数值调参'!$P$41,0),IF('01_数值调参'!$Q$7&lt;=$A19,-'01_数值调参'!$Q$41,0),IF('01_数值调参'!$R$7&lt;=$A19,-'01_数值调参'!$R$41,0)),0),IF($A19&gt;=4,(D19+$C$3)*MAX(0,IF('01_数值调参'!$S$7&lt;=$A19,-'01_数值调参'!$S$41,0),IF('01_数值调参'!$T$7&lt;=$A19,-'01_数值调参'!$T$41,0),IF('01_数值调参'!$U$7&lt;=$A19,-'01_数值调参'!$U$41,0),IF('01_数值调参'!$V$7&lt;=$A19,-'01_数值调参'!$V$41,0),IF('01_数值调参'!$W$7&lt;=$A19,-'01_数值调参'!$W$41,0)),0),IF($A19&gt;=6,(E19+$C$3)*MAX(0,IF('01_数值调参'!$X$7&lt;=$A19,-'01_数值调参'!$X$41,0),IF('01_数值调参'!$Y$7&lt;=$A19,-'01_数值调参'!$Y$41,0),IF('01_数值调参'!$Z$7&lt;=$A19,-'01_数值调参'!$Z$41,0),IF('01_数值调参'!$AA$7&lt;=$A19,-'01_数值调参'!$AA$41,0),IF('01_数值调参'!$AB$7&lt;=$A19,0,0),IF('01_数值调参'!$AC$7&lt;=$A19,-'01_数值调参'!$AC$41,0)),0),IF($A19&gt;=8,(F19+$C$3)*MAX(0,IF('01_数值调参'!$AD$7&lt;=$A19,-'01_数值调参'!$AD$41,0),IF('01_数值调参'!$AE$7&lt;=$A19,-'01_数值调参'!$AE$41,0),IF('01_数值调参'!$AF$7&lt;=$A19,-'01_数值调参'!$AF$41,0),IF('01_数值调参'!$AG$7&lt;=$A19,-'01_数值调参'!$AG$41,0)),0),IF($A19&gt;=10,(G19+$C$3)*MAX(0,IF('01_数值调参'!$AH$7&lt;=$A19,-'01_数值调参'!$AH$41,0),IF('01_数值调参'!$AI$7&lt;=$A19,-'01_数值调参'!$AI$41,0),IF('01_数值调参'!$AJ$7&lt;=$A19,-'01_数值调参'!$AJ$41,0),IF('01_数值调参'!$AK$7&lt;=$A19,-'01_数值调参'!$AK$41,0),IF('01_数值调参'!$AL$7&lt;=$A19,-'01_数值调参'!$AL$41,0),IF('01_数值调参'!$AM$7&lt;=$A19,-'01_数值调参'!$AM$41,0)),0),0)),"队列待修正"))</x:f>
        <x:v>—</x:v>
      </x:c>
      <x:c r="AF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C$7,"—",SUM(IF($A19&gt;=2,(C19+$C$3)*MAX(0,IF('01_数值调参'!$N$7&lt;=$A19,-'01_数值调参'!$N$42,0),IF('01_数值调参'!$O$7&lt;=$A19,-'01_数值调参'!$O$42,0),IF('01_数值调参'!$P$7&lt;=$A19,-'01_数值调参'!$P$42,0),IF('01_数值调参'!$Q$7&lt;=$A19,-'01_数值调参'!$Q$42,0),IF('01_数值调参'!$R$7&lt;=$A19,-'01_数值调参'!$R$42,0)),0),IF($A19&gt;=4,(D19+$C$3)*MAX(0,IF('01_数值调参'!$S$7&lt;=$A19,-'01_数值调参'!$S$42,0),IF('01_数值调参'!$T$7&lt;=$A19,-'01_数值调参'!$T$42,0),IF('01_数值调参'!$U$7&lt;=$A19,-'01_数值调参'!$U$42,0),IF('01_数值调参'!$V$7&lt;=$A19,-'01_数值调参'!$V$42,0),IF('01_数值调参'!$W$7&lt;=$A19,-'01_数值调参'!$W$42,0)),0),IF($A19&gt;=6,(E19+$C$3)*MAX(0,IF('01_数值调参'!$X$7&lt;=$A19,-'01_数值调参'!$X$42,0),IF('01_数值调参'!$Y$7&lt;=$A19,-'01_数值调参'!$Y$42,0),IF('01_数值调参'!$Z$7&lt;=$A19,-'01_数值调参'!$Z$42,0),IF('01_数值调参'!$AA$7&lt;=$A19,-'01_数值调参'!$AA$42,0),IF('01_数值调参'!$AB$7&lt;=$A19,-'01_数值调参'!$AB$42,0),IF('01_数值调参'!$AC$7&lt;=$A19,0,0)),0),IF($A19&gt;=8,(F19+$C$3)*MAX(0,IF('01_数值调参'!$AD$7&lt;=$A19,-'01_数值调参'!$AD$42,0),IF('01_数值调参'!$AE$7&lt;=$A19,-'01_数值调参'!$AE$42,0),IF('01_数值调参'!$AF$7&lt;=$A19,-'01_数值调参'!$AF$42,0),IF('01_数值调参'!$AG$7&lt;=$A19,-'01_数值调参'!$AG$42,0)),0),IF($A19&gt;=10,(G19+$C$3)*MAX(0,IF('01_数值调参'!$AH$7&lt;=$A19,-'01_数值调参'!$AH$42,0),IF('01_数值调参'!$AI$7&lt;=$A19,-'01_数值调参'!$AI$42,0),IF('01_数值调参'!$AJ$7&lt;=$A19,-'01_数值调参'!$AJ$42,0),IF('01_数值调参'!$AK$7&lt;=$A19,-'01_数值调参'!$AK$42,0),IF('01_数值调参'!$AL$7&lt;=$A19,-'01_数值调参'!$AL$42,0),IF('01_数值调参'!$AM$7&lt;=$A19,-'01_数值调参'!$AM$42,0)),0),0)),"队列待修正"))</x:f>
        <x:v>—</x:v>
      </x:c>
      <x:c r="AG19" s="191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D$7,"—",SUM(IF($A19&gt;=2,(C19+$C$3)*MAX(0,IF('01_数值调参'!$N$7&lt;=$A19,-'01_数值调参'!$N$43,0),IF('01_数值调参'!$O$7&lt;=$A19,-'01_数值调参'!$O$43,0),IF('01_数值调参'!$P$7&lt;=$A19,-'01_数值调参'!$P$43,0),IF('01_数值调参'!$Q$7&lt;=$A19,-'01_数值调参'!$Q$43,0),IF('01_数值调参'!$R$7&lt;=$A19,-'01_数值调参'!$R$43,0)),0),IF($A19&gt;=4,(D19+$C$3)*MAX(0,IF('01_数值调参'!$S$7&lt;=$A19,-'01_数值调参'!$S$43,0),IF('01_数值调参'!$T$7&lt;=$A19,-'01_数值调参'!$T$43,0),IF('01_数值调参'!$U$7&lt;=$A19,-'01_数值调参'!$U$43,0),IF('01_数值调参'!$V$7&lt;=$A19,-'01_数值调参'!$V$43,0),IF('01_数值调参'!$W$7&lt;=$A19,-'01_数值调参'!$W$43,0)),0),IF($A19&gt;=6,(E19+$C$3)*MAX(0,IF('01_数值调参'!$X$7&lt;=$A19,-'01_数值调参'!$X$43,0),IF('01_数值调参'!$Y$7&lt;=$A19,-'01_数值调参'!$Y$43,0),IF('01_数值调参'!$Z$7&lt;=$A19,-'01_数值调参'!$Z$43,0),IF('01_数值调参'!$AA$7&lt;=$A19,-'01_数值调参'!$AA$43,0),IF('01_数值调参'!$AB$7&lt;=$A19,-'01_数值调参'!$AB$43,0),IF('01_数值调参'!$AC$7&lt;=$A19,-'01_数值调参'!$AC$43,0)),0),IF($A19&gt;=8,(F19+$C$3)*MAX(0,IF('01_数值调参'!$AD$7&lt;=$A19,0,0),IF('01_数值调参'!$AE$7&lt;=$A19,-'01_数值调参'!$AE$43,0),IF('01_数值调参'!$AF$7&lt;=$A19,-'01_数值调参'!$AF$43,0),IF('01_数值调参'!$AG$7&lt;=$A19,-'01_数值调参'!$AG$43,0)),0),IF($A19&gt;=10,(G19+$C$3)*MAX(0,IF('01_数值调参'!$AH$7&lt;=$A19,-'01_数值调参'!$AH$43,0),IF('01_数值调参'!$AI$7&lt;=$A19,-'01_数值调参'!$AI$43,0),IF('01_数值调参'!$AJ$7&lt;=$A19,-'01_数值调参'!$AJ$43,0),IF('01_数值调参'!$AK$7&lt;=$A19,-'01_数值调参'!$AK$43,0),IF('01_数值调参'!$AL$7&lt;=$A19,-'01_数值调参'!$AL$43,0),IF('01_数值调参'!$AM$7&lt;=$A19,-'01_数值调参'!$AM$43,0)),0),0)),"队列待修正"))</x:f>
        <x:v>3</x:v>
      </x:c>
      <x:c r="AH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E$7,"—",SUM(IF($A19&gt;=2,(C19+$C$3)*MAX(0,IF('01_数值调参'!$N$7&lt;=$A19,-'01_数值调参'!$N$44,0),IF('01_数值调参'!$O$7&lt;=$A19,-'01_数值调参'!$O$44,0),IF('01_数值调参'!$P$7&lt;=$A19,-'01_数值调参'!$P$44,0),IF('01_数值调参'!$Q$7&lt;=$A19,-'01_数值调参'!$Q$44,0),IF('01_数值调参'!$R$7&lt;=$A19,-'01_数值调参'!$R$44,0)),0),IF($A19&gt;=4,(D19+$C$3)*MAX(0,IF('01_数值调参'!$S$7&lt;=$A19,-'01_数值调参'!$S$44,0),IF('01_数值调参'!$T$7&lt;=$A19,-'01_数值调参'!$T$44,0),IF('01_数值调参'!$U$7&lt;=$A19,-'01_数值调参'!$U$44,0),IF('01_数值调参'!$V$7&lt;=$A19,-'01_数值调参'!$V$44,0),IF('01_数值调参'!$W$7&lt;=$A19,-'01_数值调参'!$W$44,0)),0),IF($A19&gt;=6,(E19+$C$3)*MAX(0,IF('01_数值调参'!$X$7&lt;=$A19,-'01_数值调参'!$X$44,0),IF('01_数值调参'!$Y$7&lt;=$A19,-'01_数值调参'!$Y$44,0),IF('01_数值调参'!$Z$7&lt;=$A19,-'01_数值调参'!$Z$44,0),IF('01_数值调参'!$AA$7&lt;=$A19,-'01_数值调参'!$AA$44,0),IF('01_数值调参'!$AB$7&lt;=$A19,-'01_数值调参'!$AB$44,0),IF('01_数值调参'!$AC$7&lt;=$A19,-'01_数值调参'!$AC$44,0)),0),IF($A19&gt;=8,(F19+$C$3)*MAX(0,IF('01_数值调参'!$AD$7&lt;=$A19,-'01_数值调参'!$AD$44,0),IF('01_数值调参'!$AE$7&lt;=$A19,0,0),IF('01_数值调参'!$AF$7&lt;=$A19,-'01_数值调参'!$AF$44,0),IF('01_数值调参'!$AG$7&lt;=$A19,-'01_数值调参'!$AG$44,0)),0),IF($A19&gt;=10,(G19+$C$3)*MAX(0,IF('01_数值调参'!$AH$7&lt;=$A19,-'01_数值调参'!$AH$44,0),IF('01_数值调参'!$AI$7&lt;=$A19,-'01_数值调参'!$AI$44,0),IF('01_数值调参'!$AJ$7&lt;=$A19,-'01_数值调参'!$AJ$44,0),IF('01_数值调参'!$AK$7&lt;=$A19,-'01_数值调参'!$AK$44,0),IF('01_数值调参'!$AL$7&lt;=$A19,-'01_数值调参'!$AL$44,0),IF('01_数值调参'!$AM$7&lt;=$A19,-'01_数值调参'!$AM$44,0)),0),0)),"队列待修正"))</x:f>
        <x:v>0</x:v>
      </x:c>
      <x:c r="AI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F$7,"—",SUM(IF($A19&gt;=2,(C19+$C$3)*MAX(0,IF('01_数值调参'!$N$7&lt;=$A19,-'01_数值调参'!$N$45,0),IF('01_数值调参'!$O$7&lt;=$A19,-'01_数值调参'!$O$45,0),IF('01_数值调参'!$P$7&lt;=$A19,-'01_数值调参'!$P$45,0),IF('01_数值调参'!$Q$7&lt;=$A19,-'01_数值调参'!$Q$45,0),IF('01_数值调参'!$R$7&lt;=$A19,-'01_数值调参'!$R$45,0)),0),IF($A19&gt;=4,(D19+$C$3)*MAX(0,IF('01_数值调参'!$S$7&lt;=$A19,-'01_数值调参'!$S$45,0),IF('01_数值调参'!$T$7&lt;=$A19,-'01_数值调参'!$T$45,0),IF('01_数值调参'!$U$7&lt;=$A19,-'01_数值调参'!$U$45,0),IF('01_数值调参'!$V$7&lt;=$A19,-'01_数值调参'!$V$45,0),IF('01_数值调参'!$W$7&lt;=$A19,-'01_数值调参'!$W$45,0)),0),IF($A19&gt;=6,(E19+$C$3)*MAX(0,IF('01_数值调参'!$X$7&lt;=$A19,-'01_数值调参'!$X$45,0),IF('01_数值调参'!$Y$7&lt;=$A19,-'01_数值调参'!$Y$45,0),IF('01_数值调参'!$Z$7&lt;=$A19,-'01_数值调参'!$Z$45,0),IF('01_数值调参'!$AA$7&lt;=$A19,-'01_数值调参'!$AA$45,0),IF('01_数值调参'!$AB$7&lt;=$A19,-'01_数值调参'!$AB$45,0),IF('01_数值调参'!$AC$7&lt;=$A19,-'01_数值调参'!$AC$45,0)),0),IF($A19&gt;=8,(F19+$C$3)*MAX(0,IF('01_数值调参'!$AD$7&lt;=$A19,-'01_数值调参'!$AD$45,0),IF('01_数值调参'!$AE$7&lt;=$A19,-'01_数值调参'!$AE$45,0),IF('01_数值调参'!$AF$7&lt;=$A19,0,0),IF('01_数值调参'!$AG$7&lt;=$A19,-'01_数值调参'!$AG$45,0)),0),IF($A19&gt;=10,(G19+$C$3)*MAX(0,IF('01_数值调参'!$AH$7&lt;=$A19,-'01_数值调参'!$AH$45,0),IF('01_数值调参'!$AI$7&lt;=$A19,-'01_数值调参'!$AI$45,0),IF('01_数值调参'!$AJ$7&lt;=$A19,-'01_数值调参'!$AJ$45,0),IF('01_数值调参'!$AK$7&lt;=$A19,-'01_数值调参'!$AK$45,0),IF('01_数值调参'!$AL$7&lt;=$A19,-'01_数值调参'!$AL$45,0),IF('01_数值调参'!$AM$7&lt;=$A19,-'01_数值调参'!$AM$45,0)),0),0)),"队列待修正"))</x:f>
        <x:v>0</x:v>
      </x:c>
      <x:c r="AJ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G$7,"—",SUM(IF($A19&gt;=2,(C19+$C$3)*MAX(0,IF('01_数值调参'!$N$7&lt;=$A19,-'01_数值调参'!$N$46,0),IF('01_数值调参'!$O$7&lt;=$A19,-'01_数值调参'!$O$46,0),IF('01_数值调参'!$P$7&lt;=$A19,-'01_数值调参'!$P$46,0),IF('01_数值调参'!$Q$7&lt;=$A19,-'01_数值调参'!$Q$46,0),IF('01_数值调参'!$R$7&lt;=$A19,-'01_数值调参'!$R$46,0)),0),IF($A19&gt;=4,(D19+$C$3)*MAX(0,IF('01_数值调参'!$S$7&lt;=$A19,-'01_数值调参'!$S$46,0),IF('01_数值调参'!$T$7&lt;=$A19,-'01_数值调参'!$T$46,0),IF('01_数值调参'!$U$7&lt;=$A19,-'01_数值调参'!$U$46,0),IF('01_数值调参'!$V$7&lt;=$A19,-'01_数值调参'!$V$46,0),IF('01_数值调参'!$W$7&lt;=$A19,-'01_数值调参'!$W$46,0)),0),IF($A19&gt;=6,(E19+$C$3)*MAX(0,IF('01_数值调参'!$X$7&lt;=$A19,-'01_数值调参'!$X$46,0),IF('01_数值调参'!$Y$7&lt;=$A19,-'01_数值调参'!$Y$46,0),IF('01_数值调参'!$Z$7&lt;=$A19,-'01_数值调参'!$Z$46,0),IF('01_数值调参'!$AA$7&lt;=$A19,-'01_数值调参'!$AA$46,0),IF('01_数值调参'!$AB$7&lt;=$A19,-'01_数值调参'!$AB$46,0),IF('01_数值调参'!$AC$7&lt;=$A19,-'01_数值调参'!$AC$46,0)),0),IF($A19&gt;=8,(F19+$C$3)*MAX(0,IF('01_数值调参'!$AD$7&lt;=$A19,-'01_数值调参'!$AD$46,0),IF('01_数值调参'!$AE$7&lt;=$A19,-'01_数值调参'!$AE$46,0),IF('01_数值调参'!$AF$7&lt;=$A19,-'01_数值调参'!$AF$46,0),IF('01_数值调参'!$AG$7&lt;=$A19,0,0)),0),IF($A19&gt;=10,(G19+$C$3)*MAX(0,IF('01_数值调参'!$AH$7&lt;=$A19,-'01_数值调参'!$AH$46,0),IF('01_数值调参'!$AI$7&lt;=$A19,-'01_数值调参'!$AI$46,0),IF('01_数值调参'!$AJ$7&lt;=$A19,-'01_数值调参'!$AJ$46,0),IF('01_数值调参'!$AK$7&lt;=$A19,-'01_数值调参'!$AK$46,0),IF('01_数值调参'!$AL$7&lt;=$A19,-'01_数值调参'!$AL$46,0),IF('01_数值调参'!$AM$7&lt;=$A19,-'01_数值调参'!$AM$46,0)),0),0)),"队列待修正"))</x:f>
        <x:v>—</x:v>
      </x:c>
      <x:c r="AK19" s="191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H$7,"—",SUM(IF($A19&gt;=2,(C19+$C$3)*MAX(0,IF('01_数值调参'!$N$7&lt;=$A19,-'01_数值调参'!$N$47,0),IF('01_数值调参'!$O$7&lt;=$A19,-'01_数值调参'!$O$47,0),IF('01_数值调参'!$P$7&lt;=$A19,-'01_数值调参'!$P$47,0),IF('01_数值调参'!$Q$7&lt;=$A19,-'01_数值调参'!$Q$47,0),IF('01_数值调参'!$R$7&lt;=$A19,-'01_数值调参'!$R$47,0)),0),IF($A19&gt;=4,(D19+$C$3)*MAX(0,IF('01_数值调参'!$S$7&lt;=$A19,-'01_数值调参'!$S$47,0),IF('01_数值调参'!$T$7&lt;=$A19,-'01_数值调参'!$T$47,0),IF('01_数值调参'!$U$7&lt;=$A19,-'01_数值调参'!$U$47,0),IF('01_数值调参'!$V$7&lt;=$A19,-'01_数值调参'!$V$47,0),IF('01_数值调参'!$W$7&lt;=$A19,-'01_数值调参'!$W$47,0)),0),IF($A19&gt;=6,(E19+$C$3)*MAX(0,IF('01_数值调参'!$X$7&lt;=$A19,-'01_数值调参'!$X$47,0),IF('01_数值调参'!$Y$7&lt;=$A19,-'01_数值调参'!$Y$47,0),IF('01_数值调参'!$Z$7&lt;=$A19,-'01_数值调参'!$Z$47,0),IF('01_数值调参'!$AA$7&lt;=$A19,-'01_数值调参'!$AA$47,0),IF('01_数值调参'!$AB$7&lt;=$A19,-'01_数值调参'!$AB$47,0),IF('01_数值调参'!$AC$7&lt;=$A19,-'01_数值调参'!$AC$47,0)),0),IF($A19&gt;=8,(F19+$C$3)*MAX(0,IF('01_数值调参'!$AD$7&lt;=$A19,-'01_数值调参'!$AD$47,0),IF('01_数值调参'!$AE$7&lt;=$A19,-'01_数值调参'!$AE$47,0),IF('01_数值调参'!$AF$7&lt;=$A19,-'01_数值调参'!$AF$47,0),IF('01_数值调参'!$AG$7&lt;=$A19,-'01_数值调参'!$AG$47,0)),0),IF($A19&gt;=10,(G19+$C$3)*MAX(0,IF('01_数值调参'!$AH$7&lt;=$A19,0,0),IF('01_数值调参'!$AI$7&lt;=$A19,-'01_数值调参'!$AI$47,0),IF('01_数值调参'!$AJ$7&lt;=$A19,-'01_数值调参'!$AJ$47,0),IF('01_数值调参'!$AK$7&lt;=$A19,-'01_数值调参'!$AK$47,0),IF('01_数值调参'!$AL$7&lt;=$A19,-'01_数值调参'!$AL$47,0),IF('01_数值调参'!$AM$7&lt;=$A19,-'01_数值调参'!$AM$47,0)),0),0)),"队列待修正"))</x:f>
        <x:v>0</x:v>
      </x:c>
      <x:c r="AL19" s="179" t="n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I$7,"—",SUM(IF($A19&gt;=2,(C19+$C$3)*MAX(0,IF('01_数值调参'!$N$7&lt;=$A19,-'01_数值调参'!$N$48,0),IF('01_数值调参'!$O$7&lt;=$A19,-'01_数值调参'!$O$48,0),IF('01_数值调参'!$P$7&lt;=$A19,-'01_数值调参'!$P$48,0),IF('01_数值调参'!$Q$7&lt;=$A19,-'01_数值调参'!$Q$48,0),IF('01_数值调参'!$R$7&lt;=$A19,-'01_数值调参'!$R$48,0)),0),IF($A19&gt;=4,(D19+$C$3)*MAX(0,IF('01_数值调参'!$S$7&lt;=$A19,-'01_数值调参'!$S$48,0),IF('01_数值调参'!$T$7&lt;=$A19,-'01_数值调参'!$T$48,0),IF('01_数值调参'!$U$7&lt;=$A19,-'01_数值调参'!$U$48,0),IF('01_数值调参'!$V$7&lt;=$A19,-'01_数值调参'!$V$48,0),IF('01_数值调参'!$W$7&lt;=$A19,-'01_数值调参'!$W$48,0)),0),IF($A19&gt;=6,(E19+$C$3)*MAX(0,IF('01_数值调参'!$X$7&lt;=$A19,-'01_数值调参'!$X$48,0),IF('01_数值调参'!$Y$7&lt;=$A19,-'01_数值调参'!$Y$48,0),IF('01_数值调参'!$Z$7&lt;=$A19,-'01_数值调参'!$Z$48,0),IF('01_数值调参'!$AA$7&lt;=$A19,-'01_数值调参'!$AA$48,0),IF('01_数值调参'!$AB$7&lt;=$A19,-'01_数值调参'!$AB$48,0),IF('01_数值调参'!$AC$7&lt;=$A19,-'01_数值调参'!$AC$48,0)),0),IF($A19&gt;=8,(F19+$C$3)*MAX(0,IF('01_数值调参'!$AD$7&lt;=$A19,-'01_数值调参'!$AD$48,0),IF('01_数值调参'!$AE$7&lt;=$A19,-'01_数值调参'!$AE$48,0),IF('01_数值调参'!$AF$7&lt;=$A19,-'01_数值调参'!$AF$48,0),IF('01_数值调参'!$AG$7&lt;=$A19,-'01_数值调参'!$AG$48,0)),0),IF($A19&gt;=10,(G19+$C$3)*MAX(0,IF('01_数值调参'!$AH$7&lt;=$A19,-'01_数值调参'!$AH$48,0),IF('01_数值调参'!$AI$7&lt;=$A19,0,0),IF('01_数值调参'!$AJ$7&lt;=$A19,-'01_数值调参'!$AJ$48,0),IF('01_数值调参'!$AK$7&lt;=$A19,-'01_数值调参'!$AK$48,0),IF('01_数值调参'!$AL$7&lt;=$A19,-'01_数值调参'!$AL$48,0),IF('01_数值调参'!$AM$7&lt;=$A19,-'01_数值调参'!$AM$48,0)),0),0)),"队列待修正"))</x:f>
        <x:v>0</x:v>
      </x:c>
      <x:c r="AM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J$7,"—",SUM(IF($A19&gt;=2,(C19+$C$3)*MAX(0,IF('01_数值调参'!$N$7&lt;=$A19,-'01_数值调参'!$N$49,0),IF('01_数值调参'!$O$7&lt;=$A19,-'01_数值调参'!$O$49,0),IF('01_数值调参'!$P$7&lt;=$A19,-'01_数值调参'!$P$49,0),IF('01_数值调参'!$Q$7&lt;=$A19,-'01_数值调参'!$Q$49,0),IF('01_数值调参'!$R$7&lt;=$A19,-'01_数值调参'!$R$49,0)),0),IF($A19&gt;=4,(D19+$C$3)*MAX(0,IF('01_数值调参'!$S$7&lt;=$A19,-'01_数值调参'!$S$49,0),IF('01_数值调参'!$T$7&lt;=$A19,-'01_数值调参'!$T$49,0),IF('01_数值调参'!$U$7&lt;=$A19,-'01_数值调参'!$U$49,0),IF('01_数值调参'!$V$7&lt;=$A19,-'01_数值调参'!$V$49,0),IF('01_数值调参'!$W$7&lt;=$A19,-'01_数值调参'!$W$49,0)),0),IF($A19&gt;=6,(E19+$C$3)*MAX(0,IF('01_数值调参'!$X$7&lt;=$A19,-'01_数值调参'!$X$49,0),IF('01_数值调参'!$Y$7&lt;=$A19,-'01_数值调参'!$Y$49,0),IF('01_数值调参'!$Z$7&lt;=$A19,-'01_数值调参'!$Z$49,0),IF('01_数值调参'!$AA$7&lt;=$A19,-'01_数值调参'!$AA$49,0),IF('01_数值调参'!$AB$7&lt;=$A19,-'01_数值调参'!$AB$49,0),IF('01_数值调参'!$AC$7&lt;=$A19,-'01_数值调参'!$AC$49,0)),0),IF($A19&gt;=8,(F19+$C$3)*MAX(0,IF('01_数值调参'!$AD$7&lt;=$A19,-'01_数值调参'!$AD$49,0),IF('01_数值调参'!$AE$7&lt;=$A19,-'01_数值调参'!$AE$49,0),IF('01_数值调参'!$AF$7&lt;=$A19,-'01_数值调参'!$AF$49,0),IF('01_数值调参'!$AG$7&lt;=$A19,-'01_数值调参'!$AG$49,0)),0),IF($A19&gt;=10,(G19+$C$3)*MAX(0,IF('01_数值调参'!$AH$7&lt;=$A19,-'01_数值调参'!$AH$49,0),IF('01_数值调参'!$AI$7&lt;=$A19,-'01_数值调参'!$AI$49,0),IF('01_数值调参'!$AJ$7&lt;=$A19,0,0),IF('01_数值调参'!$AK$7&lt;=$A19,-'01_数值调参'!$AK$49,0),IF('01_数值调参'!$AL$7&lt;=$A19,-'01_数值调参'!$AL$49,0),IF('01_数值调参'!$AM$7&lt;=$A19,-'01_数值调参'!$AM$49,0)),0),0)),"队列待修正"))</x:f>
        <x:v>—</x:v>
      </x:c>
      <x:c r="AN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K$7,"—",SUM(IF($A19&gt;=2,(C19+$C$3)*MAX(0,IF('01_数值调参'!$N$7&lt;=$A19,-'01_数值调参'!$N$50,0),IF('01_数值调参'!$O$7&lt;=$A19,-'01_数值调参'!$O$50,0),IF('01_数值调参'!$P$7&lt;=$A19,-'01_数值调参'!$P$50,0),IF('01_数值调参'!$Q$7&lt;=$A19,-'01_数值调参'!$Q$50,0),IF('01_数值调参'!$R$7&lt;=$A19,-'01_数值调参'!$R$50,0)),0),IF($A19&gt;=4,(D19+$C$3)*MAX(0,IF('01_数值调参'!$S$7&lt;=$A19,-'01_数值调参'!$S$50,0),IF('01_数值调参'!$T$7&lt;=$A19,-'01_数值调参'!$T$50,0),IF('01_数值调参'!$U$7&lt;=$A19,-'01_数值调参'!$U$50,0),IF('01_数值调参'!$V$7&lt;=$A19,-'01_数值调参'!$V$50,0),IF('01_数值调参'!$W$7&lt;=$A19,-'01_数值调参'!$W$50,0)),0),IF($A19&gt;=6,(E19+$C$3)*MAX(0,IF('01_数值调参'!$X$7&lt;=$A19,-'01_数值调参'!$X$50,0),IF('01_数值调参'!$Y$7&lt;=$A19,-'01_数值调参'!$Y$50,0),IF('01_数值调参'!$Z$7&lt;=$A19,-'01_数值调参'!$Z$50,0),IF('01_数值调参'!$AA$7&lt;=$A19,-'01_数值调参'!$AA$50,0),IF('01_数值调参'!$AB$7&lt;=$A19,-'01_数值调参'!$AB$50,0),IF('01_数值调参'!$AC$7&lt;=$A19,-'01_数值调参'!$AC$50,0)),0),IF($A19&gt;=8,(F19+$C$3)*MAX(0,IF('01_数值调参'!$AD$7&lt;=$A19,-'01_数值调参'!$AD$50,0),IF('01_数值调参'!$AE$7&lt;=$A19,-'01_数值调参'!$AE$50,0),IF('01_数值调参'!$AF$7&lt;=$A19,-'01_数值调参'!$AF$50,0),IF('01_数值调参'!$AG$7&lt;=$A19,-'01_数值调参'!$AG$50,0)),0),IF($A19&gt;=10,(G19+$C$3)*MAX(0,IF('01_数值调参'!$AH$7&lt;=$A19,-'01_数值调参'!$AH$50,0),IF('01_数值调参'!$AI$7&lt;=$A19,-'01_数值调参'!$AI$50,0),IF('01_数值调参'!$AJ$7&lt;=$A19,-'01_数值调参'!$AJ$50,0),IF('01_数值调参'!$AK$7&lt;=$A19,0,0),IF('01_数值调参'!$AL$7&lt;=$A19,-'01_数值调参'!$AL$50,0),IF('01_数值调参'!$AM$7&lt;=$A19,-'01_数值调参'!$AM$50,0)),0),0)),"队列待修正"))</x:f>
        <x:v>—</x:v>
      </x:c>
      <x:c r="AO19" s="179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L$7,"—",SUM(IF($A19&gt;=2,(C19+$C$3)*MAX(0,IF('01_数值调参'!$N$7&lt;=$A19,-'01_数值调参'!$N$51,0),IF('01_数值调参'!$O$7&lt;=$A19,-'01_数值调参'!$O$51,0),IF('01_数值调参'!$P$7&lt;=$A19,-'01_数值调参'!$P$51,0),IF('01_数值调参'!$Q$7&lt;=$A19,-'01_数值调参'!$Q$51,0),IF('01_数值调参'!$R$7&lt;=$A19,-'01_数值调参'!$R$51,0)),0),IF($A19&gt;=4,(D19+$C$3)*MAX(0,IF('01_数值调参'!$S$7&lt;=$A19,-'01_数值调参'!$S$51,0),IF('01_数值调参'!$T$7&lt;=$A19,-'01_数值调参'!$T$51,0),IF('01_数值调参'!$U$7&lt;=$A19,-'01_数值调参'!$U$51,0),IF('01_数值调参'!$V$7&lt;=$A19,-'01_数值调参'!$V$51,0),IF('01_数值调参'!$W$7&lt;=$A19,-'01_数值调参'!$W$51,0)),0),IF($A19&gt;=6,(E19+$C$3)*MAX(0,IF('01_数值调参'!$X$7&lt;=$A19,-'01_数值调参'!$X$51,0),IF('01_数值调参'!$Y$7&lt;=$A19,-'01_数值调参'!$Y$51,0),IF('01_数值调参'!$Z$7&lt;=$A19,-'01_数值调参'!$Z$51,0),IF('01_数值调参'!$AA$7&lt;=$A19,-'01_数值调参'!$AA$51,0),IF('01_数值调参'!$AB$7&lt;=$A19,-'01_数值调参'!$AB$51,0),IF('01_数值调参'!$AC$7&lt;=$A19,-'01_数值调参'!$AC$51,0)),0),IF($A19&gt;=8,(F19+$C$3)*MAX(0,IF('01_数值调参'!$AD$7&lt;=$A19,-'01_数值调参'!$AD$51,0),IF('01_数值调参'!$AE$7&lt;=$A19,-'01_数值调参'!$AE$51,0),IF('01_数值调参'!$AF$7&lt;=$A19,-'01_数值调参'!$AF$51,0),IF('01_数值调参'!$AG$7&lt;=$A19,-'01_数值调参'!$AG$51,0)),0),IF($A19&gt;=10,(G19+$C$3)*MAX(0,IF('01_数值调参'!$AH$7&lt;=$A19,-'01_数值调参'!$AH$51,0),IF('01_数值调参'!$AI$7&lt;=$A19,-'01_数值调参'!$AI$51,0),IF('01_数值调参'!$AJ$7&lt;=$A19,-'01_数值调参'!$AJ$51,0),IF('01_数值调参'!$AK$7&lt;=$A19,-'01_数值调参'!$AK$51,0),IF('01_数值调参'!$AL$7&lt;=$A19,0,0),IF('01_数值调参'!$AM$7&lt;=$A19,-'01_数值调参'!$AM$51,0)),0),0)),"队列待修正"))</x:f>
        <x:v>—</x:v>
      </x:c>
      <x:c r="AP19" s="180" t="str">
        <x:f>IF('01_数值调参'!$D$3&lt;&gt;"配方有效","待修正",IF(AND(OR($C$3=0,$C$3=1),ISNUMBER(C19),C19&gt;=0,MOD(C19,1)=0,ISNUMBER(D19),D19&gt;=0,MOD(D19,1)=0,ISNUMBER(E19),E19&gt;=0,MOD(E19,1)=0,ISNUMBER(F19),F19&gt;=0,MOD(F19,1)=0,ISNUMBER(G19),G19&gt;=0,MOD(G19,1)=0,TRUE),IF($A19&lt;'01_数值调参'!$AM$7,"—",SUM(IF($A19&gt;=2,(C19+$C$3)*MAX(0,IF('01_数值调参'!$N$7&lt;=$A19,-'01_数值调参'!$N$52,0),IF('01_数值调参'!$O$7&lt;=$A19,-'01_数值调参'!$O$52,0),IF('01_数值调参'!$P$7&lt;=$A19,-'01_数值调参'!$P$52,0),IF('01_数值调参'!$Q$7&lt;=$A19,-'01_数值调参'!$Q$52,0),IF('01_数值调参'!$R$7&lt;=$A19,-'01_数值调参'!$R$52,0)),0),IF($A19&gt;=4,(D19+$C$3)*MAX(0,IF('01_数值调参'!$S$7&lt;=$A19,-'01_数值调参'!$S$52,0),IF('01_数值调参'!$T$7&lt;=$A19,-'01_数值调参'!$T$52,0),IF('01_数值调参'!$U$7&lt;=$A19,-'01_数值调参'!$U$52,0),IF('01_数值调参'!$V$7&lt;=$A19,-'01_数值调参'!$V$52,0),IF('01_数值调参'!$W$7&lt;=$A19,-'01_数值调参'!$W$52,0)),0),IF($A19&gt;=6,(E19+$C$3)*MAX(0,IF('01_数值调参'!$X$7&lt;=$A19,-'01_数值调参'!$X$52,0),IF('01_数值调参'!$Y$7&lt;=$A19,-'01_数值调参'!$Y$52,0),IF('01_数值调参'!$Z$7&lt;=$A19,-'01_数值调参'!$Z$52,0),IF('01_数值调参'!$AA$7&lt;=$A19,-'01_数值调参'!$AA$52,0),IF('01_数值调参'!$AB$7&lt;=$A19,-'01_数值调参'!$AB$52,0),IF('01_数值调参'!$AC$7&lt;=$A19,-'01_数值调参'!$AC$52,0)),0),IF($A19&gt;=8,(F19+$C$3)*MAX(0,IF('01_数值调参'!$AD$7&lt;=$A19,-'01_数值调参'!$AD$52,0),IF('01_数值调参'!$AE$7&lt;=$A19,-'01_数值调参'!$AE$52,0),IF('01_数值调参'!$AF$7&lt;=$A19,-'01_数值调参'!$AF$52,0),IF('01_数值调参'!$AG$7&lt;=$A19,-'01_数值调参'!$AG$52,0)),0),IF($A19&gt;=10,(G19+$C$3)*MAX(0,IF('01_数值调参'!$AH$7&lt;=$A19,-'01_数值调参'!$AH$52,0),IF('01_数值调参'!$AI$7&lt;=$A19,-'01_数值调参'!$AI$52,0),IF('01_数值调参'!$AJ$7&lt;=$A19,-'01_数值调参'!$AJ$52,0),IF('01_数值调参'!$AK$7&lt;=$A19,-'01_数值调参'!$AK$52,0),IF('01_数值调参'!$AL$7&lt;=$A19,-'01_数值调参'!$AL$52,0),IF('01_数值调参'!$AM$7&lt;=$A19,0,0)),0),0)),"队列待修正"))</x:f>
        <x:v>—</x:v>
      </x:c>
    </x:row>
    <x:row r="20" ht="25" customHeight="1">
      <x:c r="A20" s="176" t="n">
        <x:v>14</x:v>
      </x:c>
      <x:c r="B20" s="177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SUM(IF($A20&gt;=2,(C20+$C$3)*MAX(0,IF('01_数值调参'!$N$7&lt;=$A20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20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20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20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20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20&gt;=4,(D20+$C$3)*MAX(0,IF('01_数值调参'!$S$7&lt;=$A20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20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20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20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20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20&gt;=6,(E20+$C$3)*MAX(0,IF('01_数值调参'!$X$7&lt;=$A20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20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20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20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20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20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20&gt;=8,(F20+$C$3)*MAX(0,IF('01_数值调参'!$AD$7&lt;=$A20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20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20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20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20&gt;=10,(G20+$C$3)*MAX(0,IF('01_数值调参'!$AH$7&lt;=$A20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20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20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20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20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20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54</x:v>
      </x:c>
      <x:c r="C20" s="178" t="n">
        <x:v>2</x:v>
      </x:c>
      <x:c r="D20" s="178" t="n">
        <x:v>2</x:v>
      </x:c>
      <x:c r="E20" s="178" t="n">
        <x:v>2</x:v>
      </x:c>
      <x:c r="F20" s="178" t="n">
        <x:v>2</x:v>
      </x:c>
      <x:c r="G20" s="178" t="n">
        <x:v>2</x:v>
      </x:c>
      <x:c r="H20" s="191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E$7,"—",SUM(IF($A20&gt;=2,(C20+$C$3)*MAX(0,IF('01_数值调参'!$N$7&lt;=$A20,-'01_数值调参'!$N$18,0),IF('01_数值调参'!$O$7&lt;=$A20,-'01_数值调参'!$O$18,0),IF('01_数值调参'!$P$7&lt;=$A20,-'01_数值调参'!$P$18,0),IF('01_数值调参'!$Q$7&lt;=$A20,-'01_数值调参'!$Q$18,0),IF('01_数值调参'!$R$7&lt;=$A20,-'01_数值调参'!$R$18,0)),0),IF($A20&gt;=4,(D20+$C$3)*MAX(0,IF('01_数值调参'!$S$7&lt;=$A20,-'01_数值调参'!$S$18,0),IF('01_数值调参'!$T$7&lt;=$A20,-'01_数值调参'!$T$18,0),IF('01_数值调参'!$U$7&lt;=$A20,-'01_数值调参'!$U$18,0),IF('01_数值调参'!$V$7&lt;=$A20,-'01_数值调参'!$V$18,0),IF('01_数值调参'!$W$7&lt;=$A20,-'01_数值调参'!$W$18,0)),0),IF($A20&gt;=6,(E20+$C$3)*MAX(0,IF('01_数值调参'!$X$7&lt;=$A20,-'01_数值调参'!$X$18,0),IF('01_数值调参'!$Y$7&lt;=$A20,-'01_数值调参'!$Y$18,0),IF('01_数值调参'!$Z$7&lt;=$A20,-'01_数值调参'!$Z$18,0),IF('01_数值调参'!$AA$7&lt;=$A20,-'01_数值调参'!$AA$18,0),IF('01_数值调参'!$AB$7&lt;=$A20,-'01_数值调参'!$AB$18,0),IF('01_数值调参'!$AC$7&lt;=$A20,-'01_数值调参'!$AC$18,0)),0),IF($A20&gt;=8,(F20+$C$3)*MAX(0,IF('01_数值调参'!$AD$7&lt;=$A20,-'01_数值调参'!$AD$18,0),IF('01_数值调参'!$AE$7&lt;=$A20,-'01_数值调参'!$AE$18,0),IF('01_数值调参'!$AF$7&lt;=$A20,-'01_数值调参'!$AF$18,0),IF('01_数值调参'!$AG$7&lt;=$A20,-'01_数值调参'!$AG$18,0)),0),IF($A20&gt;=10,(G20+$C$3)*MAX(0,IF('01_数值调参'!$AH$7&lt;=$A20,-'01_数值调参'!$AH$18,0),IF('01_数值调参'!$AI$7&lt;=$A20,-'01_数值调参'!$AI$18,0),IF('01_数值调参'!$AJ$7&lt;=$A20,-'01_数值调参'!$AJ$18,0),IF('01_数值调参'!$AK$7&lt;=$A20,-'01_数值调参'!$AK$18,0),IF('01_数值调参'!$AL$7&lt;=$A20,-'01_数值调参'!$AL$18,0),IF('01_数值调参'!$AM$7&lt;=$A20,-'01_数值调参'!$AM$18,0)),0),0)),"队列待修正"))</x:f>
        <x:v>12</x:v>
      </x:c>
      <x:c r="I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F$7,"—",SUM(IF($A20&gt;=2,(C20+$C$3)*MAX(0,IF('01_数值调参'!$N$7&lt;=$A20,-'01_数值调参'!$N$19,0),IF('01_数值调参'!$O$7&lt;=$A20,-'01_数值调参'!$O$19,0),IF('01_数值调参'!$P$7&lt;=$A20,-'01_数值调参'!$P$19,0),IF('01_数值调参'!$Q$7&lt;=$A20,-'01_数值调参'!$Q$19,0),IF('01_数值调参'!$R$7&lt;=$A20,-'01_数值调参'!$R$19,0)),0),IF($A20&gt;=4,(D20+$C$3)*MAX(0,IF('01_数值调参'!$S$7&lt;=$A20,-'01_数值调参'!$S$19,0),IF('01_数值调参'!$T$7&lt;=$A20,-'01_数值调参'!$T$19,0),IF('01_数值调参'!$U$7&lt;=$A20,-'01_数值调参'!$U$19,0),IF('01_数值调参'!$V$7&lt;=$A20,-'01_数值调参'!$V$19,0),IF('01_数值调参'!$W$7&lt;=$A20,-'01_数值调参'!$W$19,0)),0),IF($A20&gt;=6,(E20+$C$3)*MAX(0,IF('01_数值调参'!$X$7&lt;=$A20,-'01_数值调参'!$X$19,0),IF('01_数值调参'!$Y$7&lt;=$A20,-'01_数值调参'!$Y$19,0),IF('01_数值调参'!$Z$7&lt;=$A20,-'01_数值调参'!$Z$19,0),IF('01_数值调参'!$AA$7&lt;=$A20,-'01_数值调参'!$AA$19,0),IF('01_数值调参'!$AB$7&lt;=$A20,-'01_数值调参'!$AB$19,0),IF('01_数值调参'!$AC$7&lt;=$A20,-'01_数值调参'!$AC$19,0)),0),IF($A20&gt;=8,(F20+$C$3)*MAX(0,IF('01_数值调参'!$AD$7&lt;=$A20,-'01_数值调参'!$AD$19,0),IF('01_数值调参'!$AE$7&lt;=$A20,-'01_数值调参'!$AE$19,0),IF('01_数值调参'!$AF$7&lt;=$A20,-'01_数值调参'!$AF$19,0),IF('01_数值调参'!$AG$7&lt;=$A20,-'01_数值调参'!$AG$19,0)),0),IF($A20&gt;=10,(G20+$C$3)*MAX(0,IF('01_数值调参'!$AH$7&lt;=$A20,-'01_数值调参'!$AH$19,0),IF('01_数值调参'!$AI$7&lt;=$A20,-'01_数值调参'!$AI$19,0),IF('01_数值调参'!$AJ$7&lt;=$A20,-'01_数值调参'!$AJ$19,0),IF('01_数值调参'!$AK$7&lt;=$A20,-'01_数值调参'!$AK$19,0),IF('01_数值调参'!$AL$7&lt;=$A20,-'01_数值调参'!$AL$19,0),IF('01_数值调参'!$AM$7&lt;=$A20,-'01_数值调参'!$AM$19,0)),0),0)),"队列待修正"))</x:f>
        <x:v>12</x:v>
      </x:c>
      <x:c r="J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G$7,"—",SUM(IF($A20&gt;=2,(C20+$C$3)*MAX(0,IF('01_数值调参'!$N$7&lt;=$A20,-'01_数值调参'!$N$20,0),IF('01_数值调参'!$O$7&lt;=$A20,-'01_数值调参'!$O$20,0),IF('01_数值调参'!$P$7&lt;=$A20,-'01_数值调参'!$P$20,0),IF('01_数值调参'!$Q$7&lt;=$A20,-'01_数值调参'!$Q$20,0),IF('01_数值调参'!$R$7&lt;=$A20,-'01_数值调参'!$R$20,0)),0),IF($A20&gt;=4,(D20+$C$3)*MAX(0,IF('01_数值调参'!$S$7&lt;=$A20,-'01_数值调参'!$S$20,0),IF('01_数值调参'!$T$7&lt;=$A20,-'01_数值调参'!$T$20,0),IF('01_数值调参'!$U$7&lt;=$A20,-'01_数值调参'!$U$20,0),IF('01_数值调参'!$V$7&lt;=$A20,-'01_数值调参'!$V$20,0),IF('01_数值调参'!$W$7&lt;=$A20,-'01_数值调参'!$W$20,0)),0),IF($A20&gt;=6,(E20+$C$3)*MAX(0,IF('01_数值调参'!$X$7&lt;=$A20,-'01_数值调参'!$X$20,0),IF('01_数值调参'!$Y$7&lt;=$A20,-'01_数值调参'!$Y$20,0),IF('01_数值调参'!$Z$7&lt;=$A20,-'01_数值调参'!$Z$20,0),IF('01_数值调参'!$AA$7&lt;=$A20,-'01_数值调参'!$AA$20,0),IF('01_数值调参'!$AB$7&lt;=$A20,-'01_数值调参'!$AB$20,0),IF('01_数值调参'!$AC$7&lt;=$A20,-'01_数值调参'!$AC$20,0)),0),IF($A20&gt;=8,(F20+$C$3)*MAX(0,IF('01_数值调参'!$AD$7&lt;=$A20,-'01_数值调参'!$AD$20,0),IF('01_数值调参'!$AE$7&lt;=$A20,-'01_数值调参'!$AE$20,0),IF('01_数值调参'!$AF$7&lt;=$A20,-'01_数值调参'!$AF$20,0),IF('01_数值调参'!$AG$7&lt;=$A20,-'01_数值调参'!$AG$20,0)),0),IF($A20&gt;=10,(G20+$C$3)*MAX(0,IF('01_数值调参'!$AH$7&lt;=$A20,-'01_数值调参'!$AH$20,0),IF('01_数值调参'!$AI$7&lt;=$A20,-'01_数值调参'!$AI$20,0),IF('01_数值调参'!$AJ$7&lt;=$A20,-'01_数值调参'!$AJ$20,0),IF('01_数值调参'!$AK$7&lt;=$A20,-'01_数值调参'!$AK$20,0),IF('01_数值调参'!$AL$7&lt;=$A20,-'01_数值调参'!$AL$20,0),IF('01_数值调参'!$AM$7&lt;=$A20,-'01_数值调参'!$AM$20,0)),0),0)),"队列待修正"))</x:f>
        <x:v>12</x:v>
      </x:c>
      <x:c r="K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H$7,"—",SUM(IF($A20&gt;=2,(C20+$C$3)*MAX(0,IF('01_数值调参'!$N$7&lt;=$A20,-'01_数值调参'!$N$21,0),IF('01_数值调参'!$O$7&lt;=$A20,-'01_数值调参'!$O$21,0),IF('01_数值调参'!$P$7&lt;=$A20,-'01_数值调参'!$P$21,0),IF('01_数值调参'!$Q$7&lt;=$A20,-'01_数值调参'!$Q$21,0),IF('01_数值调参'!$R$7&lt;=$A20,-'01_数值调参'!$R$21,0)),0),IF($A20&gt;=4,(D20+$C$3)*MAX(0,IF('01_数值调参'!$S$7&lt;=$A20,-'01_数值调参'!$S$21,0),IF('01_数值调参'!$T$7&lt;=$A20,-'01_数值调参'!$T$21,0),IF('01_数值调参'!$U$7&lt;=$A20,-'01_数值调参'!$U$21,0),IF('01_数值调参'!$V$7&lt;=$A20,-'01_数值调参'!$V$21,0),IF('01_数值调参'!$W$7&lt;=$A20,-'01_数值调参'!$W$21,0)),0),IF($A20&gt;=6,(E20+$C$3)*MAX(0,IF('01_数值调参'!$X$7&lt;=$A20,-'01_数值调参'!$X$21,0),IF('01_数值调参'!$Y$7&lt;=$A20,-'01_数值调参'!$Y$21,0),IF('01_数值调参'!$Z$7&lt;=$A20,-'01_数值调参'!$Z$21,0),IF('01_数值调参'!$AA$7&lt;=$A20,-'01_数值调参'!$AA$21,0),IF('01_数值调参'!$AB$7&lt;=$A20,-'01_数值调参'!$AB$21,0),IF('01_数值调参'!$AC$7&lt;=$A20,-'01_数值调参'!$AC$21,0)),0),IF($A20&gt;=8,(F20+$C$3)*MAX(0,IF('01_数值调参'!$AD$7&lt;=$A20,-'01_数值调参'!$AD$21,0),IF('01_数值调参'!$AE$7&lt;=$A20,-'01_数值调参'!$AE$21,0),IF('01_数值调参'!$AF$7&lt;=$A20,-'01_数值调参'!$AF$21,0),IF('01_数值调参'!$AG$7&lt;=$A20,-'01_数值调参'!$AG$21,0)),0),IF($A20&gt;=10,(G20+$C$3)*MAX(0,IF('01_数值调参'!$AH$7&lt;=$A20,-'01_数值调参'!$AH$21,0),IF('01_数值调参'!$AI$7&lt;=$A20,-'01_数值调参'!$AI$21,0),IF('01_数值调参'!$AJ$7&lt;=$A20,-'01_数值调参'!$AJ$21,0),IF('01_数值调参'!$AK$7&lt;=$A20,-'01_数值调参'!$AK$21,0),IF('01_数值调参'!$AL$7&lt;=$A20,-'01_数值调参'!$AL$21,0),IF('01_数值调参'!$AM$7&lt;=$A20,-'01_数值调参'!$AM$21,0)),0),0)),"队列待修正"))</x:f>
        <x:v>6</x:v>
      </x:c>
      <x:c r="L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I$7,"—",SUM(IF($A20&gt;=2,(C20+$C$3)*MAX(0,IF('01_数值调参'!$N$7&lt;=$A20,-'01_数值调参'!$N$22,0),IF('01_数值调参'!$O$7&lt;=$A20,-'01_数值调参'!$O$22,0),IF('01_数值调参'!$P$7&lt;=$A20,-'01_数值调参'!$P$22,0),IF('01_数值调参'!$Q$7&lt;=$A20,-'01_数值调参'!$Q$22,0),IF('01_数值调参'!$R$7&lt;=$A20,-'01_数值调参'!$R$22,0)),0),IF($A20&gt;=4,(D20+$C$3)*MAX(0,IF('01_数值调参'!$S$7&lt;=$A20,-'01_数值调参'!$S$22,0),IF('01_数值调参'!$T$7&lt;=$A20,-'01_数值调参'!$T$22,0),IF('01_数值调参'!$U$7&lt;=$A20,-'01_数值调参'!$U$22,0),IF('01_数值调参'!$V$7&lt;=$A20,-'01_数值调参'!$V$22,0),IF('01_数值调参'!$W$7&lt;=$A20,-'01_数值调参'!$W$22,0)),0),IF($A20&gt;=6,(E20+$C$3)*MAX(0,IF('01_数值调参'!$X$7&lt;=$A20,-'01_数值调参'!$X$22,0),IF('01_数值调参'!$Y$7&lt;=$A20,-'01_数值调参'!$Y$22,0),IF('01_数值调参'!$Z$7&lt;=$A20,-'01_数值调参'!$Z$22,0),IF('01_数值调参'!$AA$7&lt;=$A20,-'01_数值调参'!$AA$22,0),IF('01_数值调参'!$AB$7&lt;=$A20,-'01_数值调参'!$AB$22,0),IF('01_数值调参'!$AC$7&lt;=$A20,-'01_数值调参'!$AC$22,0)),0),IF($A20&gt;=8,(F20+$C$3)*MAX(0,IF('01_数值调参'!$AD$7&lt;=$A20,-'01_数值调参'!$AD$22,0),IF('01_数值调参'!$AE$7&lt;=$A20,-'01_数值调参'!$AE$22,0),IF('01_数值调参'!$AF$7&lt;=$A20,-'01_数值调参'!$AF$22,0),IF('01_数值调参'!$AG$7&lt;=$A20,-'01_数值调参'!$AG$22,0)),0),IF($A20&gt;=10,(G20+$C$3)*MAX(0,IF('01_数值调参'!$AH$7&lt;=$A20,-'01_数值调参'!$AH$22,0),IF('01_数值调参'!$AI$7&lt;=$A20,-'01_数值调参'!$AI$22,0),IF('01_数值调参'!$AJ$7&lt;=$A20,-'01_数值调参'!$AJ$22,0),IF('01_数值调参'!$AK$7&lt;=$A20,-'01_数值调参'!$AK$22,0),IF('01_数值调参'!$AL$7&lt;=$A20,-'01_数值调参'!$AL$22,0),IF('01_数值调参'!$AM$7&lt;=$A20,-'01_数值调参'!$AM$22,0)),0),0)),"队列待修正"))</x:f>
        <x:v>12</x:v>
      </x:c>
      <x:c r="M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J$7,"—",SUM(IF($A20&gt;=2,(C20+$C$3)*MAX(0,IF('01_数值调参'!$N$7&lt;=$A20,-'01_数值调参'!$N$23,0),IF('01_数值调参'!$O$7&lt;=$A20,-'01_数值调参'!$O$23,0),IF('01_数值调参'!$P$7&lt;=$A20,-'01_数值调参'!$P$23,0),IF('01_数值调参'!$Q$7&lt;=$A20,-'01_数值调参'!$Q$23,0),IF('01_数值调参'!$R$7&lt;=$A20,-'01_数值调参'!$R$23,0)),0),IF($A20&gt;=4,(D20+$C$3)*MAX(0,IF('01_数值调参'!$S$7&lt;=$A20,-'01_数值调参'!$S$23,0),IF('01_数值调参'!$T$7&lt;=$A20,-'01_数值调参'!$T$23,0),IF('01_数值调参'!$U$7&lt;=$A20,-'01_数值调参'!$U$23,0),IF('01_数值调参'!$V$7&lt;=$A20,-'01_数值调参'!$V$23,0),IF('01_数值调参'!$W$7&lt;=$A20,-'01_数值调参'!$W$23,0)),0),IF($A20&gt;=6,(E20+$C$3)*MAX(0,IF('01_数值调参'!$X$7&lt;=$A20,-'01_数值调参'!$X$23,0),IF('01_数值调参'!$Y$7&lt;=$A20,-'01_数值调参'!$Y$23,0),IF('01_数值调参'!$Z$7&lt;=$A20,-'01_数值调参'!$Z$23,0),IF('01_数值调参'!$AA$7&lt;=$A20,-'01_数值调参'!$AA$23,0),IF('01_数值调参'!$AB$7&lt;=$A20,-'01_数值调参'!$AB$23,0),IF('01_数值调参'!$AC$7&lt;=$A20,-'01_数值调参'!$AC$23,0)),0),IF($A20&gt;=8,(F20+$C$3)*MAX(0,IF('01_数值调参'!$AD$7&lt;=$A20,-'01_数值调参'!$AD$23,0),IF('01_数值调参'!$AE$7&lt;=$A20,-'01_数值调参'!$AE$23,0),IF('01_数值调参'!$AF$7&lt;=$A20,-'01_数值调参'!$AF$23,0),IF('01_数值调参'!$AG$7&lt;=$A20,-'01_数值调参'!$AG$23,0)),0),IF($A20&gt;=10,(G20+$C$3)*MAX(0,IF('01_数值调参'!$AH$7&lt;=$A20,-'01_数值调参'!$AH$23,0),IF('01_数值调参'!$AI$7&lt;=$A20,-'01_数值调参'!$AI$23,0),IF('01_数值调参'!$AJ$7&lt;=$A20,-'01_数值调参'!$AJ$23,0),IF('01_数值调参'!$AK$7&lt;=$A20,-'01_数值调参'!$AK$23,0),IF('01_数值调参'!$AL$7&lt;=$A20,-'01_数值调参'!$AL$23,0),IF('01_数值调参'!$AM$7&lt;=$A20,-'01_数值调参'!$AM$23,0)),0),0)),"队列待修正"))</x:f>
        <x:v>9</x:v>
      </x:c>
      <x:c r="N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K$7,"—",SUM(IF($A20&gt;=2,(C20+$C$3)*MAX(0,IF('01_数值调参'!$N$7&lt;=$A20,-'01_数值调参'!$N$24,0),IF('01_数值调参'!$O$7&lt;=$A20,-'01_数值调参'!$O$24,0),IF('01_数值调参'!$P$7&lt;=$A20,-'01_数值调参'!$P$24,0),IF('01_数值调参'!$Q$7&lt;=$A20,-'01_数值调参'!$Q$24,0),IF('01_数值调参'!$R$7&lt;=$A20,-'01_数值调参'!$R$24,0)),0),IF($A20&gt;=4,(D20+$C$3)*MAX(0,IF('01_数值调参'!$S$7&lt;=$A20,-'01_数值调参'!$S$24,0),IF('01_数值调参'!$T$7&lt;=$A20,-'01_数值调参'!$T$24,0),IF('01_数值调参'!$U$7&lt;=$A20,-'01_数值调参'!$U$24,0),IF('01_数值调参'!$V$7&lt;=$A20,-'01_数值调参'!$V$24,0),IF('01_数值调参'!$W$7&lt;=$A20,-'01_数值调参'!$W$24,0)),0),IF($A20&gt;=6,(E20+$C$3)*MAX(0,IF('01_数值调参'!$X$7&lt;=$A20,-'01_数值调参'!$X$24,0),IF('01_数值调参'!$Y$7&lt;=$A20,-'01_数值调参'!$Y$24,0),IF('01_数值调参'!$Z$7&lt;=$A20,-'01_数值调参'!$Z$24,0),IF('01_数值调参'!$AA$7&lt;=$A20,-'01_数值调参'!$AA$24,0),IF('01_数值调参'!$AB$7&lt;=$A20,-'01_数值调参'!$AB$24,0),IF('01_数值调参'!$AC$7&lt;=$A20,-'01_数值调参'!$AC$24,0)),0),IF($A20&gt;=8,(F20+$C$3)*MAX(0,IF('01_数值调参'!$AD$7&lt;=$A20,-'01_数值调参'!$AD$24,0),IF('01_数值调参'!$AE$7&lt;=$A20,-'01_数值调参'!$AE$24,0),IF('01_数值调参'!$AF$7&lt;=$A20,-'01_数值调参'!$AF$24,0),IF('01_数值调参'!$AG$7&lt;=$A20,-'01_数值调参'!$AG$24,0)),0),IF($A20&gt;=10,(G20+$C$3)*MAX(0,IF('01_数值调参'!$AH$7&lt;=$A20,-'01_数值调参'!$AH$24,0),IF('01_数值调参'!$AI$7&lt;=$A20,-'01_数值调参'!$AI$24,0),IF('01_数值调参'!$AJ$7&lt;=$A20,-'01_数值调参'!$AJ$24,0),IF('01_数值调参'!$AK$7&lt;=$A20,-'01_数值调参'!$AK$24,0),IF('01_数值调参'!$AL$7&lt;=$A20,-'01_数值调参'!$AL$24,0),IF('01_数值调参'!$AM$7&lt;=$A20,-'01_数值调参'!$AM$24,0)),0),0)),"队列待修正"))</x:f>
        <x:v>9</x:v>
      </x:c>
      <x:c r="O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L$7,"—",SUM(IF($A20&gt;=2,(C20+$C$3)*MAX(0,IF('01_数值调参'!$N$7&lt;=$A20,-'01_数值调参'!$N$25,0),IF('01_数值调参'!$O$7&lt;=$A20,-'01_数值调参'!$O$25,0),IF('01_数值调参'!$P$7&lt;=$A20,-'01_数值调参'!$P$25,0),IF('01_数值调参'!$Q$7&lt;=$A20,-'01_数值调参'!$Q$25,0),IF('01_数值调参'!$R$7&lt;=$A20,-'01_数值调参'!$R$25,0)),0),IF($A20&gt;=4,(D20+$C$3)*MAX(0,IF('01_数值调参'!$S$7&lt;=$A20,-'01_数值调参'!$S$25,0),IF('01_数值调参'!$T$7&lt;=$A20,-'01_数值调参'!$T$25,0),IF('01_数值调参'!$U$7&lt;=$A20,-'01_数值调参'!$U$25,0),IF('01_数值调参'!$V$7&lt;=$A20,-'01_数值调参'!$V$25,0),IF('01_数值调参'!$W$7&lt;=$A20,-'01_数值调参'!$W$25,0)),0),IF($A20&gt;=6,(E20+$C$3)*MAX(0,IF('01_数值调参'!$X$7&lt;=$A20,-'01_数值调参'!$X$25,0),IF('01_数值调参'!$Y$7&lt;=$A20,-'01_数值调参'!$Y$25,0),IF('01_数值调参'!$Z$7&lt;=$A20,-'01_数值调参'!$Z$25,0),IF('01_数值调参'!$AA$7&lt;=$A20,-'01_数值调参'!$AA$25,0),IF('01_数值调参'!$AB$7&lt;=$A20,-'01_数值调参'!$AB$25,0),IF('01_数值调参'!$AC$7&lt;=$A20,-'01_数值调参'!$AC$25,0)),0),IF($A20&gt;=8,(F20+$C$3)*MAX(0,IF('01_数值调参'!$AD$7&lt;=$A20,-'01_数值调参'!$AD$25,0),IF('01_数值调参'!$AE$7&lt;=$A20,-'01_数值调参'!$AE$25,0),IF('01_数值调参'!$AF$7&lt;=$A20,-'01_数值调参'!$AF$25,0),IF('01_数值调参'!$AG$7&lt;=$A20,-'01_数值调参'!$AG$25,0)),0),IF($A20&gt;=10,(G20+$C$3)*MAX(0,IF('01_数值调参'!$AH$7&lt;=$A20,-'01_数值调参'!$AH$25,0),IF('01_数值调参'!$AI$7&lt;=$A20,-'01_数值调参'!$AI$25,0),IF('01_数值调参'!$AJ$7&lt;=$A20,-'01_数值调参'!$AJ$25,0),IF('01_数值调参'!$AK$7&lt;=$A20,-'01_数值调参'!$AK$25,0),IF('01_数值调参'!$AL$7&lt;=$A20,-'01_数值调参'!$AL$25,0),IF('01_数值调参'!$AM$7&lt;=$A20,-'01_数值调参'!$AM$25,0)),0),0)),"队列待修正"))</x:f>
        <x:v>—</x:v>
      </x:c>
      <x:c r="P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M$7,"—",SUM(IF($A20&gt;=2,(C20+$C$3)*MAX(0,IF('01_数值调参'!$N$7&lt;=$A20,-'01_数值调参'!$N$26,0),IF('01_数值调参'!$O$7&lt;=$A20,-'01_数值调参'!$O$26,0),IF('01_数值调参'!$P$7&lt;=$A20,-'01_数值调参'!$P$26,0),IF('01_数值调参'!$Q$7&lt;=$A20,-'01_数值调参'!$Q$26,0),IF('01_数值调参'!$R$7&lt;=$A20,-'01_数值调参'!$R$26,0)),0),IF($A20&gt;=4,(D20+$C$3)*MAX(0,IF('01_数值调参'!$S$7&lt;=$A20,-'01_数值调参'!$S$26,0),IF('01_数值调参'!$T$7&lt;=$A20,-'01_数值调参'!$T$26,0),IF('01_数值调参'!$U$7&lt;=$A20,-'01_数值调参'!$U$26,0),IF('01_数值调参'!$V$7&lt;=$A20,-'01_数值调参'!$V$26,0),IF('01_数值调参'!$W$7&lt;=$A20,-'01_数值调参'!$W$26,0)),0),IF($A20&gt;=6,(E20+$C$3)*MAX(0,IF('01_数值调参'!$X$7&lt;=$A20,-'01_数值调参'!$X$26,0),IF('01_数值调参'!$Y$7&lt;=$A20,-'01_数值调参'!$Y$26,0),IF('01_数值调参'!$Z$7&lt;=$A20,-'01_数值调参'!$Z$26,0),IF('01_数值调参'!$AA$7&lt;=$A20,-'01_数值调参'!$AA$26,0),IF('01_数值调参'!$AB$7&lt;=$A20,-'01_数值调参'!$AB$26,0),IF('01_数值调参'!$AC$7&lt;=$A20,-'01_数值调参'!$AC$26,0)),0),IF($A20&gt;=8,(F20+$C$3)*MAX(0,IF('01_数值调参'!$AD$7&lt;=$A20,-'01_数值调参'!$AD$26,0),IF('01_数值调参'!$AE$7&lt;=$A20,-'01_数值调参'!$AE$26,0),IF('01_数值调参'!$AF$7&lt;=$A20,-'01_数值调参'!$AF$26,0),IF('01_数值调参'!$AG$7&lt;=$A20,-'01_数值调参'!$AG$26,0)),0),IF($A20&gt;=10,(G20+$C$3)*MAX(0,IF('01_数值调参'!$AH$7&lt;=$A20,-'01_数值调参'!$AH$26,0),IF('01_数值调参'!$AI$7&lt;=$A20,-'01_数值调参'!$AI$26,0),IF('01_数值调参'!$AJ$7&lt;=$A20,-'01_数值调参'!$AJ$26,0),IF('01_数值调参'!$AK$7&lt;=$A20,-'01_数值调参'!$AK$26,0),IF('01_数值调参'!$AL$7&lt;=$A20,-'01_数值调参'!$AL$26,0),IF('01_数值调参'!$AM$7&lt;=$A20,-'01_数值调参'!$AM$26,0)),0),0)),"队列待修正"))</x:f>
        <x:v>—</x:v>
      </x:c>
      <x:c r="Q20" s="191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N$7,"—",SUM(IF($A20&gt;=2,(C20+$C$3)*MAX(0,IF('01_数值调参'!$N$7&lt;=$A20,0,0),IF('01_数值调参'!$O$7&lt;=$A20,-'01_数值调参'!$O$27,0),IF('01_数值调参'!$P$7&lt;=$A20,-'01_数值调参'!$P$27,0),IF('01_数值调参'!$Q$7&lt;=$A20,-'01_数值调参'!$Q$27,0),IF('01_数值调参'!$R$7&lt;=$A20,-'01_数值调参'!$R$27,0)),0),IF($A20&gt;=4,(D20+$C$3)*MAX(0,IF('01_数值调参'!$S$7&lt;=$A20,-'01_数值调参'!$S$27,0),IF('01_数值调参'!$T$7&lt;=$A20,-'01_数值调参'!$T$27,0),IF('01_数值调参'!$U$7&lt;=$A20,-'01_数值调参'!$U$27,0),IF('01_数值调参'!$V$7&lt;=$A20,-'01_数值调参'!$V$27,0),IF('01_数值调参'!$W$7&lt;=$A20,-'01_数值调参'!$W$27,0)),0),IF($A20&gt;=6,(E20+$C$3)*MAX(0,IF('01_数值调参'!$X$7&lt;=$A20,-'01_数值调参'!$X$27,0),IF('01_数值调参'!$Y$7&lt;=$A20,-'01_数值调参'!$Y$27,0),IF('01_数值调参'!$Z$7&lt;=$A20,-'01_数值调参'!$Z$27,0),IF('01_数值调参'!$AA$7&lt;=$A20,-'01_数值调参'!$AA$27,0),IF('01_数值调参'!$AB$7&lt;=$A20,-'01_数值调参'!$AB$27,0),IF('01_数值调参'!$AC$7&lt;=$A20,-'01_数值调参'!$AC$27,0)),0),IF($A20&gt;=8,(F20+$C$3)*MAX(0,IF('01_数值调参'!$AD$7&lt;=$A20,-'01_数值调参'!$AD$27,0),IF('01_数值调参'!$AE$7&lt;=$A20,-'01_数值调参'!$AE$27,0),IF('01_数值调参'!$AF$7&lt;=$A20,-'01_数值调参'!$AF$27,0),IF('01_数值调参'!$AG$7&lt;=$A20,-'01_数值调参'!$AG$27,0)),0),IF($A20&gt;=10,(G20+$C$3)*MAX(0,IF('01_数值调参'!$AH$7&lt;=$A20,-'01_数值调参'!$AH$27,0),IF('01_数值调参'!$AI$7&lt;=$A20,-'01_数值调参'!$AI$27,0),IF('01_数值调参'!$AJ$7&lt;=$A20,-'01_数值调参'!$AJ$27,0),IF('01_数值调参'!$AK$7&lt;=$A20,-'01_数值调参'!$AK$27,0),IF('01_数值调参'!$AL$7&lt;=$A20,-'01_数值调参'!$AL$27,0),IF('01_数值调参'!$AM$7&lt;=$A20,-'01_数值调参'!$AM$27,0)),0),0)),"队列待修正"))</x:f>
        <x:v>3</x:v>
      </x:c>
      <x:c r="R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O$7,"—",SUM(IF($A20&gt;=2,(C20+$C$3)*MAX(0,IF('01_数值调参'!$N$7&lt;=$A20,-'01_数值调参'!$N$28,0),IF('01_数值调参'!$O$7&lt;=$A20,0,0),IF('01_数值调参'!$P$7&lt;=$A20,-'01_数值调参'!$P$28,0),IF('01_数值调参'!$Q$7&lt;=$A20,-'01_数值调参'!$Q$28,0),IF('01_数值调参'!$R$7&lt;=$A20,-'01_数值调参'!$R$28,0)),0),IF($A20&gt;=4,(D20+$C$3)*MAX(0,IF('01_数值调参'!$S$7&lt;=$A20,-'01_数值调参'!$S$28,0),IF('01_数值调参'!$T$7&lt;=$A20,-'01_数值调参'!$T$28,0),IF('01_数值调参'!$U$7&lt;=$A20,-'01_数值调参'!$U$28,0),IF('01_数值调参'!$V$7&lt;=$A20,-'01_数值调参'!$V$28,0),IF('01_数值调参'!$W$7&lt;=$A20,-'01_数值调参'!$W$28,0)),0),IF($A20&gt;=6,(E20+$C$3)*MAX(0,IF('01_数值调参'!$X$7&lt;=$A20,-'01_数值调参'!$X$28,0),IF('01_数值调参'!$Y$7&lt;=$A20,-'01_数值调参'!$Y$28,0),IF('01_数值调参'!$Z$7&lt;=$A20,-'01_数值调参'!$Z$28,0),IF('01_数值调参'!$AA$7&lt;=$A20,-'01_数值调参'!$AA$28,0),IF('01_数值调参'!$AB$7&lt;=$A20,-'01_数值调参'!$AB$28,0),IF('01_数值调参'!$AC$7&lt;=$A20,-'01_数值调参'!$AC$28,0)),0),IF($A20&gt;=8,(F20+$C$3)*MAX(0,IF('01_数值调参'!$AD$7&lt;=$A20,-'01_数值调参'!$AD$28,0),IF('01_数值调参'!$AE$7&lt;=$A20,-'01_数值调参'!$AE$28,0),IF('01_数值调参'!$AF$7&lt;=$A20,-'01_数值调参'!$AF$28,0),IF('01_数值调参'!$AG$7&lt;=$A20,-'01_数值调参'!$AG$28,0)),0),IF($A20&gt;=10,(G20+$C$3)*MAX(0,IF('01_数值调参'!$AH$7&lt;=$A20,-'01_数值调参'!$AH$28,0),IF('01_数值调参'!$AI$7&lt;=$A20,-'01_数值调参'!$AI$28,0),IF('01_数值调参'!$AJ$7&lt;=$A20,-'01_数值调参'!$AJ$28,0),IF('01_数值调参'!$AK$7&lt;=$A20,-'01_数值调参'!$AK$28,0),IF('01_数值调参'!$AL$7&lt;=$A20,-'01_数值调参'!$AL$28,0),IF('01_数值调参'!$AM$7&lt;=$A20,-'01_数值调参'!$AM$28,0)),0),0)),"队列待修正"))</x:f>
        <x:v>3</x:v>
      </x:c>
      <x:c r="S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P$7,"—",SUM(IF($A20&gt;=2,(C20+$C$3)*MAX(0,IF('01_数值调参'!$N$7&lt;=$A20,-'01_数值调参'!$N$29,0),IF('01_数值调参'!$O$7&lt;=$A20,-'01_数值调参'!$O$29,0),IF('01_数值调参'!$P$7&lt;=$A20,0,0),IF('01_数值调参'!$Q$7&lt;=$A20,-'01_数值调参'!$Q$29,0),IF('01_数值调参'!$R$7&lt;=$A20,-'01_数值调参'!$R$29,0)),0),IF($A20&gt;=4,(D20+$C$3)*MAX(0,IF('01_数值调参'!$S$7&lt;=$A20,-'01_数值调参'!$S$29,0),IF('01_数值调参'!$T$7&lt;=$A20,-'01_数值调参'!$T$29,0),IF('01_数值调参'!$U$7&lt;=$A20,-'01_数值调参'!$U$29,0),IF('01_数值调参'!$V$7&lt;=$A20,-'01_数值调参'!$V$29,0),IF('01_数值调参'!$W$7&lt;=$A20,-'01_数值调参'!$W$29,0)),0),IF($A20&gt;=6,(E20+$C$3)*MAX(0,IF('01_数值调参'!$X$7&lt;=$A20,-'01_数值调参'!$X$29,0),IF('01_数值调参'!$Y$7&lt;=$A20,-'01_数值调参'!$Y$29,0),IF('01_数值调参'!$Z$7&lt;=$A20,-'01_数值调参'!$Z$29,0),IF('01_数值调参'!$AA$7&lt;=$A20,-'01_数值调参'!$AA$29,0),IF('01_数值调参'!$AB$7&lt;=$A20,-'01_数值调参'!$AB$29,0),IF('01_数值调参'!$AC$7&lt;=$A20,-'01_数值调参'!$AC$29,0)),0),IF($A20&gt;=8,(F20+$C$3)*MAX(0,IF('01_数值调参'!$AD$7&lt;=$A20,-'01_数值调参'!$AD$29,0),IF('01_数值调参'!$AE$7&lt;=$A20,-'01_数值调参'!$AE$29,0),IF('01_数值调参'!$AF$7&lt;=$A20,-'01_数值调参'!$AF$29,0),IF('01_数值调参'!$AG$7&lt;=$A20,-'01_数值调参'!$AG$29,0)),0),IF($A20&gt;=10,(G20+$C$3)*MAX(0,IF('01_数值调参'!$AH$7&lt;=$A20,-'01_数值调参'!$AH$29,0),IF('01_数值调参'!$AI$7&lt;=$A20,-'01_数值调参'!$AI$29,0),IF('01_数值调参'!$AJ$7&lt;=$A20,-'01_数值调参'!$AJ$29,0),IF('01_数值调参'!$AK$7&lt;=$A20,-'01_数值调参'!$AK$29,0),IF('01_数值调参'!$AL$7&lt;=$A20,-'01_数值调参'!$AL$29,0),IF('01_数值调参'!$AM$7&lt;=$A20,-'01_数值调参'!$AM$29,0)),0),0)),"队列待修正"))</x:f>
        <x:v>3</x:v>
      </x:c>
      <x:c r="T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Q$7,"—",SUM(IF($A20&gt;=2,(C20+$C$3)*MAX(0,IF('01_数值调参'!$N$7&lt;=$A20,-'01_数值调参'!$N$30,0),IF('01_数值调参'!$O$7&lt;=$A20,-'01_数值调参'!$O$30,0),IF('01_数值调参'!$P$7&lt;=$A20,-'01_数值调参'!$P$30,0),IF('01_数值调参'!$Q$7&lt;=$A20,0,0),IF('01_数值调参'!$R$7&lt;=$A20,-'01_数值调参'!$R$30,0)),0),IF($A20&gt;=4,(D20+$C$3)*MAX(0,IF('01_数值调参'!$S$7&lt;=$A20,-'01_数值调参'!$S$30,0),IF('01_数值调参'!$T$7&lt;=$A20,-'01_数值调参'!$T$30,0),IF('01_数值调参'!$U$7&lt;=$A20,-'01_数值调参'!$U$30,0),IF('01_数值调参'!$V$7&lt;=$A20,-'01_数值调参'!$V$30,0),IF('01_数值调参'!$W$7&lt;=$A20,-'01_数值调参'!$W$30,0)),0),IF($A20&gt;=6,(E20+$C$3)*MAX(0,IF('01_数值调参'!$X$7&lt;=$A20,-'01_数值调参'!$X$30,0),IF('01_数值调参'!$Y$7&lt;=$A20,-'01_数值调参'!$Y$30,0),IF('01_数值调参'!$Z$7&lt;=$A20,-'01_数值调参'!$Z$30,0),IF('01_数值调参'!$AA$7&lt;=$A20,-'01_数值调参'!$AA$30,0),IF('01_数值调参'!$AB$7&lt;=$A20,-'01_数值调参'!$AB$30,0),IF('01_数值调参'!$AC$7&lt;=$A20,-'01_数值调参'!$AC$30,0)),0),IF($A20&gt;=8,(F20+$C$3)*MAX(0,IF('01_数值调参'!$AD$7&lt;=$A20,-'01_数值调参'!$AD$30,0),IF('01_数值调参'!$AE$7&lt;=$A20,-'01_数值调参'!$AE$30,0),IF('01_数值调参'!$AF$7&lt;=$A20,-'01_数值调参'!$AF$30,0),IF('01_数值调参'!$AG$7&lt;=$A20,-'01_数值调参'!$AG$30,0)),0),IF($A20&gt;=10,(G20+$C$3)*MAX(0,IF('01_数值调参'!$AH$7&lt;=$A20,-'01_数值调参'!$AH$30,0),IF('01_数值调参'!$AI$7&lt;=$A20,-'01_数值调参'!$AI$30,0),IF('01_数值调参'!$AJ$7&lt;=$A20,-'01_数值调参'!$AJ$30,0),IF('01_数值调参'!$AK$7&lt;=$A20,-'01_数值调参'!$AK$30,0),IF('01_数值调参'!$AL$7&lt;=$A20,-'01_数值调参'!$AL$30,0),IF('01_数值调参'!$AM$7&lt;=$A20,-'01_数值调参'!$AM$30,0)),0),0)),"队列待修正"))</x:f>
        <x:v>0</x:v>
      </x:c>
      <x:c r="U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R$7,"—",SUM(IF($A20&gt;=2,(C20+$C$3)*MAX(0,IF('01_数值调参'!$N$7&lt;=$A20,-'01_数值调参'!$N$31,0),IF('01_数值调参'!$O$7&lt;=$A20,-'01_数值调参'!$O$31,0),IF('01_数值调参'!$P$7&lt;=$A20,-'01_数值调参'!$P$31,0),IF('01_数值调参'!$Q$7&lt;=$A20,-'01_数值调参'!$Q$31,0),IF('01_数值调参'!$R$7&lt;=$A20,0,0)),0),IF($A20&gt;=4,(D20+$C$3)*MAX(0,IF('01_数值调参'!$S$7&lt;=$A20,-'01_数值调参'!$S$31,0),IF('01_数值调参'!$T$7&lt;=$A20,-'01_数值调参'!$T$31,0),IF('01_数值调参'!$U$7&lt;=$A20,-'01_数值调参'!$U$31,0),IF('01_数值调参'!$V$7&lt;=$A20,-'01_数值调参'!$V$31,0),IF('01_数值调参'!$W$7&lt;=$A20,-'01_数值调参'!$W$31,0)),0),IF($A20&gt;=6,(E20+$C$3)*MAX(0,IF('01_数值调参'!$X$7&lt;=$A20,-'01_数值调参'!$X$31,0),IF('01_数值调参'!$Y$7&lt;=$A20,-'01_数值调参'!$Y$31,0),IF('01_数值调参'!$Z$7&lt;=$A20,-'01_数值调参'!$Z$31,0),IF('01_数值调参'!$AA$7&lt;=$A20,-'01_数值调参'!$AA$31,0),IF('01_数值调参'!$AB$7&lt;=$A20,-'01_数值调参'!$AB$31,0),IF('01_数值调参'!$AC$7&lt;=$A20,-'01_数值调参'!$AC$31,0)),0),IF($A20&gt;=8,(F20+$C$3)*MAX(0,IF('01_数值调参'!$AD$7&lt;=$A20,-'01_数值调参'!$AD$31,0),IF('01_数值调参'!$AE$7&lt;=$A20,-'01_数值调参'!$AE$31,0),IF('01_数值调参'!$AF$7&lt;=$A20,-'01_数值调参'!$AF$31,0),IF('01_数值调参'!$AG$7&lt;=$A20,-'01_数值调参'!$AG$31,0)),0),IF($A20&gt;=10,(G20+$C$3)*MAX(0,IF('01_数值调参'!$AH$7&lt;=$A20,-'01_数值调参'!$AH$31,0),IF('01_数值调参'!$AI$7&lt;=$A20,-'01_数值调参'!$AI$31,0),IF('01_数值调参'!$AJ$7&lt;=$A20,-'01_数值调参'!$AJ$31,0),IF('01_数值调参'!$AK$7&lt;=$A20,-'01_数值调参'!$AK$31,0),IF('01_数值调参'!$AL$7&lt;=$A20,-'01_数值调参'!$AL$31,0),IF('01_数值调参'!$AM$7&lt;=$A20,-'01_数值调参'!$AM$31,0)),0),0)),"队列待修正"))</x:f>
        <x:v>—</x:v>
      </x:c>
      <x:c r="V20" s="191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S$7,"—",SUM(IF($A20&gt;=2,(C20+$C$3)*MAX(0,IF('01_数值调参'!$N$7&lt;=$A20,-'01_数值调参'!$N$32,0),IF('01_数值调参'!$O$7&lt;=$A20,-'01_数值调参'!$O$32,0),IF('01_数值调参'!$P$7&lt;=$A20,-'01_数值调参'!$P$32,0),IF('01_数值调参'!$Q$7&lt;=$A20,-'01_数值调参'!$Q$32,0),IF('01_数值调参'!$R$7&lt;=$A20,-'01_数值调参'!$R$32,0)),0),IF($A20&gt;=4,(D20+$C$3)*MAX(0,IF('01_数值调参'!$S$7&lt;=$A20,0,0),IF('01_数值调参'!$T$7&lt;=$A20,-'01_数值调参'!$T$32,0),IF('01_数值调参'!$U$7&lt;=$A20,-'01_数值调参'!$U$32,0),IF('01_数值调参'!$V$7&lt;=$A20,-'01_数值调参'!$V$32,0),IF('01_数值调参'!$W$7&lt;=$A20,-'01_数值调参'!$W$32,0)),0),IF($A20&gt;=6,(E20+$C$3)*MAX(0,IF('01_数值调参'!$X$7&lt;=$A20,-'01_数值调参'!$X$32,0),IF('01_数值调参'!$Y$7&lt;=$A20,-'01_数值调参'!$Y$32,0),IF('01_数值调参'!$Z$7&lt;=$A20,-'01_数值调参'!$Z$32,0),IF('01_数值调参'!$AA$7&lt;=$A20,-'01_数值调参'!$AA$32,0),IF('01_数值调参'!$AB$7&lt;=$A20,-'01_数值调参'!$AB$32,0),IF('01_数值调参'!$AC$7&lt;=$A20,-'01_数值调参'!$AC$32,0)),0),IF($A20&gt;=8,(F20+$C$3)*MAX(0,IF('01_数值调参'!$AD$7&lt;=$A20,-'01_数值调参'!$AD$32,0),IF('01_数值调参'!$AE$7&lt;=$A20,-'01_数值调参'!$AE$32,0),IF('01_数值调参'!$AF$7&lt;=$A20,-'01_数值调参'!$AF$32,0),IF('01_数值调参'!$AG$7&lt;=$A20,-'01_数值调参'!$AG$32,0)),0),IF($A20&gt;=10,(G20+$C$3)*MAX(0,IF('01_数值调参'!$AH$7&lt;=$A20,-'01_数值调参'!$AH$32,0),IF('01_数值调参'!$AI$7&lt;=$A20,-'01_数值调参'!$AI$32,0),IF('01_数值调参'!$AJ$7&lt;=$A20,-'01_数值调参'!$AJ$32,0),IF('01_数值调参'!$AK$7&lt;=$A20,-'01_数值调参'!$AK$32,0),IF('01_数值调参'!$AL$7&lt;=$A20,-'01_数值调参'!$AL$32,0),IF('01_数值调参'!$AM$7&lt;=$A20,-'01_数值调参'!$AM$32,0)),0),0)),"队列待修正"))</x:f>
        <x:v>6</x:v>
      </x:c>
      <x:c r="W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T$7,"—",SUM(IF($A20&gt;=2,(C20+$C$3)*MAX(0,IF('01_数值调参'!$N$7&lt;=$A20,-'01_数值调参'!$N$33,0),IF('01_数值调参'!$O$7&lt;=$A20,-'01_数值调参'!$O$33,0),IF('01_数值调参'!$P$7&lt;=$A20,-'01_数值调参'!$P$33,0),IF('01_数值调参'!$Q$7&lt;=$A20,-'01_数值调参'!$Q$33,0),IF('01_数值调参'!$R$7&lt;=$A20,-'01_数值调参'!$R$33,0)),0),IF($A20&gt;=4,(D20+$C$3)*MAX(0,IF('01_数值调参'!$S$7&lt;=$A20,-'01_数值调参'!$S$33,0),IF('01_数值调参'!$T$7&lt;=$A20,0,0),IF('01_数值调参'!$U$7&lt;=$A20,-'01_数值调参'!$U$33,0),IF('01_数值调参'!$V$7&lt;=$A20,-'01_数值调参'!$V$33,0),IF('01_数值调参'!$W$7&lt;=$A20,-'01_数值调参'!$W$33,0)),0),IF($A20&gt;=6,(E20+$C$3)*MAX(0,IF('01_数值调参'!$X$7&lt;=$A20,-'01_数值调参'!$X$33,0),IF('01_数值调参'!$Y$7&lt;=$A20,-'01_数值调参'!$Y$33,0),IF('01_数值调参'!$Z$7&lt;=$A20,-'01_数值调参'!$Z$33,0),IF('01_数值调参'!$AA$7&lt;=$A20,-'01_数值调参'!$AA$33,0),IF('01_数值调参'!$AB$7&lt;=$A20,-'01_数值调参'!$AB$33,0),IF('01_数值调参'!$AC$7&lt;=$A20,-'01_数值调参'!$AC$33,0)),0),IF($A20&gt;=8,(F20+$C$3)*MAX(0,IF('01_数值调参'!$AD$7&lt;=$A20,-'01_数值调参'!$AD$33,0),IF('01_数值调参'!$AE$7&lt;=$A20,-'01_数值调参'!$AE$33,0),IF('01_数值调参'!$AF$7&lt;=$A20,-'01_数值调参'!$AF$33,0),IF('01_数值调参'!$AG$7&lt;=$A20,-'01_数值调参'!$AG$33,0)),0),IF($A20&gt;=10,(G20+$C$3)*MAX(0,IF('01_数值调参'!$AH$7&lt;=$A20,-'01_数值调参'!$AH$33,0),IF('01_数值调参'!$AI$7&lt;=$A20,-'01_数值调参'!$AI$33,0),IF('01_数值调参'!$AJ$7&lt;=$A20,-'01_数值调参'!$AJ$33,0),IF('01_数值调参'!$AK$7&lt;=$A20,-'01_数值调参'!$AK$33,0),IF('01_数值调参'!$AL$7&lt;=$A20,-'01_数值调参'!$AL$33,0),IF('01_数值调参'!$AM$7&lt;=$A20,-'01_数值调参'!$AM$33,0)),0),0)),"队列待修正"))</x:f>
        <x:v>3</x:v>
      </x:c>
      <x:c r="X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U$7,"—",SUM(IF($A20&gt;=2,(C20+$C$3)*MAX(0,IF('01_数值调参'!$N$7&lt;=$A20,-'01_数值调参'!$N$34,0),IF('01_数值调参'!$O$7&lt;=$A20,-'01_数值调参'!$O$34,0),IF('01_数值调参'!$P$7&lt;=$A20,-'01_数值调参'!$P$34,0),IF('01_数值调参'!$Q$7&lt;=$A20,-'01_数值调参'!$Q$34,0),IF('01_数值调参'!$R$7&lt;=$A20,-'01_数值调参'!$R$34,0)),0),IF($A20&gt;=4,(D20+$C$3)*MAX(0,IF('01_数值调参'!$S$7&lt;=$A20,-'01_数值调参'!$S$34,0),IF('01_数值调参'!$T$7&lt;=$A20,-'01_数值调参'!$T$34,0),IF('01_数值调参'!$U$7&lt;=$A20,0,0),IF('01_数值调参'!$V$7&lt;=$A20,-'01_数值调参'!$V$34,0),IF('01_数值调参'!$W$7&lt;=$A20,-'01_数值调参'!$W$34,0)),0),IF($A20&gt;=6,(E20+$C$3)*MAX(0,IF('01_数值调参'!$X$7&lt;=$A20,-'01_数值调参'!$X$34,0),IF('01_数值调参'!$Y$7&lt;=$A20,-'01_数值调参'!$Y$34,0),IF('01_数值调参'!$Z$7&lt;=$A20,-'01_数值调参'!$Z$34,0),IF('01_数值调参'!$AA$7&lt;=$A20,-'01_数值调参'!$AA$34,0),IF('01_数值调参'!$AB$7&lt;=$A20,-'01_数值调参'!$AB$34,0),IF('01_数值调参'!$AC$7&lt;=$A20,-'01_数值调参'!$AC$34,0)),0),IF($A20&gt;=8,(F20+$C$3)*MAX(0,IF('01_数值调参'!$AD$7&lt;=$A20,-'01_数值调参'!$AD$34,0),IF('01_数值调参'!$AE$7&lt;=$A20,-'01_数值调参'!$AE$34,0),IF('01_数值调参'!$AF$7&lt;=$A20,-'01_数值调参'!$AF$34,0),IF('01_数值调参'!$AG$7&lt;=$A20,-'01_数值调参'!$AG$34,0)),0),IF($A20&gt;=10,(G20+$C$3)*MAX(0,IF('01_数值调参'!$AH$7&lt;=$A20,-'01_数值调参'!$AH$34,0),IF('01_数值调参'!$AI$7&lt;=$A20,-'01_数值调参'!$AI$34,0),IF('01_数值调参'!$AJ$7&lt;=$A20,-'01_数值调参'!$AJ$34,0),IF('01_数值调参'!$AK$7&lt;=$A20,-'01_数值调参'!$AK$34,0),IF('01_数值调参'!$AL$7&lt;=$A20,-'01_数值调参'!$AL$34,0),IF('01_数值调参'!$AM$7&lt;=$A20,-'01_数值调参'!$AM$34,0)),0),0)),"队列待修正"))</x:f>
        <x:v>0</x:v>
      </x:c>
      <x:c r="Y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V$7,"—",SUM(IF($A20&gt;=2,(C20+$C$3)*MAX(0,IF('01_数值调参'!$N$7&lt;=$A20,-'01_数值调参'!$N$35,0),IF('01_数值调参'!$O$7&lt;=$A20,-'01_数值调参'!$O$35,0),IF('01_数值调参'!$P$7&lt;=$A20,-'01_数值调参'!$P$35,0),IF('01_数值调参'!$Q$7&lt;=$A20,-'01_数值调参'!$Q$35,0),IF('01_数值调参'!$R$7&lt;=$A20,-'01_数值调参'!$R$35,0)),0),IF($A20&gt;=4,(D20+$C$3)*MAX(0,IF('01_数值调参'!$S$7&lt;=$A20,-'01_数值调参'!$S$35,0),IF('01_数值调参'!$T$7&lt;=$A20,-'01_数值调参'!$T$35,0),IF('01_数值调参'!$U$7&lt;=$A20,-'01_数值调参'!$U$35,0),IF('01_数值调参'!$V$7&lt;=$A20,0,0),IF('01_数值调参'!$W$7&lt;=$A20,-'01_数值调参'!$W$35,0)),0),IF($A20&gt;=6,(E20+$C$3)*MAX(0,IF('01_数值调参'!$X$7&lt;=$A20,-'01_数值调参'!$X$35,0),IF('01_数值调参'!$Y$7&lt;=$A20,-'01_数值调参'!$Y$35,0),IF('01_数值调参'!$Z$7&lt;=$A20,-'01_数值调参'!$Z$35,0),IF('01_数值调参'!$AA$7&lt;=$A20,-'01_数值调参'!$AA$35,0),IF('01_数值调参'!$AB$7&lt;=$A20,-'01_数值调参'!$AB$35,0),IF('01_数值调参'!$AC$7&lt;=$A20,-'01_数值调参'!$AC$35,0)),0),IF($A20&gt;=8,(F20+$C$3)*MAX(0,IF('01_数值调参'!$AD$7&lt;=$A20,-'01_数值调参'!$AD$35,0),IF('01_数值调参'!$AE$7&lt;=$A20,-'01_数值调参'!$AE$35,0),IF('01_数值调参'!$AF$7&lt;=$A20,-'01_数值调参'!$AF$35,0),IF('01_数值调参'!$AG$7&lt;=$A20,-'01_数值调参'!$AG$35,0)),0),IF($A20&gt;=10,(G20+$C$3)*MAX(0,IF('01_数值调参'!$AH$7&lt;=$A20,-'01_数值调参'!$AH$35,0),IF('01_数值调参'!$AI$7&lt;=$A20,-'01_数值调参'!$AI$35,0),IF('01_数值调参'!$AJ$7&lt;=$A20,-'01_数值调参'!$AJ$35,0),IF('01_数值调参'!$AK$7&lt;=$A20,-'01_数值调参'!$AK$35,0),IF('01_数值调参'!$AL$7&lt;=$A20,-'01_数值调参'!$AL$35,0),IF('01_数值调参'!$AM$7&lt;=$A20,-'01_数值调参'!$AM$35,0)),0),0)),"队列待修正"))</x:f>
        <x:v>—</x:v>
      </x:c>
      <x:c r="Z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W$7,"—",SUM(IF($A20&gt;=2,(C20+$C$3)*MAX(0,IF('01_数值调参'!$N$7&lt;=$A20,-'01_数值调参'!$N$36,0),IF('01_数值调参'!$O$7&lt;=$A20,-'01_数值调参'!$O$36,0),IF('01_数值调参'!$P$7&lt;=$A20,-'01_数值调参'!$P$36,0),IF('01_数值调参'!$Q$7&lt;=$A20,-'01_数值调参'!$Q$36,0),IF('01_数值调参'!$R$7&lt;=$A20,-'01_数值调参'!$R$36,0)),0),IF($A20&gt;=4,(D20+$C$3)*MAX(0,IF('01_数值调参'!$S$7&lt;=$A20,-'01_数值调参'!$S$36,0),IF('01_数值调参'!$T$7&lt;=$A20,-'01_数值调参'!$T$36,0),IF('01_数值调参'!$U$7&lt;=$A20,-'01_数值调参'!$U$36,0),IF('01_数值调参'!$V$7&lt;=$A20,-'01_数值调参'!$V$36,0),IF('01_数值调参'!$W$7&lt;=$A20,0,0)),0),IF($A20&gt;=6,(E20+$C$3)*MAX(0,IF('01_数值调参'!$X$7&lt;=$A20,-'01_数值调参'!$X$36,0),IF('01_数值调参'!$Y$7&lt;=$A20,-'01_数值调参'!$Y$36,0),IF('01_数值调参'!$Z$7&lt;=$A20,-'01_数值调参'!$Z$36,0),IF('01_数值调参'!$AA$7&lt;=$A20,-'01_数值调参'!$AA$36,0),IF('01_数值调参'!$AB$7&lt;=$A20,-'01_数值调参'!$AB$36,0),IF('01_数值调参'!$AC$7&lt;=$A20,-'01_数值调参'!$AC$36,0)),0),IF($A20&gt;=8,(F20+$C$3)*MAX(0,IF('01_数值调参'!$AD$7&lt;=$A20,-'01_数值调参'!$AD$36,0),IF('01_数值调参'!$AE$7&lt;=$A20,-'01_数值调参'!$AE$36,0),IF('01_数值调参'!$AF$7&lt;=$A20,-'01_数值调参'!$AF$36,0),IF('01_数值调参'!$AG$7&lt;=$A20,-'01_数值调参'!$AG$36,0)),0),IF($A20&gt;=10,(G20+$C$3)*MAX(0,IF('01_数值调参'!$AH$7&lt;=$A20,-'01_数值调参'!$AH$36,0),IF('01_数值调参'!$AI$7&lt;=$A20,-'01_数值调参'!$AI$36,0),IF('01_数值调参'!$AJ$7&lt;=$A20,-'01_数值调参'!$AJ$36,0),IF('01_数值调参'!$AK$7&lt;=$A20,-'01_数值调参'!$AK$36,0),IF('01_数值调参'!$AL$7&lt;=$A20,-'01_数值调参'!$AL$36,0),IF('01_数值调参'!$AM$7&lt;=$A20,-'01_数值调参'!$AM$36,0)),0),0)),"队列待修正"))</x:f>
        <x:v>—</x:v>
      </x:c>
      <x:c r="AA20" s="191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X$7,"—",SUM(IF($A20&gt;=2,(C20+$C$3)*MAX(0,IF('01_数值调参'!$N$7&lt;=$A20,-'01_数值调参'!$N$37,0),IF('01_数值调参'!$O$7&lt;=$A20,-'01_数值调参'!$O$37,0),IF('01_数值调参'!$P$7&lt;=$A20,-'01_数值调参'!$P$37,0),IF('01_数值调参'!$Q$7&lt;=$A20,-'01_数值调参'!$Q$37,0),IF('01_数值调参'!$R$7&lt;=$A20,-'01_数值调参'!$R$37,0)),0),IF($A20&gt;=4,(D20+$C$3)*MAX(0,IF('01_数值调参'!$S$7&lt;=$A20,-'01_数值调参'!$S$37,0),IF('01_数值调参'!$T$7&lt;=$A20,-'01_数值调参'!$T$37,0),IF('01_数值调参'!$U$7&lt;=$A20,-'01_数值调参'!$U$37,0),IF('01_数值调参'!$V$7&lt;=$A20,-'01_数值调参'!$V$37,0),IF('01_数值调参'!$W$7&lt;=$A20,-'01_数值调参'!$W$37,0)),0),IF($A20&gt;=6,(E20+$C$3)*MAX(0,IF('01_数值调参'!$X$7&lt;=$A20,0,0),IF('01_数值调参'!$Y$7&lt;=$A20,-'01_数值调参'!$Y$37,0),IF('01_数值调参'!$Z$7&lt;=$A20,-'01_数值调参'!$Z$37,0),IF('01_数值调参'!$AA$7&lt;=$A20,-'01_数值调参'!$AA$37,0),IF('01_数值调参'!$AB$7&lt;=$A20,-'01_数值调参'!$AB$37,0),IF('01_数值调参'!$AC$7&lt;=$A20,-'01_数值调参'!$AC$37,0)),0),IF($A20&gt;=8,(F20+$C$3)*MAX(0,IF('01_数值调参'!$AD$7&lt;=$A20,-'01_数值调参'!$AD$37,0),IF('01_数值调参'!$AE$7&lt;=$A20,-'01_数值调参'!$AE$37,0),IF('01_数值调参'!$AF$7&lt;=$A20,-'01_数值调参'!$AF$37,0),IF('01_数值调参'!$AG$7&lt;=$A20,-'01_数值调参'!$AG$37,0)),0),IF($A20&gt;=10,(G20+$C$3)*MAX(0,IF('01_数值调参'!$AH$7&lt;=$A20,-'01_数值调参'!$AH$37,0),IF('01_数值调参'!$AI$7&lt;=$A20,-'01_数值调参'!$AI$37,0),IF('01_数值调参'!$AJ$7&lt;=$A20,-'01_数值调参'!$AJ$37,0),IF('01_数值调参'!$AK$7&lt;=$A20,-'01_数值调参'!$AK$37,0),IF('01_数值调参'!$AL$7&lt;=$A20,-'01_数值调参'!$AL$37,0),IF('01_数值调参'!$AM$7&lt;=$A20,-'01_数值调参'!$AM$37,0)),0),0)),"队列待修正"))</x:f>
        <x:v>0</x:v>
      </x:c>
      <x:c r="AB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Y$7,"—",SUM(IF($A20&gt;=2,(C20+$C$3)*MAX(0,IF('01_数值调参'!$N$7&lt;=$A20,-'01_数值调参'!$N$38,0),IF('01_数值调参'!$O$7&lt;=$A20,-'01_数值调参'!$O$38,0),IF('01_数值调参'!$P$7&lt;=$A20,-'01_数值调参'!$P$38,0),IF('01_数值调参'!$Q$7&lt;=$A20,-'01_数值调参'!$Q$38,0),IF('01_数值调参'!$R$7&lt;=$A20,-'01_数值调参'!$R$38,0)),0),IF($A20&gt;=4,(D20+$C$3)*MAX(0,IF('01_数值调参'!$S$7&lt;=$A20,-'01_数值调参'!$S$38,0),IF('01_数值调参'!$T$7&lt;=$A20,-'01_数值调参'!$T$38,0),IF('01_数值调参'!$U$7&lt;=$A20,-'01_数值调参'!$U$38,0),IF('01_数值调参'!$V$7&lt;=$A20,-'01_数值调参'!$V$38,0),IF('01_数值调参'!$W$7&lt;=$A20,-'01_数值调参'!$W$38,0)),0),IF($A20&gt;=6,(E20+$C$3)*MAX(0,IF('01_数值调参'!$X$7&lt;=$A20,-'01_数值调参'!$X$38,0),IF('01_数值调参'!$Y$7&lt;=$A20,0,0),IF('01_数值调参'!$Z$7&lt;=$A20,-'01_数值调参'!$Z$38,0),IF('01_数值调参'!$AA$7&lt;=$A20,-'01_数值调参'!$AA$38,0),IF('01_数值调参'!$AB$7&lt;=$A20,-'01_数值调参'!$AB$38,0),IF('01_数值调参'!$AC$7&lt;=$A20,-'01_数值调参'!$AC$38,0)),0),IF($A20&gt;=8,(F20+$C$3)*MAX(0,IF('01_数值调参'!$AD$7&lt;=$A20,-'01_数值调参'!$AD$38,0),IF('01_数值调参'!$AE$7&lt;=$A20,-'01_数值调参'!$AE$38,0),IF('01_数值调参'!$AF$7&lt;=$A20,-'01_数值调参'!$AF$38,0),IF('01_数值调参'!$AG$7&lt;=$A20,-'01_数值调参'!$AG$38,0)),0),IF($A20&gt;=10,(G20+$C$3)*MAX(0,IF('01_数值调参'!$AH$7&lt;=$A20,-'01_数值调参'!$AH$38,0),IF('01_数值调参'!$AI$7&lt;=$A20,-'01_数值调参'!$AI$38,0),IF('01_数值调参'!$AJ$7&lt;=$A20,-'01_数值调参'!$AJ$38,0),IF('01_数值调参'!$AK$7&lt;=$A20,-'01_数值调参'!$AK$38,0),IF('01_数值调参'!$AL$7&lt;=$A20,-'01_数值调参'!$AL$38,0),IF('01_数值调参'!$AM$7&lt;=$A20,-'01_数值调参'!$AM$38,0)),0),0)),"队列待修正"))</x:f>
        <x:v>0</x:v>
      </x:c>
      <x:c r="AC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Z$7,"—",SUM(IF($A20&gt;=2,(C20+$C$3)*MAX(0,IF('01_数值调参'!$N$7&lt;=$A20,-'01_数值调参'!$N$39,0),IF('01_数值调参'!$O$7&lt;=$A20,-'01_数值调参'!$O$39,0),IF('01_数值调参'!$P$7&lt;=$A20,-'01_数值调参'!$P$39,0),IF('01_数值调参'!$Q$7&lt;=$A20,-'01_数值调参'!$Q$39,0),IF('01_数值调参'!$R$7&lt;=$A20,-'01_数值调参'!$R$39,0)),0),IF($A20&gt;=4,(D20+$C$3)*MAX(0,IF('01_数值调参'!$S$7&lt;=$A20,-'01_数值调参'!$S$39,0),IF('01_数值调参'!$T$7&lt;=$A20,-'01_数值调参'!$T$39,0),IF('01_数值调参'!$U$7&lt;=$A20,-'01_数值调参'!$U$39,0),IF('01_数值调参'!$V$7&lt;=$A20,-'01_数值调参'!$V$39,0),IF('01_数值调参'!$W$7&lt;=$A20,-'01_数值调参'!$W$39,0)),0),IF($A20&gt;=6,(E20+$C$3)*MAX(0,IF('01_数值调参'!$X$7&lt;=$A20,-'01_数值调参'!$X$39,0),IF('01_数值调参'!$Y$7&lt;=$A20,-'01_数值调参'!$Y$39,0),IF('01_数值调参'!$Z$7&lt;=$A20,0,0),IF('01_数值调参'!$AA$7&lt;=$A20,-'01_数值调参'!$AA$39,0),IF('01_数值调参'!$AB$7&lt;=$A20,-'01_数值调参'!$AB$39,0),IF('01_数值调参'!$AC$7&lt;=$A20,-'01_数值调参'!$AC$39,0)),0),IF($A20&gt;=8,(F20+$C$3)*MAX(0,IF('01_数值调参'!$AD$7&lt;=$A20,-'01_数值调参'!$AD$39,0),IF('01_数值调参'!$AE$7&lt;=$A20,-'01_数值调参'!$AE$39,0),IF('01_数值调参'!$AF$7&lt;=$A20,-'01_数值调参'!$AF$39,0),IF('01_数值调参'!$AG$7&lt;=$A20,-'01_数值调参'!$AG$39,0)),0),IF($A20&gt;=10,(G20+$C$3)*MAX(0,IF('01_数值调参'!$AH$7&lt;=$A20,-'01_数值调参'!$AH$39,0),IF('01_数值调参'!$AI$7&lt;=$A20,-'01_数值调参'!$AI$39,0),IF('01_数值调参'!$AJ$7&lt;=$A20,-'01_数值调参'!$AJ$39,0),IF('01_数值调参'!$AK$7&lt;=$A20,-'01_数值调参'!$AK$39,0),IF('01_数值调参'!$AL$7&lt;=$A20,-'01_数值调参'!$AL$39,0),IF('01_数值调参'!$AM$7&lt;=$A20,-'01_数值调参'!$AM$39,0)),0),0)),"队列待修正"))</x:f>
        <x:v>0</x:v>
      </x:c>
      <x:c r="AD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A$7,"—",SUM(IF($A20&gt;=2,(C20+$C$3)*MAX(0,IF('01_数值调参'!$N$7&lt;=$A20,-'01_数值调参'!$N$40,0),IF('01_数值调参'!$O$7&lt;=$A20,-'01_数值调参'!$O$40,0),IF('01_数值调参'!$P$7&lt;=$A20,-'01_数值调参'!$P$40,0),IF('01_数值调参'!$Q$7&lt;=$A20,-'01_数值调参'!$Q$40,0),IF('01_数值调参'!$R$7&lt;=$A20,-'01_数值调参'!$R$40,0)),0),IF($A20&gt;=4,(D20+$C$3)*MAX(0,IF('01_数值调参'!$S$7&lt;=$A20,-'01_数值调参'!$S$40,0),IF('01_数值调参'!$T$7&lt;=$A20,-'01_数值调参'!$T$40,0),IF('01_数值调参'!$U$7&lt;=$A20,-'01_数值调参'!$U$40,0),IF('01_数值调参'!$V$7&lt;=$A20,-'01_数值调参'!$V$40,0),IF('01_数值调参'!$W$7&lt;=$A20,-'01_数值调参'!$W$40,0)),0),IF($A20&gt;=6,(E20+$C$3)*MAX(0,IF('01_数值调参'!$X$7&lt;=$A20,-'01_数值调参'!$X$40,0),IF('01_数值调参'!$Y$7&lt;=$A20,-'01_数值调参'!$Y$40,0),IF('01_数值调参'!$Z$7&lt;=$A20,-'01_数值调参'!$Z$40,0),IF('01_数值调参'!$AA$7&lt;=$A20,0,0),IF('01_数值调参'!$AB$7&lt;=$A20,-'01_数值调参'!$AB$40,0),IF('01_数值调参'!$AC$7&lt;=$A20,-'01_数值调参'!$AC$40,0)),0),IF($A20&gt;=8,(F20+$C$3)*MAX(0,IF('01_数值调参'!$AD$7&lt;=$A20,-'01_数值调参'!$AD$40,0),IF('01_数值调参'!$AE$7&lt;=$A20,-'01_数值调参'!$AE$40,0),IF('01_数值调参'!$AF$7&lt;=$A20,-'01_数值调参'!$AF$40,0),IF('01_数值调参'!$AG$7&lt;=$A20,-'01_数值调参'!$AG$40,0)),0),IF($A20&gt;=10,(G20+$C$3)*MAX(0,IF('01_数值调参'!$AH$7&lt;=$A20,-'01_数值调参'!$AH$40,0),IF('01_数值调参'!$AI$7&lt;=$A20,-'01_数值调参'!$AI$40,0),IF('01_数值调参'!$AJ$7&lt;=$A20,-'01_数值调参'!$AJ$40,0),IF('01_数值调参'!$AK$7&lt;=$A20,-'01_数值调参'!$AK$40,0),IF('01_数值调参'!$AL$7&lt;=$A20,-'01_数值调参'!$AL$40,0),IF('01_数值调参'!$AM$7&lt;=$A20,-'01_数值调参'!$AM$40,0)),0),0)),"队列待修正"))</x:f>
        <x:v>—</x:v>
      </x:c>
      <x:c r="AE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B$7,"—",SUM(IF($A20&gt;=2,(C20+$C$3)*MAX(0,IF('01_数值调参'!$N$7&lt;=$A20,-'01_数值调参'!$N$41,0),IF('01_数值调参'!$O$7&lt;=$A20,-'01_数值调参'!$O$41,0),IF('01_数值调参'!$P$7&lt;=$A20,-'01_数值调参'!$P$41,0),IF('01_数值调参'!$Q$7&lt;=$A20,-'01_数值调参'!$Q$41,0),IF('01_数值调参'!$R$7&lt;=$A20,-'01_数值调参'!$R$41,0)),0),IF($A20&gt;=4,(D20+$C$3)*MAX(0,IF('01_数值调参'!$S$7&lt;=$A20,-'01_数值调参'!$S$41,0),IF('01_数值调参'!$T$7&lt;=$A20,-'01_数值调参'!$T$41,0),IF('01_数值调参'!$U$7&lt;=$A20,-'01_数值调参'!$U$41,0),IF('01_数值调参'!$V$7&lt;=$A20,-'01_数值调参'!$V$41,0),IF('01_数值调参'!$W$7&lt;=$A20,-'01_数值调参'!$W$41,0)),0),IF($A20&gt;=6,(E20+$C$3)*MAX(0,IF('01_数值调参'!$X$7&lt;=$A20,-'01_数值调参'!$X$41,0),IF('01_数值调参'!$Y$7&lt;=$A20,-'01_数值调参'!$Y$41,0),IF('01_数值调参'!$Z$7&lt;=$A20,-'01_数值调参'!$Z$41,0),IF('01_数值调参'!$AA$7&lt;=$A20,-'01_数值调参'!$AA$41,0),IF('01_数值调参'!$AB$7&lt;=$A20,0,0),IF('01_数值调参'!$AC$7&lt;=$A20,-'01_数值调参'!$AC$41,0)),0),IF($A20&gt;=8,(F20+$C$3)*MAX(0,IF('01_数值调参'!$AD$7&lt;=$A20,-'01_数值调参'!$AD$41,0),IF('01_数值调参'!$AE$7&lt;=$A20,-'01_数值调参'!$AE$41,0),IF('01_数值调参'!$AF$7&lt;=$A20,-'01_数值调参'!$AF$41,0),IF('01_数值调参'!$AG$7&lt;=$A20,-'01_数值调参'!$AG$41,0)),0),IF($A20&gt;=10,(G20+$C$3)*MAX(0,IF('01_数值调参'!$AH$7&lt;=$A20,-'01_数值调参'!$AH$41,0),IF('01_数值调参'!$AI$7&lt;=$A20,-'01_数值调参'!$AI$41,0),IF('01_数值调参'!$AJ$7&lt;=$A20,-'01_数值调参'!$AJ$41,0),IF('01_数值调参'!$AK$7&lt;=$A20,-'01_数值调参'!$AK$41,0),IF('01_数值调参'!$AL$7&lt;=$A20,-'01_数值调参'!$AL$41,0),IF('01_数值调参'!$AM$7&lt;=$A20,-'01_数值调参'!$AM$41,0)),0),0)),"队列待修正"))</x:f>
        <x:v>—</x:v>
      </x:c>
      <x:c r="AF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C$7,"—",SUM(IF($A20&gt;=2,(C20+$C$3)*MAX(0,IF('01_数值调参'!$N$7&lt;=$A20,-'01_数值调参'!$N$42,0),IF('01_数值调参'!$O$7&lt;=$A20,-'01_数值调参'!$O$42,0),IF('01_数值调参'!$P$7&lt;=$A20,-'01_数值调参'!$P$42,0),IF('01_数值调参'!$Q$7&lt;=$A20,-'01_数值调参'!$Q$42,0),IF('01_数值调参'!$R$7&lt;=$A20,-'01_数值调参'!$R$42,0)),0),IF($A20&gt;=4,(D20+$C$3)*MAX(0,IF('01_数值调参'!$S$7&lt;=$A20,-'01_数值调参'!$S$42,0),IF('01_数值调参'!$T$7&lt;=$A20,-'01_数值调参'!$T$42,0),IF('01_数值调参'!$U$7&lt;=$A20,-'01_数值调参'!$U$42,0),IF('01_数值调参'!$V$7&lt;=$A20,-'01_数值调参'!$V$42,0),IF('01_数值调参'!$W$7&lt;=$A20,-'01_数值调参'!$W$42,0)),0),IF($A20&gt;=6,(E20+$C$3)*MAX(0,IF('01_数值调参'!$X$7&lt;=$A20,-'01_数值调参'!$X$42,0),IF('01_数值调参'!$Y$7&lt;=$A20,-'01_数值调参'!$Y$42,0),IF('01_数值调参'!$Z$7&lt;=$A20,-'01_数值调参'!$Z$42,0),IF('01_数值调参'!$AA$7&lt;=$A20,-'01_数值调参'!$AA$42,0),IF('01_数值调参'!$AB$7&lt;=$A20,-'01_数值调参'!$AB$42,0),IF('01_数值调参'!$AC$7&lt;=$A20,0,0)),0),IF($A20&gt;=8,(F20+$C$3)*MAX(0,IF('01_数值调参'!$AD$7&lt;=$A20,-'01_数值调参'!$AD$42,0),IF('01_数值调参'!$AE$7&lt;=$A20,-'01_数值调参'!$AE$42,0),IF('01_数值调参'!$AF$7&lt;=$A20,-'01_数值调参'!$AF$42,0),IF('01_数值调参'!$AG$7&lt;=$A20,-'01_数值调参'!$AG$42,0)),0),IF($A20&gt;=10,(G20+$C$3)*MAX(0,IF('01_数值调参'!$AH$7&lt;=$A20,-'01_数值调参'!$AH$42,0),IF('01_数值调参'!$AI$7&lt;=$A20,-'01_数值调参'!$AI$42,0),IF('01_数值调参'!$AJ$7&lt;=$A20,-'01_数值调参'!$AJ$42,0),IF('01_数值调参'!$AK$7&lt;=$A20,-'01_数值调参'!$AK$42,0),IF('01_数值调参'!$AL$7&lt;=$A20,-'01_数值调参'!$AL$42,0),IF('01_数值调参'!$AM$7&lt;=$A20,-'01_数值调参'!$AM$42,0)),0),0)),"队列待修正"))</x:f>
        <x:v>—</x:v>
      </x:c>
      <x:c r="AG20" s="191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D$7,"—",SUM(IF($A20&gt;=2,(C20+$C$3)*MAX(0,IF('01_数值调参'!$N$7&lt;=$A20,-'01_数值调参'!$N$43,0),IF('01_数值调参'!$O$7&lt;=$A20,-'01_数值调参'!$O$43,0),IF('01_数值调参'!$P$7&lt;=$A20,-'01_数值调参'!$P$43,0),IF('01_数值调参'!$Q$7&lt;=$A20,-'01_数值调参'!$Q$43,0),IF('01_数值调参'!$R$7&lt;=$A20,-'01_数值调参'!$R$43,0)),0),IF($A20&gt;=4,(D20+$C$3)*MAX(0,IF('01_数值调参'!$S$7&lt;=$A20,-'01_数值调参'!$S$43,0),IF('01_数值调参'!$T$7&lt;=$A20,-'01_数值调参'!$T$43,0),IF('01_数值调参'!$U$7&lt;=$A20,-'01_数值调参'!$U$43,0),IF('01_数值调参'!$V$7&lt;=$A20,-'01_数值调参'!$V$43,0),IF('01_数值调参'!$W$7&lt;=$A20,-'01_数值调参'!$W$43,0)),0),IF($A20&gt;=6,(E20+$C$3)*MAX(0,IF('01_数值调参'!$X$7&lt;=$A20,-'01_数值调参'!$X$43,0),IF('01_数值调参'!$Y$7&lt;=$A20,-'01_数值调参'!$Y$43,0),IF('01_数值调参'!$Z$7&lt;=$A20,-'01_数值调参'!$Z$43,0),IF('01_数值调参'!$AA$7&lt;=$A20,-'01_数值调参'!$AA$43,0),IF('01_数值调参'!$AB$7&lt;=$A20,-'01_数值调参'!$AB$43,0),IF('01_数值调参'!$AC$7&lt;=$A20,-'01_数值调参'!$AC$43,0)),0),IF($A20&gt;=8,(F20+$C$3)*MAX(0,IF('01_数值调参'!$AD$7&lt;=$A20,0,0),IF('01_数值调参'!$AE$7&lt;=$A20,-'01_数值调参'!$AE$43,0),IF('01_数值调参'!$AF$7&lt;=$A20,-'01_数值调参'!$AF$43,0),IF('01_数值调参'!$AG$7&lt;=$A20,-'01_数值调参'!$AG$43,0)),0),IF($A20&gt;=10,(G20+$C$3)*MAX(0,IF('01_数值调参'!$AH$7&lt;=$A20,-'01_数值调参'!$AH$43,0),IF('01_数值调参'!$AI$7&lt;=$A20,-'01_数值调参'!$AI$43,0),IF('01_数值调参'!$AJ$7&lt;=$A20,-'01_数值调参'!$AJ$43,0),IF('01_数值调参'!$AK$7&lt;=$A20,-'01_数值调参'!$AK$43,0),IF('01_数值调参'!$AL$7&lt;=$A20,-'01_数值调参'!$AL$43,0),IF('01_数值调参'!$AM$7&lt;=$A20,-'01_数值调参'!$AM$43,0)),0),0)),"队列待修正"))</x:f>
        <x:v>3</x:v>
      </x:c>
      <x:c r="AH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E$7,"—",SUM(IF($A20&gt;=2,(C20+$C$3)*MAX(0,IF('01_数值调参'!$N$7&lt;=$A20,-'01_数值调参'!$N$44,0),IF('01_数值调参'!$O$7&lt;=$A20,-'01_数值调参'!$O$44,0),IF('01_数值调参'!$P$7&lt;=$A20,-'01_数值调参'!$P$44,0),IF('01_数值调参'!$Q$7&lt;=$A20,-'01_数值调参'!$Q$44,0),IF('01_数值调参'!$R$7&lt;=$A20,-'01_数值调参'!$R$44,0)),0),IF($A20&gt;=4,(D20+$C$3)*MAX(0,IF('01_数值调参'!$S$7&lt;=$A20,-'01_数值调参'!$S$44,0),IF('01_数值调参'!$T$7&lt;=$A20,-'01_数值调参'!$T$44,0),IF('01_数值调参'!$U$7&lt;=$A20,-'01_数值调参'!$U$44,0),IF('01_数值调参'!$V$7&lt;=$A20,-'01_数值调参'!$V$44,0),IF('01_数值调参'!$W$7&lt;=$A20,-'01_数值调参'!$W$44,0)),0),IF($A20&gt;=6,(E20+$C$3)*MAX(0,IF('01_数值调参'!$X$7&lt;=$A20,-'01_数值调参'!$X$44,0),IF('01_数值调参'!$Y$7&lt;=$A20,-'01_数值调参'!$Y$44,0),IF('01_数值调参'!$Z$7&lt;=$A20,-'01_数值调参'!$Z$44,0),IF('01_数值调参'!$AA$7&lt;=$A20,-'01_数值调参'!$AA$44,0),IF('01_数值调参'!$AB$7&lt;=$A20,-'01_数值调参'!$AB$44,0),IF('01_数值调参'!$AC$7&lt;=$A20,-'01_数值调参'!$AC$44,0)),0),IF($A20&gt;=8,(F20+$C$3)*MAX(0,IF('01_数值调参'!$AD$7&lt;=$A20,-'01_数值调参'!$AD$44,0),IF('01_数值调参'!$AE$7&lt;=$A20,0,0),IF('01_数值调参'!$AF$7&lt;=$A20,-'01_数值调参'!$AF$44,0),IF('01_数值调参'!$AG$7&lt;=$A20,-'01_数值调参'!$AG$44,0)),0),IF($A20&gt;=10,(G20+$C$3)*MAX(0,IF('01_数值调参'!$AH$7&lt;=$A20,-'01_数值调参'!$AH$44,0),IF('01_数值调参'!$AI$7&lt;=$A20,-'01_数值调参'!$AI$44,0),IF('01_数值调参'!$AJ$7&lt;=$A20,-'01_数值调参'!$AJ$44,0),IF('01_数值调参'!$AK$7&lt;=$A20,-'01_数值调参'!$AK$44,0),IF('01_数值调参'!$AL$7&lt;=$A20,-'01_数值调参'!$AL$44,0),IF('01_数值调参'!$AM$7&lt;=$A20,-'01_数值调参'!$AM$44,0)),0),0)),"队列待修正"))</x:f>
        <x:v>3</x:v>
      </x:c>
      <x:c r="AI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F$7,"—",SUM(IF($A20&gt;=2,(C20+$C$3)*MAX(0,IF('01_数值调参'!$N$7&lt;=$A20,-'01_数值调参'!$N$45,0),IF('01_数值调参'!$O$7&lt;=$A20,-'01_数值调参'!$O$45,0),IF('01_数值调参'!$P$7&lt;=$A20,-'01_数值调参'!$P$45,0),IF('01_数值调参'!$Q$7&lt;=$A20,-'01_数值调参'!$Q$45,0),IF('01_数值调参'!$R$7&lt;=$A20,-'01_数值调参'!$R$45,0)),0),IF($A20&gt;=4,(D20+$C$3)*MAX(0,IF('01_数值调参'!$S$7&lt;=$A20,-'01_数值调参'!$S$45,0),IF('01_数值调参'!$T$7&lt;=$A20,-'01_数值调参'!$T$45,0),IF('01_数值调参'!$U$7&lt;=$A20,-'01_数值调参'!$U$45,0),IF('01_数值调参'!$V$7&lt;=$A20,-'01_数值调参'!$V$45,0),IF('01_数值调参'!$W$7&lt;=$A20,-'01_数值调参'!$W$45,0)),0),IF($A20&gt;=6,(E20+$C$3)*MAX(0,IF('01_数值调参'!$X$7&lt;=$A20,-'01_数值调参'!$X$45,0),IF('01_数值调参'!$Y$7&lt;=$A20,-'01_数值调参'!$Y$45,0),IF('01_数值调参'!$Z$7&lt;=$A20,-'01_数值调参'!$Z$45,0),IF('01_数值调参'!$AA$7&lt;=$A20,-'01_数值调参'!$AA$45,0),IF('01_数值调参'!$AB$7&lt;=$A20,-'01_数值调参'!$AB$45,0),IF('01_数值调参'!$AC$7&lt;=$A20,-'01_数值调参'!$AC$45,0)),0),IF($A20&gt;=8,(F20+$C$3)*MAX(0,IF('01_数值调参'!$AD$7&lt;=$A20,-'01_数值调参'!$AD$45,0),IF('01_数值调参'!$AE$7&lt;=$A20,-'01_数值调参'!$AE$45,0),IF('01_数值调参'!$AF$7&lt;=$A20,0,0),IF('01_数值调参'!$AG$7&lt;=$A20,-'01_数值调参'!$AG$45,0)),0),IF($A20&gt;=10,(G20+$C$3)*MAX(0,IF('01_数值调参'!$AH$7&lt;=$A20,-'01_数值调参'!$AH$45,0),IF('01_数值调参'!$AI$7&lt;=$A20,-'01_数值调参'!$AI$45,0),IF('01_数值调参'!$AJ$7&lt;=$A20,-'01_数值调参'!$AJ$45,0),IF('01_数值调参'!$AK$7&lt;=$A20,-'01_数值调参'!$AK$45,0),IF('01_数值调参'!$AL$7&lt;=$A20,-'01_数值调参'!$AL$45,0),IF('01_数值调参'!$AM$7&lt;=$A20,-'01_数值调参'!$AM$45,0)),0),0)),"队列待修正"))</x:f>
        <x:v>0</x:v>
      </x:c>
      <x:c r="AJ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G$7,"—",SUM(IF($A20&gt;=2,(C20+$C$3)*MAX(0,IF('01_数值调参'!$N$7&lt;=$A20,-'01_数值调参'!$N$46,0),IF('01_数值调参'!$O$7&lt;=$A20,-'01_数值调参'!$O$46,0),IF('01_数值调参'!$P$7&lt;=$A20,-'01_数值调参'!$P$46,0),IF('01_数值调参'!$Q$7&lt;=$A20,-'01_数值调参'!$Q$46,0),IF('01_数值调参'!$R$7&lt;=$A20,-'01_数值调参'!$R$46,0)),0),IF($A20&gt;=4,(D20+$C$3)*MAX(0,IF('01_数值调参'!$S$7&lt;=$A20,-'01_数值调参'!$S$46,0),IF('01_数值调参'!$T$7&lt;=$A20,-'01_数值调参'!$T$46,0),IF('01_数值调参'!$U$7&lt;=$A20,-'01_数值调参'!$U$46,0),IF('01_数值调参'!$V$7&lt;=$A20,-'01_数值调参'!$V$46,0),IF('01_数值调参'!$W$7&lt;=$A20,-'01_数值调参'!$W$46,0)),0),IF($A20&gt;=6,(E20+$C$3)*MAX(0,IF('01_数值调参'!$X$7&lt;=$A20,-'01_数值调参'!$X$46,0),IF('01_数值调参'!$Y$7&lt;=$A20,-'01_数值调参'!$Y$46,0),IF('01_数值调参'!$Z$7&lt;=$A20,-'01_数值调参'!$Z$46,0),IF('01_数值调参'!$AA$7&lt;=$A20,-'01_数值调参'!$AA$46,0),IF('01_数值调参'!$AB$7&lt;=$A20,-'01_数值调参'!$AB$46,0),IF('01_数值调参'!$AC$7&lt;=$A20,-'01_数值调参'!$AC$46,0)),0),IF($A20&gt;=8,(F20+$C$3)*MAX(0,IF('01_数值调参'!$AD$7&lt;=$A20,-'01_数值调参'!$AD$46,0),IF('01_数值调参'!$AE$7&lt;=$A20,-'01_数值调参'!$AE$46,0),IF('01_数值调参'!$AF$7&lt;=$A20,-'01_数值调参'!$AF$46,0),IF('01_数值调参'!$AG$7&lt;=$A20,0,0)),0),IF($A20&gt;=10,(G20+$C$3)*MAX(0,IF('01_数值调参'!$AH$7&lt;=$A20,-'01_数值调参'!$AH$46,0),IF('01_数值调参'!$AI$7&lt;=$A20,-'01_数值调参'!$AI$46,0),IF('01_数值调参'!$AJ$7&lt;=$A20,-'01_数值调参'!$AJ$46,0),IF('01_数值调参'!$AK$7&lt;=$A20,-'01_数值调参'!$AK$46,0),IF('01_数值调参'!$AL$7&lt;=$A20,-'01_数值调参'!$AL$46,0),IF('01_数值调参'!$AM$7&lt;=$A20,-'01_数值调参'!$AM$46,0)),0),0)),"队列待修正"))</x:f>
        <x:v>—</x:v>
      </x:c>
      <x:c r="AK20" s="191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H$7,"—",SUM(IF($A20&gt;=2,(C20+$C$3)*MAX(0,IF('01_数值调参'!$N$7&lt;=$A20,-'01_数值调参'!$N$47,0),IF('01_数值调参'!$O$7&lt;=$A20,-'01_数值调参'!$O$47,0),IF('01_数值调参'!$P$7&lt;=$A20,-'01_数值调参'!$P$47,0),IF('01_数值调参'!$Q$7&lt;=$A20,-'01_数值调参'!$Q$47,0),IF('01_数值调参'!$R$7&lt;=$A20,-'01_数值调参'!$R$47,0)),0),IF($A20&gt;=4,(D20+$C$3)*MAX(0,IF('01_数值调参'!$S$7&lt;=$A20,-'01_数值调参'!$S$47,0),IF('01_数值调参'!$T$7&lt;=$A20,-'01_数值调参'!$T$47,0),IF('01_数值调参'!$U$7&lt;=$A20,-'01_数值调参'!$U$47,0),IF('01_数值调参'!$V$7&lt;=$A20,-'01_数值调参'!$V$47,0),IF('01_数值调参'!$W$7&lt;=$A20,-'01_数值调参'!$W$47,0)),0),IF($A20&gt;=6,(E20+$C$3)*MAX(0,IF('01_数值调参'!$X$7&lt;=$A20,-'01_数值调参'!$X$47,0),IF('01_数值调参'!$Y$7&lt;=$A20,-'01_数值调参'!$Y$47,0),IF('01_数值调参'!$Z$7&lt;=$A20,-'01_数值调参'!$Z$47,0),IF('01_数值调参'!$AA$7&lt;=$A20,-'01_数值调参'!$AA$47,0),IF('01_数值调参'!$AB$7&lt;=$A20,-'01_数值调参'!$AB$47,0),IF('01_数值调参'!$AC$7&lt;=$A20,-'01_数值调参'!$AC$47,0)),0),IF($A20&gt;=8,(F20+$C$3)*MAX(0,IF('01_数值调参'!$AD$7&lt;=$A20,-'01_数值调参'!$AD$47,0),IF('01_数值调参'!$AE$7&lt;=$A20,-'01_数值调参'!$AE$47,0),IF('01_数值调参'!$AF$7&lt;=$A20,-'01_数值调参'!$AF$47,0),IF('01_数值调参'!$AG$7&lt;=$A20,-'01_数值调参'!$AG$47,0)),0),IF($A20&gt;=10,(G20+$C$3)*MAX(0,IF('01_数值调参'!$AH$7&lt;=$A20,0,0),IF('01_数值调参'!$AI$7&lt;=$A20,-'01_数值调参'!$AI$47,0),IF('01_数值调参'!$AJ$7&lt;=$A20,-'01_数值调参'!$AJ$47,0),IF('01_数值调参'!$AK$7&lt;=$A20,-'01_数值调参'!$AK$47,0),IF('01_数值调参'!$AL$7&lt;=$A20,-'01_数值调参'!$AL$47,0),IF('01_数值调参'!$AM$7&lt;=$A20,-'01_数值调参'!$AM$47,0)),0),0)),"队列待修正"))</x:f>
        <x:v>0</x:v>
      </x:c>
      <x:c r="AL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I$7,"—",SUM(IF($A20&gt;=2,(C20+$C$3)*MAX(0,IF('01_数值调参'!$N$7&lt;=$A20,-'01_数值调参'!$N$48,0),IF('01_数值调参'!$O$7&lt;=$A20,-'01_数值调参'!$O$48,0),IF('01_数值调参'!$P$7&lt;=$A20,-'01_数值调参'!$P$48,0),IF('01_数值调参'!$Q$7&lt;=$A20,-'01_数值调参'!$Q$48,0),IF('01_数值调参'!$R$7&lt;=$A20,-'01_数值调参'!$R$48,0)),0),IF($A20&gt;=4,(D20+$C$3)*MAX(0,IF('01_数值调参'!$S$7&lt;=$A20,-'01_数值调参'!$S$48,0),IF('01_数值调参'!$T$7&lt;=$A20,-'01_数值调参'!$T$48,0),IF('01_数值调参'!$U$7&lt;=$A20,-'01_数值调参'!$U$48,0),IF('01_数值调参'!$V$7&lt;=$A20,-'01_数值调参'!$V$48,0),IF('01_数值调参'!$W$7&lt;=$A20,-'01_数值调参'!$W$48,0)),0),IF($A20&gt;=6,(E20+$C$3)*MAX(0,IF('01_数值调参'!$X$7&lt;=$A20,-'01_数值调参'!$X$48,0),IF('01_数值调参'!$Y$7&lt;=$A20,-'01_数值调参'!$Y$48,0),IF('01_数值调参'!$Z$7&lt;=$A20,-'01_数值调参'!$Z$48,0),IF('01_数值调参'!$AA$7&lt;=$A20,-'01_数值调参'!$AA$48,0),IF('01_数值调参'!$AB$7&lt;=$A20,-'01_数值调参'!$AB$48,0),IF('01_数值调参'!$AC$7&lt;=$A20,-'01_数值调参'!$AC$48,0)),0),IF($A20&gt;=8,(F20+$C$3)*MAX(0,IF('01_数值调参'!$AD$7&lt;=$A20,-'01_数值调参'!$AD$48,0),IF('01_数值调参'!$AE$7&lt;=$A20,-'01_数值调参'!$AE$48,0),IF('01_数值调参'!$AF$7&lt;=$A20,-'01_数值调参'!$AF$48,0),IF('01_数值调参'!$AG$7&lt;=$A20,-'01_数值调参'!$AG$48,0)),0),IF($A20&gt;=10,(G20+$C$3)*MAX(0,IF('01_数值调参'!$AH$7&lt;=$A20,-'01_数值调参'!$AH$48,0),IF('01_数值调参'!$AI$7&lt;=$A20,0,0),IF('01_数值调参'!$AJ$7&lt;=$A20,-'01_数值调参'!$AJ$48,0),IF('01_数值调参'!$AK$7&lt;=$A20,-'01_数值调参'!$AK$48,0),IF('01_数值调参'!$AL$7&lt;=$A20,-'01_数值调参'!$AL$48,0),IF('01_数值调参'!$AM$7&lt;=$A20,-'01_数值调参'!$AM$48,0)),0),0)),"队列待修正"))</x:f>
        <x:v>0</x:v>
      </x:c>
      <x:c r="AM20" s="179" t="n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J$7,"—",SUM(IF($A20&gt;=2,(C20+$C$3)*MAX(0,IF('01_数值调参'!$N$7&lt;=$A20,-'01_数值调参'!$N$49,0),IF('01_数值调参'!$O$7&lt;=$A20,-'01_数值调参'!$O$49,0),IF('01_数值调参'!$P$7&lt;=$A20,-'01_数值调参'!$P$49,0),IF('01_数值调参'!$Q$7&lt;=$A20,-'01_数值调参'!$Q$49,0),IF('01_数值调参'!$R$7&lt;=$A20,-'01_数值调参'!$R$49,0)),0),IF($A20&gt;=4,(D20+$C$3)*MAX(0,IF('01_数值调参'!$S$7&lt;=$A20,-'01_数值调参'!$S$49,0),IF('01_数值调参'!$T$7&lt;=$A20,-'01_数值调参'!$T$49,0),IF('01_数值调参'!$U$7&lt;=$A20,-'01_数值调参'!$U$49,0),IF('01_数值调参'!$V$7&lt;=$A20,-'01_数值调参'!$V$49,0),IF('01_数值调参'!$W$7&lt;=$A20,-'01_数值调参'!$W$49,0)),0),IF($A20&gt;=6,(E20+$C$3)*MAX(0,IF('01_数值调参'!$X$7&lt;=$A20,-'01_数值调参'!$X$49,0),IF('01_数值调参'!$Y$7&lt;=$A20,-'01_数值调参'!$Y$49,0),IF('01_数值调参'!$Z$7&lt;=$A20,-'01_数值调参'!$Z$49,0),IF('01_数值调参'!$AA$7&lt;=$A20,-'01_数值调参'!$AA$49,0),IF('01_数值调参'!$AB$7&lt;=$A20,-'01_数值调参'!$AB$49,0),IF('01_数值调参'!$AC$7&lt;=$A20,-'01_数值调参'!$AC$49,0)),0),IF($A20&gt;=8,(F20+$C$3)*MAX(0,IF('01_数值调参'!$AD$7&lt;=$A20,-'01_数值调参'!$AD$49,0),IF('01_数值调参'!$AE$7&lt;=$A20,-'01_数值调参'!$AE$49,0),IF('01_数值调参'!$AF$7&lt;=$A20,-'01_数值调参'!$AF$49,0),IF('01_数值调参'!$AG$7&lt;=$A20,-'01_数值调参'!$AG$49,0)),0),IF($A20&gt;=10,(G20+$C$3)*MAX(0,IF('01_数值调参'!$AH$7&lt;=$A20,-'01_数值调参'!$AH$49,0),IF('01_数值调参'!$AI$7&lt;=$A20,-'01_数值调参'!$AI$49,0),IF('01_数值调参'!$AJ$7&lt;=$A20,0,0),IF('01_数值调参'!$AK$7&lt;=$A20,-'01_数值调参'!$AK$49,0),IF('01_数值调参'!$AL$7&lt;=$A20,-'01_数值调参'!$AL$49,0),IF('01_数值调参'!$AM$7&lt;=$A20,-'01_数值调参'!$AM$49,0)),0),0)),"队列待修正"))</x:f>
        <x:v>0</x:v>
      </x:c>
      <x:c r="AN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K$7,"—",SUM(IF($A20&gt;=2,(C20+$C$3)*MAX(0,IF('01_数值调参'!$N$7&lt;=$A20,-'01_数值调参'!$N$50,0),IF('01_数值调参'!$O$7&lt;=$A20,-'01_数值调参'!$O$50,0),IF('01_数值调参'!$P$7&lt;=$A20,-'01_数值调参'!$P$50,0),IF('01_数值调参'!$Q$7&lt;=$A20,-'01_数值调参'!$Q$50,0),IF('01_数值调参'!$R$7&lt;=$A20,-'01_数值调参'!$R$50,0)),0),IF($A20&gt;=4,(D20+$C$3)*MAX(0,IF('01_数值调参'!$S$7&lt;=$A20,-'01_数值调参'!$S$50,0),IF('01_数值调参'!$T$7&lt;=$A20,-'01_数值调参'!$T$50,0),IF('01_数值调参'!$U$7&lt;=$A20,-'01_数值调参'!$U$50,0),IF('01_数值调参'!$V$7&lt;=$A20,-'01_数值调参'!$V$50,0),IF('01_数值调参'!$W$7&lt;=$A20,-'01_数值调参'!$W$50,0)),0),IF($A20&gt;=6,(E20+$C$3)*MAX(0,IF('01_数值调参'!$X$7&lt;=$A20,-'01_数值调参'!$X$50,0),IF('01_数值调参'!$Y$7&lt;=$A20,-'01_数值调参'!$Y$50,0),IF('01_数值调参'!$Z$7&lt;=$A20,-'01_数值调参'!$Z$50,0),IF('01_数值调参'!$AA$7&lt;=$A20,-'01_数值调参'!$AA$50,0),IF('01_数值调参'!$AB$7&lt;=$A20,-'01_数值调参'!$AB$50,0),IF('01_数值调参'!$AC$7&lt;=$A20,-'01_数值调参'!$AC$50,0)),0),IF($A20&gt;=8,(F20+$C$3)*MAX(0,IF('01_数值调参'!$AD$7&lt;=$A20,-'01_数值调参'!$AD$50,0),IF('01_数值调参'!$AE$7&lt;=$A20,-'01_数值调参'!$AE$50,0),IF('01_数值调参'!$AF$7&lt;=$A20,-'01_数值调参'!$AF$50,0),IF('01_数值调参'!$AG$7&lt;=$A20,-'01_数值调参'!$AG$50,0)),0),IF($A20&gt;=10,(G20+$C$3)*MAX(0,IF('01_数值调参'!$AH$7&lt;=$A20,-'01_数值调参'!$AH$50,0),IF('01_数值调参'!$AI$7&lt;=$A20,-'01_数值调参'!$AI$50,0),IF('01_数值调参'!$AJ$7&lt;=$A20,-'01_数值调参'!$AJ$50,0),IF('01_数值调参'!$AK$7&lt;=$A20,0,0),IF('01_数值调参'!$AL$7&lt;=$A20,-'01_数值调参'!$AL$50,0),IF('01_数值调参'!$AM$7&lt;=$A20,-'01_数值调参'!$AM$50,0)),0),0)),"队列待修正"))</x:f>
        <x:v>—</x:v>
      </x:c>
      <x:c r="AO20" s="179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L$7,"—",SUM(IF($A20&gt;=2,(C20+$C$3)*MAX(0,IF('01_数值调参'!$N$7&lt;=$A20,-'01_数值调参'!$N$51,0),IF('01_数值调参'!$O$7&lt;=$A20,-'01_数值调参'!$O$51,0),IF('01_数值调参'!$P$7&lt;=$A20,-'01_数值调参'!$P$51,0),IF('01_数值调参'!$Q$7&lt;=$A20,-'01_数值调参'!$Q$51,0),IF('01_数值调参'!$R$7&lt;=$A20,-'01_数值调参'!$R$51,0)),0),IF($A20&gt;=4,(D20+$C$3)*MAX(0,IF('01_数值调参'!$S$7&lt;=$A20,-'01_数值调参'!$S$51,0),IF('01_数值调参'!$T$7&lt;=$A20,-'01_数值调参'!$T$51,0),IF('01_数值调参'!$U$7&lt;=$A20,-'01_数值调参'!$U$51,0),IF('01_数值调参'!$V$7&lt;=$A20,-'01_数值调参'!$V$51,0),IF('01_数值调参'!$W$7&lt;=$A20,-'01_数值调参'!$W$51,0)),0),IF($A20&gt;=6,(E20+$C$3)*MAX(0,IF('01_数值调参'!$X$7&lt;=$A20,-'01_数值调参'!$X$51,0),IF('01_数值调参'!$Y$7&lt;=$A20,-'01_数值调参'!$Y$51,0),IF('01_数值调参'!$Z$7&lt;=$A20,-'01_数值调参'!$Z$51,0),IF('01_数值调参'!$AA$7&lt;=$A20,-'01_数值调参'!$AA$51,0),IF('01_数值调参'!$AB$7&lt;=$A20,-'01_数值调参'!$AB$51,0),IF('01_数值调参'!$AC$7&lt;=$A20,-'01_数值调参'!$AC$51,0)),0),IF($A20&gt;=8,(F20+$C$3)*MAX(0,IF('01_数值调参'!$AD$7&lt;=$A20,-'01_数值调参'!$AD$51,0),IF('01_数值调参'!$AE$7&lt;=$A20,-'01_数值调参'!$AE$51,0),IF('01_数值调参'!$AF$7&lt;=$A20,-'01_数值调参'!$AF$51,0),IF('01_数值调参'!$AG$7&lt;=$A20,-'01_数值调参'!$AG$51,0)),0),IF($A20&gt;=10,(G20+$C$3)*MAX(0,IF('01_数值调参'!$AH$7&lt;=$A20,-'01_数值调参'!$AH$51,0),IF('01_数值调参'!$AI$7&lt;=$A20,-'01_数值调参'!$AI$51,0),IF('01_数值调参'!$AJ$7&lt;=$A20,-'01_数值调参'!$AJ$51,0),IF('01_数值调参'!$AK$7&lt;=$A20,-'01_数值调参'!$AK$51,0),IF('01_数值调参'!$AL$7&lt;=$A20,0,0),IF('01_数值调参'!$AM$7&lt;=$A20,-'01_数值调参'!$AM$51,0)),0),0)),"队列待修正"))</x:f>
        <x:v>—</x:v>
      </x:c>
      <x:c r="AP20" s="180" t="str">
        <x:f>IF('01_数值调参'!$D$3&lt;&gt;"配方有效","待修正",IF(AND(OR($C$3=0,$C$3=1),ISNUMBER(C20),C20&gt;=0,MOD(C20,1)=0,ISNUMBER(D20),D20&gt;=0,MOD(D20,1)=0,ISNUMBER(E20),E20&gt;=0,MOD(E20,1)=0,ISNUMBER(F20),F20&gt;=0,MOD(F20,1)=0,ISNUMBER(G20),G20&gt;=0,MOD(G20,1)=0,TRUE),IF($A20&lt;'01_数值调参'!$AM$7,"—",SUM(IF($A20&gt;=2,(C20+$C$3)*MAX(0,IF('01_数值调参'!$N$7&lt;=$A20,-'01_数值调参'!$N$52,0),IF('01_数值调参'!$O$7&lt;=$A20,-'01_数值调参'!$O$52,0),IF('01_数值调参'!$P$7&lt;=$A20,-'01_数值调参'!$P$52,0),IF('01_数值调参'!$Q$7&lt;=$A20,-'01_数值调参'!$Q$52,0),IF('01_数值调参'!$R$7&lt;=$A20,-'01_数值调参'!$R$52,0)),0),IF($A20&gt;=4,(D20+$C$3)*MAX(0,IF('01_数值调参'!$S$7&lt;=$A20,-'01_数值调参'!$S$52,0),IF('01_数值调参'!$T$7&lt;=$A20,-'01_数值调参'!$T$52,0),IF('01_数值调参'!$U$7&lt;=$A20,-'01_数值调参'!$U$52,0),IF('01_数值调参'!$V$7&lt;=$A20,-'01_数值调参'!$V$52,0),IF('01_数值调参'!$W$7&lt;=$A20,-'01_数值调参'!$W$52,0)),0),IF($A20&gt;=6,(E20+$C$3)*MAX(0,IF('01_数值调参'!$X$7&lt;=$A20,-'01_数值调参'!$X$52,0),IF('01_数值调参'!$Y$7&lt;=$A20,-'01_数值调参'!$Y$52,0),IF('01_数值调参'!$Z$7&lt;=$A20,-'01_数值调参'!$Z$52,0),IF('01_数值调参'!$AA$7&lt;=$A20,-'01_数值调参'!$AA$52,0),IF('01_数值调参'!$AB$7&lt;=$A20,-'01_数值调参'!$AB$52,0),IF('01_数值调参'!$AC$7&lt;=$A20,-'01_数值调参'!$AC$52,0)),0),IF($A20&gt;=8,(F20+$C$3)*MAX(0,IF('01_数值调参'!$AD$7&lt;=$A20,-'01_数值调参'!$AD$52,0),IF('01_数值调参'!$AE$7&lt;=$A20,-'01_数值调参'!$AE$52,0),IF('01_数值调参'!$AF$7&lt;=$A20,-'01_数值调参'!$AF$52,0),IF('01_数值调参'!$AG$7&lt;=$A20,-'01_数值调参'!$AG$52,0)),0),IF($A20&gt;=10,(G20+$C$3)*MAX(0,IF('01_数值调参'!$AH$7&lt;=$A20,-'01_数值调参'!$AH$52,0),IF('01_数值调参'!$AI$7&lt;=$A20,-'01_数值调参'!$AI$52,0),IF('01_数值调参'!$AJ$7&lt;=$A20,-'01_数值调参'!$AJ$52,0),IF('01_数值调参'!$AK$7&lt;=$A20,-'01_数值调参'!$AK$52,0),IF('01_数值调参'!$AL$7&lt;=$A20,-'01_数值调参'!$AL$52,0),IF('01_数值调参'!$AM$7&lt;=$A20,0,0)),0),0)),"队列待修正"))</x:f>
        <x:v>—</x:v>
      </x:c>
    </x:row>
    <x:row r="21" ht="25" customHeight="1">
      <x:c r="A21" s="176" t="n">
        <x:v>15</x:v>
      </x:c>
      <x:c r="B21" s="177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SUM(IF($A21&gt;=2,(C21+$C$3)*MAX(0,IF('01_数值调参'!$N$7&lt;=$A21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21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21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21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21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21&gt;=4,(D21+$C$3)*MAX(0,IF('01_数值调参'!$S$7&lt;=$A21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21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21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21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21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21&gt;=6,(E21+$C$3)*MAX(0,IF('01_数值调参'!$X$7&lt;=$A21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21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21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21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21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21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21&gt;=8,(F21+$C$3)*MAX(0,IF('01_数值调参'!$AD$7&lt;=$A21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21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21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21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21&gt;=10,(G21+$C$3)*MAX(0,IF('01_数值调参'!$AH$7&lt;=$A21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21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21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21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21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21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54</x:v>
      </x:c>
      <x:c r="C21" s="178" t="n">
        <x:v>2</x:v>
      </x:c>
      <x:c r="D21" s="178" t="n">
        <x:v>2</x:v>
      </x:c>
      <x:c r="E21" s="178" t="n">
        <x:v>2</x:v>
      </x:c>
      <x:c r="F21" s="178" t="n">
        <x:v>2</x:v>
      </x:c>
      <x:c r="G21" s="178" t="n">
        <x:v>2</x:v>
      </x:c>
      <x:c r="H21" s="191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E$7,"—",SUM(IF($A21&gt;=2,(C21+$C$3)*MAX(0,IF('01_数值调参'!$N$7&lt;=$A21,-'01_数值调参'!$N$18,0),IF('01_数值调参'!$O$7&lt;=$A21,-'01_数值调参'!$O$18,0),IF('01_数值调参'!$P$7&lt;=$A21,-'01_数值调参'!$P$18,0),IF('01_数值调参'!$Q$7&lt;=$A21,-'01_数值调参'!$Q$18,0),IF('01_数值调参'!$R$7&lt;=$A21,-'01_数值调参'!$R$18,0)),0),IF($A21&gt;=4,(D21+$C$3)*MAX(0,IF('01_数值调参'!$S$7&lt;=$A21,-'01_数值调参'!$S$18,0),IF('01_数值调参'!$T$7&lt;=$A21,-'01_数值调参'!$T$18,0),IF('01_数值调参'!$U$7&lt;=$A21,-'01_数值调参'!$U$18,0),IF('01_数值调参'!$V$7&lt;=$A21,-'01_数值调参'!$V$18,0),IF('01_数值调参'!$W$7&lt;=$A21,-'01_数值调参'!$W$18,0)),0),IF($A21&gt;=6,(E21+$C$3)*MAX(0,IF('01_数值调参'!$X$7&lt;=$A21,-'01_数值调参'!$X$18,0),IF('01_数值调参'!$Y$7&lt;=$A21,-'01_数值调参'!$Y$18,0),IF('01_数值调参'!$Z$7&lt;=$A21,-'01_数值调参'!$Z$18,0),IF('01_数值调参'!$AA$7&lt;=$A21,-'01_数值调参'!$AA$18,0),IF('01_数值调参'!$AB$7&lt;=$A21,-'01_数值调参'!$AB$18,0),IF('01_数值调参'!$AC$7&lt;=$A21,-'01_数值调参'!$AC$18,0)),0),IF($A21&gt;=8,(F21+$C$3)*MAX(0,IF('01_数值调参'!$AD$7&lt;=$A21,-'01_数值调参'!$AD$18,0),IF('01_数值调参'!$AE$7&lt;=$A21,-'01_数值调参'!$AE$18,0),IF('01_数值调参'!$AF$7&lt;=$A21,-'01_数值调参'!$AF$18,0),IF('01_数值调参'!$AG$7&lt;=$A21,-'01_数值调参'!$AG$18,0)),0),IF($A21&gt;=10,(G21+$C$3)*MAX(0,IF('01_数值调参'!$AH$7&lt;=$A21,-'01_数值调参'!$AH$18,0),IF('01_数值调参'!$AI$7&lt;=$A21,-'01_数值调参'!$AI$18,0),IF('01_数值调参'!$AJ$7&lt;=$A21,-'01_数值调参'!$AJ$18,0),IF('01_数值调参'!$AK$7&lt;=$A21,-'01_数值调参'!$AK$18,0),IF('01_数值调参'!$AL$7&lt;=$A21,-'01_数值调参'!$AL$18,0),IF('01_数值调参'!$AM$7&lt;=$A21,-'01_数值调参'!$AM$18,0)),0),0)),"队列待修正"))</x:f>
        <x:v>12</x:v>
      </x:c>
      <x:c r="I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F$7,"—",SUM(IF($A21&gt;=2,(C21+$C$3)*MAX(0,IF('01_数值调参'!$N$7&lt;=$A21,-'01_数值调参'!$N$19,0),IF('01_数值调参'!$O$7&lt;=$A21,-'01_数值调参'!$O$19,0),IF('01_数值调参'!$P$7&lt;=$A21,-'01_数值调参'!$P$19,0),IF('01_数值调参'!$Q$7&lt;=$A21,-'01_数值调参'!$Q$19,0),IF('01_数值调参'!$R$7&lt;=$A21,-'01_数值调参'!$R$19,0)),0),IF($A21&gt;=4,(D21+$C$3)*MAX(0,IF('01_数值调参'!$S$7&lt;=$A21,-'01_数值调参'!$S$19,0),IF('01_数值调参'!$T$7&lt;=$A21,-'01_数值调参'!$T$19,0),IF('01_数值调参'!$U$7&lt;=$A21,-'01_数值调参'!$U$19,0),IF('01_数值调参'!$V$7&lt;=$A21,-'01_数值调参'!$V$19,0),IF('01_数值调参'!$W$7&lt;=$A21,-'01_数值调参'!$W$19,0)),0),IF($A21&gt;=6,(E21+$C$3)*MAX(0,IF('01_数值调参'!$X$7&lt;=$A21,-'01_数值调参'!$X$19,0),IF('01_数值调参'!$Y$7&lt;=$A21,-'01_数值调参'!$Y$19,0),IF('01_数值调参'!$Z$7&lt;=$A21,-'01_数值调参'!$Z$19,0),IF('01_数值调参'!$AA$7&lt;=$A21,-'01_数值调参'!$AA$19,0),IF('01_数值调参'!$AB$7&lt;=$A21,-'01_数值调参'!$AB$19,0),IF('01_数值调参'!$AC$7&lt;=$A21,-'01_数值调参'!$AC$19,0)),0),IF($A21&gt;=8,(F21+$C$3)*MAX(0,IF('01_数值调参'!$AD$7&lt;=$A21,-'01_数值调参'!$AD$19,0),IF('01_数值调参'!$AE$7&lt;=$A21,-'01_数值调参'!$AE$19,0),IF('01_数值调参'!$AF$7&lt;=$A21,-'01_数值调参'!$AF$19,0),IF('01_数值调参'!$AG$7&lt;=$A21,-'01_数值调参'!$AG$19,0)),0),IF($A21&gt;=10,(G21+$C$3)*MAX(0,IF('01_数值调参'!$AH$7&lt;=$A21,-'01_数值调参'!$AH$19,0),IF('01_数值调参'!$AI$7&lt;=$A21,-'01_数值调参'!$AI$19,0),IF('01_数值调参'!$AJ$7&lt;=$A21,-'01_数值调参'!$AJ$19,0),IF('01_数值调参'!$AK$7&lt;=$A21,-'01_数值调参'!$AK$19,0),IF('01_数值调参'!$AL$7&lt;=$A21,-'01_数值调参'!$AL$19,0),IF('01_数值调参'!$AM$7&lt;=$A21,-'01_数值调参'!$AM$19,0)),0),0)),"队列待修正"))</x:f>
        <x:v>12</x:v>
      </x:c>
      <x:c r="J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G$7,"—",SUM(IF($A21&gt;=2,(C21+$C$3)*MAX(0,IF('01_数值调参'!$N$7&lt;=$A21,-'01_数值调参'!$N$20,0),IF('01_数值调参'!$O$7&lt;=$A21,-'01_数值调参'!$O$20,0),IF('01_数值调参'!$P$7&lt;=$A21,-'01_数值调参'!$P$20,0),IF('01_数值调参'!$Q$7&lt;=$A21,-'01_数值调参'!$Q$20,0),IF('01_数值调参'!$R$7&lt;=$A21,-'01_数值调参'!$R$20,0)),0),IF($A21&gt;=4,(D21+$C$3)*MAX(0,IF('01_数值调参'!$S$7&lt;=$A21,-'01_数值调参'!$S$20,0),IF('01_数值调参'!$T$7&lt;=$A21,-'01_数值调参'!$T$20,0),IF('01_数值调参'!$U$7&lt;=$A21,-'01_数值调参'!$U$20,0),IF('01_数值调参'!$V$7&lt;=$A21,-'01_数值调参'!$V$20,0),IF('01_数值调参'!$W$7&lt;=$A21,-'01_数值调参'!$W$20,0)),0),IF($A21&gt;=6,(E21+$C$3)*MAX(0,IF('01_数值调参'!$X$7&lt;=$A21,-'01_数值调参'!$X$20,0),IF('01_数值调参'!$Y$7&lt;=$A21,-'01_数值调参'!$Y$20,0),IF('01_数值调参'!$Z$7&lt;=$A21,-'01_数值调参'!$Z$20,0),IF('01_数值调参'!$AA$7&lt;=$A21,-'01_数值调参'!$AA$20,0),IF('01_数值调参'!$AB$7&lt;=$A21,-'01_数值调参'!$AB$20,0),IF('01_数值调参'!$AC$7&lt;=$A21,-'01_数值调参'!$AC$20,0)),0),IF($A21&gt;=8,(F21+$C$3)*MAX(0,IF('01_数值调参'!$AD$7&lt;=$A21,-'01_数值调参'!$AD$20,0),IF('01_数值调参'!$AE$7&lt;=$A21,-'01_数值调参'!$AE$20,0),IF('01_数值调参'!$AF$7&lt;=$A21,-'01_数值调参'!$AF$20,0),IF('01_数值调参'!$AG$7&lt;=$A21,-'01_数值调参'!$AG$20,0)),0),IF($A21&gt;=10,(G21+$C$3)*MAX(0,IF('01_数值调参'!$AH$7&lt;=$A21,-'01_数值调参'!$AH$20,0),IF('01_数值调参'!$AI$7&lt;=$A21,-'01_数值调参'!$AI$20,0),IF('01_数值调参'!$AJ$7&lt;=$A21,-'01_数值调参'!$AJ$20,0),IF('01_数值调参'!$AK$7&lt;=$A21,-'01_数值调参'!$AK$20,0),IF('01_数值调参'!$AL$7&lt;=$A21,-'01_数值调参'!$AL$20,0),IF('01_数值调参'!$AM$7&lt;=$A21,-'01_数值调参'!$AM$20,0)),0),0)),"队列待修正"))</x:f>
        <x:v>12</x:v>
      </x:c>
      <x:c r="K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H$7,"—",SUM(IF($A21&gt;=2,(C21+$C$3)*MAX(0,IF('01_数值调参'!$N$7&lt;=$A21,-'01_数值调参'!$N$21,0),IF('01_数值调参'!$O$7&lt;=$A21,-'01_数值调参'!$O$21,0),IF('01_数值调参'!$P$7&lt;=$A21,-'01_数值调参'!$P$21,0),IF('01_数值调参'!$Q$7&lt;=$A21,-'01_数值调参'!$Q$21,0),IF('01_数值调参'!$R$7&lt;=$A21,-'01_数值调参'!$R$21,0)),0),IF($A21&gt;=4,(D21+$C$3)*MAX(0,IF('01_数值调参'!$S$7&lt;=$A21,-'01_数值调参'!$S$21,0),IF('01_数值调参'!$T$7&lt;=$A21,-'01_数值调参'!$T$21,0),IF('01_数值调参'!$U$7&lt;=$A21,-'01_数值调参'!$U$21,0),IF('01_数值调参'!$V$7&lt;=$A21,-'01_数值调参'!$V$21,0),IF('01_数值调参'!$W$7&lt;=$A21,-'01_数值调参'!$W$21,0)),0),IF($A21&gt;=6,(E21+$C$3)*MAX(0,IF('01_数值调参'!$X$7&lt;=$A21,-'01_数值调参'!$X$21,0),IF('01_数值调参'!$Y$7&lt;=$A21,-'01_数值调参'!$Y$21,0),IF('01_数值调参'!$Z$7&lt;=$A21,-'01_数值调参'!$Z$21,0),IF('01_数值调参'!$AA$7&lt;=$A21,-'01_数值调参'!$AA$21,0),IF('01_数值调参'!$AB$7&lt;=$A21,-'01_数值调参'!$AB$21,0),IF('01_数值调参'!$AC$7&lt;=$A21,-'01_数值调参'!$AC$21,0)),0),IF($A21&gt;=8,(F21+$C$3)*MAX(0,IF('01_数值调参'!$AD$7&lt;=$A21,-'01_数值调参'!$AD$21,0),IF('01_数值调参'!$AE$7&lt;=$A21,-'01_数值调参'!$AE$21,0),IF('01_数值调参'!$AF$7&lt;=$A21,-'01_数值调参'!$AF$21,0),IF('01_数值调参'!$AG$7&lt;=$A21,-'01_数值调参'!$AG$21,0)),0),IF($A21&gt;=10,(G21+$C$3)*MAX(0,IF('01_数值调参'!$AH$7&lt;=$A21,-'01_数值调参'!$AH$21,0),IF('01_数值调参'!$AI$7&lt;=$A21,-'01_数值调参'!$AI$21,0),IF('01_数值调参'!$AJ$7&lt;=$A21,-'01_数值调参'!$AJ$21,0),IF('01_数值调参'!$AK$7&lt;=$A21,-'01_数值调参'!$AK$21,0),IF('01_数值调参'!$AL$7&lt;=$A21,-'01_数值调参'!$AL$21,0),IF('01_数值调参'!$AM$7&lt;=$A21,-'01_数值调参'!$AM$21,0)),0),0)),"队列待修正"))</x:f>
        <x:v>6</x:v>
      </x:c>
      <x:c r="L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I$7,"—",SUM(IF($A21&gt;=2,(C21+$C$3)*MAX(0,IF('01_数值调参'!$N$7&lt;=$A21,-'01_数值调参'!$N$22,0),IF('01_数值调参'!$O$7&lt;=$A21,-'01_数值调参'!$O$22,0),IF('01_数值调参'!$P$7&lt;=$A21,-'01_数值调参'!$P$22,0),IF('01_数值调参'!$Q$7&lt;=$A21,-'01_数值调参'!$Q$22,0),IF('01_数值调参'!$R$7&lt;=$A21,-'01_数值调参'!$R$22,0)),0),IF($A21&gt;=4,(D21+$C$3)*MAX(0,IF('01_数值调参'!$S$7&lt;=$A21,-'01_数值调参'!$S$22,0),IF('01_数值调参'!$T$7&lt;=$A21,-'01_数值调参'!$T$22,0),IF('01_数值调参'!$U$7&lt;=$A21,-'01_数值调参'!$U$22,0),IF('01_数值调参'!$V$7&lt;=$A21,-'01_数值调参'!$V$22,0),IF('01_数值调参'!$W$7&lt;=$A21,-'01_数值调参'!$W$22,0)),0),IF($A21&gt;=6,(E21+$C$3)*MAX(0,IF('01_数值调参'!$X$7&lt;=$A21,-'01_数值调参'!$X$22,0),IF('01_数值调参'!$Y$7&lt;=$A21,-'01_数值调参'!$Y$22,0),IF('01_数值调参'!$Z$7&lt;=$A21,-'01_数值调参'!$Z$22,0),IF('01_数值调参'!$AA$7&lt;=$A21,-'01_数值调参'!$AA$22,0),IF('01_数值调参'!$AB$7&lt;=$A21,-'01_数值调参'!$AB$22,0),IF('01_数值调参'!$AC$7&lt;=$A21,-'01_数值调参'!$AC$22,0)),0),IF($A21&gt;=8,(F21+$C$3)*MAX(0,IF('01_数值调参'!$AD$7&lt;=$A21,-'01_数值调参'!$AD$22,0),IF('01_数值调参'!$AE$7&lt;=$A21,-'01_数值调参'!$AE$22,0),IF('01_数值调参'!$AF$7&lt;=$A21,-'01_数值调参'!$AF$22,0),IF('01_数值调参'!$AG$7&lt;=$A21,-'01_数值调参'!$AG$22,0)),0),IF($A21&gt;=10,(G21+$C$3)*MAX(0,IF('01_数值调参'!$AH$7&lt;=$A21,-'01_数值调参'!$AH$22,0),IF('01_数值调参'!$AI$7&lt;=$A21,-'01_数值调参'!$AI$22,0),IF('01_数值调参'!$AJ$7&lt;=$A21,-'01_数值调参'!$AJ$22,0),IF('01_数值调参'!$AK$7&lt;=$A21,-'01_数值调参'!$AK$22,0),IF('01_数值调参'!$AL$7&lt;=$A21,-'01_数值调参'!$AL$22,0),IF('01_数值调参'!$AM$7&lt;=$A21,-'01_数值调参'!$AM$22,0)),0),0)),"队列待修正"))</x:f>
        <x:v>12</x:v>
      </x:c>
      <x:c r="M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J$7,"—",SUM(IF($A21&gt;=2,(C21+$C$3)*MAX(0,IF('01_数值调参'!$N$7&lt;=$A21,-'01_数值调参'!$N$23,0),IF('01_数值调参'!$O$7&lt;=$A21,-'01_数值调参'!$O$23,0),IF('01_数值调参'!$P$7&lt;=$A21,-'01_数值调参'!$P$23,0),IF('01_数值调参'!$Q$7&lt;=$A21,-'01_数值调参'!$Q$23,0),IF('01_数值调参'!$R$7&lt;=$A21,-'01_数值调参'!$R$23,0)),0),IF($A21&gt;=4,(D21+$C$3)*MAX(0,IF('01_数值调参'!$S$7&lt;=$A21,-'01_数值调参'!$S$23,0),IF('01_数值调参'!$T$7&lt;=$A21,-'01_数值调参'!$T$23,0),IF('01_数值调参'!$U$7&lt;=$A21,-'01_数值调参'!$U$23,0),IF('01_数值调参'!$V$7&lt;=$A21,-'01_数值调参'!$V$23,0),IF('01_数值调参'!$W$7&lt;=$A21,-'01_数值调参'!$W$23,0)),0),IF($A21&gt;=6,(E21+$C$3)*MAX(0,IF('01_数值调参'!$X$7&lt;=$A21,-'01_数值调参'!$X$23,0),IF('01_数值调参'!$Y$7&lt;=$A21,-'01_数值调参'!$Y$23,0),IF('01_数值调参'!$Z$7&lt;=$A21,-'01_数值调参'!$Z$23,0),IF('01_数值调参'!$AA$7&lt;=$A21,-'01_数值调参'!$AA$23,0),IF('01_数值调参'!$AB$7&lt;=$A21,-'01_数值调参'!$AB$23,0),IF('01_数值调参'!$AC$7&lt;=$A21,-'01_数值调参'!$AC$23,0)),0),IF($A21&gt;=8,(F21+$C$3)*MAX(0,IF('01_数值调参'!$AD$7&lt;=$A21,-'01_数值调参'!$AD$23,0),IF('01_数值调参'!$AE$7&lt;=$A21,-'01_数值调参'!$AE$23,0),IF('01_数值调参'!$AF$7&lt;=$A21,-'01_数值调参'!$AF$23,0),IF('01_数值调参'!$AG$7&lt;=$A21,-'01_数值调参'!$AG$23,0)),0),IF($A21&gt;=10,(G21+$C$3)*MAX(0,IF('01_数值调参'!$AH$7&lt;=$A21,-'01_数值调参'!$AH$23,0),IF('01_数值调参'!$AI$7&lt;=$A21,-'01_数值调参'!$AI$23,0),IF('01_数值调参'!$AJ$7&lt;=$A21,-'01_数值调参'!$AJ$23,0),IF('01_数值调参'!$AK$7&lt;=$A21,-'01_数值调参'!$AK$23,0),IF('01_数值调参'!$AL$7&lt;=$A21,-'01_数值调参'!$AL$23,0),IF('01_数值调参'!$AM$7&lt;=$A21,-'01_数值调参'!$AM$23,0)),0),0)),"队列待修正"))</x:f>
        <x:v>15</x:v>
      </x:c>
      <x:c r="N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K$7,"—",SUM(IF($A21&gt;=2,(C21+$C$3)*MAX(0,IF('01_数值调参'!$N$7&lt;=$A21,-'01_数值调参'!$N$24,0),IF('01_数值调参'!$O$7&lt;=$A21,-'01_数值调参'!$O$24,0),IF('01_数值调参'!$P$7&lt;=$A21,-'01_数值调参'!$P$24,0),IF('01_数值调参'!$Q$7&lt;=$A21,-'01_数值调参'!$Q$24,0),IF('01_数值调参'!$R$7&lt;=$A21,-'01_数值调参'!$R$24,0)),0),IF($A21&gt;=4,(D21+$C$3)*MAX(0,IF('01_数值调参'!$S$7&lt;=$A21,-'01_数值调参'!$S$24,0),IF('01_数值调参'!$T$7&lt;=$A21,-'01_数值调参'!$T$24,0),IF('01_数值调参'!$U$7&lt;=$A21,-'01_数值调参'!$U$24,0),IF('01_数值调参'!$V$7&lt;=$A21,-'01_数值调参'!$V$24,0),IF('01_数值调参'!$W$7&lt;=$A21,-'01_数值调参'!$W$24,0)),0),IF($A21&gt;=6,(E21+$C$3)*MAX(0,IF('01_数值调参'!$X$7&lt;=$A21,-'01_数值调参'!$X$24,0),IF('01_数值调参'!$Y$7&lt;=$A21,-'01_数值调参'!$Y$24,0),IF('01_数值调参'!$Z$7&lt;=$A21,-'01_数值调参'!$Z$24,0),IF('01_数值调参'!$AA$7&lt;=$A21,-'01_数值调参'!$AA$24,0),IF('01_数值调参'!$AB$7&lt;=$A21,-'01_数值调参'!$AB$24,0),IF('01_数值调参'!$AC$7&lt;=$A21,-'01_数值调参'!$AC$24,0)),0),IF($A21&gt;=8,(F21+$C$3)*MAX(0,IF('01_数值调参'!$AD$7&lt;=$A21,-'01_数值调参'!$AD$24,0),IF('01_数值调参'!$AE$7&lt;=$A21,-'01_数值调参'!$AE$24,0),IF('01_数值调参'!$AF$7&lt;=$A21,-'01_数值调参'!$AF$24,0),IF('01_数值调参'!$AG$7&lt;=$A21,-'01_数值调参'!$AG$24,0)),0),IF($A21&gt;=10,(G21+$C$3)*MAX(0,IF('01_数值调参'!$AH$7&lt;=$A21,-'01_数值调参'!$AH$24,0),IF('01_数值调参'!$AI$7&lt;=$A21,-'01_数值调参'!$AI$24,0),IF('01_数值调参'!$AJ$7&lt;=$A21,-'01_数值调参'!$AJ$24,0),IF('01_数值调参'!$AK$7&lt;=$A21,-'01_数值调参'!$AK$24,0),IF('01_数值调参'!$AL$7&lt;=$A21,-'01_数值调参'!$AL$24,0),IF('01_数值调参'!$AM$7&lt;=$A21,-'01_数值调参'!$AM$24,0)),0),0)),"队列待修正"))</x:f>
        <x:v>9</x:v>
      </x:c>
      <x:c r="O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L$7,"—",SUM(IF($A21&gt;=2,(C21+$C$3)*MAX(0,IF('01_数值调参'!$N$7&lt;=$A21,-'01_数值调参'!$N$25,0),IF('01_数值调参'!$O$7&lt;=$A21,-'01_数值调参'!$O$25,0),IF('01_数值调参'!$P$7&lt;=$A21,-'01_数值调参'!$P$25,0),IF('01_数值调参'!$Q$7&lt;=$A21,-'01_数值调参'!$Q$25,0),IF('01_数值调参'!$R$7&lt;=$A21,-'01_数值调参'!$R$25,0)),0),IF($A21&gt;=4,(D21+$C$3)*MAX(0,IF('01_数值调参'!$S$7&lt;=$A21,-'01_数值调参'!$S$25,0),IF('01_数值调参'!$T$7&lt;=$A21,-'01_数值调参'!$T$25,0),IF('01_数值调参'!$U$7&lt;=$A21,-'01_数值调参'!$U$25,0),IF('01_数值调参'!$V$7&lt;=$A21,-'01_数值调参'!$V$25,0),IF('01_数值调参'!$W$7&lt;=$A21,-'01_数值调参'!$W$25,0)),0),IF($A21&gt;=6,(E21+$C$3)*MAX(0,IF('01_数值调参'!$X$7&lt;=$A21,-'01_数值调参'!$X$25,0),IF('01_数值调参'!$Y$7&lt;=$A21,-'01_数值调参'!$Y$25,0),IF('01_数值调参'!$Z$7&lt;=$A21,-'01_数值调参'!$Z$25,0),IF('01_数值调参'!$AA$7&lt;=$A21,-'01_数值调参'!$AA$25,0),IF('01_数值调参'!$AB$7&lt;=$A21,-'01_数值调参'!$AB$25,0),IF('01_数值调参'!$AC$7&lt;=$A21,-'01_数值调参'!$AC$25,0)),0),IF($A21&gt;=8,(F21+$C$3)*MAX(0,IF('01_数值调参'!$AD$7&lt;=$A21,-'01_数值调参'!$AD$25,0),IF('01_数值调参'!$AE$7&lt;=$A21,-'01_数值调参'!$AE$25,0),IF('01_数值调参'!$AF$7&lt;=$A21,-'01_数值调参'!$AF$25,0),IF('01_数值调参'!$AG$7&lt;=$A21,-'01_数值调参'!$AG$25,0)),0),IF($A21&gt;=10,(G21+$C$3)*MAX(0,IF('01_数值调参'!$AH$7&lt;=$A21,-'01_数值调参'!$AH$25,0),IF('01_数值调参'!$AI$7&lt;=$A21,-'01_数值调参'!$AI$25,0),IF('01_数值调参'!$AJ$7&lt;=$A21,-'01_数值调参'!$AJ$25,0),IF('01_数值调参'!$AK$7&lt;=$A21,-'01_数值调参'!$AK$25,0),IF('01_数值调参'!$AL$7&lt;=$A21,-'01_数值调参'!$AL$25,0),IF('01_数值调参'!$AM$7&lt;=$A21,-'01_数值调参'!$AM$25,0)),0),0)),"队列待修正"))</x:f>
        <x:v>—</x:v>
      </x:c>
      <x:c r="P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M$7,"—",SUM(IF($A21&gt;=2,(C21+$C$3)*MAX(0,IF('01_数值调参'!$N$7&lt;=$A21,-'01_数值调参'!$N$26,0),IF('01_数值调参'!$O$7&lt;=$A21,-'01_数值调参'!$O$26,0),IF('01_数值调参'!$P$7&lt;=$A21,-'01_数值调参'!$P$26,0),IF('01_数值调参'!$Q$7&lt;=$A21,-'01_数值调参'!$Q$26,0),IF('01_数值调参'!$R$7&lt;=$A21,-'01_数值调参'!$R$26,0)),0),IF($A21&gt;=4,(D21+$C$3)*MAX(0,IF('01_数值调参'!$S$7&lt;=$A21,-'01_数值调参'!$S$26,0),IF('01_数值调参'!$T$7&lt;=$A21,-'01_数值调参'!$T$26,0),IF('01_数值调参'!$U$7&lt;=$A21,-'01_数值调参'!$U$26,0),IF('01_数值调参'!$V$7&lt;=$A21,-'01_数值调参'!$V$26,0),IF('01_数值调参'!$W$7&lt;=$A21,-'01_数值调参'!$W$26,0)),0),IF($A21&gt;=6,(E21+$C$3)*MAX(0,IF('01_数值调参'!$X$7&lt;=$A21,-'01_数值调参'!$X$26,0),IF('01_数值调参'!$Y$7&lt;=$A21,-'01_数值调参'!$Y$26,0),IF('01_数值调参'!$Z$7&lt;=$A21,-'01_数值调参'!$Z$26,0),IF('01_数值调参'!$AA$7&lt;=$A21,-'01_数值调参'!$AA$26,0),IF('01_数值调参'!$AB$7&lt;=$A21,-'01_数值调参'!$AB$26,0),IF('01_数值调参'!$AC$7&lt;=$A21,-'01_数值调参'!$AC$26,0)),0),IF($A21&gt;=8,(F21+$C$3)*MAX(0,IF('01_数值调参'!$AD$7&lt;=$A21,-'01_数值调参'!$AD$26,0),IF('01_数值调参'!$AE$7&lt;=$A21,-'01_数值调参'!$AE$26,0),IF('01_数值调参'!$AF$7&lt;=$A21,-'01_数值调参'!$AF$26,0),IF('01_数值调参'!$AG$7&lt;=$A21,-'01_数值调参'!$AG$26,0)),0),IF($A21&gt;=10,(G21+$C$3)*MAX(0,IF('01_数值调参'!$AH$7&lt;=$A21,-'01_数值调参'!$AH$26,0),IF('01_数值调参'!$AI$7&lt;=$A21,-'01_数值调参'!$AI$26,0),IF('01_数值调参'!$AJ$7&lt;=$A21,-'01_数值调参'!$AJ$26,0),IF('01_数值调参'!$AK$7&lt;=$A21,-'01_数值调参'!$AK$26,0),IF('01_数值调参'!$AL$7&lt;=$A21,-'01_数值调参'!$AL$26,0),IF('01_数值调参'!$AM$7&lt;=$A21,-'01_数值调参'!$AM$26,0)),0),0)),"队列待修正"))</x:f>
        <x:v>—</x:v>
      </x:c>
      <x:c r="Q21" s="191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N$7,"—",SUM(IF($A21&gt;=2,(C21+$C$3)*MAX(0,IF('01_数值调参'!$N$7&lt;=$A21,0,0),IF('01_数值调参'!$O$7&lt;=$A21,-'01_数值调参'!$O$27,0),IF('01_数值调参'!$P$7&lt;=$A21,-'01_数值调参'!$P$27,0),IF('01_数值调参'!$Q$7&lt;=$A21,-'01_数值调参'!$Q$27,0),IF('01_数值调参'!$R$7&lt;=$A21,-'01_数值调参'!$R$27,0)),0),IF($A21&gt;=4,(D21+$C$3)*MAX(0,IF('01_数值调参'!$S$7&lt;=$A21,-'01_数值调参'!$S$27,0),IF('01_数值调参'!$T$7&lt;=$A21,-'01_数值调参'!$T$27,0),IF('01_数值调参'!$U$7&lt;=$A21,-'01_数值调参'!$U$27,0),IF('01_数值调参'!$V$7&lt;=$A21,-'01_数值调参'!$V$27,0),IF('01_数值调参'!$W$7&lt;=$A21,-'01_数值调参'!$W$27,0)),0),IF($A21&gt;=6,(E21+$C$3)*MAX(0,IF('01_数值调参'!$X$7&lt;=$A21,-'01_数值调参'!$X$27,0),IF('01_数值调参'!$Y$7&lt;=$A21,-'01_数值调参'!$Y$27,0),IF('01_数值调参'!$Z$7&lt;=$A21,-'01_数值调参'!$Z$27,0),IF('01_数值调参'!$AA$7&lt;=$A21,-'01_数值调参'!$AA$27,0),IF('01_数值调参'!$AB$7&lt;=$A21,-'01_数值调参'!$AB$27,0),IF('01_数值调参'!$AC$7&lt;=$A21,-'01_数值调参'!$AC$27,0)),0),IF($A21&gt;=8,(F21+$C$3)*MAX(0,IF('01_数值调参'!$AD$7&lt;=$A21,-'01_数值调参'!$AD$27,0),IF('01_数值调参'!$AE$7&lt;=$A21,-'01_数值调参'!$AE$27,0),IF('01_数值调参'!$AF$7&lt;=$A21,-'01_数值调参'!$AF$27,0),IF('01_数值调参'!$AG$7&lt;=$A21,-'01_数值调参'!$AG$27,0)),0),IF($A21&gt;=10,(G21+$C$3)*MAX(0,IF('01_数值调参'!$AH$7&lt;=$A21,-'01_数值调参'!$AH$27,0),IF('01_数值调参'!$AI$7&lt;=$A21,-'01_数值调参'!$AI$27,0),IF('01_数值调参'!$AJ$7&lt;=$A21,-'01_数值调参'!$AJ$27,0),IF('01_数值调参'!$AK$7&lt;=$A21,-'01_数值调参'!$AK$27,0),IF('01_数值调参'!$AL$7&lt;=$A21,-'01_数值调参'!$AL$27,0),IF('01_数值调参'!$AM$7&lt;=$A21,-'01_数值调参'!$AM$27,0)),0),0)),"队列待修正"))</x:f>
        <x:v>3</x:v>
      </x:c>
      <x:c r="R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O$7,"—",SUM(IF($A21&gt;=2,(C21+$C$3)*MAX(0,IF('01_数值调参'!$N$7&lt;=$A21,-'01_数值调参'!$N$28,0),IF('01_数值调参'!$O$7&lt;=$A21,0,0),IF('01_数值调参'!$P$7&lt;=$A21,-'01_数值调参'!$P$28,0),IF('01_数值调参'!$Q$7&lt;=$A21,-'01_数值调参'!$Q$28,0),IF('01_数值调参'!$R$7&lt;=$A21,-'01_数值调参'!$R$28,0)),0),IF($A21&gt;=4,(D21+$C$3)*MAX(0,IF('01_数值调参'!$S$7&lt;=$A21,-'01_数值调参'!$S$28,0),IF('01_数值调参'!$T$7&lt;=$A21,-'01_数值调参'!$T$28,0),IF('01_数值调参'!$U$7&lt;=$A21,-'01_数值调参'!$U$28,0),IF('01_数值调参'!$V$7&lt;=$A21,-'01_数值调参'!$V$28,0),IF('01_数值调参'!$W$7&lt;=$A21,-'01_数值调参'!$W$28,0)),0),IF($A21&gt;=6,(E21+$C$3)*MAX(0,IF('01_数值调参'!$X$7&lt;=$A21,-'01_数值调参'!$X$28,0),IF('01_数值调参'!$Y$7&lt;=$A21,-'01_数值调参'!$Y$28,0),IF('01_数值调参'!$Z$7&lt;=$A21,-'01_数值调参'!$Z$28,0),IF('01_数值调参'!$AA$7&lt;=$A21,-'01_数值调参'!$AA$28,0),IF('01_数值调参'!$AB$7&lt;=$A21,-'01_数值调参'!$AB$28,0),IF('01_数值调参'!$AC$7&lt;=$A21,-'01_数值调参'!$AC$28,0)),0),IF($A21&gt;=8,(F21+$C$3)*MAX(0,IF('01_数值调参'!$AD$7&lt;=$A21,-'01_数值调参'!$AD$28,0),IF('01_数值调参'!$AE$7&lt;=$A21,-'01_数值调参'!$AE$28,0),IF('01_数值调参'!$AF$7&lt;=$A21,-'01_数值调参'!$AF$28,0),IF('01_数值调参'!$AG$7&lt;=$A21,-'01_数值调参'!$AG$28,0)),0),IF($A21&gt;=10,(G21+$C$3)*MAX(0,IF('01_数值调参'!$AH$7&lt;=$A21,-'01_数值调参'!$AH$28,0),IF('01_数值调参'!$AI$7&lt;=$A21,-'01_数值调参'!$AI$28,0),IF('01_数值调参'!$AJ$7&lt;=$A21,-'01_数值调参'!$AJ$28,0),IF('01_数值调参'!$AK$7&lt;=$A21,-'01_数值调参'!$AK$28,0),IF('01_数值调参'!$AL$7&lt;=$A21,-'01_数值调参'!$AL$28,0),IF('01_数值调参'!$AM$7&lt;=$A21,-'01_数值调参'!$AM$28,0)),0),0)),"队列待修正"))</x:f>
        <x:v>3</x:v>
      </x:c>
      <x:c r="S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P$7,"—",SUM(IF($A21&gt;=2,(C21+$C$3)*MAX(0,IF('01_数值调参'!$N$7&lt;=$A21,-'01_数值调参'!$N$29,0),IF('01_数值调参'!$O$7&lt;=$A21,-'01_数值调参'!$O$29,0),IF('01_数值调参'!$P$7&lt;=$A21,0,0),IF('01_数值调参'!$Q$7&lt;=$A21,-'01_数值调参'!$Q$29,0),IF('01_数值调参'!$R$7&lt;=$A21,-'01_数值调参'!$R$29,0)),0),IF($A21&gt;=4,(D21+$C$3)*MAX(0,IF('01_数值调参'!$S$7&lt;=$A21,-'01_数值调参'!$S$29,0),IF('01_数值调参'!$T$7&lt;=$A21,-'01_数值调参'!$T$29,0),IF('01_数值调参'!$U$7&lt;=$A21,-'01_数值调参'!$U$29,0),IF('01_数值调参'!$V$7&lt;=$A21,-'01_数值调参'!$V$29,0),IF('01_数值调参'!$W$7&lt;=$A21,-'01_数值调参'!$W$29,0)),0),IF($A21&gt;=6,(E21+$C$3)*MAX(0,IF('01_数值调参'!$X$7&lt;=$A21,-'01_数值调参'!$X$29,0),IF('01_数值调参'!$Y$7&lt;=$A21,-'01_数值调参'!$Y$29,0),IF('01_数值调参'!$Z$7&lt;=$A21,-'01_数值调参'!$Z$29,0),IF('01_数值调参'!$AA$7&lt;=$A21,-'01_数值调参'!$AA$29,0),IF('01_数值调参'!$AB$7&lt;=$A21,-'01_数值调参'!$AB$29,0),IF('01_数值调参'!$AC$7&lt;=$A21,-'01_数值调参'!$AC$29,0)),0),IF($A21&gt;=8,(F21+$C$3)*MAX(0,IF('01_数值调参'!$AD$7&lt;=$A21,-'01_数值调参'!$AD$29,0),IF('01_数值调参'!$AE$7&lt;=$A21,-'01_数值调参'!$AE$29,0),IF('01_数值调参'!$AF$7&lt;=$A21,-'01_数值调参'!$AF$29,0),IF('01_数值调参'!$AG$7&lt;=$A21,-'01_数值调参'!$AG$29,0)),0),IF($A21&gt;=10,(G21+$C$3)*MAX(0,IF('01_数值调参'!$AH$7&lt;=$A21,-'01_数值调参'!$AH$29,0),IF('01_数值调参'!$AI$7&lt;=$A21,-'01_数值调参'!$AI$29,0),IF('01_数值调参'!$AJ$7&lt;=$A21,-'01_数值调参'!$AJ$29,0),IF('01_数值调参'!$AK$7&lt;=$A21,-'01_数值调参'!$AK$29,0),IF('01_数值调参'!$AL$7&lt;=$A21,-'01_数值调参'!$AL$29,0),IF('01_数值调参'!$AM$7&lt;=$A21,-'01_数值调参'!$AM$29,0)),0),0)),"队列待修正"))</x:f>
        <x:v>3</x:v>
      </x:c>
      <x:c r="T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Q$7,"—",SUM(IF($A21&gt;=2,(C21+$C$3)*MAX(0,IF('01_数值调参'!$N$7&lt;=$A21,-'01_数值调参'!$N$30,0),IF('01_数值调参'!$O$7&lt;=$A21,-'01_数值调参'!$O$30,0),IF('01_数值调参'!$P$7&lt;=$A21,-'01_数值调参'!$P$30,0),IF('01_数值调参'!$Q$7&lt;=$A21,0,0),IF('01_数值调参'!$R$7&lt;=$A21,-'01_数值调参'!$R$30,0)),0),IF($A21&gt;=4,(D21+$C$3)*MAX(0,IF('01_数值调参'!$S$7&lt;=$A21,-'01_数值调参'!$S$30,0),IF('01_数值调参'!$T$7&lt;=$A21,-'01_数值调参'!$T$30,0),IF('01_数值调参'!$U$7&lt;=$A21,-'01_数值调参'!$U$30,0),IF('01_数值调参'!$V$7&lt;=$A21,-'01_数值调参'!$V$30,0),IF('01_数值调参'!$W$7&lt;=$A21,-'01_数值调参'!$W$30,0)),0),IF($A21&gt;=6,(E21+$C$3)*MAX(0,IF('01_数值调参'!$X$7&lt;=$A21,-'01_数值调参'!$X$30,0),IF('01_数值调参'!$Y$7&lt;=$A21,-'01_数值调参'!$Y$30,0),IF('01_数值调参'!$Z$7&lt;=$A21,-'01_数值调参'!$Z$30,0),IF('01_数值调参'!$AA$7&lt;=$A21,-'01_数值调参'!$AA$30,0),IF('01_数值调参'!$AB$7&lt;=$A21,-'01_数值调参'!$AB$30,0),IF('01_数值调参'!$AC$7&lt;=$A21,-'01_数值调参'!$AC$30,0)),0),IF($A21&gt;=8,(F21+$C$3)*MAX(0,IF('01_数值调参'!$AD$7&lt;=$A21,-'01_数值调参'!$AD$30,0),IF('01_数值调参'!$AE$7&lt;=$A21,-'01_数值调参'!$AE$30,0),IF('01_数值调参'!$AF$7&lt;=$A21,-'01_数值调参'!$AF$30,0),IF('01_数值调参'!$AG$7&lt;=$A21,-'01_数值调参'!$AG$30,0)),0),IF($A21&gt;=10,(G21+$C$3)*MAX(0,IF('01_数值调参'!$AH$7&lt;=$A21,-'01_数值调参'!$AH$30,0),IF('01_数值调参'!$AI$7&lt;=$A21,-'01_数值调参'!$AI$30,0),IF('01_数值调参'!$AJ$7&lt;=$A21,-'01_数值调参'!$AJ$30,0),IF('01_数值调参'!$AK$7&lt;=$A21,-'01_数值调参'!$AK$30,0),IF('01_数值调参'!$AL$7&lt;=$A21,-'01_数值调参'!$AL$30,0),IF('01_数值调参'!$AM$7&lt;=$A21,-'01_数值调参'!$AM$30,0)),0),0)),"队列待修正"))</x:f>
        <x:v>0</x:v>
      </x:c>
      <x:c r="U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R$7,"—",SUM(IF($A21&gt;=2,(C21+$C$3)*MAX(0,IF('01_数值调参'!$N$7&lt;=$A21,-'01_数值调参'!$N$31,0),IF('01_数值调参'!$O$7&lt;=$A21,-'01_数值调参'!$O$31,0),IF('01_数值调参'!$P$7&lt;=$A21,-'01_数值调参'!$P$31,0),IF('01_数值调参'!$Q$7&lt;=$A21,-'01_数值调参'!$Q$31,0),IF('01_数值调参'!$R$7&lt;=$A21,0,0)),0),IF($A21&gt;=4,(D21+$C$3)*MAX(0,IF('01_数值调参'!$S$7&lt;=$A21,-'01_数值调参'!$S$31,0),IF('01_数值调参'!$T$7&lt;=$A21,-'01_数值调参'!$T$31,0),IF('01_数值调参'!$U$7&lt;=$A21,-'01_数值调参'!$U$31,0),IF('01_数值调参'!$V$7&lt;=$A21,-'01_数值调参'!$V$31,0),IF('01_数值调参'!$W$7&lt;=$A21,-'01_数值调参'!$W$31,0)),0),IF($A21&gt;=6,(E21+$C$3)*MAX(0,IF('01_数值调参'!$X$7&lt;=$A21,-'01_数值调参'!$X$31,0),IF('01_数值调参'!$Y$7&lt;=$A21,-'01_数值调参'!$Y$31,0),IF('01_数值调参'!$Z$7&lt;=$A21,-'01_数值调参'!$Z$31,0),IF('01_数值调参'!$AA$7&lt;=$A21,-'01_数值调参'!$AA$31,0),IF('01_数值调参'!$AB$7&lt;=$A21,-'01_数值调参'!$AB$31,0),IF('01_数值调参'!$AC$7&lt;=$A21,-'01_数值调参'!$AC$31,0)),0),IF($A21&gt;=8,(F21+$C$3)*MAX(0,IF('01_数值调参'!$AD$7&lt;=$A21,-'01_数值调参'!$AD$31,0),IF('01_数值调参'!$AE$7&lt;=$A21,-'01_数值调参'!$AE$31,0),IF('01_数值调参'!$AF$7&lt;=$A21,-'01_数值调参'!$AF$31,0),IF('01_数值调参'!$AG$7&lt;=$A21,-'01_数值调参'!$AG$31,0)),0),IF($A21&gt;=10,(G21+$C$3)*MAX(0,IF('01_数值调参'!$AH$7&lt;=$A21,-'01_数值调参'!$AH$31,0),IF('01_数值调参'!$AI$7&lt;=$A21,-'01_数值调参'!$AI$31,0),IF('01_数值调参'!$AJ$7&lt;=$A21,-'01_数值调参'!$AJ$31,0),IF('01_数值调参'!$AK$7&lt;=$A21,-'01_数值调参'!$AK$31,0),IF('01_数值调参'!$AL$7&lt;=$A21,-'01_数值调参'!$AL$31,0),IF('01_数值调参'!$AM$7&lt;=$A21,-'01_数值调参'!$AM$31,0)),0),0)),"队列待修正"))</x:f>
        <x:v>—</x:v>
      </x:c>
      <x:c r="V21" s="191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S$7,"—",SUM(IF($A21&gt;=2,(C21+$C$3)*MAX(0,IF('01_数值调参'!$N$7&lt;=$A21,-'01_数值调参'!$N$32,0),IF('01_数值调参'!$O$7&lt;=$A21,-'01_数值调参'!$O$32,0),IF('01_数值调参'!$P$7&lt;=$A21,-'01_数值调参'!$P$32,0),IF('01_数值调参'!$Q$7&lt;=$A21,-'01_数值调参'!$Q$32,0),IF('01_数值调参'!$R$7&lt;=$A21,-'01_数值调参'!$R$32,0)),0),IF($A21&gt;=4,(D21+$C$3)*MAX(0,IF('01_数值调参'!$S$7&lt;=$A21,0,0),IF('01_数值调参'!$T$7&lt;=$A21,-'01_数值调参'!$T$32,0),IF('01_数值调参'!$U$7&lt;=$A21,-'01_数值调参'!$U$32,0),IF('01_数值调参'!$V$7&lt;=$A21,-'01_数值调参'!$V$32,0),IF('01_数值调参'!$W$7&lt;=$A21,-'01_数值调参'!$W$32,0)),0),IF($A21&gt;=6,(E21+$C$3)*MAX(0,IF('01_数值调参'!$X$7&lt;=$A21,-'01_数值调参'!$X$32,0),IF('01_数值调参'!$Y$7&lt;=$A21,-'01_数值调参'!$Y$32,0),IF('01_数值调参'!$Z$7&lt;=$A21,-'01_数值调参'!$Z$32,0),IF('01_数值调参'!$AA$7&lt;=$A21,-'01_数值调参'!$AA$32,0),IF('01_数值调参'!$AB$7&lt;=$A21,-'01_数值调参'!$AB$32,0),IF('01_数值调参'!$AC$7&lt;=$A21,-'01_数值调参'!$AC$32,0)),0),IF($A21&gt;=8,(F21+$C$3)*MAX(0,IF('01_数值调参'!$AD$7&lt;=$A21,-'01_数值调参'!$AD$32,0),IF('01_数值调参'!$AE$7&lt;=$A21,-'01_数值调参'!$AE$32,0),IF('01_数值调参'!$AF$7&lt;=$A21,-'01_数值调参'!$AF$32,0),IF('01_数值调参'!$AG$7&lt;=$A21,-'01_数值调参'!$AG$32,0)),0),IF($A21&gt;=10,(G21+$C$3)*MAX(0,IF('01_数值调参'!$AH$7&lt;=$A21,-'01_数值调参'!$AH$32,0),IF('01_数值调参'!$AI$7&lt;=$A21,-'01_数值调参'!$AI$32,0),IF('01_数值调参'!$AJ$7&lt;=$A21,-'01_数值调参'!$AJ$32,0),IF('01_数值调参'!$AK$7&lt;=$A21,-'01_数值调参'!$AK$32,0),IF('01_数值调参'!$AL$7&lt;=$A21,-'01_数值调参'!$AL$32,0),IF('01_数值调参'!$AM$7&lt;=$A21,-'01_数值调参'!$AM$32,0)),0),0)),"队列待修正"))</x:f>
        <x:v>6</x:v>
      </x:c>
      <x:c r="W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T$7,"—",SUM(IF($A21&gt;=2,(C21+$C$3)*MAX(0,IF('01_数值调参'!$N$7&lt;=$A21,-'01_数值调参'!$N$33,0),IF('01_数值调参'!$O$7&lt;=$A21,-'01_数值调参'!$O$33,0),IF('01_数值调参'!$P$7&lt;=$A21,-'01_数值调参'!$P$33,0),IF('01_数值调参'!$Q$7&lt;=$A21,-'01_数值调参'!$Q$33,0),IF('01_数值调参'!$R$7&lt;=$A21,-'01_数值调参'!$R$33,0)),0),IF($A21&gt;=4,(D21+$C$3)*MAX(0,IF('01_数值调参'!$S$7&lt;=$A21,-'01_数值调参'!$S$33,0),IF('01_数值调参'!$T$7&lt;=$A21,0,0),IF('01_数值调参'!$U$7&lt;=$A21,-'01_数值调参'!$U$33,0),IF('01_数值调参'!$V$7&lt;=$A21,-'01_数值调参'!$V$33,0),IF('01_数值调参'!$W$7&lt;=$A21,-'01_数值调参'!$W$33,0)),0),IF($A21&gt;=6,(E21+$C$3)*MAX(0,IF('01_数值调参'!$X$7&lt;=$A21,-'01_数值调参'!$X$33,0),IF('01_数值调参'!$Y$7&lt;=$A21,-'01_数值调参'!$Y$33,0),IF('01_数值调参'!$Z$7&lt;=$A21,-'01_数值调参'!$Z$33,0),IF('01_数值调参'!$AA$7&lt;=$A21,-'01_数值调参'!$AA$33,0),IF('01_数值调参'!$AB$7&lt;=$A21,-'01_数值调参'!$AB$33,0),IF('01_数值调参'!$AC$7&lt;=$A21,-'01_数值调参'!$AC$33,0)),0),IF($A21&gt;=8,(F21+$C$3)*MAX(0,IF('01_数值调参'!$AD$7&lt;=$A21,-'01_数值调参'!$AD$33,0),IF('01_数值调参'!$AE$7&lt;=$A21,-'01_数值调参'!$AE$33,0),IF('01_数值调参'!$AF$7&lt;=$A21,-'01_数值调参'!$AF$33,0),IF('01_数值调参'!$AG$7&lt;=$A21,-'01_数值调参'!$AG$33,0)),0),IF($A21&gt;=10,(G21+$C$3)*MAX(0,IF('01_数值调参'!$AH$7&lt;=$A21,-'01_数值调参'!$AH$33,0),IF('01_数值调参'!$AI$7&lt;=$A21,-'01_数值调参'!$AI$33,0),IF('01_数值调参'!$AJ$7&lt;=$A21,-'01_数值调参'!$AJ$33,0),IF('01_数值调参'!$AK$7&lt;=$A21,-'01_数值调参'!$AK$33,0),IF('01_数值调参'!$AL$7&lt;=$A21,-'01_数值调参'!$AL$33,0),IF('01_数值调参'!$AM$7&lt;=$A21,-'01_数值调参'!$AM$33,0)),0),0)),"队列待修正"))</x:f>
        <x:v>3</x:v>
      </x:c>
      <x:c r="X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U$7,"—",SUM(IF($A21&gt;=2,(C21+$C$3)*MAX(0,IF('01_数值调参'!$N$7&lt;=$A21,-'01_数值调参'!$N$34,0),IF('01_数值调参'!$O$7&lt;=$A21,-'01_数值调参'!$O$34,0),IF('01_数值调参'!$P$7&lt;=$A21,-'01_数值调参'!$P$34,0),IF('01_数值调参'!$Q$7&lt;=$A21,-'01_数值调参'!$Q$34,0),IF('01_数值调参'!$R$7&lt;=$A21,-'01_数值调参'!$R$34,0)),0),IF($A21&gt;=4,(D21+$C$3)*MAX(0,IF('01_数值调参'!$S$7&lt;=$A21,-'01_数值调参'!$S$34,0),IF('01_数值调参'!$T$7&lt;=$A21,-'01_数值调参'!$T$34,0),IF('01_数值调参'!$U$7&lt;=$A21,0,0),IF('01_数值调参'!$V$7&lt;=$A21,-'01_数值调参'!$V$34,0),IF('01_数值调参'!$W$7&lt;=$A21,-'01_数值调参'!$W$34,0)),0),IF($A21&gt;=6,(E21+$C$3)*MAX(0,IF('01_数值调参'!$X$7&lt;=$A21,-'01_数值调参'!$X$34,0),IF('01_数值调参'!$Y$7&lt;=$A21,-'01_数值调参'!$Y$34,0),IF('01_数值调参'!$Z$7&lt;=$A21,-'01_数值调参'!$Z$34,0),IF('01_数值调参'!$AA$7&lt;=$A21,-'01_数值调参'!$AA$34,0),IF('01_数值调参'!$AB$7&lt;=$A21,-'01_数值调参'!$AB$34,0),IF('01_数值调参'!$AC$7&lt;=$A21,-'01_数值调参'!$AC$34,0)),0),IF($A21&gt;=8,(F21+$C$3)*MAX(0,IF('01_数值调参'!$AD$7&lt;=$A21,-'01_数值调参'!$AD$34,0),IF('01_数值调参'!$AE$7&lt;=$A21,-'01_数值调参'!$AE$34,0),IF('01_数值调参'!$AF$7&lt;=$A21,-'01_数值调参'!$AF$34,0),IF('01_数值调参'!$AG$7&lt;=$A21,-'01_数值调参'!$AG$34,0)),0),IF($A21&gt;=10,(G21+$C$3)*MAX(0,IF('01_数值调参'!$AH$7&lt;=$A21,-'01_数值调参'!$AH$34,0),IF('01_数值调参'!$AI$7&lt;=$A21,-'01_数值调参'!$AI$34,0),IF('01_数值调参'!$AJ$7&lt;=$A21,-'01_数值调参'!$AJ$34,0),IF('01_数值调参'!$AK$7&lt;=$A21,-'01_数值调参'!$AK$34,0),IF('01_数值调参'!$AL$7&lt;=$A21,-'01_数值调参'!$AL$34,0),IF('01_数值调参'!$AM$7&lt;=$A21,-'01_数值调参'!$AM$34,0)),0),0)),"队列待修正"))</x:f>
        <x:v>3</x:v>
      </x:c>
      <x:c r="Y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V$7,"—",SUM(IF($A21&gt;=2,(C21+$C$3)*MAX(0,IF('01_数值调参'!$N$7&lt;=$A21,-'01_数值调参'!$N$35,0),IF('01_数值调参'!$O$7&lt;=$A21,-'01_数值调参'!$O$35,0),IF('01_数值调参'!$P$7&lt;=$A21,-'01_数值调参'!$P$35,0),IF('01_数值调参'!$Q$7&lt;=$A21,-'01_数值调参'!$Q$35,0),IF('01_数值调参'!$R$7&lt;=$A21,-'01_数值调参'!$R$35,0)),0),IF($A21&gt;=4,(D21+$C$3)*MAX(0,IF('01_数值调参'!$S$7&lt;=$A21,-'01_数值调参'!$S$35,0),IF('01_数值调参'!$T$7&lt;=$A21,-'01_数值调参'!$T$35,0),IF('01_数值调参'!$U$7&lt;=$A21,-'01_数值调参'!$U$35,0),IF('01_数值调参'!$V$7&lt;=$A21,0,0),IF('01_数值调参'!$W$7&lt;=$A21,-'01_数值调参'!$W$35,0)),0),IF($A21&gt;=6,(E21+$C$3)*MAX(0,IF('01_数值调参'!$X$7&lt;=$A21,-'01_数值调参'!$X$35,0),IF('01_数值调参'!$Y$7&lt;=$A21,-'01_数值调参'!$Y$35,0),IF('01_数值调参'!$Z$7&lt;=$A21,-'01_数值调参'!$Z$35,0),IF('01_数值调参'!$AA$7&lt;=$A21,-'01_数值调参'!$AA$35,0),IF('01_数值调参'!$AB$7&lt;=$A21,-'01_数值调参'!$AB$35,0),IF('01_数值调参'!$AC$7&lt;=$A21,-'01_数值调参'!$AC$35,0)),0),IF($A21&gt;=8,(F21+$C$3)*MAX(0,IF('01_数值调参'!$AD$7&lt;=$A21,-'01_数值调参'!$AD$35,0),IF('01_数值调参'!$AE$7&lt;=$A21,-'01_数值调参'!$AE$35,0),IF('01_数值调参'!$AF$7&lt;=$A21,-'01_数值调参'!$AF$35,0),IF('01_数值调参'!$AG$7&lt;=$A21,-'01_数值调参'!$AG$35,0)),0),IF($A21&gt;=10,(G21+$C$3)*MAX(0,IF('01_数值调参'!$AH$7&lt;=$A21,-'01_数值调参'!$AH$35,0),IF('01_数值调参'!$AI$7&lt;=$A21,-'01_数值调参'!$AI$35,0),IF('01_数值调参'!$AJ$7&lt;=$A21,-'01_数值调参'!$AJ$35,0),IF('01_数值调参'!$AK$7&lt;=$A21,-'01_数值调参'!$AK$35,0),IF('01_数值调参'!$AL$7&lt;=$A21,-'01_数值调参'!$AL$35,0),IF('01_数值调参'!$AM$7&lt;=$A21,-'01_数值调参'!$AM$35,0)),0),0)),"队列待修正"))</x:f>
        <x:v>0</x:v>
      </x:c>
      <x:c r="Z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W$7,"—",SUM(IF($A21&gt;=2,(C21+$C$3)*MAX(0,IF('01_数值调参'!$N$7&lt;=$A21,-'01_数值调参'!$N$36,0),IF('01_数值调参'!$O$7&lt;=$A21,-'01_数值调参'!$O$36,0),IF('01_数值调参'!$P$7&lt;=$A21,-'01_数值调参'!$P$36,0),IF('01_数值调参'!$Q$7&lt;=$A21,-'01_数值调参'!$Q$36,0),IF('01_数值调参'!$R$7&lt;=$A21,-'01_数值调参'!$R$36,0)),0),IF($A21&gt;=4,(D21+$C$3)*MAX(0,IF('01_数值调参'!$S$7&lt;=$A21,-'01_数值调参'!$S$36,0),IF('01_数值调参'!$T$7&lt;=$A21,-'01_数值调参'!$T$36,0),IF('01_数值调参'!$U$7&lt;=$A21,-'01_数值调参'!$U$36,0),IF('01_数值调参'!$V$7&lt;=$A21,-'01_数值调参'!$V$36,0),IF('01_数值调参'!$W$7&lt;=$A21,0,0)),0),IF($A21&gt;=6,(E21+$C$3)*MAX(0,IF('01_数值调参'!$X$7&lt;=$A21,-'01_数值调参'!$X$36,0),IF('01_数值调参'!$Y$7&lt;=$A21,-'01_数值调参'!$Y$36,0),IF('01_数值调参'!$Z$7&lt;=$A21,-'01_数值调参'!$Z$36,0),IF('01_数值调参'!$AA$7&lt;=$A21,-'01_数值调参'!$AA$36,0),IF('01_数值调参'!$AB$7&lt;=$A21,-'01_数值调参'!$AB$36,0),IF('01_数值调参'!$AC$7&lt;=$A21,-'01_数值调参'!$AC$36,0)),0),IF($A21&gt;=8,(F21+$C$3)*MAX(0,IF('01_数值调参'!$AD$7&lt;=$A21,-'01_数值调参'!$AD$36,0),IF('01_数值调参'!$AE$7&lt;=$A21,-'01_数值调参'!$AE$36,0),IF('01_数值调参'!$AF$7&lt;=$A21,-'01_数值调参'!$AF$36,0),IF('01_数值调参'!$AG$7&lt;=$A21,-'01_数值调参'!$AG$36,0)),0),IF($A21&gt;=10,(G21+$C$3)*MAX(0,IF('01_数值调参'!$AH$7&lt;=$A21,-'01_数值调参'!$AH$36,0),IF('01_数值调参'!$AI$7&lt;=$A21,-'01_数值调参'!$AI$36,0),IF('01_数值调参'!$AJ$7&lt;=$A21,-'01_数值调参'!$AJ$36,0),IF('01_数值调参'!$AK$7&lt;=$A21,-'01_数值调参'!$AK$36,0),IF('01_数值调参'!$AL$7&lt;=$A21,-'01_数值调参'!$AL$36,0),IF('01_数值调参'!$AM$7&lt;=$A21,-'01_数值调参'!$AM$36,0)),0),0)),"队列待修正"))</x:f>
        <x:v>—</x:v>
      </x:c>
      <x:c r="AA21" s="191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X$7,"—",SUM(IF($A21&gt;=2,(C21+$C$3)*MAX(0,IF('01_数值调参'!$N$7&lt;=$A21,-'01_数值调参'!$N$37,0),IF('01_数值调参'!$O$7&lt;=$A21,-'01_数值调参'!$O$37,0),IF('01_数值调参'!$P$7&lt;=$A21,-'01_数值调参'!$P$37,0),IF('01_数值调参'!$Q$7&lt;=$A21,-'01_数值调参'!$Q$37,0),IF('01_数值调参'!$R$7&lt;=$A21,-'01_数值调参'!$R$37,0)),0),IF($A21&gt;=4,(D21+$C$3)*MAX(0,IF('01_数值调参'!$S$7&lt;=$A21,-'01_数值调参'!$S$37,0),IF('01_数值调参'!$T$7&lt;=$A21,-'01_数值调参'!$T$37,0),IF('01_数值调参'!$U$7&lt;=$A21,-'01_数值调参'!$U$37,0),IF('01_数值调参'!$V$7&lt;=$A21,-'01_数值调参'!$V$37,0),IF('01_数值调参'!$W$7&lt;=$A21,-'01_数值调参'!$W$37,0)),0),IF($A21&gt;=6,(E21+$C$3)*MAX(0,IF('01_数值调参'!$X$7&lt;=$A21,0,0),IF('01_数值调参'!$Y$7&lt;=$A21,-'01_数值调参'!$Y$37,0),IF('01_数值调参'!$Z$7&lt;=$A21,-'01_数值调参'!$Z$37,0),IF('01_数值调参'!$AA$7&lt;=$A21,-'01_数值调参'!$AA$37,0),IF('01_数值调参'!$AB$7&lt;=$A21,-'01_数值调参'!$AB$37,0),IF('01_数值调参'!$AC$7&lt;=$A21,-'01_数值调参'!$AC$37,0)),0),IF($A21&gt;=8,(F21+$C$3)*MAX(0,IF('01_数值调参'!$AD$7&lt;=$A21,-'01_数值调参'!$AD$37,0),IF('01_数值调参'!$AE$7&lt;=$A21,-'01_数值调参'!$AE$37,0),IF('01_数值调参'!$AF$7&lt;=$A21,-'01_数值调参'!$AF$37,0),IF('01_数值调参'!$AG$7&lt;=$A21,-'01_数值调参'!$AG$37,0)),0),IF($A21&gt;=10,(G21+$C$3)*MAX(0,IF('01_数值调参'!$AH$7&lt;=$A21,-'01_数值调参'!$AH$37,0),IF('01_数值调参'!$AI$7&lt;=$A21,-'01_数值调参'!$AI$37,0),IF('01_数值调参'!$AJ$7&lt;=$A21,-'01_数值调参'!$AJ$37,0),IF('01_数值调参'!$AK$7&lt;=$A21,-'01_数值调参'!$AK$37,0),IF('01_数值调参'!$AL$7&lt;=$A21,-'01_数值调参'!$AL$37,0),IF('01_数值调参'!$AM$7&lt;=$A21,-'01_数值调参'!$AM$37,0)),0),0)),"队列待修正"))</x:f>
        <x:v>0</x:v>
      </x:c>
      <x:c r="AB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Y$7,"—",SUM(IF($A21&gt;=2,(C21+$C$3)*MAX(0,IF('01_数值调参'!$N$7&lt;=$A21,-'01_数值调参'!$N$38,0),IF('01_数值调参'!$O$7&lt;=$A21,-'01_数值调参'!$O$38,0),IF('01_数值调参'!$P$7&lt;=$A21,-'01_数值调参'!$P$38,0),IF('01_数值调参'!$Q$7&lt;=$A21,-'01_数值调参'!$Q$38,0),IF('01_数值调参'!$R$7&lt;=$A21,-'01_数值调参'!$R$38,0)),0),IF($A21&gt;=4,(D21+$C$3)*MAX(0,IF('01_数值调参'!$S$7&lt;=$A21,-'01_数值调参'!$S$38,0),IF('01_数值调参'!$T$7&lt;=$A21,-'01_数值调参'!$T$38,0),IF('01_数值调参'!$U$7&lt;=$A21,-'01_数值调参'!$U$38,0),IF('01_数值调参'!$V$7&lt;=$A21,-'01_数值调参'!$V$38,0),IF('01_数值调参'!$W$7&lt;=$A21,-'01_数值调参'!$W$38,0)),0),IF($A21&gt;=6,(E21+$C$3)*MAX(0,IF('01_数值调参'!$X$7&lt;=$A21,-'01_数值调参'!$X$38,0),IF('01_数值调参'!$Y$7&lt;=$A21,0,0),IF('01_数值调参'!$Z$7&lt;=$A21,-'01_数值调参'!$Z$38,0),IF('01_数值调参'!$AA$7&lt;=$A21,-'01_数值调参'!$AA$38,0),IF('01_数值调参'!$AB$7&lt;=$A21,-'01_数值调参'!$AB$38,0),IF('01_数值调参'!$AC$7&lt;=$A21,-'01_数值调参'!$AC$38,0)),0),IF($A21&gt;=8,(F21+$C$3)*MAX(0,IF('01_数值调参'!$AD$7&lt;=$A21,-'01_数值调参'!$AD$38,0),IF('01_数值调参'!$AE$7&lt;=$A21,-'01_数值调参'!$AE$38,0),IF('01_数值调参'!$AF$7&lt;=$A21,-'01_数值调参'!$AF$38,0),IF('01_数值调参'!$AG$7&lt;=$A21,-'01_数值调参'!$AG$38,0)),0),IF($A21&gt;=10,(G21+$C$3)*MAX(0,IF('01_数值调参'!$AH$7&lt;=$A21,-'01_数值调参'!$AH$38,0),IF('01_数值调参'!$AI$7&lt;=$A21,-'01_数值调参'!$AI$38,0),IF('01_数值调参'!$AJ$7&lt;=$A21,-'01_数值调参'!$AJ$38,0),IF('01_数值调参'!$AK$7&lt;=$A21,-'01_数值调参'!$AK$38,0),IF('01_数值调参'!$AL$7&lt;=$A21,-'01_数值调参'!$AL$38,0),IF('01_数值调参'!$AM$7&lt;=$A21,-'01_数值调参'!$AM$38,0)),0),0)),"队列待修正"))</x:f>
        <x:v>0</x:v>
      </x:c>
      <x:c r="AC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Z$7,"—",SUM(IF($A21&gt;=2,(C21+$C$3)*MAX(0,IF('01_数值调参'!$N$7&lt;=$A21,-'01_数值调参'!$N$39,0),IF('01_数值调参'!$O$7&lt;=$A21,-'01_数值调参'!$O$39,0),IF('01_数值调参'!$P$7&lt;=$A21,-'01_数值调参'!$P$39,0),IF('01_数值调参'!$Q$7&lt;=$A21,-'01_数值调参'!$Q$39,0),IF('01_数值调参'!$R$7&lt;=$A21,-'01_数值调参'!$R$39,0)),0),IF($A21&gt;=4,(D21+$C$3)*MAX(0,IF('01_数值调参'!$S$7&lt;=$A21,-'01_数值调参'!$S$39,0),IF('01_数值调参'!$T$7&lt;=$A21,-'01_数值调参'!$T$39,0),IF('01_数值调参'!$U$7&lt;=$A21,-'01_数值调参'!$U$39,0),IF('01_数值调参'!$V$7&lt;=$A21,-'01_数值调参'!$V$39,0),IF('01_数值调参'!$W$7&lt;=$A21,-'01_数值调参'!$W$39,0)),0),IF($A21&gt;=6,(E21+$C$3)*MAX(0,IF('01_数值调参'!$X$7&lt;=$A21,-'01_数值调参'!$X$39,0),IF('01_数值调参'!$Y$7&lt;=$A21,-'01_数值调参'!$Y$39,0),IF('01_数值调参'!$Z$7&lt;=$A21,0,0),IF('01_数值调参'!$AA$7&lt;=$A21,-'01_数值调参'!$AA$39,0),IF('01_数值调参'!$AB$7&lt;=$A21,-'01_数值调参'!$AB$39,0),IF('01_数值调参'!$AC$7&lt;=$A21,-'01_数值调参'!$AC$39,0)),0),IF($A21&gt;=8,(F21+$C$3)*MAX(0,IF('01_数值调参'!$AD$7&lt;=$A21,-'01_数值调参'!$AD$39,0),IF('01_数值调参'!$AE$7&lt;=$A21,-'01_数值调参'!$AE$39,0),IF('01_数值调参'!$AF$7&lt;=$A21,-'01_数值调参'!$AF$39,0),IF('01_数值调参'!$AG$7&lt;=$A21,-'01_数值调参'!$AG$39,0)),0),IF($A21&gt;=10,(G21+$C$3)*MAX(0,IF('01_数值调参'!$AH$7&lt;=$A21,-'01_数值调参'!$AH$39,0),IF('01_数值调参'!$AI$7&lt;=$A21,-'01_数值调参'!$AI$39,0),IF('01_数值调参'!$AJ$7&lt;=$A21,-'01_数值调参'!$AJ$39,0),IF('01_数值调参'!$AK$7&lt;=$A21,-'01_数值调参'!$AK$39,0),IF('01_数值调参'!$AL$7&lt;=$A21,-'01_数值调参'!$AL$39,0),IF('01_数值调参'!$AM$7&lt;=$A21,-'01_数值调参'!$AM$39,0)),0),0)),"队列待修正"))</x:f>
        <x:v>0</x:v>
      </x:c>
      <x:c r="AD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A$7,"—",SUM(IF($A21&gt;=2,(C21+$C$3)*MAX(0,IF('01_数值调参'!$N$7&lt;=$A21,-'01_数值调参'!$N$40,0),IF('01_数值调参'!$O$7&lt;=$A21,-'01_数值调参'!$O$40,0),IF('01_数值调参'!$P$7&lt;=$A21,-'01_数值调参'!$P$40,0),IF('01_数值调参'!$Q$7&lt;=$A21,-'01_数值调参'!$Q$40,0),IF('01_数值调参'!$R$7&lt;=$A21,-'01_数值调参'!$R$40,0)),0),IF($A21&gt;=4,(D21+$C$3)*MAX(0,IF('01_数值调参'!$S$7&lt;=$A21,-'01_数值调参'!$S$40,0),IF('01_数值调参'!$T$7&lt;=$A21,-'01_数值调参'!$T$40,0),IF('01_数值调参'!$U$7&lt;=$A21,-'01_数值调参'!$U$40,0),IF('01_数值调参'!$V$7&lt;=$A21,-'01_数值调参'!$V$40,0),IF('01_数值调参'!$W$7&lt;=$A21,-'01_数值调参'!$W$40,0)),0),IF($A21&gt;=6,(E21+$C$3)*MAX(0,IF('01_数值调参'!$X$7&lt;=$A21,-'01_数值调参'!$X$40,0),IF('01_数值调参'!$Y$7&lt;=$A21,-'01_数值调参'!$Y$40,0),IF('01_数值调参'!$Z$7&lt;=$A21,-'01_数值调参'!$Z$40,0),IF('01_数值调参'!$AA$7&lt;=$A21,0,0),IF('01_数值调参'!$AB$7&lt;=$A21,-'01_数值调参'!$AB$40,0),IF('01_数值调参'!$AC$7&lt;=$A21,-'01_数值调参'!$AC$40,0)),0),IF($A21&gt;=8,(F21+$C$3)*MAX(0,IF('01_数值调参'!$AD$7&lt;=$A21,-'01_数值调参'!$AD$40,0),IF('01_数值调参'!$AE$7&lt;=$A21,-'01_数值调参'!$AE$40,0),IF('01_数值调参'!$AF$7&lt;=$A21,-'01_数值调参'!$AF$40,0),IF('01_数值调参'!$AG$7&lt;=$A21,-'01_数值调参'!$AG$40,0)),0),IF($A21&gt;=10,(G21+$C$3)*MAX(0,IF('01_数值调参'!$AH$7&lt;=$A21,-'01_数值调参'!$AH$40,0),IF('01_数值调参'!$AI$7&lt;=$A21,-'01_数值调参'!$AI$40,0),IF('01_数值调参'!$AJ$7&lt;=$A21,-'01_数值调参'!$AJ$40,0),IF('01_数值调参'!$AK$7&lt;=$A21,-'01_数值调参'!$AK$40,0),IF('01_数值调参'!$AL$7&lt;=$A21,-'01_数值调参'!$AL$40,0),IF('01_数值调参'!$AM$7&lt;=$A21,-'01_数值调参'!$AM$40,0)),0),0)),"队列待修正"))</x:f>
        <x:v>0</x:v>
      </x:c>
      <x:c r="AE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B$7,"—",SUM(IF($A21&gt;=2,(C21+$C$3)*MAX(0,IF('01_数值调参'!$N$7&lt;=$A21,-'01_数值调参'!$N$41,0),IF('01_数值调参'!$O$7&lt;=$A21,-'01_数值调参'!$O$41,0),IF('01_数值调参'!$P$7&lt;=$A21,-'01_数值调参'!$P$41,0),IF('01_数值调参'!$Q$7&lt;=$A21,-'01_数值调参'!$Q$41,0),IF('01_数值调参'!$R$7&lt;=$A21,-'01_数值调参'!$R$41,0)),0),IF($A21&gt;=4,(D21+$C$3)*MAX(0,IF('01_数值调参'!$S$7&lt;=$A21,-'01_数值调参'!$S$41,0),IF('01_数值调参'!$T$7&lt;=$A21,-'01_数值调参'!$T$41,0),IF('01_数值调参'!$U$7&lt;=$A21,-'01_数值调参'!$U$41,0),IF('01_数值调参'!$V$7&lt;=$A21,-'01_数值调参'!$V$41,0),IF('01_数值调参'!$W$7&lt;=$A21,-'01_数值调参'!$W$41,0)),0),IF($A21&gt;=6,(E21+$C$3)*MAX(0,IF('01_数值调参'!$X$7&lt;=$A21,-'01_数值调参'!$X$41,0),IF('01_数值调参'!$Y$7&lt;=$A21,-'01_数值调参'!$Y$41,0),IF('01_数值调参'!$Z$7&lt;=$A21,-'01_数值调参'!$Z$41,0),IF('01_数值调参'!$AA$7&lt;=$A21,-'01_数值调参'!$AA$41,0),IF('01_数值调参'!$AB$7&lt;=$A21,0,0),IF('01_数值调参'!$AC$7&lt;=$A21,-'01_数值调参'!$AC$41,0)),0),IF($A21&gt;=8,(F21+$C$3)*MAX(0,IF('01_数值调参'!$AD$7&lt;=$A21,-'01_数值调参'!$AD$41,0),IF('01_数值调参'!$AE$7&lt;=$A21,-'01_数值调参'!$AE$41,0),IF('01_数值调参'!$AF$7&lt;=$A21,-'01_数值调参'!$AF$41,0),IF('01_数值调参'!$AG$7&lt;=$A21,-'01_数值调参'!$AG$41,0)),0),IF($A21&gt;=10,(G21+$C$3)*MAX(0,IF('01_数值调参'!$AH$7&lt;=$A21,-'01_数值调参'!$AH$41,0),IF('01_数值调参'!$AI$7&lt;=$A21,-'01_数值调参'!$AI$41,0),IF('01_数值调参'!$AJ$7&lt;=$A21,-'01_数值调参'!$AJ$41,0),IF('01_数值调参'!$AK$7&lt;=$A21,-'01_数值调参'!$AK$41,0),IF('01_数值调参'!$AL$7&lt;=$A21,-'01_数值调参'!$AL$41,0),IF('01_数值调参'!$AM$7&lt;=$A21,-'01_数值调参'!$AM$41,0)),0),0)),"队列待修正"))</x:f>
        <x:v>—</x:v>
      </x:c>
      <x:c r="AF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C$7,"—",SUM(IF($A21&gt;=2,(C21+$C$3)*MAX(0,IF('01_数值调参'!$N$7&lt;=$A21,-'01_数值调参'!$N$42,0),IF('01_数值调参'!$O$7&lt;=$A21,-'01_数值调参'!$O$42,0),IF('01_数值调参'!$P$7&lt;=$A21,-'01_数值调参'!$P$42,0),IF('01_数值调参'!$Q$7&lt;=$A21,-'01_数值调参'!$Q$42,0),IF('01_数值调参'!$R$7&lt;=$A21,-'01_数值调参'!$R$42,0)),0),IF($A21&gt;=4,(D21+$C$3)*MAX(0,IF('01_数值调参'!$S$7&lt;=$A21,-'01_数值调参'!$S$42,0),IF('01_数值调参'!$T$7&lt;=$A21,-'01_数值调参'!$T$42,0),IF('01_数值调参'!$U$7&lt;=$A21,-'01_数值调参'!$U$42,0),IF('01_数值调参'!$V$7&lt;=$A21,-'01_数值调参'!$V$42,0),IF('01_数值调参'!$W$7&lt;=$A21,-'01_数值调参'!$W$42,0)),0),IF($A21&gt;=6,(E21+$C$3)*MAX(0,IF('01_数值调参'!$X$7&lt;=$A21,-'01_数值调参'!$X$42,0),IF('01_数值调参'!$Y$7&lt;=$A21,-'01_数值调参'!$Y$42,0),IF('01_数值调参'!$Z$7&lt;=$A21,-'01_数值调参'!$Z$42,0),IF('01_数值调参'!$AA$7&lt;=$A21,-'01_数值调参'!$AA$42,0),IF('01_数值调参'!$AB$7&lt;=$A21,-'01_数值调参'!$AB$42,0),IF('01_数值调参'!$AC$7&lt;=$A21,0,0)),0),IF($A21&gt;=8,(F21+$C$3)*MAX(0,IF('01_数值调参'!$AD$7&lt;=$A21,-'01_数值调参'!$AD$42,0),IF('01_数值调参'!$AE$7&lt;=$A21,-'01_数值调参'!$AE$42,0),IF('01_数值调参'!$AF$7&lt;=$A21,-'01_数值调参'!$AF$42,0),IF('01_数值调参'!$AG$7&lt;=$A21,-'01_数值调参'!$AG$42,0)),0),IF($A21&gt;=10,(G21+$C$3)*MAX(0,IF('01_数值调参'!$AH$7&lt;=$A21,-'01_数值调参'!$AH$42,0),IF('01_数值调参'!$AI$7&lt;=$A21,-'01_数值调参'!$AI$42,0),IF('01_数值调参'!$AJ$7&lt;=$A21,-'01_数值调参'!$AJ$42,0),IF('01_数值调参'!$AK$7&lt;=$A21,-'01_数值调参'!$AK$42,0),IF('01_数值调参'!$AL$7&lt;=$A21,-'01_数值调参'!$AL$42,0),IF('01_数值调参'!$AM$7&lt;=$A21,-'01_数值调参'!$AM$42,0)),0),0)),"队列待修正"))</x:f>
        <x:v>—</x:v>
      </x:c>
      <x:c r="AG21" s="191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D$7,"—",SUM(IF($A21&gt;=2,(C21+$C$3)*MAX(0,IF('01_数值调参'!$N$7&lt;=$A21,-'01_数值调参'!$N$43,0),IF('01_数值调参'!$O$7&lt;=$A21,-'01_数值调参'!$O$43,0),IF('01_数值调参'!$P$7&lt;=$A21,-'01_数值调参'!$P$43,0),IF('01_数值调参'!$Q$7&lt;=$A21,-'01_数值调参'!$Q$43,0),IF('01_数值调参'!$R$7&lt;=$A21,-'01_数值调参'!$R$43,0)),0),IF($A21&gt;=4,(D21+$C$3)*MAX(0,IF('01_数值调参'!$S$7&lt;=$A21,-'01_数值调参'!$S$43,0),IF('01_数值调参'!$T$7&lt;=$A21,-'01_数值调参'!$T$43,0),IF('01_数值调参'!$U$7&lt;=$A21,-'01_数值调参'!$U$43,0),IF('01_数值调参'!$V$7&lt;=$A21,-'01_数值调参'!$V$43,0),IF('01_数值调参'!$W$7&lt;=$A21,-'01_数值调参'!$W$43,0)),0),IF($A21&gt;=6,(E21+$C$3)*MAX(0,IF('01_数值调参'!$X$7&lt;=$A21,-'01_数值调参'!$X$43,0),IF('01_数值调参'!$Y$7&lt;=$A21,-'01_数值调参'!$Y$43,0),IF('01_数值调参'!$Z$7&lt;=$A21,-'01_数值调参'!$Z$43,0),IF('01_数值调参'!$AA$7&lt;=$A21,-'01_数值调参'!$AA$43,0),IF('01_数值调参'!$AB$7&lt;=$A21,-'01_数值调参'!$AB$43,0),IF('01_数值调参'!$AC$7&lt;=$A21,-'01_数值调参'!$AC$43,0)),0),IF($A21&gt;=8,(F21+$C$3)*MAX(0,IF('01_数值调参'!$AD$7&lt;=$A21,0,0),IF('01_数值调参'!$AE$7&lt;=$A21,-'01_数值调参'!$AE$43,0),IF('01_数值调参'!$AF$7&lt;=$A21,-'01_数值调参'!$AF$43,0),IF('01_数值调参'!$AG$7&lt;=$A21,-'01_数值调参'!$AG$43,0)),0),IF($A21&gt;=10,(G21+$C$3)*MAX(0,IF('01_数值调参'!$AH$7&lt;=$A21,-'01_数值调参'!$AH$43,0),IF('01_数值调参'!$AI$7&lt;=$A21,-'01_数值调参'!$AI$43,0),IF('01_数值调参'!$AJ$7&lt;=$A21,-'01_数值调参'!$AJ$43,0),IF('01_数值调参'!$AK$7&lt;=$A21,-'01_数值调参'!$AK$43,0),IF('01_数值调参'!$AL$7&lt;=$A21,-'01_数值调参'!$AL$43,0),IF('01_数值调参'!$AM$7&lt;=$A21,-'01_数值调参'!$AM$43,0)),0),0)),"队列待修正"))</x:f>
        <x:v>3</x:v>
      </x:c>
      <x:c r="AH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E$7,"—",SUM(IF($A21&gt;=2,(C21+$C$3)*MAX(0,IF('01_数值调参'!$N$7&lt;=$A21,-'01_数值调参'!$N$44,0),IF('01_数值调参'!$O$7&lt;=$A21,-'01_数值调参'!$O$44,0),IF('01_数值调参'!$P$7&lt;=$A21,-'01_数值调参'!$P$44,0),IF('01_数值调参'!$Q$7&lt;=$A21,-'01_数值调参'!$Q$44,0),IF('01_数值调参'!$R$7&lt;=$A21,-'01_数值调参'!$R$44,0)),0),IF($A21&gt;=4,(D21+$C$3)*MAX(0,IF('01_数值调参'!$S$7&lt;=$A21,-'01_数值调参'!$S$44,0),IF('01_数值调参'!$T$7&lt;=$A21,-'01_数值调参'!$T$44,0),IF('01_数值调参'!$U$7&lt;=$A21,-'01_数值调参'!$U$44,0),IF('01_数值调参'!$V$7&lt;=$A21,-'01_数值调参'!$V$44,0),IF('01_数值调参'!$W$7&lt;=$A21,-'01_数值调参'!$W$44,0)),0),IF($A21&gt;=6,(E21+$C$3)*MAX(0,IF('01_数值调参'!$X$7&lt;=$A21,-'01_数值调参'!$X$44,0),IF('01_数值调参'!$Y$7&lt;=$A21,-'01_数值调参'!$Y$44,0),IF('01_数值调参'!$Z$7&lt;=$A21,-'01_数值调参'!$Z$44,0),IF('01_数值调参'!$AA$7&lt;=$A21,-'01_数值调参'!$AA$44,0),IF('01_数值调参'!$AB$7&lt;=$A21,-'01_数值调参'!$AB$44,0),IF('01_数值调参'!$AC$7&lt;=$A21,-'01_数值调参'!$AC$44,0)),0),IF($A21&gt;=8,(F21+$C$3)*MAX(0,IF('01_数值调参'!$AD$7&lt;=$A21,-'01_数值调参'!$AD$44,0),IF('01_数值调参'!$AE$7&lt;=$A21,0,0),IF('01_数值调参'!$AF$7&lt;=$A21,-'01_数值调参'!$AF$44,0),IF('01_数值调参'!$AG$7&lt;=$A21,-'01_数值调参'!$AG$44,0)),0),IF($A21&gt;=10,(G21+$C$3)*MAX(0,IF('01_数值调参'!$AH$7&lt;=$A21,-'01_数值调参'!$AH$44,0),IF('01_数值调参'!$AI$7&lt;=$A21,-'01_数值调参'!$AI$44,0),IF('01_数值调参'!$AJ$7&lt;=$A21,-'01_数值调参'!$AJ$44,0),IF('01_数值调参'!$AK$7&lt;=$A21,-'01_数值调参'!$AK$44,0),IF('01_数值调参'!$AL$7&lt;=$A21,-'01_数值调参'!$AL$44,0),IF('01_数值调参'!$AM$7&lt;=$A21,-'01_数值调参'!$AM$44,0)),0),0)),"队列待修正"))</x:f>
        <x:v>3</x:v>
      </x:c>
      <x:c r="AI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F$7,"—",SUM(IF($A21&gt;=2,(C21+$C$3)*MAX(0,IF('01_数值调参'!$N$7&lt;=$A21,-'01_数值调参'!$N$45,0),IF('01_数值调参'!$O$7&lt;=$A21,-'01_数值调参'!$O$45,0),IF('01_数值调参'!$P$7&lt;=$A21,-'01_数值调参'!$P$45,0),IF('01_数值调参'!$Q$7&lt;=$A21,-'01_数值调参'!$Q$45,0),IF('01_数值调参'!$R$7&lt;=$A21,-'01_数值调参'!$R$45,0)),0),IF($A21&gt;=4,(D21+$C$3)*MAX(0,IF('01_数值调参'!$S$7&lt;=$A21,-'01_数值调参'!$S$45,0),IF('01_数值调参'!$T$7&lt;=$A21,-'01_数值调参'!$T$45,0),IF('01_数值调参'!$U$7&lt;=$A21,-'01_数值调参'!$U$45,0),IF('01_数值调参'!$V$7&lt;=$A21,-'01_数值调参'!$V$45,0),IF('01_数值调参'!$W$7&lt;=$A21,-'01_数值调参'!$W$45,0)),0),IF($A21&gt;=6,(E21+$C$3)*MAX(0,IF('01_数值调参'!$X$7&lt;=$A21,-'01_数值调参'!$X$45,0),IF('01_数值调参'!$Y$7&lt;=$A21,-'01_数值调参'!$Y$45,0),IF('01_数值调参'!$Z$7&lt;=$A21,-'01_数值调参'!$Z$45,0),IF('01_数值调参'!$AA$7&lt;=$A21,-'01_数值调参'!$AA$45,0),IF('01_数值调参'!$AB$7&lt;=$A21,-'01_数值调参'!$AB$45,0),IF('01_数值调参'!$AC$7&lt;=$A21,-'01_数值调参'!$AC$45,0)),0),IF($A21&gt;=8,(F21+$C$3)*MAX(0,IF('01_数值调参'!$AD$7&lt;=$A21,-'01_数值调参'!$AD$45,0),IF('01_数值调参'!$AE$7&lt;=$A21,-'01_数值调参'!$AE$45,0),IF('01_数值调参'!$AF$7&lt;=$A21,0,0),IF('01_数值调参'!$AG$7&lt;=$A21,-'01_数值调参'!$AG$45,0)),0),IF($A21&gt;=10,(G21+$C$3)*MAX(0,IF('01_数值调参'!$AH$7&lt;=$A21,-'01_数值调参'!$AH$45,0),IF('01_数值调参'!$AI$7&lt;=$A21,-'01_数值调参'!$AI$45,0),IF('01_数值调参'!$AJ$7&lt;=$A21,-'01_数值调参'!$AJ$45,0),IF('01_数值调参'!$AK$7&lt;=$A21,-'01_数值调参'!$AK$45,0),IF('01_数值调参'!$AL$7&lt;=$A21,-'01_数值调参'!$AL$45,0),IF('01_数值调参'!$AM$7&lt;=$A21,-'01_数值调参'!$AM$45,0)),0),0)),"队列待修正"))</x:f>
        <x:v>0</x:v>
      </x:c>
      <x:c r="AJ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G$7,"—",SUM(IF($A21&gt;=2,(C21+$C$3)*MAX(0,IF('01_数值调参'!$N$7&lt;=$A21,-'01_数值调参'!$N$46,0),IF('01_数值调参'!$O$7&lt;=$A21,-'01_数值调参'!$O$46,0),IF('01_数值调参'!$P$7&lt;=$A21,-'01_数值调参'!$P$46,0),IF('01_数值调参'!$Q$7&lt;=$A21,-'01_数值调参'!$Q$46,0),IF('01_数值调参'!$R$7&lt;=$A21,-'01_数值调参'!$R$46,0)),0),IF($A21&gt;=4,(D21+$C$3)*MAX(0,IF('01_数值调参'!$S$7&lt;=$A21,-'01_数值调参'!$S$46,0),IF('01_数值调参'!$T$7&lt;=$A21,-'01_数值调参'!$T$46,0),IF('01_数值调参'!$U$7&lt;=$A21,-'01_数值调参'!$U$46,0),IF('01_数值调参'!$V$7&lt;=$A21,-'01_数值调参'!$V$46,0),IF('01_数值调参'!$W$7&lt;=$A21,-'01_数值调参'!$W$46,0)),0),IF($A21&gt;=6,(E21+$C$3)*MAX(0,IF('01_数值调参'!$X$7&lt;=$A21,-'01_数值调参'!$X$46,0),IF('01_数值调参'!$Y$7&lt;=$A21,-'01_数值调参'!$Y$46,0),IF('01_数值调参'!$Z$7&lt;=$A21,-'01_数值调参'!$Z$46,0),IF('01_数值调参'!$AA$7&lt;=$A21,-'01_数值调参'!$AA$46,0),IF('01_数值调参'!$AB$7&lt;=$A21,-'01_数值调参'!$AB$46,0),IF('01_数值调参'!$AC$7&lt;=$A21,-'01_数值调参'!$AC$46,0)),0),IF($A21&gt;=8,(F21+$C$3)*MAX(0,IF('01_数值调参'!$AD$7&lt;=$A21,-'01_数值调参'!$AD$46,0),IF('01_数值调参'!$AE$7&lt;=$A21,-'01_数值调参'!$AE$46,0),IF('01_数值调参'!$AF$7&lt;=$A21,-'01_数值调参'!$AF$46,0),IF('01_数值调参'!$AG$7&lt;=$A21,0,0)),0),IF($A21&gt;=10,(G21+$C$3)*MAX(0,IF('01_数值调参'!$AH$7&lt;=$A21,-'01_数值调参'!$AH$46,0),IF('01_数值调参'!$AI$7&lt;=$A21,-'01_数值调参'!$AI$46,0),IF('01_数值调参'!$AJ$7&lt;=$A21,-'01_数值调参'!$AJ$46,0),IF('01_数值调参'!$AK$7&lt;=$A21,-'01_数值调参'!$AK$46,0),IF('01_数值调参'!$AL$7&lt;=$A21,-'01_数值调参'!$AL$46,0),IF('01_数值调参'!$AM$7&lt;=$A21,-'01_数值调参'!$AM$46,0)),0),0)),"队列待修正"))</x:f>
        <x:v>—</x:v>
      </x:c>
      <x:c r="AK21" s="191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H$7,"—",SUM(IF($A21&gt;=2,(C21+$C$3)*MAX(0,IF('01_数值调参'!$N$7&lt;=$A21,-'01_数值调参'!$N$47,0),IF('01_数值调参'!$O$7&lt;=$A21,-'01_数值调参'!$O$47,0),IF('01_数值调参'!$P$7&lt;=$A21,-'01_数值调参'!$P$47,0),IF('01_数值调参'!$Q$7&lt;=$A21,-'01_数值调参'!$Q$47,0),IF('01_数值调参'!$R$7&lt;=$A21,-'01_数值调参'!$R$47,0)),0),IF($A21&gt;=4,(D21+$C$3)*MAX(0,IF('01_数值调参'!$S$7&lt;=$A21,-'01_数值调参'!$S$47,0),IF('01_数值调参'!$T$7&lt;=$A21,-'01_数值调参'!$T$47,0),IF('01_数值调参'!$U$7&lt;=$A21,-'01_数值调参'!$U$47,0),IF('01_数值调参'!$V$7&lt;=$A21,-'01_数值调参'!$V$47,0),IF('01_数值调参'!$W$7&lt;=$A21,-'01_数值调参'!$W$47,0)),0),IF($A21&gt;=6,(E21+$C$3)*MAX(0,IF('01_数值调参'!$X$7&lt;=$A21,-'01_数值调参'!$X$47,0),IF('01_数值调参'!$Y$7&lt;=$A21,-'01_数值调参'!$Y$47,0),IF('01_数值调参'!$Z$7&lt;=$A21,-'01_数值调参'!$Z$47,0),IF('01_数值调参'!$AA$7&lt;=$A21,-'01_数值调参'!$AA$47,0),IF('01_数值调参'!$AB$7&lt;=$A21,-'01_数值调参'!$AB$47,0),IF('01_数值调参'!$AC$7&lt;=$A21,-'01_数值调参'!$AC$47,0)),0),IF($A21&gt;=8,(F21+$C$3)*MAX(0,IF('01_数值调参'!$AD$7&lt;=$A21,-'01_数值调参'!$AD$47,0),IF('01_数值调参'!$AE$7&lt;=$A21,-'01_数值调参'!$AE$47,0),IF('01_数值调参'!$AF$7&lt;=$A21,-'01_数值调参'!$AF$47,0),IF('01_数值调参'!$AG$7&lt;=$A21,-'01_数值调参'!$AG$47,0)),0),IF($A21&gt;=10,(G21+$C$3)*MAX(0,IF('01_数值调参'!$AH$7&lt;=$A21,0,0),IF('01_数值调参'!$AI$7&lt;=$A21,-'01_数值调参'!$AI$47,0),IF('01_数值调参'!$AJ$7&lt;=$A21,-'01_数值调参'!$AJ$47,0),IF('01_数值调参'!$AK$7&lt;=$A21,-'01_数值调参'!$AK$47,0),IF('01_数值调参'!$AL$7&lt;=$A21,-'01_数值调参'!$AL$47,0),IF('01_数值调参'!$AM$7&lt;=$A21,-'01_数值调参'!$AM$47,0)),0),0)),"队列待修正"))</x:f>
        <x:v>0</x:v>
      </x:c>
      <x:c r="AL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I$7,"—",SUM(IF($A21&gt;=2,(C21+$C$3)*MAX(0,IF('01_数值调参'!$N$7&lt;=$A21,-'01_数值调参'!$N$48,0),IF('01_数值调参'!$O$7&lt;=$A21,-'01_数值调参'!$O$48,0),IF('01_数值调参'!$P$7&lt;=$A21,-'01_数值调参'!$P$48,0),IF('01_数值调参'!$Q$7&lt;=$A21,-'01_数值调参'!$Q$48,0),IF('01_数值调参'!$R$7&lt;=$A21,-'01_数值调参'!$R$48,0)),0),IF($A21&gt;=4,(D21+$C$3)*MAX(0,IF('01_数值调参'!$S$7&lt;=$A21,-'01_数值调参'!$S$48,0),IF('01_数值调参'!$T$7&lt;=$A21,-'01_数值调参'!$T$48,0),IF('01_数值调参'!$U$7&lt;=$A21,-'01_数值调参'!$U$48,0),IF('01_数值调参'!$V$7&lt;=$A21,-'01_数值调参'!$V$48,0),IF('01_数值调参'!$W$7&lt;=$A21,-'01_数值调参'!$W$48,0)),0),IF($A21&gt;=6,(E21+$C$3)*MAX(0,IF('01_数值调参'!$X$7&lt;=$A21,-'01_数值调参'!$X$48,0),IF('01_数值调参'!$Y$7&lt;=$A21,-'01_数值调参'!$Y$48,0),IF('01_数值调参'!$Z$7&lt;=$A21,-'01_数值调参'!$Z$48,0),IF('01_数值调参'!$AA$7&lt;=$A21,-'01_数值调参'!$AA$48,0),IF('01_数值调参'!$AB$7&lt;=$A21,-'01_数值调参'!$AB$48,0),IF('01_数值调参'!$AC$7&lt;=$A21,-'01_数值调参'!$AC$48,0)),0),IF($A21&gt;=8,(F21+$C$3)*MAX(0,IF('01_数值调参'!$AD$7&lt;=$A21,-'01_数值调参'!$AD$48,0),IF('01_数值调参'!$AE$7&lt;=$A21,-'01_数值调参'!$AE$48,0),IF('01_数值调参'!$AF$7&lt;=$A21,-'01_数值调参'!$AF$48,0),IF('01_数值调参'!$AG$7&lt;=$A21,-'01_数值调参'!$AG$48,0)),0),IF($A21&gt;=10,(G21+$C$3)*MAX(0,IF('01_数值调参'!$AH$7&lt;=$A21,-'01_数值调参'!$AH$48,0),IF('01_数值调参'!$AI$7&lt;=$A21,0,0),IF('01_数值调参'!$AJ$7&lt;=$A21,-'01_数值调参'!$AJ$48,0),IF('01_数值调参'!$AK$7&lt;=$A21,-'01_数值调参'!$AK$48,0),IF('01_数值调参'!$AL$7&lt;=$A21,-'01_数值调参'!$AL$48,0),IF('01_数值调参'!$AM$7&lt;=$A21,-'01_数值调参'!$AM$48,0)),0),0)),"队列待修正"))</x:f>
        <x:v>0</x:v>
      </x:c>
      <x:c r="AM21" s="179" t="n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J$7,"—",SUM(IF($A21&gt;=2,(C21+$C$3)*MAX(0,IF('01_数值调参'!$N$7&lt;=$A21,-'01_数值调参'!$N$49,0),IF('01_数值调参'!$O$7&lt;=$A21,-'01_数值调参'!$O$49,0),IF('01_数值调参'!$P$7&lt;=$A21,-'01_数值调参'!$P$49,0),IF('01_数值调参'!$Q$7&lt;=$A21,-'01_数值调参'!$Q$49,0),IF('01_数值调参'!$R$7&lt;=$A21,-'01_数值调参'!$R$49,0)),0),IF($A21&gt;=4,(D21+$C$3)*MAX(0,IF('01_数值调参'!$S$7&lt;=$A21,-'01_数值调参'!$S$49,0),IF('01_数值调参'!$T$7&lt;=$A21,-'01_数值调参'!$T$49,0),IF('01_数值调参'!$U$7&lt;=$A21,-'01_数值调参'!$U$49,0),IF('01_数值调参'!$V$7&lt;=$A21,-'01_数值调参'!$V$49,0),IF('01_数值调参'!$W$7&lt;=$A21,-'01_数值调参'!$W$49,0)),0),IF($A21&gt;=6,(E21+$C$3)*MAX(0,IF('01_数值调参'!$X$7&lt;=$A21,-'01_数值调参'!$X$49,0),IF('01_数值调参'!$Y$7&lt;=$A21,-'01_数值调参'!$Y$49,0),IF('01_数值调参'!$Z$7&lt;=$A21,-'01_数值调参'!$Z$49,0),IF('01_数值调参'!$AA$7&lt;=$A21,-'01_数值调参'!$AA$49,0),IF('01_数值调参'!$AB$7&lt;=$A21,-'01_数值调参'!$AB$49,0),IF('01_数值调参'!$AC$7&lt;=$A21,-'01_数值调参'!$AC$49,0)),0),IF($A21&gt;=8,(F21+$C$3)*MAX(0,IF('01_数值调参'!$AD$7&lt;=$A21,-'01_数值调参'!$AD$49,0),IF('01_数值调参'!$AE$7&lt;=$A21,-'01_数值调参'!$AE$49,0),IF('01_数值调参'!$AF$7&lt;=$A21,-'01_数值调参'!$AF$49,0),IF('01_数值调参'!$AG$7&lt;=$A21,-'01_数值调参'!$AG$49,0)),0),IF($A21&gt;=10,(G21+$C$3)*MAX(0,IF('01_数值调参'!$AH$7&lt;=$A21,-'01_数值调参'!$AH$49,0),IF('01_数值调参'!$AI$7&lt;=$A21,-'01_数值调参'!$AI$49,0),IF('01_数值调参'!$AJ$7&lt;=$A21,0,0),IF('01_数值调参'!$AK$7&lt;=$A21,-'01_数值调参'!$AK$49,0),IF('01_数值调参'!$AL$7&lt;=$A21,-'01_数值调参'!$AL$49,0),IF('01_数值调参'!$AM$7&lt;=$A21,-'01_数值调参'!$AM$49,0)),0),0)),"队列待修正"))</x:f>
        <x:v>0</x:v>
      </x:c>
      <x:c r="AN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K$7,"—",SUM(IF($A21&gt;=2,(C21+$C$3)*MAX(0,IF('01_数值调参'!$N$7&lt;=$A21,-'01_数值调参'!$N$50,0),IF('01_数值调参'!$O$7&lt;=$A21,-'01_数值调参'!$O$50,0),IF('01_数值调参'!$P$7&lt;=$A21,-'01_数值调参'!$P$50,0),IF('01_数值调参'!$Q$7&lt;=$A21,-'01_数值调参'!$Q$50,0),IF('01_数值调参'!$R$7&lt;=$A21,-'01_数值调参'!$R$50,0)),0),IF($A21&gt;=4,(D21+$C$3)*MAX(0,IF('01_数值调参'!$S$7&lt;=$A21,-'01_数值调参'!$S$50,0),IF('01_数值调参'!$T$7&lt;=$A21,-'01_数值调参'!$T$50,0),IF('01_数值调参'!$U$7&lt;=$A21,-'01_数值调参'!$U$50,0),IF('01_数值调参'!$V$7&lt;=$A21,-'01_数值调参'!$V$50,0),IF('01_数值调参'!$W$7&lt;=$A21,-'01_数值调参'!$W$50,0)),0),IF($A21&gt;=6,(E21+$C$3)*MAX(0,IF('01_数值调参'!$X$7&lt;=$A21,-'01_数值调参'!$X$50,0),IF('01_数值调参'!$Y$7&lt;=$A21,-'01_数值调参'!$Y$50,0),IF('01_数值调参'!$Z$7&lt;=$A21,-'01_数值调参'!$Z$50,0),IF('01_数值调参'!$AA$7&lt;=$A21,-'01_数值调参'!$AA$50,0),IF('01_数值调参'!$AB$7&lt;=$A21,-'01_数值调参'!$AB$50,0),IF('01_数值调参'!$AC$7&lt;=$A21,-'01_数值调参'!$AC$50,0)),0),IF($A21&gt;=8,(F21+$C$3)*MAX(0,IF('01_数值调参'!$AD$7&lt;=$A21,-'01_数值调参'!$AD$50,0),IF('01_数值调参'!$AE$7&lt;=$A21,-'01_数值调参'!$AE$50,0),IF('01_数值调参'!$AF$7&lt;=$A21,-'01_数值调参'!$AF$50,0),IF('01_数值调参'!$AG$7&lt;=$A21,-'01_数值调参'!$AG$50,0)),0),IF($A21&gt;=10,(G21+$C$3)*MAX(0,IF('01_数值调参'!$AH$7&lt;=$A21,-'01_数值调参'!$AH$50,0),IF('01_数值调参'!$AI$7&lt;=$A21,-'01_数值调参'!$AI$50,0),IF('01_数值调参'!$AJ$7&lt;=$A21,-'01_数值调参'!$AJ$50,0),IF('01_数值调参'!$AK$7&lt;=$A21,0,0),IF('01_数值调参'!$AL$7&lt;=$A21,-'01_数值调参'!$AL$50,0),IF('01_数值调参'!$AM$7&lt;=$A21,-'01_数值调参'!$AM$50,0)),0),0)),"队列待修正"))</x:f>
        <x:v>—</x:v>
      </x:c>
      <x:c r="AO21" s="179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L$7,"—",SUM(IF($A21&gt;=2,(C21+$C$3)*MAX(0,IF('01_数值调参'!$N$7&lt;=$A21,-'01_数值调参'!$N$51,0),IF('01_数值调参'!$O$7&lt;=$A21,-'01_数值调参'!$O$51,0),IF('01_数值调参'!$P$7&lt;=$A21,-'01_数值调参'!$P$51,0),IF('01_数值调参'!$Q$7&lt;=$A21,-'01_数值调参'!$Q$51,0),IF('01_数值调参'!$R$7&lt;=$A21,-'01_数值调参'!$R$51,0)),0),IF($A21&gt;=4,(D21+$C$3)*MAX(0,IF('01_数值调参'!$S$7&lt;=$A21,-'01_数值调参'!$S$51,0),IF('01_数值调参'!$T$7&lt;=$A21,-'01_数值调参'!$T$51,0),IF('01_数值调参'!$U$7&lt;=$A21,-'01_数值调参'!$U$51,0),IF('01_数值调参'!$V$7&lt;=$A21,-'01_数值调参'!$V$51,0),IF('01_数值调参'!$W$7&lt;=$A21,-'01_数值调参'!$W$51,0)),0),IF($A21&gt;=6,(E21+$C$3)*MAX(0,IF('01_数值调参'!$X$7&lt;=$A21,-'01_数值调参'!$X$51,0),IF('01_数值调参'!$Y$7&lt;=$A21,-'01_数值调参'!$Y$51,0),IF('01_数值调参'!$Z$7&lt;=$A21,-'01_数值调参'!$Z$51,0),IF('01_数值调参'!$AA$7&lt;=$A21,-'01_数值调参'!$AA$51,0),IF('01_数值调参'!$AB$7&lt;=$A21,-'01_数值调参'!$AB$51,0),IF('01_数值调参'!$AC$7&lt;=$A21,-'01_数值调参'!$AC$51,0)),0),IF($A21&gt;=8,(F21+$C$3)*MAX(0,IF('01_数值调参'!$AD$7&lt;=$A21,-'01_数值调参'!$AD$51,0),IF('01_数值调参'!$AE$7&lt;=$A21,-'01_数值调参'!$AE$51,0),IF('01_数值调参'!$AF$7&lt;=$A21,-'01_数值调参'!$AF$51,0),IF('01_数值调参'!$AG$7&lt;=$A21,-'01_数值调参'!$AG$51,0)),0),IF($A21&gt;=10,(G21+$C$3)*MAX(0,IF('01_数值调参'!$AH$7&lt;=$A21,-'01_数值调参'!$AH$51,0),IF('01_数值调参'!$AI$7&lt;=$A21,-'01_数值调参'!$AI$51,0),IF('01_数值调参'!$AJ$7&lt;=$A21,-'01_数值调参'!$AJ$51,0),IF('01_数值调参'!$AK$7&lt;=$A21,-'01_数值调参'!$AK$51,0),IF('01_数值调参'!$AL$7&lt;=$A21,0,0),IF('01_数值调参'!$AM$7&lt;=$A21,-'01_数值调参'!$AM$51,0)),0),0)),"队列待修正"))</x:f>
        <x:v>—</x:v>
      </x:c>
      <x:c r="AP21" s="180" t="str">
        <x:f>IF('01_数值调参'!$D$3&lt;&gt;"配方有效","待修正",IF(AND(OR($C$3=0,$C$3=1),ISNUMBER(C21),C21&gt;=0,MOD(C21,1)=0,ISNUMBER(D21),D21&gt;=0,MOD(D21,1)=0,ISNUMBER(E21),E21&gt;=0,MOD(E21,1)=0,ISNUMBER(F21),F21&gt;=0,MOD(F21,1)=0,ISNUMBER(G21),G21&gt;=0,MOD(G21,1)=0,TRUE),IF($A21&lt;'01_数值调参'!$AM$7,"—",SUM(IF($A21&gt;=2,(C21+$C$3)*MAX(0,IF('01_数值调参'!$N$7&lt;=$A21,-'01_数值调参'!$N$52,0),IF('01_数值调参'!$O$7&lt;=$A21,-'01_数值调参'!$O$52,0),IF('01_数值调参'!$P$7&lt;=$A21,-'01_数值调参'!$P$52,0),IF('01_数值调参'!$Q$7&lt;=$A21,-'01_数值调参'!$Q$52,0),IF('01_数值调参'!$R$7&lt;=$A21,-'01_数值调参'!$R$52,0)),0),IF($A21&gt;=4,(D21+$C$3)*MAX(0,IF('01_数值调参'!$S$7&lt;=$A21,-'01_数值调参'!$S$52,0),IF('01_数值调参'!$T$7&lt;=$A21,-'01_数值调参'!$T$52,0),IF('01_数值调参'!$U$7&lt;=$A21,-'01_数值调参'!$U$52,0),IF('01_数值调参'!$V$7&lt;=$A21,-'01_数值调参'!$V$52,0),IF('01_数值调参'!$W$7&lt;=$A21,-'01_数值调参'!$W$52,0)),0),IF($A21&gt;=6,(E21+$C$3)*MAX(0,IF('01_数值调参'!$X$7&lt;=$A21,-'01_数值调参'!$X$52,0),IF('01_数值调参'!$Y$7&lt;=$A21,-'01_数值调参'!$Y$52,0),IF('01_数值调参'!$Z$7&lt;=$A21,-'01_数值调参'!$Z$52,0),IF('01_数值调参'!$AA$7&lt;=$A21,-'01_数值调参'!$AA$52,0),IF('01_数值调参'!$AB$7&lt;=$A21,-'01_数值调参'!$AB$52,0),IF('01_数值调参'!$AC$7&lt;=$A21,-'01_数值调参'!$AC$52,0)),0),IF($A21&gt;=8,(F21+$C$3)*MAX(0,IF('01_数值调参'!$AD$7&lt;=$A21,-'01_数值调参'!$AD$52,0),IF('01_数值调参'!$AE$7&lt;=$A21,-'01_数值调参'!$AE$52,0),IF('01_数值调参'!$AF$7&lt;=$A21,-'01_数值调参'!$AF$52,0),IF('01_数值调参'!$AG$7&lt;=$A21,-'01_数值调参'!$AG$52,0)),0),IF($A21&gt;=10,(G21+$C$3)*MAX(0,IF('01_数值调参'!$AH$7&lt;=$A21,-'01_数值调参'!$AH$52,0),IF('01_数值调参'!$AI$7&lt;=$A21,-'01_数值调参'!$AI$52,0),IF('01_数值调参'!$AJ$7&lt;=$A21,-'01_数值调参'!$AJ$52,0),IF('01_数值调参'!$AK$7&lt;=$A21,-'01_数值调参'!$AK$52,0),IF('01_数值调参'!$AL$7&lt;=$A21,-'01_数值调参'!$AL$52,0),IF('01_数值调参'!$AM$7&lt;=$A21,0,0)),0),0)),"队列待修正"))</x:f>
        <x:v>—</x:v>
      </x:c>
    </x:row>
    <x:row r="22" ht="25" customHeight="1">
      <x:c r="A22" s="213" t="n">
        <x:v>16</x:v>
      </x:c>
      <x:c r="B22" s="214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SUM(IF($A22&gt;=2,(C22+$C$3)*MAX(0,IF('01_数值调参'!$N$7&lt;=$A22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22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22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22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22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22&gt;=4,(D22+$C$3)*MAX(0,IF('01_数值调参'!$S$7&lt;=$A22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22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22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22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22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22&gt;=6,(E22+$C$3)*MAX(0,IF('01_数值调参'!$X$7&lt;=$A22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22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22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22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22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22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22&gt;=8,(F22+$C$3)*MAX(0,IF('01_数值调参'!$AD$7&lt;=$A22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22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22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22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22&gt;=10,(G22+$C$3)*MAX(0,IF('01_数值调参'!$AH$7&lt;=$A22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22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22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22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22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22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54</x:v>
      </x:c>
      <x:c r="C22" s="215" t="n">
        <x:v>2</x:v>
      </x:c>
      <x:c r="D22" s="215" t="n">
        <x:v>2</x:v>
      </x:c>
      <x:c r="E22" s="215" t="n">
        <x:v>2</x:v>
      </x:c>
      <x:c r="F22" s="215" t="n">
        <x:v>2</x:v>
      </x:c>
      <x:c r="G22" s="215" t="n">
        <x:v>2</x:v>
      </x:c>
      <x:c r="H22" s="216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E$7,"—",SUM(IF($A22&gt;=2,(C22+$C$3)*MAX(0,IF('01_数值调参'!$N$7&lt;=$A22,-'01_数值调参'!$N$18,0),IF('01_数值调参'!$O$7&lt;=$A22,-'01_数值调参'!$O$18,0),IF('01_数值调参'!$P$7&lt;=$A22,-'01_数值调参'!$P$18,0),IF('01_数值调参'!$Q$7&lt;=$A22,-'01_数值调参'!$Q$18,0),IF('01_数值调参'!$R$7&lt;=$A22,-'01_数值调参'!$R$18,0)),0),IF($A22&gt;=4,(D22+$C$3)*MAX(0,IF('01_数值调参'!$S$7&lt;=$A22,-'01_数值调参'!$S$18,0),IF('01_数值调参'!$T$7&lt;=$A22,-'01_数值调参'!$T$18,0),IF('01_数值调参'!$U$7&lt;=$A22,-'01_数值调参'!$U$18,0),IF('01_数值调参'!$V$7&lt;=$A22,-'01_数值调参'!$V$18,0),IF('01_数值调参'!$W$7&lt;=$A22,-'01_数值调参'!$W$18,0)),0),IF($A22&gt;=6,(E22+$C$3)*MAX(0,IF('01_数值调参'!$X$7&lt;=$A22,-'01_数值调参'!$X$18,0),IF('01_数值调参'!$Y$7&lt;=$A22,-'01_数值调参'!$Y$18,0),IF('01_数值调参'!$Z$7&lt;=$A22,-'01_数值调参'!$Z$18,0),IF('01_数值调参'!$AA$7&lt;=$A22,-'01_数值调参'!$AA$18,0),IF('01_数值调参'!$AB$7&lt;=$A22,-'01_数值调参'!$AB$18,0),IF('01_数值调参'!$AC$7&lt;=$A22,-'01_数值调参'!$AC$18,0)),0),IF($A22&gt;=8,(F22+$C$3)*MAX(0,IF('01_数值调参'!$AD$7&lt;=$A22,-'01_数值调参'!$AD$18,0),IF('01_数值调参'!$AE$7&lt;=$A22,-'01_数值调参'!$AE$18,0),IF('01_数值调参'!$AF$7&lt;=$A22,-'01_数值调参'!$AF$18,0),IF('01_数值调参'!$AG$7&lt;=$A22,-'01_数值调参'!$AG$18,0)),0),IF($A22&gt;=10,(G22+$C$3)*MAX(0,IF('01_数值调参'!$AH$7&lt;=$A22,-'01_数值调参'!$AH$18,0),IF('01_数值调参'!$AI$7&lt;=$A22,-'01_数值调参'!$AI$18,0),IF('01_数值调参'!$AJ$7&lt;=$A22,-'01_数值调参'!$AJ$18,0),IF('01_数值调参'!$AK$7&lt;=$A22,-'01_数值调参'!$AK$18,0),IF('01_数值调参'!$AL$7&lt;=$A22,-'01_数值调参'!$AL$18,0),IF('01_数值调参'!$AM$7&lt;=$A22,-'01_数值调参'!$AM$18,0)),0),0)),"队列待修正"))</x:f>
        <x:v>12</x:v>
      </x:c>
      <x:c r="I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F$7,"—",SUM(IF($A22&gt;=2,(C22+$C$3)*MAX(0,IF('01_数值调参'!$N$7&lt;=$A22,-'01_数值调参'!$N$19,0),IF('01_数值调参'!$O$7&lt;=$A22,-'01_数值调参'!$O$19,0),IF('01_数值调参'!$P$7&lt;=$A22,-'01_数值调参'!$P$19,0),IF('01_数值调参'!$Q$7&lt;=$A22,-'01_数值调参'!$Q$19,0),IF('01_数值调参'!$R$7&lt;=$A22,-'01_数值调参'!$R$19,0)),0),IF($A22&gt;=4,(D22+$C$3)*MAX(0,IF('01_数值调参'!$S$7&lt;=$A22,-'01_数值调参'!$S$19,0),IF('01_数值调参'!$T$7&lt;=$A22,-'01_数值调参'!$T$19,0),IF('01_数值调参'!$U$7&lt;=$A22,-'01_数值调参'!$U$19,0),IF('01_数值调参'!$V$7&lt;=$A22,-'01_数值调参'!$V$19,0),IF('01_数值调参'!$W$7&lt;=$A22,-'01_数值调参'!$W$19,0)),0),IF($A22&gt;=6,(E22+$C$3)*MAX(0,IF('01_数值调参'!$X$7&lt;=$A22,-'01_数值调参'!$X$19,0),IF('01_数值调参'!$Y$7&lt;=$A22,-'01_数值调参'!$Y$19,0),IF('01_数值调参'!$Z$7&lt;=$A22,-'01_数值调参'!$Z$19,0),IF('01_数值调参'!$AA$7&lt;=$A22,-'01_数值调参'!$AA$19,0),IF('01_数值调参'!$AB$7&lt;=$A22,-'01_数值调参'!$AB$19,0),IF('01_数值调参'!$AC$7&lt;=$A22,-'01_数值调参'!$AC$19,0)),0),IF($A22&gt;=8,(F22+$C$3)*MAX(0,IF('01_数值调参'!$AD$7&lt;=$A22,-'01_数值调参'!$AD$19,0),IF('01_数值调参'!$AE$7&lt;=$A22,-'01_数值调参'!$AE$19,0),IF('01_数值调参'!$AF$7&lt;=$A22,-'01_数值调参'!$AF$19,0),IF('01_数值调参'!$AG$7&lt;=$A22,-'01_数值调参'!$AG$19,0)),0),IF($A22&gt;=10,(G22+$C$3)*MAX(0,IF('01_数值调参'!$AH$7&lt;=$A22,-'01_数值调参'!$AH$19,0),IF('01_数值调参'!$AI$7&lt;=$A22,-'01_数值调参'!$AI$19,0),IF('01_数值调参'!$AJ$7&lt;=$A22,-'01_数值调参'!$AJ$19,0),IF('01_数值调参'!$AK$7&lt;=$A22,-'01_数值调参'!$AK$19,0),IF('01_数值调参'!$AL$7&lt;=$A22,-'01_数值调参'!$AL$19,0),IF('01_数值调参'!$AM$7&lt;=$A22,-'01_数值调参'!$AM$19,0)),0),0)),"队列待修正"))</x:f>
        <x:v>12</x:v>
      </x:c>
      <x:c r="J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G$7,"—",SUM(IF($A22&gt;=2,(C22+$C$3)*MAX(0,IF('01_数值调参'!$N$7&lt;=$A22,-'01_数值调参'!$N$20,0),IF('01_数值调参'!$O$7&lt;=$A22,-'01_数值调参'!$O$20,0),IF('01_数值调参'!$P$7&lt;=$A22,-'01_数值调参'!$P$20,0),IF('01_数值调参'!$Q$7&lt;=$A22,-'01_数值调参'!$Q$20,0),IF('01_数值调参'!$R$7&lt;=$A22,-'01_数值调参'!$R$20,0)),0),IF($A22&gt;=4,(D22+$C$3)*MAX(0,IF('01_数值调参'!$S$7&lt;=$A22,-'01_数值调参'!$S$20,0),IF('01_数值调参'!$T$7&lt;=$A22,-'01_数值调参'!$T$20,0),IF('01_数值调参'!$U$7&lt;=$A22,-'01_数值调参'!$U$20,0),IF('01_数值调参'!$V$7&lt;=$A22,-'01_数值调参'!$V$20,0),IF('01_数值调参'!$W$7&lt;=$A22,-'01_数值调参'!$W$20,0)),0),IF($A22&gt;=6,(E22+$C$3)*MAX(0,IF('01_数值调参'!$X$7&lt;=$A22,-'01_数值调参'!$X$20,0),IF('01_数值调参'!$Y$7&lt;=$A22,-'01_数值调参'!$Y$20,0),IF('01_数值调参'!$Z$7&lt;=$A22,-'01_数值调参'!$Z$20,0),IF('01_数值调参'!$AA$7&lt;=$A22,-'01_数值调参'!$AA$20,0),IF('01_数值调参'!$AB$7&lt;=$A22,-'01_数值调参'!$AB$20,0),IF('01_数值调参'!$AC$7&lt;=$A22,-'01_数值调参'!$AC$20,0)),0),IF($A22&gt;=8,(F22+$C$3)*MAX(0,IF('01_数值调参'!$AD$7&lt;=$A22,-'01_数值调参'!$AD$20,0),IF('01_数值调参'!$AE$7&lt;=$A22,-'01_数值调参'!$AE$20,0),IF('01_数值调参'!$AF$7&lt;=$A22,-'01_数值调参'!$AF$20,0),IF('01_数值调参'!$AG$7&lt;=$A22,-'01_数值调参'!$AG$20,0)),0),IF($A22&gt;=10,(G22+$C$3)*MAX(0,IF('01_数值调参'!$AH$7&lt;=$A22,-'01_数值调参'!$AH$20,0),IF('01_数值调参'!$AI$7&lt;=$A22,-'01_数值调参'!$AI$20,0),IF('01_数值调参'!$AJ$7&lt;=$A22,-'01_数值调参'!$AJ$20,0),IF('01_数值调参'!$AK$7&lt;=$A22,-'01_数值调参'!$AK$20,0),IF('01_数值调参'!$AL$7&lt;=$A22,-'01_数值调参'!$AL$20,0),IF('01_数值调参'!$AM$7&lt;=$A22,-'01_数值调参'!$AM$20,0)),0),0)),"队列待修正"))</x:f>
        <x:v>12</x:v>
      </x:c>
      <x:c r="K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H$7,"—",SUM(IF($A22&gt;=2,(C22+$C$3)*MAX(0,IF('01_数值调参'!$N$7&lt;=$A22,-'01_数值调参'!$N$21,0),IF('01_数值调参'!$O$7&lt;=$A22,-'01_数值调参'!$O$21,0),IF('01_数值调参'!$P$7&lt;=$A22,-'01_数值调参'!$P$21,0),IF('01_数值调参'!$Q$7&lt;=$A22,-'01_数值调参'!$Q$21,0),IF('01_数值调参'!$R$7&lt;=$A22,-'01_数值调参'!$R$21,0)),0),IF($A22&gt;=4,(D22+$C$3)*MAX(0,IF('01_数值调参'!$S$7&lt;=$A22,-'01_数值调参'!$S$21,0),IF('01_数值调参'!$T$7&lt;=$A22,-'01_数值调参'!$T$21,0),IF('01_数值调参'!$U$7&lt;=$A22,-'01_数值调参'!$U$21,0),IF('01_数值调参'!$V$7&lt;=$A22,-'01_数值调参'!$V$21,0),IF('01_数值调参'!$W$7&lt;=$A22,-'01_数值调参'!$W$21,0)),0),IF($A22&gt;=6,(E22+$C$3)*MAX(0,IF('01_数值调参'!$X$7&lt;=$A22,-'01_数值调参'!$X$21,0),IF('01_数值调参'!$Y$7&lt;=$A22,-'01_数值调参'!$Y$21,0),IF('01_数值调参'!$Z$7&lt;=$A22,-'01_数值调参'!$Z$21,0),IF('01_数值调参'!$AA$7&lt;=$A22,-'01_数值调参'!$AA$21,0),IF('01_数值调参'!$AB$7&lt;=$A22,-'01_数值调参'!$AB$21,0),IF('01_数值调参'!$AC$7&lt;=$A22,-'01_数值调参'!$AC$21,0)),0),IF($A22&gt;=8,(F22+$C$3)*MAX(0,IF('01_数值调参'!$AD$7&lt;=$A22,-'01_数值调参'!$AD$21,0),IF('01_数值调参'!$AE$7&lt;=$A22,-'01_数值调参'!$AE$21,0),IF('01_数值调参'!$AF$7&lt;=$A22,-'01_数值调参'!$AF$21,0),IF('01_数值调参'!$AG$7&lt;=$A22,-'01_数值调参'!$AG$21,0)),0),IF($A22&gt;=10,(G22+$C$3)*MAX(0,IF('01_数值调参'!$AH$7&lt;=$A22,-'01_数值调参'!$AH$21,0),IF('01_数值调参'!$AI$7&lt;=$A22,-'01_数值调参'!$AI$21,0),IF('01_数值调参'!$AJ$7&lt;=$A22,-'01_数值调参'!$AJ$21,0),IF('01_数值调参'!$AK$7&lt;=$A22,-'01_数值调参'!$AK$21,0),IF('01_数值调参'!$AL$7&lt;=$A22,-'01_数值调参'!$AL$21,0),IF('01_数值调参'!$AM$7&lt;=$A22,-'01_数值调参'!$AM$21,0)),0),0)),"队列待修正"))</x:f>
        <x:v>12</x:v>
      </x:c>
      <x:c r="L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I$7,"—",SUM(IF($A22&gt;=2,(C22+$C$3)*MAX(0,IF('01_数值调参'!$N$7&lt;=$A22,-'01_数值调参'!$N$22,0),IF('01_数值调参'!$O$7&lt;=$A22,-'01_数值调参'!$O$22,0),IF('01_数值调参'!$P$7&lt;=$A22,-'01_数值调参'!$P$22,0),IF('01_数值调参'!$Q$7&lt;=$A22,-'01_数值调参'!$Q$22,0),IF('01_数值调参'!$R$7&lt;=$A22,-'01_数值调参'!$R$22,0)),0),IF($A22&gt;=4,(D22+$C$3)*MAX(0,IF('01_数值调参'!$S$7&lt;=$A22,-'01_数值调参'!$S$22,0),IF('01_数值调参'!$T$7&lt;=$A22,-'01_数值调参'!$T$22,0),IF('01_数值调参'!$U$7&lt;=$A22,-'01_数值调参'!$U$22,0),IF('01_数值调参'!$V$7&lt;=$A22,-'01_数值调参'!$V$22,0),IF('01_数值调参'!$W$7&lt;=$A22,-'01_数值调参'!$W$22,0)),0),IF($A22&gt;=6,(E22+$C$3)*MAX(0,IF('01_数值调参'!$X$7&lt;=$A22,-'01_数值调参'!$X$22,0),IF('01_数值调参'!$Y$7&lt;=$A22,-'01_数值调参'!$Y$22,0),IF('01_数值调参'!$Z$7&lt;=$A22,-'01_数值调参'!$Z$22,0),IF('01_数值调参'!$AA$7&lt;=$A22,-'01_数值调参'!$AA$22,0),IF('01_数值调参'!$AB$7&lt;=$A22,-'01_数值调参'!$AB$22,0),IF('01_数值调参'!$AC$7&lt;=$A22,-'01_数值调参'!$AC$22,0)),0),IF($A22&gt;=8,(F22+$C$3)*MAX(0,IF('01_数值调参'!$AD$7&lt;=$A22,-'01_数值调参'!$AD$22,0),IF('01_数值调参'!$AE$7&lt;=$A22,-'01_数值调参'!$AE$22,0),IF('01_数值调参'!$AF$7&lt;=$A22,-'01_数值调参'!$AF$22,0),IF('01_数值调参'!$AG$7&lt;=$A22,-'01_数值调参'!$AG$22,0)),0),IF($A22&gt;=10,(G22+$C$3)*MAX(0,IF('01_数值调参'!$AH$7&lt;=$A22,-'01_数值调参'!$AH$22,0),IF('01_数值调参'!$AI$7&lt;=$A22,-'01_数值调参'!$AI$22,0),IF('01_数值调参'!$AJ$7&lt;=$A22,-'01_数值调参'!$AJ$22,0),IF('01_数值调参'!$AK$7&lt;=$A22,-'01_数值调参'!$AK$22,0),IF('01_数值调参'!$AL$7&lt;=$A22,-'01_数值调参'!$AL$22,0),IF('01_数值调参'!$AM$7&lt;=$A22,-'01_数值调参'!$AM$22,0)),0),0)),"队列待修正"))</x:f>
        <x:v>12</x:v>
      </x:c>
      <x:c r="M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J$7,"—",SUM(IF($A22&gt;=2,(C22+$C$3)*MAX(0,IF('01_数值调参'!$N$7&lt;=$A22,-'01_数值调参'!$N$23,0),IF('01_数值调参'!$O$7&lt;=$A22,-'01_数值调参'!$O$23,0),IF('01_数值调参'!$P$7&lt;=$A22,-'01_数值调参'!$P$23,0),IF('01_数值调参'!$Q$7&lt;=$A22,-'01_数值调参'!$Q$23,0),IF('01_数值调参'!$R$7&lt;=$A22,-'01_数值调参'!$R$23,0)),0),IF($A22&gt;=4,(D22+$C$3)*MAX(0,IF('01_数值调参'!$S$7&lt;=$A22,-'01_数值调参'!$S$23,0),IF('01_数值调参'!$T$7&lt;=$A22,-'01_数值调参'!$T$23,0),IF('01_数值调参'!$U$7&lt;=$A22,-'01_数值调参'!$U$23,0),IF('01_数值调参'!$V$7&lt;=$A22,-'01_数值调参'!$V$23,0),IF('01_数值调参'!$W$7&lt;=$A22,-'01_数值调参'!$W$23,0)),0),IF($A22&gt;=6,(E22+$C$3)*MAX(0,IF('01_数值调参'!$X$7&lt;=$A22,-'01_数值调参'!$X$23,0),IF('01_数值调参'!$Y$7&lt;=$A22,-'01_数值调参'!$Y$23,0),IF('01_数值调参'!$Z$7&lt;=$A22,-'01_数值调参'!$Z$23,0),IF('01_数值调参'!$AA$7&lt;=$A22,-'01_数值调参'!$AA$23,0),IF('01_数值调参'!$AB$7&lt;=$A22,-'01_数值调参'!$AB$23,0),IF('01_数值调参'!$AC$7&lt;=$A22,-'01_数值调参'!$AC$23,0)),0),IF($A22&gt;=8,(F22+$C$3)*MAX(0,IF('01_数值调参'!$AD$7&lt;=$A22,-'01_数值调参'!$AD$23,0),IF('01_数值调参'!$AE$7&lt;=$A22,-'01_数值调参'!$AE$23,0),IF('01_数值调参'!$AF$7&lt;=$A22,-'01_数值调参'!$AF$23,0),IF('01_数值调参'!$AG$7&lt;=$A22,-'01_数值调参'!$AG$23,0)),0),IF($A22&gt;=10,(G22+$C$3)*MAX(0,IF('01_数值调参'!$AH$7&lt;=$A22,-'01_数值调参'!$AH$23,0),IF('01_数值调参'!$AI$7&lt;=$A22,-'01_数值调参'!$AI$23,0),IF('01_数值调参'!$AJ$7&lt;=$A22,-'01_数值调参'!$AJ$23,0),IF('01_数值调参'!$AK$7&lt;=$A22,-'01_数值调参'!$AK$23,0),IF('01_数值调参'!$AL$7&lt;=$A22,-'01_数值调参'!$AL$23,0),IF('01_数值调参'!$AM$7&lt;=$A22,-'01_数值调参'!$AM$23,0)),0),0)),"队列待修正"))</x:f>
        <x:v>15</x:v>
      </x:c>
      <x:c r="N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K$7,"—",SUM(IF($A22&gt;=2,(C22+$C$3)*MAX(0,IF('01_数值调参'!$N$7&lt;=$A22,-'01_数值调参'!$N$24,0),IF('01_数值调参'!$O$7&lt;=$A22,-'01_数值调参'!$O$24,0),IF('01_数值调参'!$P$7&lt;=$A22,-'01_数值调参'!$P$24,0),IF('01_数值调参'!$Q$7&lt;=$A22,-'01_数值调参'!$Q$24,0),IF('01_数值调参'!$R$7&lt;=$A22,-'01_数值调参'!$R$24,0)),0),IF($A22&gt;=4,(D22+$C$3)*MAX(0,IF('01_数值调参'!$S$7&lt;=$A22,-'01_数值调参'!$S$24,0),IF('01_数值调参'!$T$7&lt;=$A22,-'01_数值调参'!$T$24,0),IF('01_数值调参'!$U$7&lt;=$A22,-'01_数值调参'!$U$24,0),IF('01_数值调参'!$V$7&lt;=$A22,-'01_数值调参'!$V$24,0),IF('01_数值调参'!$W$7&lt;=$A22,-'01_数值调参'!$W$24,0)),0),IF($A22&gt;=6,(E22+$C$3)*MAX(0,IF('01_数值调参'!$X$7&lt;=$A22,-'01_数值调参'!$X$24,0),IF('01_数值调参'!$Y$7&lt;=$A22,-'01_数值调参'!$Y$24,0),IF('01_数值调参'!$Z$7&lt;=$A22,-'01_数值调参'!$Z$24,0),IF('01_数值调参'!$AA$7&lt;=$A22,-'01_数值调参'!$AA$24,0),IF('01_数值调参'!$AB$7&lt;=$A22,-'01_数值调参'!$AB$24,0),IF('01_数值调参'!$AC$7&lt;=$A22,-'01_数值调参'!$AC$24,0)),0),IF($A22&gt;=8,(F22+$C$3)*MAX(0,IF('01_数值调参'!$AD$7&lt;=$A22,-'01_数值调参'!$AD$24,0),IF('01_数值调参'!$AE$7&lt;=$A22,-'01_数值调参'!$AE$24,0),IF('01_数值调参'!$AF$7&lt;=$A22,-'01_数值调参'!$AF$24,0),IF('01_数值调参'!$AG$7&lt;=$A22,-'01_数值调参'!$AG$24,0)),0),IF($A22&gt;=10,(G22+$C$3)*MAX(0,IF('01_数值调参'!$AH$7&lt;=$A22,-'01_数值调参'!$AH$24,0),IF('01_数值调参'!$AI$7&lt;=$A22,-'01_数值调参'!$AI$24,0),IF('01_数值调参'!$AJ$7&lt;=$A22,-'01_数值调参'!$AJ$24,0),IF('01_数值调参'!$AK$7&lt;=$A22,-'01_数值调参'!$AK$24,0),IF('01_数值调参'!$AL$7&lt;=$A22,-'01_数值调参'!$AL$24,0),IF('01_数值调参'!$AM$7&lt;=$A22,-'01_数值调参'!$AM$24,0)),0),0)),"队列待修正"))</x:f>
        <x:v>9</x:v>
      </x:c>
      <x:c r="O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L$7,"—",SUM(IF($A22&gt;=2,(C22+$C$3)*MAX(0,IF('01_数值调参'!$N$7&lt;=$A22,-'01_数值调参'!$N$25,0),IF('01_数值调参'!$O$7&lt;=$A22,-'01_数值调参'!$O$25,0),IF('01_数值调参'!$P$7&lt;=$A22,-'01_数值调参'!$P$25,0),IF('01_数值调参'!$Q$7&lt;=$A22,-'01_数值调参'!$Q$25,0),IF('01_数值调参'!$R$7&lt;=$A22,-'01_数值调参'!$R$25,0)),0),IF($A22&gt;=4,(D22+$C$3)*MAX(0,IF('01_数值调参'!$S$7&lt;=$A22,-'01_数值调参'!$S$25,0),IF('01_数值调参'!$T$7&lt;=$A22,-'01_数值调参'!$T$25,0),IF('01_数值调参'!$U$7&lt;=$A22,-'01_数值调参'!$U$25,0),IF('01_数值调参'!$V$7&lt;=$A22,-'01_数值调参'!$V$25,0),IF('01_数值调参'!$W$7&lt;=$A22,-'01_数值调参'!$W$25,0)),0),IF($A22&gt;=6,(E22+$C$3)*MAX(0,IF('01_数值调参'!$X$7&lt;=$A22,-'01_数值调参'!$X$25,0),IF('01_数值调参'!$Y$7&lt;=$A22,-'01_数值调参'!$Y$25,0),IF('01_数值调参'!$Z$7&lt;=$A22,-'01_数值调参'!$Z$25,0),IF('01_数值调参'!$AA$7&lt;=$A22,-'01_数值调参'!$AA$25,0),IF('01_数值调参'!$AB$7&lt;=$A22,-'01_数值调参'!$AB$25,0),IF('01_数值调参'!$AC$7&lt;=$A22,-'01_数值调参'!$AC$25,0)),0),IF($A22&gt;=8,(F22+$C$3)*MAX(0,IF('01_数值调参'!$AD$7&lt;=$A22,-'01_数值调参'!$AD$25,0),IF('01_数值调参'!$AE$7&lt;=$A22,-'01_数值调参'!$AE$25,0),IF('01_数值调参'!$AF$7&lt;=$A22,-'01_数值调参'!$AF$25,0),IF('01_数值调参'!$AG$7&lt;=$A22,-'01_数值调参'!$AG$25,0)),0),IF($A22&gt;=10,(G22+$C$3)*MAX(0,IF('01_数值调参'!$AH$7&lt;=$A22,-'01_数值调参'!$AH$25,0),IF('01_数值调参'!$AI$7&lt;=$A22,-'01_数值调参'!$AI$25,0),IF('01_数值调参'!$AJ$7&lt;=$A22,-'01_数值调参'!$AJ$25,0),IF('01_数值调参'!$AK$7&lt;=$A22,-'01_数值调参'!$AK$25,0),IF('01_数值调参'!$AL$7&lt;=$A22,-'01_数值调参'!$AL$25,0),IF('01_数值调参'!$AM$7&lt;=$A22,-'01_数值调参'!$AM$25,0)),0),0)),"队列待修正"))</x:f>
        <x:v>9</x:v>
      </x:c>
      <x:c r="P22" s="217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M$7,"—",SUM(IF($A22&gt;=2,(C22+$C$3)*MAX(0,IF('01_数值调参'!$N$7&lt;=$A22,-'01_数值调参'!$N$26,0),IF('01_数值调参'!$O$7&lt;=$A22,-'01_数值调参'!$O$26,0),IF('01_数值调参'!$P$7&lt;=$A22,-'01_数值调参'!$P$26,0),IF('01_数值调参'!$Q$7&lt;=$A22,-'01_数值调参'!$Q$26,0),IF('01_数值调参'!$R$7&lt;=$A22,-'01_数值调参'!$R$26,0)),0),IF($A22&gt;=4,(D22+$C$3)*MAX(0,IF('01_数值调参'!$S$7&lt;=$A22,-'01_数值调参'!$S$26,0),IF('01_数值调参'!$T$7&lt;=$A22,-'01_数值调参'!$T$26,0),IF('01_数值调参'!$U$7&lt;=$A22,-'01_数值调参'!$U$26,0),IF('01_数值调参'!$V$7&lt;=$A22,-'01_数值调参'!$V$26,0),IF('01_数值调参'!$W$7&lt;=$A22,-'01_数值调参'!$W$26,0)),0),IF($A22&gt;=6,(E22+$C$3)*MAX(0,IF('01_数值调参'!$X$7&lt;=$A22,-'01_数值调参'!$X$26,0),IF('01_数值调参'!$Y$7&lt;=$A22,-'01_数值调参'!$Y$26,0),IF('01_数值调参'!$Z$7&lt;=$A22,-'01_数值调参'!$Z$26,0),IF('01_数值调参'!$AA$7&lt;=$A22,-'01_数值调参'!$AA$26,0),IF('01_数值调参'!$AB$7&lt;=$A22,-'01_数值调参'!$AB$26,0),IF('01_数值调参'!$AC$7&lt;=$A22,-'01_数值调参'!$AC$26,0)),0),IF($A22&gt;=8,(F22+$C$3)*MAX(0,IF('01_数值调参'!$AD$7&lt;=$A22,-'01_数值调参'!$AD$26,0),IF('01_数值调参'!$AE$7&lt;=$A22,-'01_数值调参'!$AE$26,0),IF('01_数值调参'!$AF$7&lt;=$A22,-'01_数值调参'!$AF$26,0),IF('01_数值调参'!$AG$7&lt;=$A22,-'01_数值调参'!$AG$26,0)),0),IF($A22&gt;=10,(G22+$C$3)*MAX(0,IF('01_数值调参'!$AH$7&lt;=$A22,-'01_数值调参'!$AH$26,0),IF('01_数值调参'!$AI$7&lt;=$A22,-'01_数值调参'!$AI$26,0),IF('01_数值调参'!$AJ$7&lt;=$A22,-'01_数值调参'!$AJ$26,0),IF('01_数值调参'!$AK$7&lt;=$A22,-'01_数值调参'!$AK$26,0),IF('01_数值调参'!$AL$7&lt;=$A22,-'01_数值调参'!$AL$26,0),IF('01_数值调参'!$AM$7&lt;=$A22,-'01_数值调参'!$AM$26,0)),0),0)),"队列待修正"))</x:f>
        <x:v>—</x:v>
      </x:c>
      <x:c r="Q22" s="216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N$7,"—",SUM(IF($A22&gt;=2,(C22+$C$3)*MAX(0,IF('01_数值调参'!$N$7&lt;=$A22,0,0),IF('01_数值调参'!$O$7&lt;=$A22,-'01_数值调参'!$O$27,0),IF('01_数值调参'!$P$7&lt;=$A22,-'01_数值调参'!$P$27,0),IF('01_数值调参'!$Q$7&lt;=$A22,-'01_数值调参'!$Q$27,0),IF('01_数值调参'!$R$7&lt;=$A22,-'01_数值调参'!$R$27,0)),0),IF($A22&gt;=4,(D22+$C$3)*MAX(0,IF('01_数值调参'!$S$7&lt;=$A22,-'01_数值调参'!$S$27,0),IF('01_数值调参'!$T$7&lt;=$A22,-'01_数值调参'!$T$27,0),IF('01_数值调参'!$U$7&lt;=$A22,-'01_数值调参'!$U$27,0),IF('01_数值调参'!$V$7&lt;=$A22,-'01_数值调参'!$V$27,0),IF('01_数值调参'!$W$7&lt;=$A22,-'01_数值调参'!$W$27,0)),0),IF($A22&gt;=6,(E22+$C$3)*MAX(0,IF('01_数值调参'!$X$7&lt;=$A22,-'01_数值调参'!$X$27,0),IF('01_数值调参'!$Y$7&lt;=$A22,-'01_数值调参'!$Y$27,0),IF('01_数值调参'!$Z$7&lt;=$A22,-'01_数值调参'!$Z$27,0),IF('01_数值调参'!$AA$7&lt;=$A22,-'01_数值调参'!$AA$27,0),IF('01_数值调参'!$AB$7&lt;=$A22,-'01_数值调参'!$AB$27,0),IF('01_数值调参'!$AC$7&lt;=$A22,-'01_数值调参'!$AC$27,0)),0),IF($A22&gt;=8,(F22+$C$3)*MAX(0,IF('01_数值调参'!$AD$7&lt;=$A22,-'01_数值调参'!$AD$27,0),IF('01_数值调参'!$AE$7&lt;=$A22,-'01_数值调参'!$AE$27,0),IF('01_数值调参'!$AF$7&lt;=$A22,-'01_数值调参'!$AF$27,0),IF('01_数值调参'!$AG$7&lt;=$A22,-'01_数值调参'!$AG$27,0)),0),IF($A22&gt;=10,(G22+$C$3)*MAX(0,IF('01_数值调参'!$AH$7&lt;=$A22,-'01_数值调参'!$AH$27,0),IF('01_数值调参'!$AI$7&lt;=$A22,-'01_数值调参'!$AI$27,0),IF('01_数值调参'!$AJ$7&lt;=$A22,-'01_数值调参'!$AJ$27,0),IF('01_数值调参'!$AK$7&lt;=$A22,-'01_数值调参'!$AK$27,0),IF('01_数值调参'!$AL$7&lt;=$A22,-'01_数值调参'!$AL$27,0),IF('01_数值调参'!$AM$7&lt;=$A22,-'01_数值调参'!$AM$27,0)),0),0)),"队列待修正"))</x:f>
        <x:v>3</x:v>
      </x:c>
      <x:c r="R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O$7,"—",SUM(IF($A22&gt;=2,(C22+$C$3)*MAX(0,IF('01_数值调参'!$N$7&lt;=$A22,-'01_数值调参'!$N$28,0),IF('01_数值调参'!$O$7&lt;=$A22,0,0),IF('01_数值调参'!$P$7&lt;=$A22,-'01_数值调参'!$P$28,0),IF('01_数值调参'!$Q$7&lt;=$A22,-'01_数值调参'!$Q$28,0),IF('01_数值调参'!$R$7&lt;=$A22,-'01_数值调参'!$R$28,0)),0),IF($A22&gt;=4,(D22+$C$3)*MAX(0,IF('01_数值调参'!$S$7&lt;=$A22,-'01_数值调参'!$S$28,0),IF('01_数值调参'!$T$7&lt;=$A22,-'01_数值调参'!$T$28,0),IF('01_数值调参'!$U$7&lt;=$A22,-'01_数值调参'!$U$28,0),IF('01_数值调参'!$V$7&lt;=$A22,-'01_数值调参'!$V$28,0),IF('01_数值调参'!$W$7&lt;=$A22,-'01_数值调参'!$W$28,0)),0),IF($A22&gt;=6,(E22+$C$3)*MAX(0,IF('01_数值调参'!$X$7&lt;=$A22,-'01_数值调参'!$X$28,0),IF('01_数值调参'!$Y$7&lt;=$A22,-'01_数值调参'!$Y$28,0),IF('01_数值调参'!$Z$7&lt;=$A22,-'01_数值调参'!$Z$28,0),IF('01_数值调参'!$AA$7&lt;=$A22,-'01_数值调参'!$AA$28,0),IF('01_数值调参'!$AB$7&lt;=$A22,-'01_数值调参'!$AB$28,0),IF('01_数值调参'!$AC$7&lt;=$A22,-'01_数值调参'!$AC$28,0)),0),IF($A22&gt;=8,(F22+$C$3)*MAX(0,IF('01_数值调参'!$AD$7&lt;=$A22,-'01_数值调参'!$AD$28,0),IF('01_数值调参'!$AE$7&lt;=$A22,-'01_数值调参'!$AE$28,0),IF('01_数值调参'!$AF$7&lt;=$A22,-'01_数值调参'!$AF$28,0),IF('01_数值调参'!$AG$7&lt;=$A22,-'01_数值调参'!$AG$28,0)),0),IF($A22&gt;=10,(G22+$C$3)*MAX(0,IF('01_数值调参'!$AH$7&lt;=$A22,-'01_数值调参'!$AH$28,0),IF('01_数值调参'!$AI$7&lt;=$A22,-'01_数值调参'!$AI$28,0),IF('01_数值调参'!$AJ$7&lt;=$A22,-'01_数值调参'!$AJ$28,0),IF('01_数值调参'!$AK$7&lt;=$A22,-'01_数值调参'!$AK$28,0),IF('01_数值调参'!$AL$7&lt;=$A22,-'01_数值调参'!$AL$28,0),IF('01_数值调参'!$AM$7&lt;=$A22,-'01_数值调参'!$AM$28,0)),0),0)),"队列待修正"))</x:f>
        <x:v>3</x:v>
      </x:c>
      <x:c r="S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P$7,"—",SUM(IF($A22&gt;=2,(C22+$C$3)*MAX(0,IF('01_数值调参'!$N$7&lt;=$A22,-'01_数值调参'!$N$29,0),IF('01_数值调参'!$O$7&lt;=$A22,-'01_数值调参'!$O$29,0),IF('01_数值调参'!$P$7&lt;=$A22,0,0),IF('01_数值调参'!$Q$7&lt;=$A22,-'01_数值调参'!$Q$29,0),IF('01_数值调参'!$R$7&lt;=$A22,-'01_数值调参'!$R$29,0)),0),IF($A22&gt;=4,(D22+$C$3)*MAX(0,IF('01_数值调参'!$S$7&lt;=$A22,-'01_数值调参'!$S$29,0),IF('01_数值调参'!$T$7&lt;=$A22,-'01_数值调参'!$T$29,0),IF('01_数值调参'!$U$7&lt;=$A22,-'01_数值调参'!$U$29,0),IF('01_数值调参'!$V$7&lt;=$A22,-'01_数值调参'!$V$29,0),IF('01_数值调参'!$W$7&lt;=$A22,-'01_数值调参'!$W$29,0)),0),IF($A22&gt;=6,(E22+$C$3)*MAX(0,IF('01_数值调参'!$X$7&lt;=$A22,-'01_数值调参'!$X$29,0),IF('01_数值调参'!$Y$7&lt;=$A22,-'01_数值调参'!$Y$29,0),IF('01_数值调参'!$Z$7&lt;=$A22,-'01_数值调参'!$Z$29,0),IF('01_数值调参'!$AA$7&lt;=$A22,-'01_数值调参'!$AA$29,0),IF('01_数值调参'!$AB$7&lt;=$A22,-'01_数值调参'!$AB$29,0),IF('01_数值调参'!$AC$7&lt;=$A22,-'01_数值调参'!$AC$29,0)),0),IF($A22&gt;=8,(F22+$C$3)*MAX(0,IF('01_数值调参'!$AD$7&lt;=$A22,-'01_数值调参'!$AD$29,0),IF('01_数值调参'!$AE$7&lt;=$A22,-'01_数值调参'!$AE$29,0),IF('01_数值调参'!$AF$7&lt;=$A22,-'01_数值调参'!$AF$29,0),IF('01_数值调参'!$AG$7&lt;=$A22,-'01_数值调参'!$AG$29,0)),0),IF($A22&gt;=10,(G22+$C$3)*MAX(0,IF('01_数值调参'!$AH$7&lt;=$A22,-'01_数值调参'!$AH$29,0),IF('01_数值调参'!$AI$7&lt;=$A22,-'01_数值调参'!$AI$29,0),IF('01_数值调参'!$AJ$7&lt;=$A22,-'01_数值调参'!$AJ$29,0),IF('01_数值调参'!$AK$7&lt;=$A22,-'01_数值调参'!$AK$29,0),IF('01_数值调参'!$AL$7&lt;=$A22,-'01_数值调参'!$AL$29,0),IF('01_数值调参'!$AM$7&lt;=$A22,-'01_数值调参'!$AM$29,0)),0),0)),"队列待修正"))</x:f>
        <x:v>3</x:v>
      </x:c>
      <x:c r="T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Q$7,"—",SUM(IF($A22&gt;=2,(C22+$C$3)*MAX(0,IF('01_数值调参'!$N$7&lt;=$A22,-'01_数值调参'!$N$30,0),IF('01_数值调参'!$O$7&lt;=$A22,-'01_数值调参'!$O$30,0),IF('01_数值调参'!$P$7&lt;=$A22,-'01_数值调参'!$P$30,0),IF('01_数值调参'!$Q$7&lt;=$A22,0,0),IF('01_数值调参'!$R$7&lt;=$A22,-'01_数值调参'!$R$30,0)),0),IF($A22&gt;=4,(D22+$C$3)*MAX(0,IF('01_数值调参'!$S$7&lt;=$A22,-'01_数值调参'!$S$30,0),IF('01_数值调参'!$T$7&lt;=$A22,-'01_数值调参'!$T$30,0),IF('01_数值调参'!$U$7&lt;=$A22,-'01_数值调参'!$U$30,0),IF('01_数值调参'!$V$7&lt;=$A22,-'01_数值调参'!$V$30,0),IF('01_数值调参'!$W$7&lt;=$A22,-'01_数值调参'!$W$30,0)),0),IF($A22&gt;=6,(E22+$C$3)*MAX(0,IF('01_数值调参'!$X$7&lt;=$A22,-'01_数值调参'!$X$30,0),IF('01_数值调参'!$Y$7&lt;=$A22,-'01_数值调参'!$Y$30,0),IF('01_数值调参'!$Z$7&lt;=$A22,-'01_数值调参'!$Z$30,0),IF('01_数值调参'!$AA$7&lt;=$A22,-'01_数值调参'!$AA$30,0),IF('01_数值调参'!$AB$7&lt;=$A22,-'01_数值调参'!$AB$30,0),IF('01_数值调参'!$AC$7&lt;=$A22,-'01_数值调参'!$AC$30,0)),0),IF($A22&gt;=8,(F22+$C$3)*MAX(0,IF('01_数值调参'!$AD$7&lt;=$A22,-'01_数值调参'!$AD$30,0),IF('01_数值调参'!$AE$7&lt;=$A22,-'01_数值调参'!$AE$30,0),IF('01_数值调参'!$AF$7&lt;=$A22,-'01_数值调参'!$AF$30,0),IF('01_数值调参'!$AG$7&lt;=$A22,-'01_数值调参'!$AG$30,0)),0),IF($A22&gt;=10,(G22+$C$3)*MAX(0,IF('01_数值调参'!$AH$7&lt;=$A22,-'01_数值调参'!$AH$30,0),IF('01_数值调参'!$AI$7&lt;=$A22,-'01_数值调参'!$AI$30,0),IF('01_数值调参'!$AJ$7&lt;=$A22,-'01_数值调参'!$AJ$30,0),IF('01_数值调参'!$AK$7&lt;=$A22,-'01_数值调参'!$AK$30,0),IF('01_数值调参'!$AL$7&lt;=$A22,-'01_数值调参'!$AL$30,0),IF('01_数值调参'!$AM$7&lt;=$A22,-'01_数值调参'!$AM$30,0)),0),0)),"队列待修正"))</x:f>
        <x:v>3</x:v>
      </x:c>
      <x:c r="U22" s="217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R$7,"—",SUM(IF($A22&gt;=2,(C22+$C$3)*MAX(0,IF('01_数值调参'!$N$7&lt;=$A22,-'01_数值调参'!$N$31,0),IF('01_数值调参'!$O$7&lt;=$A22,-'01_数值调参'!$O$31,0),IF('01_数值调参'!$P$7&lt;=$A22,-'01_数值调参'!$P$31,0),IF('01_数值调参'!$Q$7&lt;=$A22,-'01_数值调参'!$Q$31,0),IF('01_数值调参'!$R$7&lt;=$A22,0,0)),0),IF($A22&gt;=4,(D22+$C$3)*MAX(0,IF('01_数值调参'!$S$7&lt;=$A22,-'01_数值调参'!$S$31,0),IF('01_数值调参'!$T$7&lt;=$A22,-'01_数值调参'!$T$31,0),IF('01_数值调参'!$U$7&lt;=$A22,-'01_数值调参'!$U$31,0),IF('01_数值调参'!$V$7&lt;=$A22,-'01_数值调参'!$V$31,0),IF('01_数值调参'!$W$7&lt;=$A22,-'01_数值调参'!$W$31,0)),0),IF($A22&gt;=6,(E22+$C$3)*MAX(0,IF('01_数值调参'!$X$7&lt;=$A22,-'01_数值调参'!$X$31,0),IF('01_数值调参'!$Y$7&lt;=$A22,-'01_数值调参'!$Y$31,0),IF('01_数值调参'!$Z$7&lt;=$A22,-'01_数值调参'!$Z$31,0),IF('01_数值调参'!$AA$7&lt;=$A22,-'01_数值调参'!$AA$31,0),IF('01_数值调参'!$AB$7&lt;=$A22,-'01_数值调参'!$AB$31,0),IF('01_数值调参'!$AC$7&lt;=$A22,-'01_数值调参'!$AC$31,0)),0),IF($A22&gt;=8,(F22+$C$3)*MAX(0,IF('01_数值调参'!$AD$7&lt;=$A22,-'01_数值调参'!$AD$31,0),IF('01_数值调参'!$AE$7&lt;=$A22,-'01_数值调参'!$AE$31,0),IF('01_数值调参'!$AF$7&lt;=$A22,-'01_数值调参'!$AF$31,0),IF('01_数值调参'!$AG$7&lt;=$A22,-'01_数值调参'!$AG$31,0)),0),IF($A22&gt;=10,(G22+$C$3)*MAX(0,IF('01_数值调参'!$AH$7&lt;=$A22,-'01_数值调参'!$AH$31,0),IF('01_数值调参'!$AI$7&lt;=$A22,-'01_数值调参'!$AI$31,0),IF('01_数值调参'!$AJ$7&lt;=$A22,-'01_数值调参'!$AJ$31,0),IF('01_数值调参'!$AK$7&lt;=$A22,-'01_数值调参'!$AK$31,0),IF('01_数值调参'!$AL$7&lt;=$A22,-'01_数值调参'!$AL$31,0),IF('01_数值调参'!$AM$7&lt;=$A22,-'01_数值调参'!$AM$31,0)),0),0)),"队列待修正"))</x:f>
        <x:v>—</x:v>
      </x:c>
      <x:c r="V22" s="216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S$7,"—",SUM(IF($A22&gt;=2,(C22+$C$3)*MAX(0,IF('01_数值调参'!$N$7&lt;=$A22,-'01_数值调参'!$N$32,0),IF('01_数值调参'!$O$7&lt;=$A22,-'01_数值调参'!$O$32,0),IF('01_数值调参'!$P$7&lt;=$A22,-'01_数值调参'!$P$32,0),IF('01_数值调参'!$Q$7&lt;=$A22,-'01_数值调参'!$Q$32,0),IF('01_数值调参'!$R$7&lt;=$A22,-'01_数值调参'!$R$32,0)),0),IF($A22&gt;=4,(D22+$C$3)*MAX(0,IF('01_数值调参'!$S$7&lt;=$A22,0,0),IF('01_数值调参'!$T$7&lt;=$A22,-'01_数值调参'!$T$32,0),IF('01_数值调参'!$U$7&lt;=$A22,-'01_数值调参'!$U$32,0),IF('01_数值调参'!$V$7&lt;=$A22,-'01_数值调参'!$V$32,0),IF('01_数值调参'!$W$7&lt;=$A22,-'01_数值调参'!$W$32,0)),0),IF($A22&gt;=6,(E22+$C$3)*MAX(0,IF('01_数值调参'!$X$7&lt;=$A22,-'01_数值调参'!$X$32,0),IF('01_数值调参'!$Y$7&lt;=$A22,-'01_数值调参'!$Y$32,0),IF('01_数值调参'!$Z$7&lt;=$A22,-'01_数值调参'!$Z$32,0),IF('01_数值调参'!$AA$7&lt;=$A22,-'01_数值调参'!$AA$32,0),IF('01_数值调参'!$AB$7&lt;=$A22,-'01_数值调参'!$AB$32,0),IF('01_数值调参'!$AC$7&lt;=$A22,-'01_数值调参'!$AC$32,0)),0),IF($A22&gt;=8,(F22+$C$3)*MAX(0,IF('01_数值调参'!$AD$7&lt;=$A22,-'01_数值调参'!$AD$32,0),IF('01_数值调参'!$AE$7&lt;=$A22,-'01_数值调参'!$AE$32,0),IF('01_数值调参'!$AF$7&lt;=$A22,-'01_数值调参'!$AF$32,0),IF('01_数值调参'!$AG$7&lt;=$A22,-'01_数值调参'!$AG$32,0)),0),IF($A22&gt;=10,(G22+$C$3)*MAX(0,IF('01_数值调参'!$AH$7&lt;=$A22,-'01_数值调参'!$AH$32,0),IF('01_数值调参'!$AI$7&lt;=$A22,-'01_数值调参'!$AI$32,0),IF('01_数值调参'!$AJ$7&lt;=$A22,-'01_数值调参'!$AJ$32,0),IF('01_数值调参'!$AK$7&lt;=$A22,-'01_数值调参'!$AK$32,0),IF('01_数值调参'!$AL$7&lt;=$A22,-'01_数值调参'!$AL$32,0),IF('01_数值调参'!$AM$7&lt;=$A22,-'01_数值调参'!$AM$32,0)),0),0)),"队列待修正"))</x:f>
        <x:v>6</x:v>
      </x:c>
      <x:c r="W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T$7,"—",SUM(IF($A22&gt;=2,(C22+$C$3)*MAX(0,IF('01_数值调参'!$N$7&lt;=$A22,-'01_数值调参'!$N$33,0),IF('01_数值调参'!$O$7&lt;=$A22,-'01_数值调参'!$O$33,0),IF('01_数值调参'!$P$7&lt;=$A22,-'01_数值调参'!$P$33,0),IF('01_数值调参'!$Q$7&lt;=$A22,-'01_数值调参'!$Q$33,0),IF('01_数值调参'!$R$7&lt;=$A22,-'01_数值调参'!$R$33,0)),0),IF($A22&gt;=4,(D22+$C$3)*MAX(0,IF('01_数值调参'!$S$7&lt;=$A22,-'01_数值调参'!$S$33,0),IF('01_数值调参'!$T$7&lt;=$A22,0,0),IF('01_数值调参'!$U$7&lt;=$A22,-'01_数值调参'!$U$33,0),IF('01_数值调参'!$V$7&lt;=$A22,-'01_数值调参'!$V$33,0),IF('01_数值调参'!$W$7&lt;=$A22,-'01_数值调参'!$W$33,0)),0),IF($A22&gt;=6,(E22+$C$3)*MAX(0,IF('01_数值调参'!$X$7&lt;=$A22,-'01_数值调参'!$X$33,0),IF('01_数值调参'!$Y$7&lt;=$A22,-'01_数值调参'!$Y$33,0),IF('01_数值调参'!$Z$7&lt;=$A22,-'01_数值调参'!$Z$33,0),IF('01_数值调参'!$AA$7&lt;=$A22,-'01_数值调参'!$AA$33,0),IF('01_数值调参'!$AB$7&lt;=$A22,-'01_数值调参'!$AB$33,0),IF('01_数值调参'!$AC$7&lt;=$A22,-'01_数值调参'!$AC$33,0)),0),IF($A22&gt;=8,(F22+$C$3)*MAX(0,IF('01_数值调参'!$AD$7&lt;=$A22,-'01_数值调参'!$AD$33,0),IF('01_数值调参'!$AE$7&lt;=$A22,-'01_数值调参'!$AE$33,0),IF('01_数值调参'!$AF$7&lt;=$A22,-'01_数值调参'!$AF$33,0),IF('01_数值调参'!$AG$7&lt;=$A22,-'01_数值调参'!$AG$33,0)),0),IF($A22&gt;=10,(G22+$C$3)*MAX(0,IF('01_数值调参'!$AH$7&lt;=$A22,-'01_数值调参'!$AH$33,0),IF('01_数值调参'!$AI$7&lt;=$A22,-'01_数值调参'!$AI$33,0),IF('01_数值调参'!$AJ$7&lt;=$A22,-'01_数值调参'!$AJ$33,0),IF('01_数值调参'!$AK$7&lt;=$A22,-'01_数值调参'!$AK$33,0),IF('01_数值调参'!$AL$7&lt;=$A22,-'01_数值调参'!$AL$33,0),IF('01_数值调参'!$AM$7&lt;=$A22,-'01_数值调参'!$AM$33,0)),0),0)),"队列待修正"))</x:f>
        <x:v>3</x:v>
      </x:c>
      <x:c r="X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U$7,"—",SUM(IF($A22&gt;=2,(C22+$C$3)*MAX(0,IF('01_数值调参'!$N$7&lt;=$A22,-'01_数值调参'!$N$34,0),IF('01_数值调参'!$O$7&lt;=$A22,-'01_数值调参'!$O$34,0),IF('01_数值调参'!$P$7&lt;=$A22,-'01_数值调参'!$P$34,0),IF('01_数值调参'!$Q$7&lt;=$A22,-'01_数值调参'!$Q$34,0),IF('01_数值调参'!$R$7&lt;=$A22,-'01_数值调参'!$R$34,0)),0),IF($A22&gt;=4,(D22+$C$3)*MAX(0,IF('01_数值调参'!$S$7&lt;=$A22,-'01_数值调参'!$S$34,0),IF('01_数值调参'!$T$7&lt;=$A22,-'01_数值调参'!$T$34,0),IF('01_数值调参'!$U$7&lt;=$A22,0,0),IF('01_数值调参'!$V$7&lt;=$A22,-'01_数值调参'!$V$34,0),IF('01_数值调参'!$W$7&lt;=$A22,-'01_数值调参'!$W$34,0)),0),IF($A22&gt;=6,(E22+$C$3)*MAX(0,IF('01_数值调参'!$X$7&lt;=$A22,-'01_数值调参'!$X$34,0),IF('01_数值调参'!$Y$7&lt;=$A22,-'01_数值调参'!$Y$34,0),IF('01_数值调参'!$Z$7&lt;=$A22,-'01_数值调参'!$Z$34,0),IF('01_数值调参'!$AA$7&lt;=$A22,-'01_数值调参'!$AA$34,0),IF('01_数值调参'!$AB$7&lt;=$A22,-'01_数值调参'!$AB$34,0),IF('01_数值调参'!$AC$7&lt;=$A22,-'01_数值调参'!$AC$34,0)),0),IF($A22&gt;=8,(F22+$C$3)*MAX(0,IF('01_数值调参'!$AD$7&lt;=$A22,-'01_数值调参'!$AD$34,0),IF('01_数值调参'!$AE$7&lt;=$A22,-'01_数值调参'!$AE$34,0),IF('01_数值调参'!$AF$7&lt;=$A22,-'01_数值调参'!$AF$34,0),IF('01_数值调参'!$AG$7&lt;=$A22,-'01_数值调参'!$AG$34,0)),0),IF($A22&gt;=10,(G22+$C$3)*MAX(0,IF('01_数值调参'!$AH$7&lt;=$A22,-'01_数值调参'!$AH$34,0),IF('01_数值调参'!$AI$7&lt;=$A22,-'01_数值调参'!$AI$34,0),IF('01_数值调参'!$AJ$7&lt;=$A22,-'01_数值调参'!$AJ$34,0),IF('01_数值调参'!$AK$7&lt;=$A22,-'01_数值调参'!$AK$34,0),IF('01_数值调参'!$AL$7&lt;=$A22,-'01_数值调参'!$AL$34,0),IF('01_数值调参'!$AM$7&lt;=$A22,-'01_数值调参'!$AM$34,0)),0),0)),"队列待修正"))</x:f>
        <x:v>3</x:v>
      </x:c>
      <x:c r="Y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V$7,"—",SUM(IF($A22&gt;=2,(C22+$C$3)*MAX(0,IF('01_数值调参'!$N$7&lt;=$A22,-'01_数值调参'!$N$35,0),IF('01_数值调参'!$O$7&lt;=$A22,-'01_数值调参'!$O$35,0),IF('01_数值调参'!$P$7&lt;=$A22,-'01_数值调参'!$P$35,0),IF('01_数值调参'!$Q$7&lt;=$A22,-'01_数值调参'!$Q$35,0),IF('01_数值调参'!$R$7&lt;=$A22,-'01_数值调参'!$R$35,0)),0),IF($A22&gt;=4,(D22+$C$3)*MAX(0,IF('01_数值调参'!$S$7&lt;=$A22,-'01_数值调参'!$S$35,0),IF('01_数值调参'!$T$7&lt;=$A22,-'01_数值调参'!$T$35,0),IF('01_数值调参'!$U$7&lt;=$A22,-'01_数值调参'!$U$35,0),IF('01_数值调参'!$V$7&lt;=$A22,0,0),IF('01_数值调参'!$W$7&lt;=$A22,-'01_数值调参'!$W$35,0)),0),IF($A22&gt;=6,(E22+$C$3)*MAX(0,IF('01_数值调参'!$X$7&lt;=$A22,-'01_数值调参'!$X$35,0),IF('01_数值调参'!$Y$7&lt;=$A22,-'01_数值调参'!$Y$35,0),IF('01_数值调参'!$Z$7&lt;=$A22,-'01_数值调参'!$Z$35,0),IF('01_数值调参'!$AA$7&lt;=$A22,-'01_数值调参'!$AA$35,0),IF('01_数值调参'!$AB$7&lt;=$A22,-'01_数值调参'!$AB$35,0),IF('01_数值调参'!$AC$7&lt;=$A22,-'01_数值调参'!$AC$35,0)),0),IF($A22&gt;=8,(F22+$C$3)*MAX(0,IF('01_数值调参'!$AD$7&lt;=$A22,-'01_数值调参'!$AD$35,0),IF('01_数值调参'!$AE$7&lt;=$A22,-'01_数值调参'!$AE$35,0),IF('01_数值调参'!$AF$7&lt;=$A22,-'01_数值调参'!$AF$35,0),IF('01_数值调参'!$AG$7&lt;=$A22,-'01_数值调参'!$AG$35,0)),0),IF($A22&gt;=10,(G22+$C$3)*MAX(0,IF('01_数值调参'!$AH$7&lt;=$A22,-'01_数值调参'!$AH$35,0),IF('01_数值调参'!$AI$7&lt;=$A22,-'01_数值调参'!$AI$35,0),IF('01_数值调参'!$AJ$7&lt;=$A22,-'01_数值调参'!$AJ$35,0),IF('01_数值调参'!$AK$7&lt;=$A22,-'01_数值调参'!$AK$35,0),IF('01_数值调参'!$AL$7&lt;=$A22,-'01_数值调参'!$AL$35,0),IF('01_数值调参'!$AM$7&lt;=$A22,-'01_数值调参'!$AM$35,0)),0),0)),"队列待修正"))</x:f>
        <x:v>0</x:v>
      </x:c>
      <x:c r="Z22" s="217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W$7,"—",SUM(IF($A22&gt;=2,(C22+$C$3)*MAX(0,IF('01_数值调参'!$N$7&lt;=$A22,-'01_数值调参'!$N$36,0),IF('01_数值调参'!$O$7&lt;=$A22,-'01_数值调参'!$O$36,0),IF('01_数值调参'!$P$7&lt;=$A22,-'01_数值调参'!$P$36,0),IF('01_数值调参'!$Q$7&lt;=$A22,-'01_数值调参'!$Q$36,0),IF('01_数值调参'!$R$7&lt;=$A22,-'01_数值调参'!$R$36,0)),0),IF($A22&gt;=4,(D22+$C$3)*MAX(0,IF('01_数值调参'!$S$7&lt;=$A22,-'01_数值调参'!$S$36,0),IF('01_数值调参'!$T$7&lt;=$A22,-'01_数值调参'!$T$36,0),IF('01_数值调参'!$U$7&lt;=$A22,-'01_数值调参'!$U$36,0),IF('01_数值调参'!$V$7&lt;=$A22,-'01_数值调参'!$V$36,0),IF('01_数值调参'!$W$7&lt;=$A22,0,0)),0),IF($A22&gt;=6,(E22+$C$3)*MAX(0,IF('01_数值调参'!$X$7&lt;=$A22,-'01_数值调参'!$X$36,0),IF('01_数值调参'!$Y$7&lt;=$A22,-'01_数值调参'!$Y$36,0),IF('01_数值调参'!$Z$7&lt;=$A22,-'01_数值调参'!$Z$36,0),IF('01_数值调参'!$AA$7&lt;=$A22,-'01_数值调参'!$AA$36,0),IF('01_数值调参'!$AB$7&lt;=$A22,-'01_数值调参'!$AB$36,0),IF('01_数值调参'!$AC$7&lt;=$A22,-'01_数值调参'!$AC$36,0)),0),IF($A22&gt;=8,(F22+$C$3)*MAX(0,IF('01_数值调参'!$AD$7&lt;=$A22,-'01_数值调参'!$AD$36,0),IF('01_数值调参'!$AE$7&lt;=$A22,-'01_数值调参'!$AE$36,0),IF('01_数值调参'!$AF$7&lt;=$A22,-'01_数值调参'!$AF$36,0),IF('01_数值调参'!$AG$7&lt;=$A22,-'01_数值调参'!$AG$36,0)),0),IF($A22&gt;=10,(G22+$C$3)*MAX(0,IF('01_数值调参'!$AH$7&lt;=$A22,-'01_数值调参'!$AH$36,0),IF('01_数值调参'!$AI$7&lt;=$A22,-'01_数值调参'!$AI$36,0),IF('01_数值调参'!$AJ$7&lt;=$A22,-'01_数值调参'!$AJ$36,0),IF('01_数值调参'!$AK$7&lt;=$A22,-'01_数值调参'!$AK$36,0),IF('01_数值调参'!$AL$7&lt;=$A22,-'01_数值调参'!$AL$36,0),IF('01_数值调参'!$AM$7&lt;=$A22,-'01_数值调参'!$AM$36,0)),0),0)),"队列待修正"))</x:f>
        <x:v>—</x:v>
      </x:c>
      <x:c r="AA22" s="216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X$7,"—",SUM(IF($A22&gt;=2,(C22+$C$3)*MAX(0,IF('01_数值调参'!$N$7&lt;=$A22,-'01_数值调参'!$N$37,0),IF('01_数值调参'!$O$7&lt;=$A22,-'01_数值调参'!$O$37,0),IF('01_数值调参'!$P$7&lt;=$A22,-'01_数值调参'!$P$37,0),IF('01_数值调参'!$Q$7&lt;=$A22,-'01_数值调参'!$Q$37,0),IF('01_数值调参'!$R$7&lt;=$A22,-'01_数值调参'!$R$37,0)),0),IF($A22&gt;=4,(D22+$C$3)*MAX(0,IF('01_数值调参'!$S$7&lt;=$A22,-'01_数值调参'!$S$37,0),IF('01_数值调参'!$T$7&lt;=$A22,-'01_数值调参'!$T$37,0),IF('01_数值调参'!$U$7&lt;=$A22,-'01_数值调参'!$U$37,0),IF('01_数值调参'!$V$7&lt;=$A22,-'01_数值调参'!$V$37,0),IF('01_数值调参'!$W$7&lt;=$A22,-'01_数值调参'!$W$37,0)),0),IF($A22&gt;=6,(E22+$C$3)*MAX(0,IF('01_数值调参'!$X$7&lt;=$A22,0,0),IF('01_数值调参'!$Y$7&lt;=$A22,-'01_数值调参'!$Y$37,0),IF('01_数值调参'!$Z$7&lt;=$A22,-'01_数值调参'!$Z$37,0),IF('01_数值调参'!$AA$7&lt;=$A22,-'01_数值调参'!$AA$37,0),IF('01_数值调参'!$AB$7&lt;=$A22,-'01_数值调参'!$AB$37,0),IF('01_数值调参'!$AC$7&lt;=$A22,-'01_数值调参'!$AC$37,0)),0),IF($A22&gt;=8,(F22+$C$3)*MAX(0,IF('01_数值调参'!$AD$7&lt;=$A22,-'01_数值调参'!$AD$37,0),IF('01_数值调参'!$AE$7&lt;=$A22,-'01_数值调参'!$AE$37,0),IF('01_数值调参'!$AF$7&lt;=$A22,-'01_数值调参'!$AF$37,0),IF('01_数值调参'!$AG$7&lt;=$A22,-'01_数值调参'!$AG$37,0)),0),IF($A22&gt;=10,(G22+$C$3)*MAX(0,IF('01_数值调参'!$AH$7&lt;=$A22,-'01_数值调参'!$AH$37,0),IF('01_数值调参'!$AI$7&lt;=$A22,-'01_数值调参'!$AI$37,0),IF('01_数值调参'!$AJ$7&lt;=$A22,-'01_数值调参'!$AJ$37,0),IF('01_数值调参'!$AK$7&lt;=$A22,-'01_数值调参'!$AK$37,0),IF('01_数值调参'!$AL$7&lt;=$A22,-'01_数值调参'!$AL$37,0),IF('01_数值调参'!$AM$7&lt;=$A22,-'01_数值调参'!$AM$37,0)),0),0)),"队列待修正"))</x:f>
        <x:v>0</x:v>
      </x:c>
      <x:c r="AB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Y$7,"—",SUM(IF($A22&gt;=2,(C22+$C$3)*MAX(0,IF('01_数值调参'!$N$7&lt;=$A22,-'01_数值调参'!$N$38,0),IF('01_数值调参'!$O$7&lt;=$A22,-'01_数值调参'!$O$38,0),IF('01_数值调参'!$P$7&lt;=$A22,-'01_数值调参'!$P$38,0),IF('01_数值调参'!$Q$7&lt;=$A22,-'01_数值调参'!$Q$38,0),IF('01_数值调参'!$R$7&lt;=$A22,-'01_数值调参'!$R$38,0)),0),IF($A22&gt;=4,(D22+$C$3)*MAX(0,IF('01_数值调参'!$S$7&lt;=$A22,-'01_数值调参'!$S$38,0),IF('01_数值调参'!$T$7&lt;=$A22,-'01_数值调参'!$T$38,0),IF('01_数值调参'!$U$7&lt;=$A22,-'01_数值调参'!$U$38,0),IF('01_数值调参'!$V$7&lt;=$A22,-'01_数值调参'!$V$38,0),IF('01_数值调参'!$W$7&lt;=$A22,-'01_数值调参'!$W$38,0)),0),IF($A22&gt;=6,(E22+$C$3)*MAX(0,IF('01_数值调参'!$X$7&lt;=$A22,-'01_数值调参'!$X$38,0),IF('01_数值调参'!$Y$7&lt;=$A22,0,0),IF('01_数值调参'!$Z$7&lt;=$A22,-'01_数值调参'!$Z$38,0),IF('01_数值调参'!$AA$7&lt;=$A22,-'01_数值调参'!$AA$38,0),IF('01_数值调参'!$AB$7&lt;=$A22,-'01_数值调参'!$AB$38,0),IF('01_数值调参'!$AC$7&lt;=$A22,-'01_数值调参'!$AC$38,0)),0),IF($A22&gt;=8,(F22+$C$3)*MAX(0,IF('01_数值调参'!$AD$7&lt;=$A22,-'01_数值调参'!$AD$38,0),IF('01_数值调参'!$AE$7&lt;=$A22,-'01_数值调参'!$AE$38,0),IF('01_数值调参'!$AF$7&lt;=$A22,-'01_数值调参'!$AF$38,0),IF('01_数值调参'!$AG$7&lt;=$A22,-'01_数值调参'!$AG$38,0)),0),IF($A22&gt;=10,(G22+$C$3)*MAX(0,IF('01_数值调参'!$AH$7&lt;=$A22,-'01_数值调参'!$AH$38,0),IF('01_数值调参'!$AI$7&lt;=$A22,-'01_数值调参'!$AI$38,0),IF('01_数值调参'!$AJ$7&lt;=$A22,-'01_数值调参'!$AJ$38,0),IF('01_数值调参'!$AK$7&lt;=$A22,-'01_数值调参'!$AK$38,0),IF('01_数值调参'!$AL$7&lt;=$A22,-'01_数值调参'!$AL$38,0),IF('01_数值调参'!$AM$7&lt;=$A22,-'01_数值调参'!$AM$38,0)),0),0)),"队列待修正"))</x:f>
        <x:v>0</x:v>
      </x:c>
      <x:c r="AC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Z$7,"—",SUM(IF($A22&gt;=2,(C22+$C$3)*MAX(0,IF('01_数值调参'!$N$7&lt;=$A22,-'01_数值调参'!$N$39,0),IF('01_数值调参'!$O$7&lt;=$A22,-'01_数值调参'!$O$39,0),IF('01_数值调参'!$P$7&lt;=$A22,-'01_数值调参'!$P$39,0),IF('01_数值调参'!$Q$7&lt;=$A22,-'01_数值调参'!$Q$39,0),IF('01_数值调参'!$R$7&lt;=$A22,-'01_数值调参'!$R$39,0)),0),IF($A22&gt;=4,(D22+$C$3)*MAX(0,IF('01_数值调参'!$S$7&lt;=$A22,-'01_数值调参'!$S$39,0),IF('01_数值调参'!$T$7&lt;=$A22,-'01_数值调参'!$T$39,0),IF('01_数值调参'!$U$7&lt;=$A22,-'01_数值调参'!$U$39,0),IF('01_数值调参'!$V$7&lt;=$A22,-'01_数值调参'!$V$39,0),IF('01_数值调参'!$W$7&lt;=$A22,-'01_数值调参'!$W$39,0)),0),IF($A22&gt;=6,(E22+$C$3)*MAX(0,IF('01_数值调参'!$X$7&lt;=$A22,-'01_数值调参'!$X$39,0),IF('01_数值调参'!$Y$7&lt;=$A22,-'01_数值调参'!$Y$39,0),IF('01_数值调参'!$Z$7&lt;=$A22,0,0),IF('01_数值调参'!$AA$7&lt;=$A22,-'01_数值调参'!$AA$39,0),IF('01_数值调参'!$AB$7&lt;=$A22,-'01_数值调参'!$AB$39,0),IF('01_数值调参'!$AC$7&lt;=$A22,-'01_数值调参'!$AC$39,0)),0),IF($A22&gt;=8,(F22+$C$3)*MAX(0,IF('01_数值调参'!$AD$7&lt;=$A22,-'01_数值调参'!$AD$39,0),IF('01_数值调参'!$AE$7&lt;=$A22,-'01_数值调参'!$AE$39,0),IF('01_数值调参'!$AF$7&lt;=$A22,-'01_数值调参'!$AF$39,0),IF('01_数值调参'!$AG$7&lt;=$A22,-'01_数值调参'!$AG$39,0)),0),IF($A22&gt;=10,(G22+$C$3)*MAX(0,IF('01_数值调参'!$AH$7&lt;=$A22,-'01_数值调参'!$AH$39,0),IF('01_数值调参'!$AI$7&lt;=$A22,-'01_数值调参'!$AI$39,0),IF('01_数值调参'!$AJ$7&lt;=$A22,-'01_数值调参'!$AJ$39,0),IF('01_数值调参'!$AK$7&lt;=$A22,-'01_数值调参'!$AK$39,0),IF('01_数值调参'!$AL$7&lt;=$A22,-'01_数值调参'!$AL$39,0),IF('01_数值调参'!$AM$7&lt;=$A22,-'01_数值调参'!$AM$39,0)),0),0)),"队列待修正"))</x:f>
        <x:v>0</x:v>
      </x:c>
      <x:c r="AD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A$7,"—",SUM(IF($A22&gt;=2,(C22+$C$3)*MAX(0,IF('01_数值调参'!$N$7&lt;=$A22,-'01_数值调参'!$N$40,0),IF('01_数值调参'!$O$7&lt;=$A22,-'01_数值调参'!$O$40,0),IF('01_数值调参'!$P$7&lt;=$A22,-'01_数值调参'!$P$40,0),IF('01_数值调参'!$Q$7&lt;=$A22,-'01_数值调参'!$Q$40,0),IF('01_数值调参'!$R$7&lt;=$A22,-'01_数值调参'!$R$40,0)),0),IF($A22&gt;=4,(D22+$C$3)*MAX(0,IF('01_数值调参'!$S$7&lt;=$A22,-'01_数值调参'!$S$40,0),IF('01_数值调参'!$T$7&lt;=$A22,-'01_数值调参'!$T$40,0),IF('01_数值调参'!$U$7&lt;=$A22,-'01_数值调参'!$U$40,0),IF('01_数值调参'!$V$7&lt;=$A22,-'01_数值调参'!$V$40,0),IF('01_数值调参'!$W$7&lt;=$A22,-'01_数值调参'!$W$40,0)),0),IF($A22&gt;=6,(E22+$C$3)*MAX(0,IF('01_数值调参'!$X$7&lt;=$A22,-'01_数值调参'!$X$40,0),IF('01_数值调参'!$Y$7&lt;=$A22,-'01_数值调参'!$Y$40,0),IF('01_数值调参'!$Z$7&lt;=$A22,-'01_数值调参'!$Z$40,0),IF('01_数值调参'!$AA$7&lt;=$A22,0,0),IF('01_数值调参'!$AB$7&lt;=$A22,-'01_数值调参'!$AB$40,0),IF('01_数值调参'!$AC$7&lt;=$A22,-'01_数值调参'!$AC$40,0)),0),IF($A22&gt;=8,(F22+$C$3)*MAX(0,IF('01_数值调参'!$AD$7&lt;=$A22,-'01_数值调参'!$AD$40,0),IF('01_数值调参'!$AE$7&lt;=$A22,-'01_数值调参'!$AE$40,0),IF('01_数值调参'!$AF$7&lt;=$A22,-'01_数值调参'!$AF$40,0),IF('01_数值调参'!$AG$7&lt;=$A22,-'01_数值调参'!$AG$40,0)),0),IF($A22&gt;=10,(G22+$C$3)*MAX(0,IF('01_数值调参'!$AH$7&lt;=$A22,-'01_数值调参'!$AH$40,0),IF('01_数值调参'!$AI$7&lt;=$A22,-'01_数值调参'!$AI$40,0),IF('01_数值调参'!$AJ$7&lt;=$A22,-'01_数值调参'!$AJ$40,0),IF('01_数值调参'!$AK$7&lt;=$A22,-'01_数值调参'!$AK$40,0),IF('01_数值调参'!$AL$7&lt;=$A22,-'01_数值调参'!$AL$40,0),IF('01_数值调参'!$AM$7&lt;=$A22,-'01_数值调参'!$AM$40,0)),0),0)),"队列待修正"))</x:f>
        <x:v>0</x:v>
      </x:c>
      <x:c r="AE22" s="217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B$7,"—",SUM(IF($A22&gt;=2,(C22+$C$3)*MAX(0,IF('01_数值调参'!$N$7&lt;=$A22,-'01_数值调参'!$N$41,0),IF('01_数值调参'!$O$7&lt;=$A22,-'01_数值调参'!$O$41,0),IF('01_数值调参'!$P$7&lt;=$A22,-'01_数值调参'!$P$41,0),IF('01_数值调参'!$Q$7&lt;=$A22,-'01_数值调参'!$Q$41,0),IF('01_数值调参'!$R$7&lt;=$A22,-'01_数值调参'!$R$41,0)),0),IF($A22&gt;=4,(D22+$C$3)*MAX(0,IF('01_数值调参'!$S$7&lt;=$A22,-'01_数值调参'!$S$41,0),IF('01_数值调参'!$T$7&lt;=$A22,-'01_数值调参'!$T$41,0),IF('01_数值调参'!$U$7&lt;=$A22,-'01_数值调参'!$U$41,0),IF('01_数值调参'!$V$7&lt;=$A22,-'01_数值调参'!$V$41,0),IF('01_数值调参'!$W$7&lt;=$A22,-'01_数值调参'!$W$41,0)),0),IF($A22&gt;=6,(E22+$C$3)*MAX(0,IF('01_数值调参'!$X$7&lt;=$A22,-'01_数值调参'!$X$41,0),IF('01_数值调参'!$Y$7&lt;=$A22,-'01_数值调参'!$Y$41,0),IF('01_数值调参'!$Z$7&lt;=$A22,-'01_数值调参'!$Z$41,0),IF('01_数值调参'!$AA$7&lt;=$A22,-'01_数值调参'!$AA$41,0),IF('01_数值调参'!$AB$7&lt;=$A22,0,0),IF('01_数值调参'!$AC$7&lt;=$A22,-'01_数值调参'!$AC$41,0)),0),IF($A22&gt;=8,(F22+$C$3)*MAX(0,IF('01_数值调参'!$AD$7&lt;=$A22,-'01_数值调参'!$AD$41,0),IF('01_数值调参'!$AE$7&lt;=$A22,-'01_数值调参'!$AE$41,0),IF('01_数值调参'!$AF$7&lt;=$A22,-'01_数值调参'!$AF$41,0),IF('01_数值调参'!$AG$7&lt;=$A22,-'01_数值调参'!$AG$41,0)),0),IF($A22&gt;=10,(G22+$C$3)*MAX(0,IF('01_数值调参'!$AH$7&lt;=$A22,-'01_数值调参'!$AH$41,0),IF('01_数值调参'!$AI$7&lt;=$A22,-'01_数值调参'!$AI$41,0),IF('01_数值调参'!$AJ$7&lt;=$A22,-'01_数值调参'!$AJ$41,0),IF('01_数值调参'!$AK$7&lt;=$A22,-'01_数值调参'!$AK$41,0),IF('01_数值调参'!$AL$7&lt;=$A22,-'01_数值调参'!$AL$41,0),IF('01_数值调参'!$AM$7&lt;=$A22,-'01_数值调参'!$AM$41,0)),0),0)),"队列待修正"))</x:f>
        <x:v>—</x:v>
      </x:c>
      <x:c r="AF22" s="217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C$7,"—",SUM(IF($A22&gt;=2,(C22+$C$3)*MAX(0,IF('01_数值调参'!$N$7&lt;=$A22,-'01_数值调参'!$N$42,0),IF('01_数值调参'!$O$7&lt;=$A22,-'01_数值调参'!$O$42,0),IF('01_数值调参'!$P$7&lt;=$A22,-'01_数值调参'!$P$42,0),IF('01_数值调参'!$Q$7&lt;=$A22,-'01_数值调参'!$Q$42,0),IF('01_数值调参'!$R$7&lt;=$A22,-'01_数值调参'!$R$42,0)),0),IF($A22&gt;=4,(D22+$C$3)*MAX(0,IF('01_数值调参'!$S$7&lt;=$A22,-'01_数值调参'!$S$42,0),IF('01_数值调参'!$T$7&lt;=$A22,-'01_数值调参'!$T$42,0),IF('01_数值调参'!$U$7&lt;=$A22,-'01_数值调参'!$U$42,0),IF('01_数值调参'!$V$7&lt;=$A22,-'01_数值调参'!$V$42,0),IF('01_数值调参'!$W$7&lt;=$A22,-'01_数值调参'!$W$42,0)),0),IF($A22&gt;=6,(E22+$C$3)*MAX(0,IF('01_数值调参'!$X$7&lt;=$A22,-'01_数值调参'!$X$42,0),IF('01_数值调参'!$Y$7&lt;=$A22,-'01_数值调参'!$Y$42,0),IF('01_数值调参'!$Z$7&lt;=$A22,-'01_数值调参'!$Z$42,0),IF('01_数值调参'!$AA$7&lt;=$A22,-'01_数值调参'!$AA$42,0),IF('01_数值调参'!$AB$7&lt;=$A22,-'01_数值调参'!$AB$42,0),IF('01_数值调参'!$AC$7&lt;=$A22,0,0)),0),IF($A22&gt;=8,(F22+$C$3)*MAX(0,IF('01_数值调参'!$AD$7&lt;=$A22,-'01_数值调参'!$AD$42,0),IF('01_数值调参'!$AE$7&lt;=$A22,-'01_数值调参'!$AE$42,0),IF('01_数值调参'!$AF$7&lt;=$A22,-'01_数值调参'!$AF$42,0),IF('01_数值调参'!$AG$7&lt;=$A22,-'01_数值调参'!$AG$42,0)),0),IF($A22&gt;=10,(G22+$C$3)*MAX(0,IF('01_数值调参'!$AH$7&lt;=$A22,-'01_数值调参'!$AH$42,0),IF('01_数值调参'!$AI$7&lt;=$A22,-'01_数值调参'!$AI$42,0),IF('01_数值调参'!$AJ$7&lt;=$A22,-'01_数值调参'!$AJ$42,0),IF('01_数值调参'!$AK$7&lt;=$A22,-'01_数值调参'!$AK$42,0),IF('01_数值调参'!$AL$7&lt;=$A22,-'01_数值调参'!$AL$42,0),IF('01_数值调参'!$AM$7&lt;=$A22,-'01_数值调参'!$AM$42,0)),0),0)),"队列待修正"))</x:f>
        <x:v>—</x:v>
      </x:c>
      <x:c r="AG22" s="216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D$7,"—",SUM(IF($A22&gt;=2,(C22+$C$3)*MAX(0,IF('01_数值调参'!$N$7&lt;=$A22,-'01_数值调参'!$N$43,0),IF('01_数值调参'!$O$7&lt;=$A22,-'01_数值调参'!$O$43,0),IF('01_数值调参'!$P$7&lt;=$A22,-'01_数值调参'!$P$43,0),IF('01_数值调参'!$Q$7&lt;=$A22,-'01_数值调参'!$Q$43,0),IF('01_数值调参'!$R$7&lt;=$A22,-'01_数值调参'!$R$43,0)),0),IF($A22&gt;=4,(D22+$C$3)*MAX(0,IF('01_数值调参'!$S$7&lt;=$A22,-'01_数值调参'!$S$43,0),IF('01_数值调参'!$T$7&lt;=$A22,-'01_数值调参'!$T$43,0),IF('01_数值调参'!$U$7&lt;=$A22,-'01_数值调参'!$U$43,0),IF('01_数值调参'!$V$7&lt;=$A22,-'01_数值调参'!$V$43,0),IF('01_数值调参'!$W$7&lt;=$A22,-'01_数值调参'!$W$43,0)),0),IF($A22&gt;=6,(E22+$C$3)*MAX(0,IF('01_数值调参'!$X$7&lt;=$A22,-'01_数值调参'!$X$43,0),IF('01_数值调参'!$Y$7&lt;=$A22,-'01_数值调参'!$Y$43,0),IF('01_数值调参'!$Z$7&lt;=$A22,-'01_数值调参'!$Z$43,0),IF('01_数值调参'!$AA$7&lt;=$A22,-'01_数值调参'!$AA$43,0),IF('01_数值调参'!$AB$7&lt;=$A22,-'01_数值调参'!$AB$43,0),IF('01_数值调参'!$AC$7&lt;=$A22,-'01_数值调参'!$AC$43,0)),0),IF($A22&gt;=8,(F22+$C$3)*MAX(0,IF('01_数值调参'!$AD$7&lt;=$A22,0,0),IF('01_数值调参'!$AE$7&lt;=$A22,-'01_数值调参'!$AE$43,0),IF('01_数值调参'!$AF$7&lt;=$A22,-'01_数值调参'!$AF$43,0),IF('01_数值调参'!$AG$7&lt;=$A22,-'01_数值调参'!$AG$43,0)),0),IF($A22&gt;=10,(G22+$C$3)*MAX(0,IF('01_数值调参'!$AH$7&lt;=$A22,-'01_数值调参'!$AH$43,0),IF('01_数值调参'!$AI$7&lt;=$A22,-'01_数值调参'!$AI$43,0),IF('01_数值调参'!$AJ$7&lt;=$A22,-'01_数值调参'!$AJ$43,0),IF('01_数值调参'!$AK$7&lt;=$A22,-'01_数值调参'!$AK$43,0),IF('01_数值调参'!$AL$7&lt;=$A22,-'01_数值调参'!$AL$43,0),IF('01_数值调参'!$AM$7&lt;=$A22,-'01_数值调参'!$AM$43,0)),0),0)),"队列待修正"))</x:f>
        <x:v>3</x:v>
      </x:c>
      <x:c r="AH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E$7,"—",SUM(IF($A22&gt;=2,(C22+$C$3)*MAX(0,IF('01_数值调参'!$N$7&lt;=$A22,-'01_数值调参'!$N$44,0),IF('01_数值调参'!$O$7&lt;=$A22,-'01_数值调参'!$O$44,0),IF('01_数值调参'!$P$7&lt;=$A22,-'01_数值调参'!$P$44,0),IF('01_数值调参'!$Q$7&lt;=$A22,-'01_数值调参'!$Q$44,0),IF('01_数值调参'!$R$7&lt;=$A22,-'01_数值调参'!$R$44,0)),0),IF($A22&gt;=4,(D22+$C$3)*MAX(0,IF('01_数值调参'!$S$7&lt;=$A22,-'01_数值调参'!$S$44,0),IF('01_数值调参'!$T$7&lt;=$A22,-'01_数值调参'!$T$44,0),IF('01_数值调参'!$U$7&lt;=$A22,-'01_数值调参'!$U$44,0),IF('01_数值调参'!$V$7&lt;=$A22,-'01_数值调参'!$V$44,0),IF('01_数值调参'!$W$7&lt;=$A22,-'01_数值调参'!$W$44,0)),0),IF($A22&gt;=6,(E22+$C$3)*MAX(0,IF('01_数值调参'!$X$7&lt;=$A22,-'01_数值调参'!$X$44,0),IF('01_数值调参'!$Y$7&lt;=$A22,-'01_数值调参'!$Y$44,0),IF('01_数值调参'!$Z$7&lt;=$A22,-'01_数值调参'!$Z$44,0),IF('01_数值调参'!$AA$7&lt;=$A22,-'01_数值调参'!$AA$44,0),IF('01_数值调参'!$AB$7&lt;=$A22,-'01_数值调参'!$AB$44,0),IF('01_数值调参'!$AC$7&lt;=$A22,-'01_数值调参'!$AC$44,0)),0),IF($A22&gt;=8,(F22+$C$3)*MAX(0,IF('01_数值调参'!$AD$7&lt;=$A22,-'01_数值调参'!$AD$44,0),IF('01_数值调参'!$AE$7&lt;=$A22,0,0),IF('01_数值调参'!$AF$7&lt;=$A22,-'01_数值调参'!$AF$44,0),IF('01_数值调参'!$AG$7&lt;=$A22,-'01_数值调参'!$AG$44,0)),0),IF($A22&gt;=10,(G22+$C$3)*MAX(0,IF('01_数值调参'!$AH$7&lt;=$A22,-'01_数值调参'!$AH$44,0),IF('01_数值调参'!$AI$7&lt;=$A22,-'01_数值调参'!$AI$44,0),IF('01_数值调参'!$AJ$7&lt;=$A22,-'01_数值调参'!$AJ$44,0),IF('01_数值调参'!$AK$7&lt;=$A22,-'01_数值调参'!$AK$44,0),IF('01_数值调参'!$AL$7&lt;=$A22,-'01_数值调参'!$AL$44,0),IF('01_数值调参'!$AM$7&lt;=$A22,-'01_数值调参'!$AM$44,0)),0),0)),"队列待修正"))</x:f>
        <x:v>3</x:v>
      </x:c>
      <x:c r="AI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F$7,"—",SUM(IF($A22&gt;=2,(C22+$C$3)*MAX(0,IF('01_数值调参'!$N$7&lt;=$A22,-'01_数值调参'!$N$45,0),IF('01_数值调参'!$O$7&lt;=$A22,-'01_数值调参'!$O$45,0),IF('01_数值调参'!$P$7&lt;=$A22,-'01_数值调参'!$P$45,0),IF('01_数值调参'!$Q$7&lt;=$A22,-'01_数值调参'!$Q$45,0),IF('01_数值调参'!$R$7&lt;=$A22,-'01_数值调参'!$R$45,0)),0),IF($A22&gt;=4,(D22+$C$3)*MAX(0,IF('01_数值调参'!$S$7&lt;=$A22,-'01_数值调参'!$S$45,0),IF('01_数值调参'!$T$7&lt;=$A22,-'01_数值调参'!$T$45,0),IF('01_数值调参'!$U$7&lt;=$A22,-'01_数值调参'!$U$45,0),IF('01_数值调参'!$V$7&lt;=$A22,-'01_数值调参'!$V$45,0),IF('01_数值调参'!$W$7&lt;=$A22,-'01_数值调参'!$W$45,0)),0),IF($A22&gt;=6,(E22+$C$3)*MAX(0,IF('01_数值调参'!$X$7&lt;=$A22,-'01_数值调参'!$X$45,0),IF('01_数值调参'!$Y$7&lt;=$A22,-'01_数值调参'!$Y$45,0),IF('01_数值调参'!$Z$7&lt;=$A22,-'01_数值调参'!$Z$45,0),IF('01_数值调参'!$AA$7&lt;=$A22,-'01_数值调参'!$AA$45,0),IF('01_数值调参'!$AB$7&lt;=$A22,-'01_数值调参'!$AB$45,0),IF('01_数值调参'!$AC$7&lt;=$A22,-'01_数值调参'!$AC$45,0)),0),IF($A22&gt;=8,(F22+$C$3)*MAX(0,IF('01_数值调参'!$AD$7&lt;=$A22,-'01_数值调参'!$AD$45,0),IF('01_数值调参'!$AE$7&lt;=$A22,-'01_数值调参'!$AE$45,0),IF('01_数值调参'!$AF$7&lt;=$A22,0,0),IF('01_数值调参'!$AG$7&lt;=$A22,-'01_数值调参'!$AG$45,0)),0),IF($A22&gt;=10,(G22+$C$3)*MAX(0,IF('01_数值调参'!$AH$7&lt;=$A22,-'01_数值调参'!$AH$45,0),IF('01_数值调参'!$AI$7&lt;=$A22,-'01_数值调参'!$AI$45,0),IF('01_数值调参'!$AJ$7&lt;=$A22,-'01_数值调参'!$AJ$45,0),IF('01_数值调参'!$AK$7&lt;=$A22,-'01_数值调参'!$AK$45,0),IF('01_数值调参'!$AL$7&lt;=$A22,-'01_数值调参'!$AL$45,0),IF('01_数值调参'!$AM$7&lt;=$A22,-'01_数值调参'!$AM$45,0)),0),0)),"队列待修正"))</x:f>
        <x:v>3</x:v>
      </x:c>
      <x:c r="AJ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G$7,"—",SUM(IF($A22&gt;=2,(C22+$C$3)*MAX(0,IF('01_数值调参'!$N$7&lt;=$A22,-'01_数值调参'!$N$46,0),IF('01_数值调参'!$O$7&lt;=$A22,-'01_数值调参'!$O$46,0),IF('01_数值调参'!$P$7&lt;=$A22,-'01_数值调参'!$P$46,0),IF('01_数值调参'!$Q$7&lt;=$A22,-'01_数值调参'!$Q$46,0),IF('01_数值调参'!$R$7&lt;=$A22,-'01_数值调参'!$R$46,0)),0),IF($A22&gt;=4,(D22+$C$3)*MAX(0,IF('01_数值调参'!$S$7&lt;=$A22,-'01_数值调参'!$S$46,0),IF('01_数值调参'!$T$7&lt;=$A22,-'01_数值调参'!$T$46,0),IF('01_数值调参'!$U$7&lt;=$A22,-'01_数值调参'!$U$46,0),IF('01_数值调参'!$V$7&lt;=$A22,-'01_数值调参'!$V$46,0),IF('01_数值调参'!$W$7&lt;=$A22,-'01_数值调参'!$W$46,0)),0),IF($A22&gt;=6,(E22+$C$3)*MAX(0,IF('01_数值调参'!$X$7&lt;=$A22,-'01_数值调参'!$X$46,0),IF('01_数值调参'!$Y$7&lt;=$A22,-'01_数值调参'!$Y$46,0),IF('01_数值调参'!$Z$7&lt;=$A22,-'01_数值调参'!$Z$46,0),IF('01_数值调参'!$AA$7&lt;=$A22,-'01_数值调参'!$AA$46,0),IF('01_数值调参'!$AB$7&lt;=$A22,-'01_数值调参'!$AB$46,0),IF('01_数值调参'!$AC$7&lt;=$A22,-'01_数值调参'!$AC$46,0)),0),IF($A22&gt;=8,(F22+$C$3)*MAX(0,IF('01_数值调参'!$AD$7&lt;=$A22,-'01_数值调参'!$AD$46,0),IF('01_数值调参'!$AE$7&lt;=$A22,-'01_数值调参'!$AE$46,0),IF('01_数值调参'!$AF$7&lt;=$A22,-'01_数值调参'!$AF$46,0),IF('01_数值调参'!$AG$7&lt;=$A22,0,0)),0),IF($A22&gt;=10,(G22+$C$3)*MAX(0,IF('01_数值调参'!$AH$7&lt;=$A22,-'01_数值调参'!$AH$46,0),IF('01_数值调参'!$AI$7&lt;=$A22,-'01_数值调参'!$AI$46,0),IF('01_数值调参'!$AJ$7&lt;=$A22,-'01_数值调参'!$AJ$46,0),IF('01_数值调参'!$AK$7&lt;=$A22,-'01_数值调参'!$AK$46,0),IF('01_数值调参'!$AL$7&lt;=$A22,-'01_数值调参'!$AL$46,0),IF('01_数值调参'!$AM$7&lt;=$A22,-'01_数值调参'!$AM$46,0)),0),0)),"队列待修正"))</x:f>
        <x:v>0</x:v>
      </x:c>
      <x:c r="AK22" s="216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H$7,"—",SUM(IF($A22&gt;=2,(C22+$C$3)*MAX(0,IF('01_数值调参'!$N$7&lt;=$A22,-'01_数值调参'!$N$47,0),IF('01_数值调参'!$O$7&lt;=$A22,-'01_数值调参'!$O$47,0),IF('01_数值调参'!$P$7&lt;=$A22,-'01_数值调参'!$P$47,0),IF('01_数值调参'!$Q$7&lt;=$A22,-'01_数值调参'!$Q$47,0),IF('01_数值调参'!$R$7&lt;=$A22,-'01_数值调参'!$R$47,0)),0),IF($A22&gt;=4,(D22+$C$3)*MAX(0,IF('01_数值调参'!$S$7&lt;=$A22,-'01_数值调参'!$S$47,0),IF('01_数值调参'!$T$7&lt;=$A22,-'01_数值调参'!$T$47,0),IF('01_数值调参'!$U$7&lt;=$A22,-'01_数值调参'!$U$47,0),IF('01_数值调参'!$V$7&lt;=$A22,-'01_数值调参'!$V$47,0),IF('01_数值调参'!$W$7&lt;=$A22,-'01_数值调参'!$W$47,0)),0),IF($A22&gt;=6,(E22+$C$3)*MAX(0,IF('01_数值调参'!$X$7&lt;=$A22,-'01_数值调参'!$X$47,0),IF('01_数值调参'!$Y$7&lt;=$A22,-'01_数值调参'!$Y$47,0),IF('01_数值调参'!$Z$7&lt;=$A22,-'01_数值调参'!$Z$47,0),IF('01_数值调参'!$AA$7&lt;=$A22,-'01_数值调参'!$AA$47,0),IF('01_数值调参'!$AB$7&lt;=$A22,-'01_数值调参'!$AB$47,0),IF('01_数值调参'!$AC$7&lt;=$A22,-'01_数值调参'!$AC$47,0)),0),IF($A22&gt;=8,(F22+$C$3)*MAX(0,IF('01_数值调参'!$AD$7&lt;=$A22,-'01_数值调参'!$AD$47,0),IF('01_数值调参'!$AE$7&lt;=$A22,-'01_数值调参'!$AE$47,0),IF('01_数值调参'!$AF$7&lt;=$A22,-'01_数值调参'!$AF$47,0),IF('01_数值调参'!$AG$7&lt;=$A22,-'01_数值调参'!$AG$47,0)),0),IF($A22&gt;=10,(G22+$C$3)*MAX(0,IF('01_数值调参'!$AH$7&lt;=$A22,0,0),IF('01_数值调参'!$AI$7&lt;=$A22,-'01_数值调参'!$AI$47,0),IF('01_数值调参'!$AJ$7&lt;=$A22,-'01_数值调参'!$AJ$47,0),IF('01_数值调参'!$AK$7&lt;=$A22,-'01_数值调参'!$AK$47,0),IF('01_数值调参'!$AL$7&lt;=$A22,-'01_数值调参'!$AL$47,0),IF('01_数值调参'!$AM$7&lt;=$A22,-'01_数值调参'!$AM$47,0)),0),0)),"队列待修正"))</x:f>
        <x:v>0</x:v>
      </x:c>
      <x:c r="AL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I$7,"—",SUM(IF($A22&gt;=2,(C22+$C$3)*MAX(0,IF('01_数值调参'!$N$7&lt;=$A22,-'01_数值调参'!$N$48,0),IF('01_数值调参'!$O$7&lt;=$A22,-'01_数值调参'!$O$48,0),IF('01_数值调参'!$P$7&lt;=$A22,-'01_数值调参'!$P$48,0),IF('01_数值调参'!$Q$7&lt;=$A22,-'01_数值调参'!$Q$48,0),IF('01_数值调参'!$R$7&lt;=$A22,-'01_数值调参'!$R$48,0)),0),IF($A22&gt;=4,(D22+$C$3)*MAX(0,IF('01_数值调参'!$S$7&lt;=$A22,-'01_数值调参'!$S$48,0),IF('01_数值调参'!$T$7&lt;=$A22,-'01_数值调参'!$T$48,0),IF('01_数值调参'!$U$7&lt;=$A22,-'01_数值调参'!$U$48,0),IF('01_数值调参'!$V$7&lt;=$A22,-'01_数值调参'!$V$48,0),IF('01_数值调参'!$W$7&lt;=$A22,-'01_数值调参'!$W$48,0)),0),IF($A22&gt;=6,(E22+$C$3)*MAX(0,IF('01_数值调参'!$X$7&lt;=$A22,-'01_数值调参'!$X$48,0),IF('01_数值调参'!$Y$7&lt;=$A22,-'01_数值调参'!$Y$48,0),IF('01_数值调参'!$Z$7&lt;=$A22,-'01_数值调参'!$Z$48,0),IF('01_数值调参'!$AA$7&lt;=$A22,-'01_数值调参'!$AA$48,0),IF('01_数值调参'!$AB$7&lt;=$A22,-'01_数值调参'!$AB$48,0),IF('01_数值调参'!$AC$7&lt;=$A22,-'01_数值调参'!$AC$48,0)),0),IF($A22&gt;=8,(F22+$C$3)*MAX(0,IF('01_数值调参'!$AD$7&lt;=$A22,-'01_数值调参'!$AD$48,0),IF('01_数值调参'!$AE$7&lt;=$A22,-'01_数值调参'!$AE$48,0),IF('01_数值调参'!$AF$7&lt;=$A22,-'01_数值调参'!$AF$48,0),IF('01_数值调参'!$AG$7&lt;=$A22,-'01_数值调参'!$AG$48,0)),0),IF($A22&gt;=10,(G22+$C$3)*MAX(0,IF('01_数值调参'!$AH$7&lt;=$A22,-'01_数值调参'!$AH$48,0),IF('01_数值调参'!$AI$7&lt;=$A22,0,0),IF('01_数值调参'!$AJ$7&lt;=$A22,-'01_数值调参'!$AJ$48,0),IF('01_数值调参'!$AK$7&lt;=$A22,-'01_数值调参'!$AK$48,0),IF('01_数值调参'!$AL$7&lt;=$A22,-'01_数值调参'!$AL$48,0),IF('01_数值调参'!$AM$7&lt;=$A22,-'01_数值调参'!$AM$48,0)),0),0)),"队列待修正"))</x:f>
        <x:v>0</x:v>
      </x:c>
      <x:c r="AM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J$7,"—",SUM(IF($A22&gt;=2,(C22+$C$3)*MAX(0,IF('01_数值调参'!$N$7&lt;=$A22,-'01_数值调参'!$N$49,0),IF('01_数值调参'!$O$7&lt;=$A22,-'01_数值调参'!$O$49,0),IF('01_数值调参'!$P$7&lt;=$A22,-'01_数值调参'!$P$49,0),IF('01_数值调参'!$Q$7&lt;=$A22,-'01_数值调参'!$Q$49,0),IF('01_数值调参'!$R$7&lt;=$A22,-'01_数值调参'!$R$49,0)),0),IF($A22&gt;=4,(D22+$C$3)*MAX(0,IF('01_数值调参'!$S$7&lt;=$A22,-'01_数值调参'!$S$49,0),IF('01_数值调参'!$T$7&lt;=$A22,-'01_数值调参'!$T$49,0),IF('01_数值调参'!$U$7&lt;=$A22,-'01_数值调参'!$U$49,0),IF('01_数值调参'!$V$7&lt;=$A22,-'01_数值调参'!$V$49,0),IF('01_数值调参'!$W$7&lt;=$A22,-'01_数值调参'!$W$49,0)),0),IF($A22&gt;=6,(E22+$C$3)*MAX(0,IF('01_数值调参'!$X$7&lt;=$A22,-'01_数值调参'!$X$49,0),IF('01_数值调参'!$Y$7&lt;=$A22,-'01_数值调参'!$Y$49,0),IF('01_数值调参'!$Z$7&lt;=$A22,-'01_数值调参'!$Z$49,0),IF('01_数值调参'!$AA$7&lt;=$A22,-'01_数值调参'!$AA$49,0),IF('01_数值调参'!$AB$7&lt;=$A22,-'01_数值调参'!$AB$49,0),IF('01_数值调参'!$AC$7&lt;=$A22,-'01_数值调参'!$AC$49,0)),0),IF($A22&gt;=8,(F22+$C$3)*MAX(0,IF('01_数值调参'!$AD$7&lt;=$A22,-'01_数值调参'!$AD$49,0),IF('01_数值调参'!$AE$7&lt;=$A22,-'01_数值调参'!$AE$49,0),IF('01_数值调参'!$AF$7&lt;=$A22,-'01_数值调参'!$AF$49,0),IF('01_数值调参'!$AG$7&lt;=$A22,-'01_数值调参'!$AG$49,0)),0),IF($A22&gt;=10,(G22+$C$3)*MAX(0,IF('01_数值调参'!$AH$7&lt;=$A22,-'01_数值调参'!$AH$49,0),IF('01_数值调参'!$AI$7&lt;=$A22,-'01_数值调参'!$AI$49,0),IF('01_数值调参'!$AJ$7&lt;=$A22,0,0),IF('01_数值调参'!$AK$7&lt;=$A22,-'01_数值调参'!$AK$49,0),IF('01_数值调参'!$AL$7&lt;=$A22,-'01_数值调参'!$AL$49,0),IF('01_数值调参'!$AM$7&lt;=$A22,-'01_数值调参'!$AM$49,0)),0),0)),"队列待修正"))</x:f>
        <x:v>0</x:v>
      </x:c>
      <x:c r="AN22" s="217" t="n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K$7,"—",SUM(IF($A22&gt;=2,(C22+$C$3)*MAX(0,IF('01_数值调参'!$N$7&lt;=$A22,-'01_数值调参'!$N$50,0),IF('01_数值调参'!$O$7&lt;=$A22,-'01_数值调参'!$O$50,0),IF('01_数值调参'!$P$7&lt;=$A22,-'01_数值调参'!$P$50,0),IF('01_数值调参'!$Q$7&lt;=$A22,-'01_数值调参'!$Q$50,0),IF('01_数值调参'!$R$7&lt;=$A22,-'01_数值调参'!$R$50,0)),0),IF($A22&gt;=4,(D22+$C$3)*MAX(0,IF('01_数值调参'!$S$7&lt;=$A22,-'01_数值调参'!$S$50,0),IF('01_数值调参'!$T$7&lt;=$A22,-'01_数值调参'!$T$50,0),IF('01_数值调参'!$U$7&lt;=$A22,-'01_数值调参'!$U$50,0),IF('01_数值调参'!$V$7&lt;=$A22,-'01_数值调参'!$V$50,0),IF('01_数值调参'!$W$7&lt;=$A22,-'01_数值调参'!$W$50,0)),0),IF($A22&gt;=6,(E22+$C$3)*MAX(0,IF('01_数值调参'!$X$7&lt;=$A22,-'01_数值调参'!$X$50,0),IF('01_数值调参'!$Y$7&lt;=$A22,-'01_数值调参'!$Y$50,0),IF('01_数值调参'!$Z$7&lt;=$A22,-'01_数值调参'!$Z$50,0),IF('01_数值调参'!$AA$7&lt;=$A22,-'01_数值调参'!$AA$50,0),IF('01_数值调参'!$AB$7&lt;=$A22,-'01_数值调参'!$AB$50,0),IF('01_数值调参'!$AC$7&lt;=$A22,-'01_数值调参'!$AC$50,0)),0),IF($A22&gt;=8,(F22+$C$3)*MAX(0,IF('01_数值调参'!$AD$7&lt;=$A22,-'01_数值调参'!$AD$50,0),IF('01_数值调参'!$AE$7&lt;=$A22,-'01_数值调参'!$AE$50,0),IF('01_数值调参'!$AF$7&lt;=$A22,-'01_数值调参'!$AF$50,0),IF('01_数值调参'!$AG$7&lt;=$A22,-'01_数值调参'!$AG$50,0)),0),IF($A22&gt;=10,(G22+$C$3)*MAX(0,IF('01_数值调参'!$AH$7&lt;=$A22,-'01_数值调参'!$AH$50,0),IF('01_数值调参'!$AI$7&lt;=$A22,-'01_数值调参'!$AI$50,0),IF('01_数值调参'!$AJ$7&lt;=$A22,-'01_数值调参'!$AJ$50,0),IF('01_数值调参'!$AK$7&lt;=$A22,0,0),IF('01_数值调参'!$AL$7&lt;=$A22,-'01_数值调参'!$AL$50,0),IF('01_数值调参'!$AM$7&lt;=$A22,-'01_数值调参'!$AM$50,0)),0),0)),"队列待修正"))</x:f>
        <x:v>0</x:v>
      </x:c>
      <x:c r="AO22" s="217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L$7,"—",SUM(IF($A22&gt;=2,(C22+$C$3)*MAX(0,IF('01_数值调参'!$N$7&lt;=$A22,-'01_数值调参'!$N$51,0),IF('01_数值调参'!$O$7&lt;=$A22,-'01_数值调参'!$O$51,0),IF('01_数值调参'!$P$7&lt;=$A22,-'01_数值调参'!$P$51,0),IF('01_数值调参'!$Q$7&lt;=$A22,-'01_数值调参'!$Q$51,0),IF('01_数值调参'!$R$7&lt;=$A22,-'01_数值调参'!$R$51,0)),0),IF($A22&gt;=4,(D22+$C$3)*MAX(0,IF('01_数值调参'!$S$7&lt;=$A22,-'01_数值调参'!$S$51,0),IF('01_数值调参'!$T$7&lt;=$A22,-'01_数值调参'!$T$51,0),IF('01_数值调参'!$U$7&lt;=$A22,-'01_数值调参'!$U$51,0),IF('01_数值调参'!$V$7&lt;=$A22,-'01_数值调参'!$V$51,0),IF('01_数值调参'!$W$7&lt;=$A22,-'01_数值调参'!$W$51,0)),0),IF($A22&gt;=6,(E22+$C$3)*MAX(0,IF('01_数值调参'!$X$7&lt;=$A22,-'01_数值调参'!$X$51,0),IF('01_数值调参'!$Y$7&lt;=$A22,-'01_数值调参'!$Y$51,0),IF('01_数值调参'!$Z$7&lt;=$A22,-'01_数值调参'!$Z$51,0),IF('01_数值调参'!$AA$7&lt;=$A22,-'01_数值调参'!$AA$51,0),IF('01_数值调参'!$AB$7&lt;=$A22,-'01_数值调参'!$AB$51,0),IF('01_数值调参'!$AC$7&lt;=$A22,-'01_数值调参'!$AC$51,0)),0),IF($A22&gt;=8,(F22+$C$3)*MAX(0,IF('01_数值调参'!$AD$7&lt;=$A22,-'01_数值调参'!$AD$51,0),IF('01_数值调参'!$AE$7&lt;=$A22,-'01_数值调参'!$AE$51,0),IF('01_数值调参'!$AF$7&lt;=$A22,-'01_数值调参'!$AF$51,0),IF('01_数值调参'!$AG$7&lt;=$A22,-'01_数值调参'!$AG$51,0)),0),IF($A22&gt;=10,(G22+$C$3)*MAX(0,IF('01_数值调参'!$AH$7&lt;=$A22,-'01_数值调参'!$AH$51,0),IF('01_数值调参'!$AI$7&lt;=$A22,-'01_数值调参'!$AI$51,0),IF('01_数值调参'!$AJ$7&lt;=$A22,-'01_数值调参'!$AJ$51,0),IF('01_数值调参'!$AK$7&lt;=$A22,-'01_数值调参'!$AK$51,0),IF('01_数值调参'!$AL$7&lt;=$A22,0,0),IF('01_数值调参'!$AM$7&lt;=$A22,-'01_数值调参'!$AM$51,0)),0),0)),"队列待修正"))</x:f>
        <x:v>—</x:v>
      </x:c>
      <x:c r="AP22" s="218" t="str">
        <x:f>IF('01_数值调参'!$D$3&lt;&gt;"配方有效","待修正",IF(AND(OR($C$3=0,$C$3=1),ISNUMBER(C22),C22&gt;=0,MOD(C22,1)=0,ISNUMBER(D22),D22&gt;=0,MOD(D22,1)=0,ISNUMBER(E22),E22&gt;=0,MOD(E22,1)=0,ISNUMBER(F22),F22&gt;=0,MOD(F22,1)=0,ISNUMBER(G22),G22&gt;=0,MOD(G22,1)=0,TRUE),IF($A22&lt;'01_数值调参'!$AM$7,"—",SUM(IF($A22&gt;=2,(C22+$C$3)*MAX(0,IF('01_数值调参'!$N$7&lt;=$A22,-'01_数值调参'!$N$52,0),IF('01_数值调参'!$O$7&lt;=$A22,-'01_数值调参'!$O$52,0),IF('01_数值调参'!$P$7&lt;=$A22,-'01_数值调参'!$P$52,0),IF('01_数值调参'!$Q$7&lt;=$A22,-'01_数值调参'!$Q$52,0),IF('01_数值调参'!$R$7&lt;=$A22,-'01_数值调参'!$R$52,0)),0),IF($A22&gt;=4,(D22+$C$3)*MAX(0,IF('01_数值调参'!$S$7&lt;=$A22,-'01_数值调参'!$S$52,0),IF('01_数值调参'!$T$7&lt;=$A22,-'01_数值调参'!$T$52,0),IF('01_数值调参'!$U$7&lt;=$A22,-'01_数值调参'!$U$52,0),IF('01_数值调参'!$V$7&lt;=$A22,-'01_数值调参'!$V$52,0),IF('01_数值调参'!$W$7&lt;=$A22,-'01_数值调参'!$W$52,0)),0),IF($A22&gt;=6,(E22+$C$3)*MAX(0,IF('01_数值调参'!$X$7&lt;=$A22,-'01_数值调参'!$X$52,0),IF('01_数值调参'!$Y$7&lt;=$A22,-'01_数值调参'!$Y$52,0),IF('01_数值调参'!$Z$7&lt;=$A22,-'01_数值调参'!$Z$52,0),IF('01_数值调参'!$AA$7&lt;=$A22,-'01_数值调参'!$AA$52,0),IF('01_数值调参'!$AB$7&lt;=$A22,-'01_数值调参'!$AB$52,0),IF('01_数值调参'!$AC$7&lt;=$A22,-'01_数值调参'!$AC$52,0)),0),IF($A22&gt;=8,(F22+$C$3)*MAX(0,IF('01_数值调参'!$AD$7&lt;=$A22,-'01_数值调参'!$AD$52,0),IF('01_数值调参'!$AE$7&lt;=$A22,-'01_数值调参'!$AE$52,0),IF('01_数值调参'!$AF$7&lt;=$A22,-'01_数值调参'!$AF$52,0),IF('01_数值调参'!$AG$7&lt;=$A22,-'01_数值调参'!$AG$52,0)),0),IF($A22&gt;=10,(G22+$C$3)*MAX(0,IF('01_数值调参'!$AH$7&lt;=$A22,-'01_数值调参'!$AH$52,0),IF('01_数值调参'!$AI$7&lt;=$A22,-'01_数值调参'!$AI$52,0),IF('01_数值调参'!$AJ$7&lt;=$A22,-'01_数值调参'!$AJ$52,0),IF('01_数值调参'!$AK$7&lt;=$A22,-'01_数值调参'!$AK$52,0),IF('01_数值调参'!$AL$7&lt;=$A22,-'01_数值调参'!$AL$52,0),IF('01_数值调参'!$AM$7&lt;=$A22,0,0)),0),0)),"队列待修正"))</x:f>
        <x:v>—</x:v>
      </x:c>
    </x:row>
    <x:row r="23" ht="25" customHeight="1">
      <x:c r="A23" s="176" t="n">
        <x:v>17</x:v>
      </x:c>
      <x:c r="B23" s="177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SUM(IF($A23&gt;=2,(C23+$C$3)*MAX(0,IF('01_数值调参'!$N$7&lt;=$A23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23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23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23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23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23&gt;=4,(D23+$C$3)*MAX(0,IF('01_数值调参'!$S$7&lt;=$A23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23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23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23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23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23&gt;=6,(E23+$C$3)*MAX(0,IF('01_数值调参'!$X$7&lt;=$A23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23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23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23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23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23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23&gt;=8,(F23+$C$3)*MAX(0,IF('01_数值调参'!$AD$7&lt;=$A23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23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23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23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23&gt;=10,(G23+$C$3)*MAX(0,IF('01_数值调参'!$AH$7&lt;=$A23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23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23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23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23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23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57</x:v>
      </x:c>
      <x:c r="C23" s="178" t="n">
        <x:v>2</x:v>
      </x:c>
      <x:c r="D23" s="178" t="n">
        <x:v>2</x:v>
      </x:c>
      <x:c r="E23" s="178" t="n">
        <x:v>2</x:v>
      </x:c>
      <x:c r="F23" s="178" t="n">
        <x:v>2</x:v>
      </x:c>
      <x:c r="G23" s="178" t="n">
        <x:v>2</x:v>
      </x:c>
      <x:c r="H23" s="191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E$7,"—",SUM(IF($A23&gt;=2,(C23+$C$3)*MAX(0,IF('01_数值调参'!$N$7&lt;=$A23,-'01_数值调参'!$N$18,0),IF('01_数值调参'!$O$7&lt;=$A23,-'01_数值调参'!$O$18,0),IF('01_数值调参'!$P$7&lt;=$A23,-'01_数值调参'!$P$18,0),IF('01_数值调参'!$Q$7&lt;=$A23,-'01_数值调参'!$Q$18,0),IF('01_数值调参'!$R$7&lt;=$A23,-'01_数值调参'!$R$18,0)),0),IF($A23&gt;=4,(D23+$C$3)*MAX(0,IF('01_数值调参'!$S$7&lt;=$A23,-'01_数值调参'!$S$18,0),IF('01_数值调参'!$T$7&lt;=$A23,-'01_数值调参'!$T$18,0),IF('01_数值调参'!$U$7&lt;=$A23,-'01_数值调参'!$U$18,0),IF('01_数值调参'!$V$7&lt;=$A23,-'01_数值调参'!$V$18,0),IF('01_数值调参'!$W$7&lt;=$A23,-'01_数值调参'!$W$18,0)),0),IF($A23&gt;=6,(E23+$C$3)*MAX(0,IF('01_数值调参'!$X$7&lt;=$A23,-'01_数值调参'!$X$18,0),IF('01_数值调参'!$Y$7&lt;=$A23,-'01_数值调参'!$Y$18,0),IF('01_数值调参'!$Z$7&lt;=$A23,-'01_数值调参'!$Z$18,0),IF('01_数值调参'!$AA$7&lt;=$A23,-'01_数值调参'!$AA$18,0),IF('01_数值调参'!$AB$7&lt;=$A23,-'01_数值调参'!$AB$18,0),IF('01_数值调参'!$AC$7&lt;=$A23,-'01_数值调参'!$AC$18,0)),0),IF($A23&gt;=8,(F23+$C$3)*MAX(0,IF('01_数值调参'!$AD$7&lt;=$A23,-'01_数值调参'!$AD$18,0),IF('01_数值调参'!$AE$7&lt;=$A23,-'01_数值调参'!$AE$18,0),IF('01_数值调参'!$AF$7&lt;=$A23,-'01_数值调参'!$AF$18,0),IF('01_数值调参'!$AG$7&lt;=$A23,-'01_数值调参'!$AG$18,0)),0),IF($A23&gt;=10,(G23+$C$3)*MAX(0,IF('01_数值调参'!$AH$7&lt;=$A23,-'01_数值调参'!$AH$18,0),IF('01_数值调参'!$AI$7&lt;=$A23,-'01_数值调参'!$AI$18,0),IF('01_数值调参'!$AJ$7&lt;=$A23,-'01_数值调参'!$AJ$18,0),IF('01_数值调参'!$AK$7&lt;=$A23,-'01_数值调参'!$AK$18,0),IF('01_数值调参'!$AL$7&lt;=$A23,-'01_数值调参'!$AL$18,0),IF('01_数值调参'!$AM$7&lt;=$A23,-'01_数值调参'!$AM$18,0)),0),0)),"队列待修正"))</x:f>
        <x:v>12</x:v>
      </x:c>
      <x:c r="I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F$7,"—",SUM(IF($A23&gt;=2,(C23+$C$3)*MAX(0,IF('01_数值调参'!$N$7&lt;=$A23,-'01_数值调参'!$N$19,0),IF('01_数值调参'!$O$7&lt;=$A23,-'01_数值调参'!$O$19,0),IF('01_数值调参'!$P$7&lt;=$A23,-'01_数值调参'!$P$19,0),IF('01_数值调参'!$Q$7&lt;=$A23,-'01_数值调参'!$Q$19,0),IF('01_数值调参'!$R$7&lt;=$A23,-'01_数值调参'!$R$19,0)),0),IF($A23&gt;=4,(D23+$C$3)*MAX(0,IF('01_数值调参'!$S$7&lt;=$A23,-'01_数值调参'!$S$19,0),IF('01_数值调参'!$T$7&lt;=$A23,-'01_数值调参'!$T$19,0),IF('01_数值调参'!$U$7&lt;=$A23,-'01_数值调参'!$U$19,0),IF('01_数值调参'!$V$7&lt;=$A23,-'01_数值调参'!$V$19,0),IF('01_数值调参'!$W$7&lt;=$A23,-'01_数值调参'!$W$19,0)),0),IF($A23&gt;=6,(E23+$C$3)*MAX(0,IF('01_数值调参'!$X$7&lt;=$A23,-'01_数值调参'!$X$19,0),IF('01_数值调参'!$Y$7&lt;=$A23,-'01_数值调参'!$Y$19,0),IF('01_数值调参'!$Z$7&lt;=$A23,-'01_数值调参'!$Z$19,0),IF('01_数值调参'!$AA$7&lt;=$A23,-'01_数值调参'!$AA$19,0),IF('01_数值调参'!$AB$7&lt;=$A23,-'01_数值调参'!$AB$19,0),IF('01_数值调参'!$AC$7&lt;=$A23,-'01_数值调参'!$AC$19,0)),0),IF($A23&gt;=8,(F23+$C$3)*MAX(0,IF('01_数值调参'!$AD$7&lt;=$A23,-'01_数值调参'!$AD$19,0),IF('01_数值调参'!$AE$7&lt;=$A23,-'01_数值调参'!$AE$19,0),IF('01_数值调参'!$AF$7&lt;=$A23,-'01_数值调参'!$AF$19,0),IF('01_数值调参'!$AG$7&lt;=$A23,-'01_数值调参'!$AG$19,0)),0),IF($A23&gt;=10,(G23+$C$3)*MAX(0,IF('01_数值调参'!$AH$7&lt;=$A23,-'01_数值调参'!$AH$19,0),IF('01_数值调参'!$AI$7&lt;=$A23,-'01_数值调参'!$AI$19,0),IF('01_数值调参'!$AJ$7&lt;=$A23,-'01_数值调参'!$AJ$19,0),IF('01_数值调参'!$AK$7&lt;=$A23,-'01_数值调参'!$AK$19,0),IF('01_数值调参'!$AL$7&lt;=$A23,-'01_数值调参'!$AL$19,0),IF('01_数值调参'!$AM$7&lt;=$A23,-'01_数值调参'!$AM$19,0)),0),0)),"队列待修正"))</x:f>
        <x:v>12</x:v>
      </x:c>
      <x:c r="J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G$7,"—",SUM(IF($A23&gt;=2,(C23+$C$3)*MAX(0,IF('01_数值调参'!$N$7&lt;=$A23,-'01_数值调参'!$N$20,0),IF('01_数值调参'!$O$7&lt;=$A23,-'01_数值调参'!$O$20,0),IF('01_数值调参'!$P$7&lt;=$A23,-'01_数值调参'!$P$20,0),IF('01_数值调参'!$Q$7&lt;=$A23,-'01_数值调参'!$Q$20,0),IF('01_数值调参'!$R$7&lt;=$A23,-'01_数值调参'!$R$20,0)),0),IF($A23&gt;=4,(D23+$C$3)*MAX(0,IF('01_数值调参'!$S$7&lt;=$A23,-'01_数值调参'!$S$20,0),IF('01_数值调参'!$T$7&lt;=$A23,-'01_数值调参'!$T$20,0),IF('01_数值调参'!$U$7&lt;=$A23,-'01_数值调参'!$U$20,0),IF('01_数值调参'!$V$7&lt;=$A23,-'01_数值调参'!$V$20,0),IF('01_数值调参'!$W$7&lt;=$A23,-'01_数值调参'!$W$20,0)),0),IF($A23&gt;=6,(E23+$C$3)*MAX(0,IF('01_数值调参'!$X$7&lt;=$A23,-'01_数值调参'!$X$20,0),IF('01_数值调参'!$Y$7&lt;=$A23,-'01_数值调参'!$Y$20,0),IF('01_数值调参'!$Z$7&lt;=$A23,-'01_数值调参'!$Z$20,0),IF('01_数值调参'!$AA$7&lt;=$A23,-'01_数值调参'!$AA$20,0),IF('01_数值调参'!$AB$7&lt;=$A23,-'01_数值调参'!$AB$20,0),IF('01_数值调参'!$AC$7&lt;=$A23,-'01_数值调参'!$AC$20,0)),0),IF($A23&gt;=8,(F23+$C$3)*MAX(0,IF('01_数值调参'!$AD$7&lt;=$A23,-'01_数值调参'!$AD$20,0),IF('01_数值调参'!$AE$7&lt;=$A23,-'01_数值调参'!$AE$20,0),IF('01_数值调参'!$AF$7&lt;=$A23,-'01_数值调参'!$AF$20,0),IF('01_数值调参'!$AG$7&lt;=$A23,-'01_数值调参'!$AG$20,0)),0),IF($A23&gt;=10,(G23+$C$3)*MAX(0,IF('01_数值调参'!$AH$7&lt;=$A23,-'01_数值调参'!$AH$20,0),IF('01_数值调参'!$AI$7&lt;=$A23,-'01_数值调参'!$AI$20,0),IF('01_数值调参'!$AJ$7&lt;=$A23,-'01_数值调参'!$AJ$20,0),IF('01_数值调参'!$AK$7&lt;=$A23,-'01_数值调参'!$AK$20,0),IF('01_数值调参'!$AL$7&lt;=$A23,-'01_数值调参'!$AL$20,0),IF('01_数值调参'!$AM$7&lt;=$A23,-'01_数值调参'!$AM$20,0)),0),0)),"队列待修正"))</x:f>
        <x:v>12</x:v>
      </x:c>
      <x:c r="K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H$7,"—",SUM(IF($A23&gt;=2,(C23+$C$3)*MAX(0,IF('01_数值调参'!$N$7&lt;=$A23,-'01_数值调参'!$N$21,0),IF('01_数值调参'!$O$7&lt;=$A23,-'01_数值调参'!$O$21,0),IF('01_数值调参'!$P$7&lt;=$A23,-'01_数值调参'!$P$21,0),IF('01_数值调参'!$Q$7&lt;=$A23,-'01_数值调参'!$Q$21,0),IF('01_数值调参'!$R$7&lt;=$A23,-'01_数值调参'!$R$21,0)),0),IF($A23&gt;=4,(D23+$C$3)*MAX(0,IF('01_数值调参'!$S$7&lt;=$A23,-'01_数值调参'!$S$21,0),IF('01_数值调参'!$T$7&lt;=$A23,-'01_数值调参'!$T$21,0),IF('01_数值调参'!$U$7&lt;=$A23,-'01_数值调参'!$U$21,0),IF('01_数值调参'!$V$7&lt;=$A23,-'01_数值调参'!$V$21,0),IF('01_数值调参'!$W$7&lt;=$A23,-'01_数值调参'!$W$21,0)),0),IF($A23&gt;=6,(E23+$C$3)*MAX(0,IF('01_数值调参'!$X$7&lt;=$A23,-'01_数值调参'!$X$21,0),IF('01_数值调参'!$Y$7&lt;=$A23,-'01_数值调参'!$Y$21,0),IF('01_数值调参'!$Z$7&lt;=$A23,-'01_数值调参'!$Z$21,0),IF('01_数值调参'!$AA$7&lt;=$A23,-'01_数值调参'!$AA$21,0),IF('01_数值调参'!$AB$7&lt;=$A23,-'01_数值调参'!$AB$21,0),IF('01_数值调参'!$AC$7&lt;=$A23,-'01_数值调参'!$AC$21,0)),0),IF($A23&gt;=8,(F23+$C$3)*MAX(0,IF('01_数值调参'!$AD$7&lt;=$A23,-'01_数值调参'!$AD$21,0),IF('01_数值调参'!$AE$7&lt;=$A23,-'01_数值调参'!$AE$21,0),IF('01_数值调参'!$AF$7&lt;=$A23,-'01_数值调参'!$AF$21,0),IF('01_数值调参'!$AG$7&lt;=$A23,-'01_数值调参'!$AG$21,0)),0),IF($A23&gt;=10,(G23+$C$3)*MAX(0,IF('01_数值调参'!$AH$7&lt;=$A23,-'01_数值调参'!$AH$21,0),IF('01_数值调参'!$AI$7&lt;=$A23,-'01_数值调参'!$AI$21,0),IF('01_数值调参'!$AJ$7&lt;=$A23,-'01_数值调参'!$AJ$21,0),IF('01_数值调参'!$AK$7&lt;=$A23,-'01_数值调参'!$AK$21,0),IF('01_数值调参'!$AL$7&lt;=$A23,-'01_数值调参'!$AL$21,0),IF('01_数值调参'!$AM$7&lt;=$A23,-'01_数值调参'!$AM$21,0)),0),0)),"队列待修正"))</x:f>
        <x:v>12</x:v>
      </x:c>
      <x:c r="L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I$7,"—",SUM(IF($A23&gt;=2,(C23+$C$3)*MAX(0,IF('01_数值调参'!$N$7&lt;=$A23,-'01_数值调参'!$N$22,0),IF('01_数值调参'!$O$7&lt;=$A23,-'01_数值调参'!$O$22,0),IF('01_数值调参'!$P$7&lt;=$A23,-'01_数值调参'!$P$22,0),IF('01_数值调参'!$Q$7&lt;=$A23,-'01_数值调参'!$Q$22,0),IF('01_数值调参'!$R$7&lt;=$A23,-'01_数值调参'!$R$22,0)),0),IF($A23&gt;=4,(D23+$C$3)*MAX(0,IF('01_数值调参'!$S$7&lt;=$A23,-'01_数值调参'!$S$22,0),IF('01_数值调参'!$T$7&lt;=$A23,-'01_数值调参'!$T$22,0),IF('01_数值调参'!$U$7&lt;=$A23,-'01_数值调参'!$U$22,0),IF('01_数值调参'!$V$7&lt;=$A23,-'01_数值调参'!$V$22,0),IF('01_数值调参'!$W$7&lt;=$A23,-'01_数值调参'!$W$22,0)),0),IF($A23&gt;=6,(E23+$C$3)*MAX(0,IF('01_数值调参'!$X$7&lt;=$A23,-'01_数值调参'!$X$22,0),IF('01_数值调参'!$Y$7&lt;=$A23,-'01_数值调参'!$Y$22,0),IF('01_数值调参'!$Z$7&lt;=$A23,-'01_数值调参'!$Z$22,0),IF('01_数值调参'!$AA$7&lt;=$A23,-'01_数值调参'!$AA$22,0),IF('01_数值调参'!$AB$7&lt;=$A23,-'01_数值调参'!$AB$22,0),IF('01_数值调参'!$AC$7&lt;=$A23,-'01_数值调参'!$AC$22,0)),0),IF($A23&gt;=8,(F23+$C$3)*MAX(0,IF('01_数值调参'!$AD$7&lt;=$A23,-'01_数值调参'!$AD$22,0),IF('01_数值调参'!$AE$7&lt;=$A23,-'01_数值调参'!$AE$22,0),IF('01_数值调参'!$AF$7&lt;=$A23,-'01_数值调参'!$AF$22,0),IF('01_数值调参'!$AG$7&lt;=$A23,-'01_数值调参'!$AG$22,0)),0),IF($A23&gt;=10,(G23+$C$3)*MAX(0,IF('01_数值调参'!$AH$7&lt;=$A23,-'01_数值调参'!$AH$22,0),IF('01_数值调参'!$AI$7&lt;=$A23,-'01_数值调参'!$AI$22,0),IF('01_数值调参'!$AJ$7&lt;=$A23,-'01_数值调参'!$AJ$22,0),IF('01_数值调参'!$AK$7&lt;=$A23,-'01_数值调参'!$AK$22,0),IF('01_数值调参'!$AL$7&lt;=$A23,-'01_数值调参'!$AL$22,0),IF('01_数值调参'!$AM$7&lt;=$A23,-'01_数值调参'!$AM$22,0)),0),0)),"队列待修正"))</x:f>
        <x:v>12</x:v>
      </x:c>
      <x:c r="M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J$7,"—",SUM(IF($A23&gt;=2,(C23+$C$3)*MAX(0,IF('01_数值调参'!$N$7&lt;=$A23,-'01_数值调参'!$N$23,0),IF('01_数值调参'!$O$7&lt;=$A23,-'01_数值调参'!$O$23,0),IF('01_数值调参'!$P$7&lt;=$A23,-'01_数值调参'!$P$23,0),IF('01_数值调参'!$Q$7&lt;=$A23,-'01_数值调参'!$Q$23,0),IF('01_数值调参'!$R$7&lt;=$A23,-'01_数值调参'!$R$23,0)),0),IF($A23&gt;=4,(D23+$C$3)*MAX(0,IF('01_数值调参'!$S$7&lt;=$A23,-'01_数值调参'!$S$23,0),IF('01_数值调参'!$T$7&lt;=$A23,-'01_数值调参'!$T$23,0),IF('01_数值调参'!$U$7&lt;=$A23,-'01_数值调参'!$U$23,0),IF('01_数值调参'!$V$7&lt;=$A23,-'01_数值调参'!$V$23,0),IF('01_数值调参'!$W$7&lt;=$A23,-'01_数值调参'!$W$23,0)),0),IF($A23&gt;=6,(E23+$C$3)*MAX(0,IF('01_数值调参'!$X$7&lt;=$A23,-'01_数值调参'!$X$23,0),IF('01_数值调参'!$Y$7&lt;=$A23,-'01_数值调参'!$Y$23,0),IF('01_数值调参'!$Z$7&lt;=$A23,-'01_数值调参'!$Z$23,0),IF('01_数值调参'!$AA$7&lt;=$A23,-'01_数值调参'!$AA$23,0),IF('01_数值调参'!$AB$7&lt;=$A23,-'01_数值调参'!$AB$23,0),IF('01_数值调参'!$AC$7&lt;=$A23,-'01_数值调参'!$AC$23,0)),0),IF($A23&gt;=8,(F23+$C$3)*MAX(0,IF('01_数值调参'!$AD$7&lt;=$A23,-'01_数值调参'!$AD$23,0),IF('01_数值调参'!$AE$7&lt;=$A23,-'01_数值调参'!$AE$23,0),IF('01_数值调参'!$AF$7&lt;=$A23,-'01_数值调参'!$AF$23,0),IF('01_数值调参'!$AG$7&lt;=$A23,-'01_数值调参'!$AG$23,0)),0),IF($A23&gt;=10,(G23+$C$3)*MAX(0,IF('01_数值调参'!$AH$7&lt;=$A23,-'01_数值调参'!$AH$23,0),IF('01_数值调参'!$AI$7&lt;=$A23,-'01_数值调参'!$AI$23,0),IF('01_数值调参'!$AJ$7&lt;=$A23,-'01_数值调参'!$AJ$23,0),IF('01_数值调参'!$AK$7&lt;=$A23,-'01_数值调参'!$AK$23,0),IF('01_数值调参'!$AL$7&lt;=$A23,-'01_数值调参'!$AL$23,0),IF('01_数值调参'!$AM$7&lt;=$A23,-'01_数值调参'!$AM$23,0)),0),0)),"队列待修正"))</x:f>
        <x:v>15</x:v>
      </x:c>
      <x:c r="N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K$7,"—",SUM(IF($A23&gt;=2,(C23+$C$3)*MAX(0,IF('01_数值调参'!$N$7&lt;=$A23,-'01_数值调参'!$N$24,0),IF('01_数值调参'!$O$7&lt;=$A23,-'01_数值调参'!$O$24,0),IF('01_数值调参'!$P$7&lt;=$A23,-'01_数值调参'!$P$24,0),IF('01_数值调参'!$Q$7&lt;=$A23,-'01_数值调参'!$Q$24,0),IF('01_数值调参'!$R$7&lt;=$A23,-'01_数值调参'!$R$24,0)),0),IF($A23&gt;=4,(D23+$C$3)*MAX(0,IF('01_数值调参'!$S$7&lt;=$A23,-'01_数值调参'!$S$24,0),IF('01_数值调参'!$T$7&lt;=$A23,-'01_数值调参'!$T$24,0),IF('01_数值调参'!$U$7&lt;=$A23,-'01_数值调参'!$U$24,0),IF('01_数值调参'!$V$7&lt;=$A23,-'01_数值调参'!$V$24,0),IF('01_数值调参'!$W$7&lt;=$A23,-'01_数值调参'!$W$24,0)),0),IF($A23&gt;=6,(E23+$C$3)*MAX(0,IF('01_数值调参'!$X$7&lt;=$A23,-'01_数值调参'!$X$24,0),IF('01_数值调参'!$Y$7&lt;=$A23,-'01_数值调参'!$Y$24,0),IF('01_数值调参'!$Z$7&lt;=$A23,-'01_数值调参'!$Z$24,0),IF('01_数值调参'!$AA$7&lt;=$A23,-'01_数值调参'!$AA$24,0),IF('01_数值调参'!$AB$7&lt;=$A23,-'01_数值调参'!$AB$24,0),IF('01_数值调参'!$AC$7&lt;=$A23,-'01_数值调参'!$AC$24,0)),0),IF($A23&gt;=8,(F23+$C$3)*MAX(0,IF('01_数值调参'!$AD$7&lt;=$A23,-'01_数值调参'!$AD$24,0),IF('01_数值调参'!$AE$7&lt;=$A23,-'01_数值调参'!$AE$24,0),IF('01_数值调参'!$AF$7&lt;=$A23,-'01_数值调参'!$AF$24,0),IF('01_数值调参'!$AG$7&lt;=$A23,-'01_数值调参'!$AG$24,0)),0),IF($A23&gt;=10,(G23+$C$3)*MAX(0,IF('01_数值调参'!$AH$7&lt;=$A23,-'01_数值调参'!$AH$24,0),IF('01_数值调参'!$AI$7&lt;=$A23,-'01_数值调参'!$AI$24,0),IF('01_数值调参'!$AJ$7&lt;=$A23,-'01_数值调参'!$AJ$24,0),IF('01_数值调参'!$AK$7&lt;=$A23,-'01_数值调参'!$AK$24,0),IF('01_数值调参'!$AL$7&lt;=$A23,-'01_数值调参'!$AL$24,0),IF('01_数值调参'!$AM$7&lt;=$A23,-'01_数值调参'!$AM$24,0)),0),0)),"队列待修正"))</x:f>
        <x:v>9</x:v>
      </x:c>
      <x:c r="O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L$7,"—",SUM(IF($A23&gt;=2,(C23+$C$3)*MAX(0,IF('01_数值调参'!$N$7&lt;=$A23,-'01_数值调参'!$N$25,0),IF('01_数值调参'!$O$7&lt;=$A23,-'01_数值调参'!$O$25,0),IF('01_数值调参'!$P$7&lt;=$A23,-'01_数值调参'!$P$25,0),IF('01_数值调参'!$Q$7&lt;=$A23,-'01_数值调参'!$Q$25,0),IF('01_数值调参'!$R$7&lt;=$A23,-'01_数值调参'!$R$25,0)),0),IF($A23&gt;=4,(D23+$C$3)*MAX(0,IF('01_数值调参'!$S$7&lt;=$A23,-'01_数值调参'!$S$25,0),IF('01_数值调参'!$T$7&lt;=$A23,-'01_数值调参'!$T$25,0),IF('01_数值调参'!$U$7&lt;=$A23,-'01_数值调参'!$U$25,0),IF('01_数值调参'!$V$7&lt;=$A23,-'01_数值调参'!$V$25,0),IF('01_数值调参'!$W$7&lt;=$A23,-'01_数值调参'!$W$25,0)),0),IF($A23&gt;=6,(E23+$C$3)*MAX(0,IF('01_数值调参'!$X$7&lt;=$A23,-'01_数值调参'!$X$25,0),IF('01_数值调参'!$Y$7&lt;=$A23,-'01_数值调参'!$Y$25,0),IF('01_数值调参'!$Z$7&lt;=$A23,-'01_数值调参'!$Z$25,0),IF('01_数值调参'!$AA$7&lt;=$A23,-'01_数值调参'!$AA$25,0),IF('01_数值调参'!$AB$7&lt;=$A23,-'01_数值调参'!$AB$25,0),IF('01_数值调参'!$AC$7&lt;=$A23,-'01_数值调参'!$AC$25,0)),0),IF($A23&gt;=8,(F23+$C$3)*MAX(0,IF('01_数值调参'!$AD$7&lt;=$A23,-'01_数值调参'!$AD$25,0),IF('01_数值调参'!$AE$7&lt;=$A23,-'01_数值调参'!$AE$25,0),IF('01_数值调参'!$AF$7&lt;=$A23,-'01_数值调参'!$AF$25,0),IF('01_数值调参'!$AG$7&lt;=$A23,-'01_数值调参'!$AG$25,0)),0),IF($A23&gt;=10,(G23+$C$3)*MAX(0,IF('01_数值调参'!$AH$7&lt;=$A23,-'01_数值调参'!$AH$25,0),IF('01_数值调参'!$AI$7&lt;=$A23,-'01_数值调参'!$AI$25,0),IF('01_数值调参'!$AJ$7&lt;=$A23,-'01_数值调参'!$AJ$25,0),IF('01_数值调参'!$AK$7&lt;=$A23,-'01_数值调参'!$AK$25,0),IF('01_数值调参'!$AL$7&lt;=$A23,-'01_数值调参'!$AL$25,0),IF('01_数值调参'!$AM$7&lt;=$A23,-'01_数值调参'!$AM$25,0)),0),0)),"队列待修正"))</x:f>
        <x:v>9</x:v>
      </x:c>
      <x:c r="P23" s="179" t="str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M$7,"—",SUM(IF($A23&gt;=2,(C23+$C$3)*MAX(0,IF('01_数值调参'!$N$7&lt;=$A23,-'01_数值调参'!$N$26,0),IF('01_数值调参'!$O$7&lt;=$A23,-'01_数值调参'!$O$26,0),IF('01_数值调参'!$P$7&lt;=$A23,-'01_数值调参'!$P$26,0),IF('01_数值调参'!$Q$7&lt;=$A23,-'01_数值调参'!$Q$26,0),IF('01_数值调参'!$R$7&lt;=$A23,-'01_数值调参'!$R$26,0)),0),IF($A23&gt;=4,(D23+$C$3)*MAX(0,IF('01_数值调参'!$S$7&lt;=$A23,-'01_数值调参'!$S$26,0),IF('01_数值调参'!$T$7&lt;=$A23,-'01_数值调参'!$T$26,0),IF('01_数值调参'!$U$7&lt;=$A23,-'01_数值调参'!$U$26,0),IF('01_数值调参'!$V$7&lt;=$A23,-'01_数值调参'!$V$26,0),IF('01_数值调参'!$W$7&lt;=$A23,-'01_数值调参'!$W$26,0)),0),IF($A23&gt;=6,(E23+$C$3)*MAX(0,IF('01_数值调参'!$X$7&lt;=$A23,-'01_数值调参'!$X$26,0),IF('01_数值调参'!$Y$7&lt;=$A23,-'01_数值调参'!$Y$26,0),IF('01_数值调参'!$Z$7&lt;=$A23,-'01_数值调参'!$Z$26,0),IF('01_数值调参'!$AA$7&lt;=$A23,-'01_数值调参'!$AA$26,0),IF('01_数值调参'!$AB$7&lt;=$A23,-'01_数值调参'!$AB$26,0),IF('01_数值调参'!$AC$7&lt;=$A23,-'01_数值调参'!$AC$26,0)),0),IF($A23&gt;=8,(F23+$C$3)*MAX(0,IF('01_数值调参'!$AD$7&lt;=$A23,-'01_数值调参'!$AD$26,0),IF('01_数值调参'!$AE$7&lt;=$A23,-'01_数值调参'!$AE$26,0),IF('01_数值调参'!$AF$7&lt;=$A23,-'01_数值调参'!$AF$26,0),IF('01_数值调参'!$AG$7&lt;=$A23,-'01_数值调参'!$AG$26,0)),0),IF($A23&gt;=10,(G23+$C$3)*MAX(0,IF('01_数值调参'!$AH$7&lt;=$A23,-'01_数值调参'!$AH$26,0),IF('01_数值调参'!$AI$7&lt;=$A23,-'01_数值调参'!$AI$26,0),IF('01_数值调参'!$AJ$7&lt;=$A23,-'01_数值调参'!$AJ$26,0),IF('01_数值调参'!$AK$7&lt;=$A23,-'01_数值调参'!$AK$26,0),IF('01_数值调参'!$AL$7&lt;=$A23,-'01_数值调参'!$AL$26,0),IF('01_数值调参'!$AM$7&lt;=$A23,-'01_数值调参'!$AM$26,0)),0),0)),"队列待修正"))</x:f>
        <x:v>—</x:v>
      </x:c>
      <x:c r="Q23" s="191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N$7,"—",SUM(IF($A23&gt;=2,(C23+$C$3)*MAX(0,IF('01_数值调参'!$N$7&lt;=$A23,0,0),IF('01_数值调参'!$O$7&lt;=$A23,-'01_数值调参'!$O$27,0),IF('01_数值调参'!$P$7&lt;=$A23,-'01_数值调参'!$P$27,0),IF('01_数值调参'!$Q$7&lt;=$A23,-'01_数值调参'!$Q$27,0),IF('01_数值调参'!$R$7&lt;=$A23,-'01_数值调参'!$R$27,0)),0),IF($A23&gt;=4,(D23+$C$3)*MAX(0,IF('01_数值调参'!$S$7&lt;=$A23,-'01_数值调参'!$S$27,0),IF('01_数值调参'!$T$7&lt;=$A23,-'01_数值调参'!$T$27,0),IF('01_数值调参'!$U$7&lt;=$A23,-'01_数值调参'!$U$27,0),IF('01_数值调参'!$V$7&lt;=$A23,-'01_数值调参'!$V$27,0),IF('01_数值调参'!$W$7&lt;=$A23,-'01_数值调参'!$W$27,0)),0),IF($A23&gt;=6,(E23+$C$3)*MAX(0,IF('01_数值调参'!$X$7&lt;=$A23,-'01_数值调参'!$X$27,0),IF('01_数值调参'!$Y$7&lt;=$A23,-'01_数值调参'!$Y$27,0),IF('01_数值调参'!$Z$7&lt;=$A23,-'01_数值调参'!$Z$27,0),IF('01_数值调参'!$AA$7&lt;=$A23,-'01_数值调参'!$AA$27,0),IF('01_数值调参'!$AB$7&lt;=$A23,-'01_数值调参'!$AB$27,0),IF('01_数值调参'!$AC$7&lt;=$A23,-'01_数值调参'!$AC$27,0)),0),IF($A23&gt;=8,(F23+$C$3)*MAX(0,IF('01_数值调参'!$AD$7&lt;=$A23,-'01_数值调参'!$AD$27,0),IF('01_数值调参'!$AE$7&lt;=$A23,-'01_数值调参'!$AE$27,0),IF('01_数值调参'!$AF$7&lt;=$A23,-'01_数值调参'!$AF$27,0),IF('01_数值调参'!$AG$7&lt;=$A23,-'01_数值调参'!$AG$27,0)),0),IF($A23&gt;=10,(G23+$C$3)*MAX(0,IF('01_数值调参'!$AH$7&lt;=$A23,-'01_数值调参'!$AH$27,0),IF('01_数值调参'!$AI$7&lt;=$A23,-'01_数值调参'!$AI$27,0),IF('01_数值调参'!$AJ$7&lt;=$A23,-'01_数值调参'!$AJ$27,0),IF('01_数值调参'!$AK$7&lt;=$A23,-'01_数值调参'!$AK$27,0),IF('01_数值调参'!$AL$7&lt;=$A23,-'01_数值调参'!$AL$27,0),IF('01_数值调参'!$AM$7&lt;=$A23,-'01_数值调参'!$AM$27,0)),0),0)),"队列待修正"))</x:f>
        <x:v>3</x:v>
      </x:c>
      <x:c r="R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O$7,"—",SUM(IF($A23&gt;=2,(C23+$C$3)*MAX(0,IF('01_数值调参'!$N$7&lt;=$A23,-'01_数值调参'!$N$28,0),IF('01_数值调参'!$O$7&lt;=$A23,0,0),IF('01_数值调参'!$P$7&lt;=$A23,-'01_数值调参'!$P$28,0),IF('01_数值调参'!$Q$7&lt;=$A23,-'01_数值调参'!$Q$28,0),IF('01_数值调参'!$R$7&lt;=$A23,-'01_数值调参'!$R$28,0)),0),IF($A23&gt;=4,(D23+$C$3)*MAX(0,IF('01_数值调参'!$S$7&lt;=$A23,-'01_数值调参'!$S$28,0),IF('01_数值调参'!$T$7&lt;=$A23,-'01_数值调参'!$T$28,0),IF('01_数值调参'!$U$7&lt;=$A23,-'01_数值调参'!$U$28,0),IF('01_数值调参'!$V$7&lt;=$A23,-'01_数值调参'!$V$28,0),IF('01_数值调参'!$W$7&lt;=$A23,-'01_数值调参'!$W$28,0)),0),IF($A23&gt;=6,(E23+$C$3)*MAX(0,IF('01_数值调参'!$X$7&lt;=$A23,-'01_数值调参'!$X$28,0),IF('01_数值调参'!$Y$7&lt;=$A23,-'01_数值调参'!$Y$28,0),IF('01_数值调参'!$Z$7&lt;=$A23,-'01_数值调参'!$Z$28,0),IF('01_数值调参'!$AA$7&lt;=$A23,-'01_数值调参'!$AA$28,0),IF('01_数值调参'!$AB$7&lt;=$A23,-'01_数值调参'!$AB$28,0),IF('01_数值调参'!$AC$7&lt;=$A23,-'01_数值调参'!$AC$28,0)),0),IF($A23&gt;=8,(F23+$C$3)*MAX(0,IF('01_数值调参'!$AD$7&lt;=$A23,-'01_数值调参'!$AD$28,0),IF('01_数值调参'!$AE$7&lt;=$A23,-'01_数值调参'!$AE$28,0),IF('01_数值调参'!$AF$7&lt;=$A23,-'01_数值调参'!$AF$28,0),IF('01_数值调参'!$AG$7&lt;=$A23,-'01_数值调参'!$AG$28,0)),0),IF($A23&gt;=10,(G23+$C$3)*MAX(0,IF('01_数值调参'!$AH$7&lt;=$A23,-'01_数值调参'!$AH$28,0),IF('01_数值调参'!$AI$7&lt;=$A23,-'01_数值调参'!$AI$28,0),IF('01_数值调参'!$AJ$7&lt;=$A23,-'01_数值调参'!$AJ$28,0),IF('01_数值调参'!$AK$7&lt;=$A23,-'01_数值调参'!$AK$28,0),IF('01_数值调参'!$AL$7&lt;=$A23,-'01_数值调参'!$AL$28,0),IF('01_数值调参'!$AM$7&lt;=$A23,-'01_数值调参'!$AM$28,0)),0),0)),"队列待修正"))</x:f>
        <x:v>3</x:v>
      </x:c>
      <x:c r="S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P$7,"—",SUM(IF($A23&gt;=2,(C23+$C$3)*MAX(0,IF('01_数值调参'!$N$7&lt;=$A23,-'01_数值调参'!$N$29,0),IF('01_数值调参'!$O$7&lt;=$A23,-'01_数值调参'!$O$29,0),IF('01_数值调参'!$P$7&lt;=$A23,0,0),IF('01_数值调参'!$Q$7&lt;=$A23,-'01_数值调参'!$Q$29,0),IF('01_数值调参'!$R$7&lt;=$A23,-'01_数值调参'!$R$29,0)),0),IF($A23&gt;=4,(D23+$C$3)*MAX(0,IF('01_数值调参'!$S$7&lt;=$A23,-'01_数值调参'!$S$29,0),IF('01_数值调参'!$T$7&lt;=$A23,-'01_数值调参'!$T$29,0),IF('01_数值调参'!$U$7&lt;=$A23,-'01_数值调参'!$U$29,0),IF('01_数值调参'!$V$7&lt;=$A23,-'01_数值调参'!$V$29,0),IF('01_数值调参'!$W$7&lt;=$A23,-'01_数值调参'!$W$29,0)),0),IF($A23&gt;=6,(E23+$C$3)*MAX(0,IF('01_数值调参'!$X$7&lt;=$A23,-'01_数值调参'!$X$29,0),IF('01_数值调参'!$Y$7&lt;=$A23,-'01_数值调参'!$Y$29,0),IF('01_数值调参'!$Z$7&lt;=$A23,-'01_数值调参'!$Z$29,0),IF('01_数值调参'!$AA$7&lt;=$A23,-'01_数值调参'!$AA$29,0),IF('01_数值调参'!$AB$7&lt;=$A23,-'01_数值调参'!$AB$29,0),IF('01_数值调参'!$AC$7&lt;=$A23,-'01_数值调参'!$AC$29,0)),0),IF($A23&gt;=8,(F23+$C$3)*MAX(0,IF('01_数值调参'!$AD$7&lt;=$A23,-'01_数值调参'!$AD$29,0),IF('01_数值调参'!$AE$7&lt;=$A23,-'01_数值调参'!$AE$29,0),IF('01_数值调参'!$AF$7&lt;=$A23,-'01_数值调参'!$AF$29,0),IF('01_数值调参'!$AG$7&lt;=$A23,-'01_数值调参'!$AG$29,0)),0),IF($A23&gt;=10,(G23+$C$3)*MAX(0,IF('01_数值调参'!$AH$7&lt;=$A23,-'01_数值调参'!$AH$29,0),IF('01_数值调参'!$AI$7&lt;=$A23,-'01_数值调参'!$AI$29,0),IF('01_数值调参'!$AJ$7&lt;=$A23,-'01_数值调参'!$AJ$29,0),IF('01_数值调参'!$AK$7&lt;=$A23,-'01_数值调参'!$AK$29,0),IF('01_数值调参'!$AL$7&lt;=$A23,-'01_数值调参'!$AL$29,0),IF('01_数值调参'!$AM$7&lt;=$A23,-'01_数值调参'!$AM$29,0)),0),0)),"队列待修正"))</x:f>
        <x:v>3</x:v>
      </x:c>
      <x:c r="T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Q$7,"—",SUM(IF($A23&gt;=2,(C23+$C$3)*MAX(0,IF('01_数值调参'!$N$7&lt;=$A23,-'01_数值调参'!$N$30,0),IF('01_数值调参'!$O$7&lt;=$A23,-'01_数值调参'!$O$30,0),IF('01_数值调参'!$P$7&lt;=$A23,-'01_数值调参'!$P$30,0),IF('01_数值调参'!$Q$7&lt;=$A23,0,0),IF('01_数值调参'!$R$7&lt;=$A23,-'01_数值调参'!$R$30,0)),0),IF($A23&gt;=4,(D23+$C$3)*MAX(0,IF('01_数值调参'!$S$7&lt;=$A23,-'01_数值调参'!$S$30,0),IF('01_数值调参'!$T$7&lt;=$A23,-'01_数值调参'!$T$30,0),IF('01_数值调参'!$U$7&lt;=$A23,-'01_数值调参'!$U$30,0),IF('01_数值调参'!$V$7&lt;=$A23,-'01_数值调参'!$V$30,0),IF('01_数值调参'!$W$7&lt;=$A23,-'01_数值调参'!$W$30,0)),0),IF($A23&gt;=6,(E23+$C$3)*MAX(0,IF('01_数值调参'!$X$7&lt;=$A23,-'01_数值调参'!$X$30,0),IF('01_数值调参'!$Y$7&lt;=$A23,-'01_数值调参'!$Y$30,0),IF('01_数值调参'!$Z$7&lt;=$A23,-'01_数值调参'!$Z$30,0),IF('01_数值调参'!$AA$7&lt;=$A23,-'01_数值调参'!$AA$30,0),IF('01_数值调参'!$AB$7&lt;=$A23,-'01_数值调参'!$AB$30,0),IF('01_数值调参'!$AC$7&lt;=$A23,-'01_数值调参'!$AC$30,0)),0),IF($A23&gt;=8,(F23+$C$3)*MAX(0,IF('01_数值调参'!$AD$7&lt;=$A23,-'01_数值调参'!$AD$30,0),IF('01_数值调参'!$AE$7&lt;=$A23,-'01_数值调参'!$AE$30,0),IF('01_数值调参'!$AF$7&lt;=$A23,-'01_数值调参'!$AF$30,0),IF('01_数值调参'!$AG$7&lt;=$A23,-'01_数值调参'!$AG$30,0)),0),IF($A23&gt;=10,(G23+$C$3)*MAX(0,IF('01_数值调参'!$AH$7&lt;=$A23,-'01_数值调参'!$AH$30,0),IF('01_数值调参'!$AI$7&lt;=$A23,-'01_数值调参'!$AI$30,0),IF('01_数值调参'!$AJ$7&lt;=$A23,-'01_数值调参'!$AJ$30,0),IF('01_数值调参'!$AK$7&lt;=$A23,-'01_数值调参'!$AK$30,0),IF('01_数值调参'!$AL$7&lt;=$A23,-'01_数值调参'!$AL$30,0),IF('01_数值调参'!$AM$7&lt;=$A23,-'01_数值调参'!$AM$30,0)),0),0)),"队列待修正"))</x:f>
        <x:v>3</x:v>
      </x:c>
      <x:c r="U23" s="179" t="str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R$7,"—",SUM(IF($A23&gt;=2,(C23+$C$3)*MAX(0,IF('01_数值调参'!$N$7&lt;=$A23,-'01_数值调参'!$N$31,0),IF('01_数值调参'!$O$7&lt;=$A23,-'01_数值调参'!$O$31,0),IF('01_数值调参'!$P$7&lt;=$A23,-'01_数值调参'!$P$31,0),IF('01_数值调参'!$Q$7&lt;=$A23,-'01_数值调参'!$Q$31,0),IF('01_数值调参'!$R$7&lt;=$A23,0,0)),0),IF($A23&gt;=4,(D23+$C$3)*MAX(0,IF('01_数值调参'!$S$7&lt;=$A23,-'01_数值调参'!$S$31,0),IF('01_数值调参'!$T$7&lt;=$A23,-'01_数值调参'!$T$31,0),IF('01_数值调参'!$U$7&lt;=$A23,-'01_数值调参'!$U$31,0),IF('01_数值调参'!$V$7&lt;=$A23,-'01_数值调参'!$V$31,0),IF('01_数值调参'!$W$7&lt;=$A23,-'01_数值调参'!$W$31,0)),0),IF($A23&gt;=6,(E23+$C$3)*MAX(0,IF('01_数值调参'!$X$7&lt;=$A23,-'01_数值调参'!$X$31,0),IF('01_数值调参'!$Y$7&lt;=$A23,-'01_数值调参'!$Y$31,0),IF('01_数值调参'!$Z$7&lt;=$A23,-'01_数值调参'!$Z$31,0),IF('01_数值调参'!$AA$7&lt;=$A23,-'01_数值调参'!$AA$31,0),IF('01_数值调参'!$AB$7&lt;=$A23,-'01_数值调参'!$AB$31,0),IF('01_数值调参'!$AC$7&lt;=$A23,-'01_数值调参'!$AC$31,0)),0),IF($A23&gt;=8,(F23+$C$3)*MAX(0,IF('01_数值调参'!$AD$7&lt;=$A23,-'01_数值调参'!$AD$31,0),IF('01_数值调参'!$AE$7&lt;=$A23,-'01_数值调参'!$AE$31,0),IF('01_数值调参'!$AF$7&lt;=$A23,-'01_数值调参'!$AF$31,0),IF('01_数值调参'!$AG$7&lt;=$A23,-'01_数值调参'!$AG$31,0)),0),IF($A23&gt;=10,(G23+$C$3)*MAX(0,IF('01_数值调参'!$AH$7&lt;=$A23,-'01_数值调参'!$AH$31,0),IF('01_数值调参'!$AI$7&lt;=$A23,-'01_数值调参'!$AI$31,0),IF('01_数值调参'!$AJ$7&lt;=$A23,-'01_数值调参'!$AJ$31,0),IF('01_数值调参'!$AK$7&lt;=$A23,-'01_数值调参'!$AK$31,0),IF('01_数值调参'!$AL$7&lt;=$A23,-'01_数值调参'!$AL$31,0),IF('01_数值调参'!$AM$7&lt;=$A23,-'01_数值调参'!$AM$31,0)),0),0)),"队列待修正"))</x:f>
        <x:v>—</x:v>
      </x:c>
      <x:c r="V23" s="191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S$7,"—",SUM(IF($A23&gt;=2,(C23+$C$3)*MAX(0,IF('01_数值调参'!$N$7&lt;=$A23,-'01_数值调参'!$N$32,0),IF('01_数值调参'!$O$7&lt;=$A23,-'01_数值调参'!$O$32,0),IF('01_数值调参'!$P$7&lt;=$A23,-'01_数值调参'!$P$32,0),IF('01_数值调参'!$Q$7&lt;=$A23,-'01_数值调参'!$Q$32,0),IF('01_数值调参'!$R$7&lt;=$A23,-'01_数值调参'!$R$32,0)),0),IF($A23&gt;=4,(D23+$C$3)*MAX(0,IF('01_数值调参'!$S$7&lt;=$A23,0,0),IF('01_数值调参'!$T$7&lt;=$A23,-'01_数值调参'!$T$32,0),IF('01_数值调参'!$U$7&lt;=$A23,-'01_数值调参'!$U$32,0),IF('01_数值调参'!$V$7&lt;=$A23,-'01_数值调参'!$V$32,0),IF('01_数值调参'!$W$7&lt;=$A23,-'01_数值调参'!$W$32,0)),0),IF($A23&gt;=6,(E23+$C$3)*MAX(0,IF('01_数值调参'!$X$7&lt;=$A23,-'01_数值调参'!$X$32,0),IF('01_数值调参'!$Y$7&lt;=$A23,-'01_数值调参'!$Y$32,0),IF('01_数值调参'!$Z$7&lt;=$A23,-'01_数值调参'!$Z$32,0),IF('01_数值调参'!$AA$7&lt;=$A23,-'01_数值调参'!$AA$32,0),IF('01_数值调参'!$AB$7&lt;=$A23,-'01_数值调参'!$AB$32,0),IF('01_数值调参'!$AC$7&lt;=$A23,-'01_数值调参'!$AC$32,0)),0),IF($A23&gt;=8,(F23+$C$3)*MAX(0,IF('01_数值调参'!$AD$7&lt;=$A23,-'01_数值调参'!$AD$32,0),IF('01_数值调参'!$AE$7&lt;=$A23,-'01_数值调参'!$AE$32,0),IF('01_数值调参'!$AF$7&lt;=$A23,-'01_数值调参'!$AF$32,0),IF('01_数值调参'!$AG$7&lt;=$A23,-'01_数值调参'!$AG$32,0)),0),IF($A23&gt;=10,(G23+$C$3)*MAX(0,IF('01_数值调参'!$AH$7&lt;=$A23,-'01_数值调参'!$AH$32,0),IF('01_数值调参'!$AI$7&lt;=$A23,-'01_数值调参'!$AI$32,0),IF('01_数值调参'!$AJ$7&lt;=$A23,-'01_数值调参'!$AJ$32,0),IF('01_数值调参'!$AK$7&lt;=$A23,-'01_数值调参'!$AK$32,0),IF('01_数值调参'!$AL$7&lt;=$A23,-'01_数值调参'!$AL$32,0),IF('01_数值调参'!$AM$7&lt;=$A23,-'01_数值调参'!$AM$32,0)),0),0)),"队列待修正"))</x:f>
        <x:v>6</x:v>
      </x:c>
      <x:c r="W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T$7,"—",SUM(IF($A23&gt;=2,(C23+$C$3)*MAX(0,IF('01_数值调参'!$N$7&lt;=$A23,-'01_数值调参'!$N$33,0),IF('01_数值调参'!$O$7&lt;=$A23,-'01_数值调参'!$O$33,0),IF('01_数值调参'!$P$7&lt;=$A23,-'01_数值调参'!$P$33,0),IF('01_数值调参'!$Q$7&lt;=$A23,-'01_数值调参'!$Q$33,0),IF('01_数值调参'!$R$7&lt;=$A23,-'01_数值调参'!$R$33,0)),0),IF($A23&gt;=4,(D23+$C$3)*MAX(0,IF('01_数值调参'!$S$7&lt;=$A23,-'01_数值调参'!$S$33,0),IF('01_数值调参'!$T$7&lt;=$A23,0,0),IF('01_数值调参'!$U$7&lt;=$A23,-'01_数值调参'!$U$33,0),IF('01_数值调参'!$V$7&lt;=$A23,-'01_数值调参'!$V$33,0),IF('01_数值调参'!$W$7&lt;=$A23,-'01_数值调参'!$W$33,0)),0),IF($A23&gt;=6,(E23+$C$3)*MAX(0,IF('01_数值调参'!$X$7&lt;=$A23,-'01_数值调参'!$X$33,0),IF('01_数值调参'!$Y$7&lt;=$A23,-'01_数值调参'!$Y$33,0),IF('01_数值调参'!$Z$7&lt;=$A23,-'01_数值调参'!$Z$33,0),IF('01_数值调参'!$AA$7&lt;=$A23,-'01_数值调参'!$AA$33,0),IF('01_数值调参'!$AB$7&lt;=$A23,-'01_数值调参'!$AB$33,0),IF('01_数值调参'!$AC$7&lt;=$A23,-'01_数值调参'!$AC$33,0)),0),IF($A23&gt;=8,(F23+$C$3)*MAX(0,IF('01_数值调参'!$AD$7&lt;=$A23,-'01_数值调参'!$AD$33,0),IF('01_数值调参'!$AE$7&lt;=$A23,-'01_数值调参'!$AE$33,0),IF('01_数值调参'!$AF$7&lt;=$A23,-'01_数值调参'!$AF$33,0),IF('01_数值调参'!$AG$7&lt;=$A23,-'01_数值调参'!$AG$33,0)),0),IF($A23&gt;=10,(G23+$C$3)*MAX(0,IF('01_数值调参'!$AH$7&lt;=$A23,-'01_数值调参'!$AH$33,0),IF('01_数值调参'!$AI$7&lt;=$A23,-'01_数值调参'!$AI$33,0),IF('01_数值调参'!$AJ$7&lt;=$A23,-'01_数值调参'!$AJ$33,0),IF('01_数值调参'!$AK$7&lt;=$A23,-'01_数值调参'!$AK$33,0),IF('01_数值调参'!$AL$7&lt;=$A23,-'01_数值调参'!$AL$33,0),IF('01_数值调参'!$AM$7&lt;=$A23,-'01_数值调参'!$AM$33,0)),0),0)),"队列待修正"))</x:f>
        <x:v>3</x:v>
      </x:c>
      <x:c r="X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U$7,"—",SUM(IF($A23&gt;=2,(C23+$C$3)*MAX(0,IF('01_数值调参'!$N$7&lt;=$A23,-'01_数值调参'!$N$34,0),IF('01_数值调参'!$O$7&lt;=$A23,-'01_数值调参'!$O$34,0),IF('01_数值调参'!$P$7&lt;=$A23,-'01_数值调参'!$P$34,0),IF('01_数值调参'!$Q$7&lt;=$A23,-'01_数值调参'!$Q$34,0),IF('01_数值调参'!$R$7&lt;=$A23,-'01_数值调参'!$R$34,0)),0),IF($A23&gt;=4,(D23+$C$3)*MAX(0,IF('01_数值调参'!$S$7&lt;=$A23,-'01_数值调参'!$S$34,0),IF('01_数值调参'!$T$7&lt;=$A23,-'01_数值调参'!$T$34,0),IF('01_数值调参'!$U$7&lt;=$A23,0,0),IF('01_数值调参'!$V$7&lt;=$A23,-'01_数值调参'!$V$34,0),IF('01_数值调参'!$W$7&lt;=$A23,-'01_数值调参'!$W$34,0)),0),IF($A23&gt;=6,(E23+$C$3)*MAX(0,IF('01_数值调参'!$X$7&lt;=$A23,-'01_数值调参'!$X$34,0),IF('01_数值调参'!$Y$7&lt;=$A23,-'01_数值调参'!$Y$34,0),IF('01_数值调参'!$Z$7&lt;=$A23,-'01_数值调参'!$Z$34,0),IF('01_数值调参'!$AA$7&lt;=$A23,-'01_数值调参'!$AA$34,0),IF('01_数值调参'!$AB$7&lt;=$A23,-'01_数值调参'!$AB$34,0),IF('01_数值调参'!$AC$7&lt;=$A23,-'01_数值调参'!$AC$34,0)),0),IF($A23&gt;=8,(F23+$C$3)*MAX(0,IF('01_数值调参'!$AD$7&lt;=$A23,-'01_数值调参'!$AD$34,0),IF('01_数值调参'!$AE$7&lt;=$A23,-'01_数值调参'!$AE$34,0),IF('01_数值调参'!$AF$7&lt;=$A23,-'01_数值调参'!$AF$34,0),IF('01_数值调参'!$AG$7&lt;=$A23,-'01_数值调参'!$AG$34,0)),0),IF($A23&gt;=10,(G23+$C$3)*MAX(0,IF('01_数值调参'!$AH$7&lt;=$A23,-'01_数值调参'!$AH$34,0),IF('01_数值调参'!$AI$7&lt;=$A23,-'01_数值调参'!$AI$34,0),IF('01_数值调参'!$AJ$7&lt;=$A23,-'01_数值调参'!$AJ$34,0),IF('01_数值调参'!$AK$7&lt;=$A23,-'01_数值调参'!$AK$34,0),IF('01_数值调参'!$AL$7&lt;=$A23,-'01_数值调参'!$AL$34,0),IF('01_数值调参'!$AM$7&lt;=$A23,-'01_数值调参'!$AM$34,0)),0),0)),"队列待修正"))</x:f>
        <x:v>3</x:v>
      </x:c>
      <x:c r="Y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V$7,"—",SUM(IF($A23&gt;=2,(C23+$C$3)*MAX(0,IF('01_数值调参'!$N$7&lt;=$A23,-'01_数值调参'!$N$35,0),IF('01_数值调参'!$O$7&lt;=$A23,-'01_数值调参'!$O$35,0),IF('01_数值调参'!$P$7&lt;=$A23,-'01_数值调参'!$P$35,0),IF('01_数值调参'!$Q$7&lt;=$A23,-'01_数值调参'!$Q$35,0),IF('01_数值调参'!$R$7&lt;=$A23,-'01_数值调参'!$R$35,0)),0),IF($A23&gt;=4,(D23+$C$3)*MAX(0,IF('01_数值调参'!$S$7&lt;=$A23,-'01_数值调参'!$S$35,0),IF('01_数值调参'!$T$7&lt;=$A23,-'01_数值调参'!$T$35,0),IF('01_数值调参'!$U$7&lt;=$A23,-'01_数值调参'!$U$35,0),IF('01_数值调参'!$V$7&lt;=$A23,0,0),IF('01_数值调参'!$W$7&lt;=$A23,-'01_数值调参'!$W$35,0)),0),IF($A23&gt;=6,(E23+$C$3)*MAX(0,IF('01_数值调参'!$X$7&lt;=$A23,-'01_数值调参'!$X$35,0),IF('01_数值调参'!$Y$7&lt;=$A23,-'01_数值调参'!$Y$35,0),IF('01_数值调参'!$Z$7&lt;=$A23,-'01_数值调参'!$Z$35,0),IF('01_数值调参'!$AA$7&lt;=$A23,-'01_数值调参'!$AA$35,0),IF('01_数值调参'!$AB$7&lt;=$A23,-'01_数值调参'!$AB$35,0),IF('01_数值调参'!$AC$7&lt;=$A23,-'01_数值调参'!$AC$35,0)),0),IF($A23&gt;=8,(F23+$C$3)*MAX(0,IF('01_数值调参'!$AD$7&lt;=$A23,-'01_数值调参'!$AD$35,0),IF('01_数值调参'!$AE$7&lt;=$A23,-'01_数值调参'!$AE$35,0),IF('01_数值调参'!$AF$7&lt;=$A23,-'01_数值调参'!$AF$35,0),IF('01_数值调参'!$AG$7&lt;=$A23,-'01_数值调参'!$AG$35,0)),0),IF($A23&gt;=10,(G23+$C$3)*MAX(0,IF('01_数值调参'!$AH$7&lt;=$A23,-'01_数值调参'!$AH$35,0),IF('01_数值调参'!$AI$7&lt;=$A23,-'01_数值调参'!$AI$35,0),IF('01_数值调参'!$AJ$7&lt;=$A23,-'01_数值调参'!$AJ$35,0),IF('01_数值调参'!$AK$7&lt;=$A23,-'01_数值调参'!$AK$35,0),IF('01_数值调参'!$AL$7&lt;=$A23,-'01_数值调参'!$AL$35,0),IF('01_数值调参'!$AM$7&lt;=$A23,-'01_数值调参'!$AM$35,0)),0),0)),"队列待修正"))</x:f>
        <x:v>0</x:v>
      </x:c>
      <x:c r="Z23" s="179" t="str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W$7,"—",SUM(IF($A23&gt;=2,(C23+$C$3)*MAX(0,IF('01_数值调参'!$N$7&lt;=$A23,-'01_数值调参'!$N$36,0),IF('01_数值调参'!$O$7&lt;=$A23,-'01_数值调参'!$O$36,0),IF('01_数值调参'!$P$7&lt;=$A23,-'01_数值调参'!$P$36,0),IF('01_数值调参'!$Q$7&lt;=$A23,-'01_数值调参'!$Q$36,0),IF('01_数值调参'!$R$7&lt;=$A23,-'01_数值调参'!$R$36,0)),0),IF($A23&gt;=4,(D23+$C$3)*MAX(0,IF('01_数值调参'!$S$7&lt;=$A23,-'01_数值调参'!$S$36,0),IF('01_数值调参'!$T$7&lt;=$A23,-'01_数值调参'!$T$36,0),IF('01_数值调参'!$U$7&lt;=$A23,-'01_数值调参'!$U$36,0),IF('01_数值调参'!$V$7&lt;=$A23,-'01_数值调参'!$V$36,0),IF('01_数值调参'!$W$7&lt;=$A23,0,0)),0),IF($A23&gt;=6,(E23+$C$3)*MAX(0,IF('01_数值调参'!$X$7&lt;=$A23,-'01_数值调参'!$X$36,0),IF('01_数值调参'!$Y$7&lt;=$A23,-'01_数值调参'!$Y$36,0),IF('01_数值调参'!$Z$7&lt;=$A23,-'01_数值调参'!$Z$36,0),IF('01_数值调参'!$AA$7&lt;=$A23,-'01_数值调参'!$AA$36,0),IF('01_数值调参'!$AB$7&lt;=$A23,-'01_数值调参'!$AB$36,0),IF('01_数值调参'!$AC$7&lt;=$A23,-'01_数值调参'!$AC$36,0)),0),IF($A23&gt;=8,(F23+$C$3)*MAX(0,IF('01_数值调参'!$AD$7&lt;=$A23,-'01_数值调参'!$AD$36,0),IF('01_数值调参'!$AE$7&lt;=$A23,-'01_数值调参'!$AE$36,0),IF('01_数值调参'!$AF$7&lt;=$A23,-'01_数值调参'!$AF$36,0),IF('01_数值调参'!$AG$7&lt;=$A23,-'01_数值调参'!$AG$36,0)),0),IF($A23&gt;=10,(G23+$C$3)*MAX(0,IF('01_数值调参'!$AH$7&lt;=$A23,-'01_数值调参'!$AH$36,0),IF('01_数值调参'!$AI$7&lt;=$A23,-'01_数值调参'!$AI$36,0),IF('01_数值调参'!$AJ$7&lt;=$A23,-'01_数值调参'!$AJ$36,0),IF('01_数值调参'!$AK$7&lt;=$A23,-'01_数值调参'!$AK$36,0),IF('01_数值调参'!$AL$7&lt;=$A23,-'01_数值调参'!$AL$36,0),IF('01_数值调参'!$AM$7&lt;=$A23,-'01_数值调参'!$AM$36,0)),0),0)),"队列待修正"))</x:f>
        <x:v>—</x:v>
      </x:c>
      <x:c r="AA23" s="191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X$7,"—",SUM(IF($A23&gt;=2,(C23+$C$3)*MAX(0,IF('01_数值调参'!$N$7&lt;=$A23,-'01_数值调参'!$N$37,0),IF('01_数值调参'!$O$7&lt;=$A23,-'01_数值调参'!$O$37,0),IF('01_数值调参'!$P$7&lt;=$A23,-'01_数值调参'!$P$37,0),IF('01_数值调参'!$Q$7&lt;=$A23,-'01_数值调参'!$Q$37,0),IF('01_数值调参'!$R$7&lt;=$A23,-'01_数值调参'!$R$37,0)),0),IF($A23&gt;=4,(D23+$C$3)*MAX(0,IF('01_数值调参'!$S$7&lt;=$A23,-'01_数值调参'!$S$37,0),IF('01_数值调参'!$T$7&lt;=$A23,-'01_数值调参'!$T$37,0),IF('01_数值调参'!$U$7&lt;=$A23,-'01_数值调参'!$U$37,0),IF('01_数值调参'!$V$7&lt;=$A23,-'01_数值调参'!$V$37,0),IF('01_数值调参'!$W$7&lt;=$A23,-'01_数值调参'!$W$37,0)),0),IF($A23&gt;=6,(E23+$C$3)*MAX(0,IF('01_数值调参'!$X$7&lt;=$A23,0,0),IF('01_数值调参'!$Y$7&lt;=$A23,-'01_数值调参'!$Y$37,0),IF('01_数值调参'!$Z$7&lt;=$A23,-'01_数值调参'!$Z$37,0),IF('01_数值调参'!$AA$7&lt;=$A23,-'01_数值调参'!$AA$37,0),IF('01_数值调参'!$AB$7&lt;=$A23,-'01_数值调参'!$AB$37,0),IF('01_数值调参'!$AC$7&lt;=$A23,-'01_数值调参'!$AC$37,0)),0),IF($A23&gt;=8,(F23+$C$3)*MAX(0,IF('01_数值调参'!$AD$7&lt;=$A23,-'01_数值调参'!$AD$37,0),IF('01_数值调参'!$AE$7&lt;=$A23,-'01_数值调参'!$AE$37,0),IF('01_数值调参'!$AF$7&lt;=$A23,-'01_数值调参'!$AF$37,0),IF('01_数值调参'!$AG$7&lt;=$A23,-'01_数值调参'!$AG$37,0)),0),IF($A23&gt;=10,(G23+$C$3)*MAX(0,IF('01_数值调参'!$AH$7&lt;=$A23,-'01_数值调参'!$AH$37,0),IF('01_数值调参'!$AI$7&lt;=$A23,-'01_数值调参'!$AI$37,0),IF('01_数值调参'!$AJ$7&lt;=$A23,-'01_数值调参'!$AJ$37,0),IF('01_数值调参'!$AK$7&lt;=$A23,-'01_数值调参'!$AK$37,0),IF('01_数值调参'!$AL$7&lt;=$A23,-'01_数值调参'!$AL$37,0),IF('01_数值调参'!$AM$7&lt;=$A23,-'01_数值调参'!$AM$37,0)),0),0)),"队列待修正"))</x:f>
        <x:v>0</x:v>
      </x:c>
      <x:c r="AB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Y$7,"—",SUM(IF($A23&gt;=2,(C23+$C$3)*MAX(0,IF('01_数值调参'!$N$7&lt;=$A23,-'01_数值调参'!$N$38,0),IF('01_数值调参'!$O$7&lt;=$A23,-'01_数值调参'!$O$38,0),IF('01_数值调参'!$P$7&lt;=$A23,-'01_数值调参'!$P$38,0),IF('01_数值调参'!$Q$7&lt;=$A23,-'01_数值调参'!$Q$38,0),IF('01_数值调参'!$R$7&lt;=$A23,-'01_数值调参'!$R$38,0)),0),IF($A23&gt;=4,(D23+$C$3)*MAX(0,IF('01_数值调参'!$S$7&lt;=$A23,-'01_数值调参'!$S$38,0),IF('01_数值调参'!$T$7&lt;=$A23,-'01_数值调参'!$T$38,0),IF('01_数值调参'!$U$7&lt;=$A23,-'01_数值调参'!$U$38,0),IF('01_数值调参'!$V$7&lt;=$A23,-'01_数值调参'!$V$38,0),IF('01_数值调参'!$W$7&lt;=$A23,-'01_数值调参'!$W$38,0)),0),IF($A23&gt;=6,(E23+$C$3)*MAX(0,IF('01_数值调参'!$X$7&lt;=$A23,-'01_数值调参'!$X$38,0),IF('01_数值调参'!$Y$7&lt;=$A23,0,0),IF('01_数值调参'!$Z$7&lt;=$A23,-'01_数值调参'!$Z$38,0),IF('01_数值调参'!$AA$7&lt;=$A23,-'01_数值调参'!$AA$38,0),IF('01_数值调参'!$AB$7&lt;=$A23,-'01_数值调参'!$AB$38,0),IF('01_数值调参'!$AC$7&lt;=$A23,-'01_数值调参'!$AC$38,0)),0),IF($A23&gt;=8,(F23+$C$3)*MAX(0,IF('01_数值调参'!$AD$7&lt;=$A23,-'01_数值调参'!$AD$38,0),IF('01_数值调参'!$AE$7&lt;=$A23,-'01_数值调参'!$AE$38,0),IF('01_数值调参'!$AF$7&lt;=$A23,-'01_数值调参'!$AF$38,0),IF('01_数值调参'!$AG$7&lt;=$A23,-'01_数值调参'!$AG$38,0)),0),IF($A23&gt;=10,(G23+$C$3)*MAX(0,IF('01_数值调参'!$AH$7&lt;=$A23,-'01_数值调参'!$AH$38,0),IF('01_数值调参'!$AI$7&lt;=$A23,-'01_数值调参'!$AI$38,0),IF('01_数值调参'!$AJ$7&lt;=$A23,-'01_数值调参'!$AJ$38,0),IF('01_数值调参'!$AK$7&lt;=$A23,-'01_数值调参'!$AK$38,0),IF('01_数值调参'!$AL$7&lt;=$A23,-'01_数值调参'!$AL$38,0),IF('01_数值调参'!$AM$7&lt;=$A23,-'01_数值调参'!$AM$38,0)),0),0)),"队列待修正"))</x:f>
        <x:v>0</x:v>
      </x:c>
      <x:c r="AC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Z$7,"—",SUM(IF($A23&gt;=2,(C23+$C$3)*MAX(0,IF('01_数值调参'!$N$7&lt;=$A23,-'01_数值调参'!$N$39,0),IF('01_数值调参'!$O$7&lt;=$A23,-'01_数值调参'!$O$39,0),IF('01_数值调参'!$P$7&lt;=$A23,-'01_数值调参'!$P$39,0),IF('01_数值调参'!$Q$7&lt;=$A23,-'01_数值调参'!$Q$39,0),IF('01_数值调参'!$R$7&lt;=$A23,-'01_数值调参'!$R$39,0)),0),IF($A23&gt;=4,(D23+$C$3)*MAX(0,IF('01_数值调参'!$S$7&lt;=$A23,-'01_数值调参'!$S$39,0),IF('01_数值调参'!$T$7&lt;=$A23,-'01_数值调参'!$T$39,0),IF('01_数值调参'!$U$7&lt;=$A23,-'01_数值调参'!$U$39,0),IF('01_数值调参'!$V$7&lt;=$A23,-'01_数值调参'!$V$39,0),IF('01_数值调参'!$W$7&lt;=$A23,-'01_数值调参'!$W$39,0)),0),IF($A23&gt;=6,(E23+$C$3)*MAX(0,IF('01_数值调参'!$X$7&lt;=$A23,-'01_数值调参'!$X$39,0),IF('01_数值调参'!$Y$7&lt;=$A23,-'01_数值调参'!$Y$39,0),IF('01_数值调参'!$Z$7&lt;=$A23,0,0),IF('01_数值调参'!$AA$7&lt;=$A23,-'01_数值调参'!$AA$39,0),IF('01_数值调参'!$AB$7&lt;=$A23,-'01_数值调参'!$AB$39,0),IF('01_数值调参'!$AC$7&lt;=$A23,-'01_数值调参'!$AC$39,0)),0),IF($A23&gt;=8,(F23+$C$3)*MAX(0,IF('01_数值调参'!$AD$7&lt;=$A23,-'01_数值调参'!$AD$39,0),IF('01_数值调参'!$AE$7&lt;=$A23,-'01_数值调参'!$AE$39,0),IF('01_数值调参'!$AF$7&lt;=$A23,-'01_数值调参'!$AF$39,0),IF('01_数值调参'!$AG$7&lt;=$A23,-'01_数值调参'!$AG$39,0)),0),IF($A23&gt;=10,(G23+$C$3)*MAX(0,IF('01_数值调参'!$AH$7&lt;=$A23,-'01_数值调参'!$AH$39,0),IF('01_数值调参'!$AI$7&lt;=$A23,-'01_数值调参'!$AI$39,0),IF('01_数值调参'!$AJ$7&lt;=$A23,-'01_数值调参'!$AJ$39,0),IF('01_数值调参'!$AK$7&lt;=$A23,-'01_数值调参'!$AK$39,0),IF('01_数值调参'!$AL$7&lt;=$A23,-'01_数值调参'!$AL$39,0),IF('01_数值调参'!$AM$7&lt;=$A23,-'01_数值调参'!$AM$39,0)),0),0)),"队列待修正"))</x:f>
        <x:v>0</x:v>
      </x:c>
      <x:c r="AD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A$7,"—",SUM(IF($A23&gt;=2,(C23+$C$3)*MAX(0,IF('01_数值调参'!$N$7&lt;=$A23,-'01_数值调参'!$N$40,0),IF('01_数值调参'!$O$7&lt;=$A23,-'01_数值调参'!$O$40,0),IF('01_数值调参'!$P$7&lt;=$A23,-'01_数值调参'!$P$40,0),IF('01_数值调参'!$Q$7&lt;=$A23,-'01_数值调参'!$Q$40,0),IF('01_数值调参'!$R$7&lt;=$A23,-'01_数值调参'!$R$40,0)),0),IF($A23&gt;=4,(D23+$C$3)*MAX(0,IF('01_数值调参'!$S$7&lt;=$A23,-'01_数值调参'!$S$40,0),IF('01_数值调参'!$T$7&lt;=$A23,-'01_数值调参'!$T$40,0),IF('01_数值调参'!$U$7&lt;=$A23,-'01_数值调参'!$U$40,0),IF('01_数值调参'!$V$7&lt;=$A23,-'01_数值调参'!$V$40,0),IF('01_数值调参'!$W$7&lt;=$A23,-'01_数值调参'!$W$40,0)),0),IF($A23&gt;=6,(E23+$C$3)*MAX(0,IF('01_数值调参'!$X$7&lt;=$A23,-'01_数值调参'!$X$40,0),IF('01_数值调参'!$Y$7&lt;=$A23,-'01_数值调参'!$Y$40,0),IF('01_数值调参'!$Z$7&lt;=$A23,-'01_数值调参'!$Z$40,0),IF('01_数值调参'!$AA$7&lt;=$A23,0,0),IF('01_数值调参'!$AB$7&lt;=$A23,-'01_数值调参'!$AB$40,0),IF('01_数值调参'!$AC$7&lt;=$A23,-'01_数值调参'!$AC$40,0)),0),IF($A23&gt;=8,(F23+$C$3)*MAX(0,IF('01_数值调参'!$AD$7&lt;=$A23,-'01_数值调参'!$AD$40,0),IF('01_数值调参'!$AE$7&lt;=$A23,-'01_数值调参'!$AE$40,0),IF('01_数值调参'!$AF$7&lt;=$A23,-'01_数值调参'!$AF$40,0),IF('01_数值调参'!$AG$7&lt;=$A23,-'01_数值调参'!$AG$40,0)),0),IF($A23&gt;=10,(G23+$C$3)*MAX(0,IF('01_数值调参'!$AH$7&lt;=$A23,-'01_数值调参'!$AH$40,0),IF('01_数值调参'!$AI$7&lt;=$A23,-'01_数值调参'!$AI$40,0),IF('01_数值调参'!$AJ$7&lt;=$A23,-'01_数值调参'!$AJ$40,0),IF('01_数值调参'!$AK$7&lt;=$A23,-'01_数值调参'!$AK$40,0),IF('01_数值调参'!$AL$7&lt;=$A23,-'01_数值调参'!$AL$40,0),IF('01_数值调参'!$AM$7&lt;=$A23,-'01_数值调参'!$AM$40,0)),0),0)),"队列待修正"))</x:f>
        <x:v>0</x:v>
      </x:c>
      <x:c r="AE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B$7,"—",SUM(IF($A23&gt;=2,(C23+$C$3)*MAX(0,IF('01_数值调参'!$N$7&lt;=$A23,-'01_数值调参'!$N$41,0),IF('01_数值调参'!$O$7&lt;=$A23,-'01_数值调参'!$O$41,0),IF('01_数值调参'!$P$7&lt;=$A23,-'01_数值调参'!$P$41,0),IF('01_数值调参'!$Q$7&lt;=$A23,-'01_数值调参'!$Q$41,0),IF('01_数值调参'!$R$7&lt;=$A23,-'01_数值调参'!$R$41,0)),0),IF($A23&gt;=4,(D23+$C$3)*MAX(0,IF('01_数值调参'!$S$7&lt;=$A23,-'01_数值调参'!$S$41,0),IF('01_数值调参'!$T$7&lt;=$A23,-'01_数值调参'!$T$41,0),IF('01_数值调参'!$U$7&lt;=$A23,-'01_数值调参'!$U$41,0),IF('01_数值调参'!$V$7&lt;=$A23,-'01_数值调参'!$V$41,0),IF('01_数值调参'!$W$7&lt;=$A23,-'01_数值调参'!$W$41,0)),0),IF($A23&gt;=6,(E23+$C$3)*MAX(0,IF('01_数值调参'!$X$7&lt;=$A23,-'01_数值调参'!$X$41,0),IF('01_数值调参'!$Y$7&lt;=$A23,-'01_数值调参'!$Y$41,0),IF('01_数值调参'!$Z$7&lt;=$A23,-'01_数值调参'!$Z$41,0),IF('01_数值调参'!$AA$7&lt;=$A23,-'01_数值调参'!$AA$41,0),IF('01_数值调参'!$AB$7&lt;=$A23,0,0),IF('01_数值调参'!$AC$7&lt;=$A23,-'01_数值调参'!$AC$41,0)),0),IF($A23&gt;=8,(F23+$C$3)*MAX(0,IF('01_数值调参'!$AD$7&lt;=$A23,-'01_数值调参'!$AD$41,0),IF('01_数值调参'!$AE$7&lt;=$A23,-'01_数值调参'!$AE$41,0),IF('01_数值调参'!$AF$7&lt;=$A23,-'01_数值调参'!$AF$41,0),IF('01_数值调参'!$AG$7&lt;=$A23,-'01_数值调参'!$AG$41,0)),0),IF($A23&gt;=10,(G23+$C$3)*MAX(0,IF('01_数值调参'!$AH$7&lt;=$A23,-'01_数值调参'!$AH$41,0),IF('01_数值调参'!$AI$7&lt;=$A23,-'01_数值调参'!$AI$41,0),IF('01_数值调参'!$AJ$7&lt;=$A23,-'01_数值调参'!$AJ$41,0),IF('01_数值调参'!$AK$7&lt;=$A23,-'01_数值调参'!$AK$41,0),IF('01_数值调参'!$AL$7&lt;=$A23,-'01_数值调参'!$AL$41,0),IF('01_数值调参'!$AM$7&lt;=$A23,-'01_数值调参'!$AM$41,0)),0),0)),"队列待修正"))</x:f>
        <x:v>0</x:v>
      </x:c>
      <x:c r="AF23" s="179" t="str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C$7,"—",SUM(IF($A23&gt;=2,(C23+$C$3)*MAX(0,IF('01_数值调参'!$N$7&lt;=$A23,-'01_数值调参'!$N$42,0),IF('01_数值调参'!$O$7&lt;=$A23,-'01_数值调参'!$O$42,0),IF('01_数值调参'!$P$7&lt;=$A23,-'01_数值调参'!$P$42,0),IF('01_数值调参'!$Q$7&lt;=$A23,-'01_数值调参'!$Q$42,0),IF('01_数值调参'!$R$7&lt;=$A23,-'01_数值调参'!$R$42,0)),0),IF($A23&gt;=4,(D23+$C$3)*MAX(0,IF('01_数值调参'!$S$7&lt;=$A23,-'01_数值调参'!$S$42,0),IF('01_数值调参'!$T$7&lt;=$A23,-'01_数值调参'!$T$42,0),IF('01_数值调参'!$U$7&lt;=$A23,-'01_数值调参'!$U$42,0),IF('01_数值调参'!$V$7&lt;=$A23,-'01_数值调参'!$V$42,0),IF('01_数值调参'!$W$7&lt;=$A23,-'01_数值调参'!$W$42,0)),0),IF($A23&gt;=6,(E23+$C$3)*MAX(0,IF('01_数值调参'!$X$7&lt;=$A23,-'01_数值调参'!$X$42,0),IF('01_数值调参'!$Y$7&lt;=$A23,-'01_数值调参'!$Y$42,0),IF('01_数值调参'!$Z$7&lt;=$A23,-'01_数值调参'!$Z$42,0),IF('01_数值调参'!$AA$7&lt;=$A23,-'01_数值调参'!$AA$42,0),IF('01_数值调参'!$AB$7&lt;=$A23,-'01_数值调参'!$AB$42,0),IF('01_数值调参'!$AC$7&lt;=$A23,0,0)),0),IF($A23&gt;=8,(F23+$C$3)*MAX(0,IF('01_数值调参'!$AD$7&lt;=$A23,-'01_数值调参'!$AD$42,0),IF('01_数值调参'!$AE$7&lt;=$A23,-'01_数值调参'!$AE$42,0),IF('01_数值调参'!$AF$7&lt;=$A23,-'01_数值调参'!$AF$42,0),IF('01_数值调参'!$AG$7&lt;=$A23,-'01_数值调参'!$AG$42,0)),0),IF($A23&gt;=10,(G23+$C$3)*MAX(0,IF('01_数值调参'!$AH$7&lt;=$A23,-'01_数值调参'!$AH$42,0),IF('01_数值调参'!$AI$7&lt;=$A23,-'01_数值调参'!$AI$42,0),IF('01_数值调参'!$AJ$7&lt;=$A23,-'01_数值调参'!$AJ$42,0),IF('01_数值调参'!$AK$7&lt;=$A23,-'01_数值调参'!$AK$42,0),IF('01_数值调参'!$AL$7&lt;=$A23,-'01_数值调参'!$AL$42,0),IF('01_数值调参'!$AM$7&lt;=$A23,-'01_数值调参'!$AM$42,0)),0),0)),"队列待修正"))</x:f>
        <x:v>—</x:v>
      </x:c>
      <x:c r="AG23" s="191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D$7,"—",SUM(IF($A23&gt;=2,(C23+$C$3)*MAX(0,IF('01_数值调参'!$N$7&lt;=$A23,-'01_数值调参'!$N$43,0),IF('01_数值调参'!$O$7&lt;=$A23,-'01_数值调参'!$O$43,0),IF('01_数值调参'!$P$7&lt;=$A23,-'01_数值调参'!$P$43,0),IF('01_数值调参'!$Q$7&lt;=$A23,-'01_数值调参'!$Q$43,0),IF('01_数值调参'!$R$7&lt;=$A23,-'01_数值调参'!$R$43,0)),0),IF($A23&gt;=4,(D23+$C$3)*MAX(0,IF('01_数值调参'!$S$7&lt;=$A23,-'01_数值调参'!$S$43,0),IF('01_数值调参'!$T$7&lt;=$A23,-'01_数值调参'!$T$43,0),IF('01_数值调参'!$U$7&lt;=$A23,-'01_数值调参'!$U$43,0),IF('01_数值调参'!$V$7&lt;=$A23,-'01_数值调参'!$V$43,0),IF('01_数值调参'!$W$7&lt;=$A23,-'01_数值调参'!$W$43,0)),0),IF($A23&gt;=6,(E23+$C$3)*MAX(0,IF('01_数值调参'!$X$7&lt;=$A23,-'01_数值调参'!$X$43,0),IF('01_数值调参'!$Y$7&lt;=$A23,-'01_数值调参'!$Y$43,0),IF('01_数值调参'!$Z$7&lt;=$A23,-'01_数值调参'!$Z$43,0),IF('01_数值调参'!$AA$7&lt;=$A23,-'01_数值调参'!$AA$43,0),IF('01_数值调参'!$AB$7&lt;=$A23,-'01_数值调参'!$AB$43,0),IF('01_数值调参'!$AC$7&lt;=$A23,-'01_数值调参'!$AC$43,0)),0),IF($A23&gt;=8,(F23+$C$3)*MAX(0,IF('01_数值调参'!$AD$7&lt;=$A23,0,0),IF('01_数值调参'!$AE$7&lt;=$A23,-'01_数值调参'!$AE$43,0),IF('01_数值调参'!$AF$7&lt;=$A23,-'01_数值调参'!$AF$43,0),IF('01_数值调参'!$AG$7&lt;=$A23,-'01_数值调参'!$AG$43,0)),0),IF($A23&gt;=10,(G23+$C$3)*MAX(0,IF('01_数值调参'!$AH$7&lt;=$A23,-'01_数值调参'!$AH$43,0),IF('01_数值调参'!$AI$7&lt;=$A23,-'01_数值调参'!$AI$43,0),IF('01_数值调参'!$AJ$7&lt;=$A23,-'01_数值调参'!$AJ$43,0),IF('01_数值调参'!$AK$7&lt;=$A23,-'01_数值调参'!$AK$43,0),IF('01_数值调参'!$AL$7&lt;=$A23,-'01_数值调参'!$AL$43,0),IF('01_数值调参'!$AM$7&lt;=$A23,-'01_数值调参'!$AM$43,0)),0),0)),"队列待修正"))</x:f>
        <x:v>3</x:v>
      </x:c>
      <x:c r="AH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E$7,"—",SUM(IF($A23&gt;=2,(C23+$C$3)*MAX(0,IF('01_数值调参'!$N$7&lt;=$A23,-'01_数值调参'!$N$44,0),IF('01_数值调参'!$O$7&lt;=$A23,-'01_数值调参'!$O$44,0),IF('01_数值调参'!$P$7&lt;=$A23,-'01_数值调参'!$P$44,0),IF('01_数值调参'!$Q$7&lt;=$A23,-'01_数值调参'!$Q$44,0),IF('01_数值调参'!$R$7&lt;=$A23,-'01_数值调参'!$R$44,0)),0),IF($A23&gt;=4,(D23+$C$3)*MAX(0,IF('01_数值调参'!$S$7&lt;=$A23,-'01_数值调参'!$S$44,0),IF('01_数值调参'!$T$7&lt;=$A23,-'01_数值调参'!$T$44,0),IF('01_数值调参'!$U$7&lt;=$A23,-'01_数值调参'!$U$44,0),IF('01_数值调参'!$V$7&lt;=$A23,-'01_数值调参'!$V$44,0),IF('01_数值调参'!$W$7&lt;=$A23,-'01_数值调参'!$W$44,0)),0),IF($A23&gt;=6,(E23+$C$3)*MAX(0,IF('01_数值调参'!$X$7&lt;=$A23,-'01_数值调参'!$X$44,0),IF('01_数值调参'!$Y$7&lt;=$A23,-'01_数值调参'!$Y$44,0),IF('01_数值调参'!$Z$7&lt;=$A23,-'01_数值调参'!$Z$44,0),IF('01_数值调参'!$AA$7&lt;=$A23,-'01_数值调参'!$AA$44,0),IF('01_数值调参'!$AB$7&lt;=$A23,-'01_数值调参'!$AB$44,0),IF('01_数值调参'!$AC$7&lt;=$A23,-'01_数值调参'!$AC$44,0)),0),IF($A23&gt;=8,(F23+$C$3)*MAX(0,IF('01_数值调参'!$AD$7&lt;=$A23,-'01_数值调参'!$AD$44,0),IF('01_数值调参'!$AE$7&lt;=$A23,0,0),IF('01_数值调参'!$AF$7&lt;=$A23,-'01_数值调参'!$AF$44,0),IF('01_数值调参'!$AG$7&lt;=$A23,-'01_数值调参'!$AG$44,0)),0),IF($A23&gt;=10,(G23+$C$3)*MAX(0,IF('01_数值调参'!$AH$7&lt;=$A23,-'01_数值调参'!$AH$44,0),IF('01_数值调参'!$AI$7&lt;=$A23,-'01_数值调参'!$AI$44,0),IF('01_数值调参'!$AJ$7&lt;=$A23,-'01_数值调参'!$AJ$44,0),IF('01_数值调参'!$AK$7&lt;=$A23,-'01_数值调参'!$AK$44,0),IF('01_数值调参'!$AL$7&lt;=$A23,-'01_数值调参'!$AL$44,0),IF('01_数值调参'!$AM$7&lt;=$A23,-'01_数值调参'!$AM$44,0)),0),0)),"队列待修正"))</x:f>
        <x:v>3</x:v>
      </x:c>
      <x:c r="AI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F$7,"—",SUM(IF($A23&gt;=2,(C23+$C$3)*MAX(0,IF('01_数值调参'!$N$7&lt;=$A23,-'01_数值调参'!$N$45,0),IF('01_数值调参'!$O$7&lt;=$A23,-'01_数值调参'!$O$45,0),IF('01_数值调参'!$P$7&lt;=$A23,-'01_数值调参'!$P$45,0),IF('01_数值调参'!$Q$7&lt;=$A23,-'01_数值调参'!$Q$45,0),IF('01_数值调参'!$R$7&lt;=$A23,-'01_数值调参'!$R$45,0)),0),IF($A23&gt;=4,(D23+$C$3)*MAX(0,IF('01_数值调参'!$S$7&lt;=$A23,-'01_数值调参'!$S$45,0),IF('01_数值调参'!$T$7&lt;=$A23,-'01_数值调参'!$T$45,0),IF('01_数值调参'!$U$7&lt;=$A23,-'01_数值调参'!$U$45,0),IF('01_数值调参'!$V$7&lt;=$A23,-'01_数值调参'!$V$45,0),IF('01_数值调参'!$W$7&lt;=$A23,-'01_数值调参'!$W$45,0)),0),IF($A23&gt;=6,(E23+$C$3)*MAX(0,IF('01_数值调参'!$X$7&lt;=$A23,-'01_数值调参'!$X$45,0),IF('01_数值调参'!$Y$7&lt;=$A23,-'01_数值调参'!$Y$45,0),IF('01_数值调参'!$Z$7&lt;=$A23,-'01_数值调参'!$Z$45,0),IF('01_数值调参'!$AA$7&lt;=$A23,-'01_数值调参'!$AA$45,0),IF('01_数值调参'!$AB$7&lt;=$A23,-'01_数值调参'!$AB$45,0),IF('01_数值调参'!$AC$7&lt;=$A23,-'01_数值调参'!$AC$45,0)),0),IF($A23&gt;=8,(F23+$C$3)*MAX(0,IF('01_数值调参'!$AD$7&lt;=$A23,-'01_数值调参'!$AD$45,0),IF('01_数值调参'!$AE$7&lt;=$A23,-'01_数值调参'!$AE$45,0),IF('01_数值调参'!$AF$7&lt;=$A23,0,0),IF('01_数值调参'!$AG$7&lt;=$A23,-'01_数值调参'!$AG$45,0)),0),IF($A23&gt;=10,(G23+$C$3)*MAX(0,IF('01_数值调参'!$AH$7&lt;=$A23,-'01_数值调参'!$AH$45,0),IF('01_数值调参'!$AI$7&lt;=$A23,-'01_数值调参'!$AI$45,0),IF('01_数值调参'!$AJ$7&lt;=$A23,-'01_数值调参'!$AJ$45,0),IF('01_数值调参'!$AK$7&lt;=$A23,-'01_数值调参'!$AK$45,0),IF('01_数值调参'!$AL$7&lt;=$A23,-'01_数值调参'!$AL$45,0),IF('01_数值调参'!$AM$7&lt;=$A23,-'01_数值调参'!$AM$45,0)),0),0)),"队列待修正"))</x:f>
        <x:v>3</x:v>
      </x:c>
      <x:c r="AJ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G$7,"—",SUM(IF($A23&gt;=2,(C23+$C$3)*MAX(0,IF('01_数值调参'!$N$7&lt;=$A23,-'01_数值调参'!$N$46,0),IF('01_数值调参'!$O$7&lt;=$A23,-'01_数值调参'!$O$46,0),IF('01_数值调参'!$P$7&lt;=$A23,-'01_数值调参'!$P$46,0),IF('01_数值调参'!$Q$7&lt;=$A23,-'01_数值调参'!$Q$46,0),IF('01_数值调参'!$R$7&lt;=$A23,-'01_数值调参'!$R$46,0)),0),IF($A23&gt;=4,(D23+$C$3)*MAX(0,IF('01_数值调参'!$S$7&lt;=$A23,-'01_数值调参'!$S$46,0),IF('01_数值调参'!$T$7&lt;=$A23,-'01_数值调参'!$T$46,0),IF('01_数值调参'!$U$7&lt;=$A23,-'01_数值调参'!$U$46,0),IF('01_数值调参'!$V$7&lt;=$A23,-'01_数值调参'!$V$46,0),IF('01_数值调参'!$W$7&lt;=$A23,-'01_数值调参'!$W$46,0)),0),IF($A23&gt;=6,(E23+$C$3)*MAX(0,IF('01_数值调参'!$X$7&lt;=$A23,-'01_数值调参'!$X$46,0),IF('01_数值调参'!$Y$7&lt;=$A23,-'01_数值调参'!$Y$46,0),IF('01_数值调参'!$Z$7&lt;=$A23,-'01_数值调参'!$Z$46,0),IF('01_数值调参'!$AA$7&lt;=$A23,-'01_数值调参'!$AA$46,0),IF('01_数值调参'!$AB$7&lt;=$A23,-'01_数值调参'!$AB$46,0),IF('01_数值调参'!$AC$7&lt;=$A23,-'01_数值调参'!$AC$46,0)),0),IF($A23&gt;=8,(F23+$C$3)*MAX(0,IF('01_数值调参'!$AD$7&lt;=$A23,-'01_数值调参'!$AD$46,0),IF('01_数值调参'!$AE$7&lt;=$A23,-'01_数值调参'!$AE$46,0),IF('01_数值调参'!$AF$7&lt;=$A23,-'01_数值调参'!$AF$46,0),IF('01_数值调参'!$AG$7&lt;=$A23,0,0)),0),IF($A23&gt;=10,(G23+$C$3)*MAX(0,IF('01_数值调参'!$AH$7&lt;=$A23,-'01_数值调参'!$AH$46,0),IF('01_数值调参'!$AI$7&lt;=$A23,-'01_数值调参'!$AI$46,0),IF('01_数值调参'!$AJ$7&lt;=$A23,-'01_数值调参'!$AJ$46,0),IF('01_数值调参'!$AK$7&lt;=$A23,-'01_数值调参'!$AK$46,0),IF('01_数值调参'!$AL$7&lt;=$A23,-'01_数值调参'!$AL$46,0),IF('01_数值调参'!$AM$7&lt;=$A23,-'01_数值调参'!$AM$46,0)),0),0)),"队列待修正"))</x:f>
        <x:v>0</x:v>
      </x:c>
      <x:c r="AK23" s="191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H$7,"—",SUM(IF($A23&gt;=2,(C23+$C$3)*MAX(0,IF('01_数值调参'!$N$7&lt;=$A23,-'01_数值调参'!$N$47,0),IF('01_数值调参'!$O$7&lt;=$A23,-'01_数值调参'!$O$47,0),IF('01_数值调参'!$P$7&lt;=$A23,-'01_数值调参'!$P$47,0),IF('01_数值调参'!$Q$7&lt;=$A23,-'01_数值调参'!$Q$47,0),IF('01_数值调参'!$R$7&lt;=$A23,-'01_数值调参'!$R$47,0)),0),IF($A23&gt;=4,(D23+$C$3)*MAX(0,IF('01_数值调参'!$S$7&lt;=$A23,-'01_数值调参'!$S$47,0),IF('01_数值调参'!$T$7&lt;=$A23,-'01_数值调参'!$T$47,0),IF('01_数值调参'!$U$7&lt;=$A23,-'01_数值调参'!$U$47,0),IF('01_数值调参'!$V$7&lt;=$A23,-'01_数值调参'!$V$47,0),IF('01_数值调参'!$W$7&lt;=$A23,-'01_数值调参'!$W$47,0)),0),IF($A23&gt;=6,(E23+$C$3)*MAX(0,IF('01_数值调参'!$X$7&lt;=$A23,-'01_数值调参'!$X$47,0),IF('01_数值调参'!$Y$7&lt;=$A23,-'01_数值调参'!$Y$47,0),IF('01_数值调参'!$Z$7&lt;=$A23,-'01_数值调参'!$Z$47,0),IF('01_数值调参'!$AA$7&lt;=$A23,-'01_数值调参'!$AA$47,0),IF('01_数值调参'!$AB$7&lt;=$A23,-'01_数值调参'!$AB$47,0),IF('01_数值调参'!$AC$7&lt;=$A23,-'01_数值调参'!$AC$47,0)),0),IF($A23&gt;=8,(F23+$C$3)*MAX(0,IF('01_数值调参'!$AD$7&lt;=$A23,-'01_数值调参'!$AD$47,0),IF('01_数值调参'!$AE$7&lt;=$A23,-'01_数值调参'!$AE$47,0),IF('01_数值调参'!$AF$7&lt;=$A23,-'01_数值调参'!$AF$47,0),IF('01_数值调参'!$AG$7&lt;=$A23,-'01_数值调参'!$AG$47,0)),0),IF($A23&gt;=10,(G23+$C$3)*MAX(0,IF('01_数值调参'!$AH$7&lt;=$A23,0,0),IF('01_数值调参'!$AI$7&lt;=$A23,-'01_数值调参'!$AI$47,0),IF('01_数值调参'!$AJ$7&lt;=$A23,-'01_数值调参'!$AJ$47,0),IF('01_数值调参'!$AK$7&lt;=$A23,-'01_数值调参'!$AK$47,0),IF('01_数值调参'!$AL$7&lt;=$A23,-'01_数值调参'!$AL$47,0),IF('01_数值调参'!$AM$7&lt;=$A23,-'01_数值调参'!$AM$47,0)),0),0)),"队列待修正"))</x:f>
        <x:v>0</x:v>
      </x:c>
      <x:c r="AL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I$7,"—",SUM(IF($A23&gt;=2,(C23+$C$3)*MAX(0,IF('01_数值调参'!$N$7&lt;=$A23,-'01_数值调参'!$N$48,0),IF('01_数值调参'!$O$7&lt;=$A23,-'01_数值调参'!$O$48,0),IF('01_数值调参'!$P$7&lt;=$A23,-'01_数值调参'!$P$48,0),IF('01_数值调参'!$Q$7&lt;=$A23,-'01_数值调参'!$Q$48,0),IF('01_数值调参'!$R$7&lt;=$A23,-'01_数值调参'!$R$48,0)),0),IF($A23&gt;=4,(D23+$C$3)*MAX(0,IF('01_数值调参'!$S$7&lt;=$A23,-'01_数值调参'!$S$48,0),IF('01_数值调参'!$T$7&lt;=$A23,-'01_数值调参'!$T$48,0),IF('01_数值调参'!$U$7&lt;=$A23,-'01_数值调参'!$U$48,0),IF('01_数值调参'!$V$7&lt;=$A23,-'01_数值调参'!$V$48,0),IF('01_数值调参'!$W$7&lt;=$A23,-'01_数值调参'!$W$48,0)),0),IF($A23&gt;=6,(E23+$C$3)*MAX(0,IF('01_数值调参'!$X$7&lt;=$A23,-'01_数值调参'!$X$48,0),IF('01_数值调参'!$Y$7&lt;=$A23,-'01_数值调参'!$Y$48,0),IF('01_数值调参'!$Z$7&lt;=$A23,-'01_数值调参'!$Z$48,0),IF('01_数值调参'!$AA$7&lt;=$A23,-'01_数值调参'!$AA$48,0),IF('01_数值调参'!$AB$7&lt;=$A23,-'01_数值调参'!$AB$48,0),IF('01_数值调参'!$AC$7&lt;=$A23,-'01_数值调参'!$AC$48,0)),0),IF($A23&gt;=8,(F23+$C$3)*MAX(0,IF('01_数值调参'!$AD$7&lt;=$A23,-'01_数值调参'!$AD$48,0),IF('01_数值调参'!$AE$7&lt;=$A23,-'01_数值调参'!$AE$48,0),IF('01_数值调参'!$AF$7&lt;=$A23,-'01_数值调参'!$AF$48,0),IF('01_数值调参'!$AG$7&lt;=$A23,-'01_数值调参'!$AG$48,0)),0),IF($A23&gt;=10,(G23+$C$3)*MAX(0,IF('01_数值调参'!$AH$7&lt;=$A23,-'01_数值调参'!$AH$48,0),IF('01_数值调参'!$AI$7&lt;=$A23,0,0),IF('01_数值调参'!$AJ$7&lt;=$A23,-'01_数值调参'!$AJ$48,0),IF('01_数值调参'!$AK$7&lt;=$A23,-'01_数值调参'!$AK$48,0),IF('01_数值调参'!$AL$7&lt;=$A23,-'01_数值调参'!$AL$48,0),IF('01_数值调参'!$AM$7&lt;=$A23,-'01_数值调参'!$AM$48,0)),0),0)),"队列待修正"))</x:f>
        <x:v>0</x:v>
      </x:c>
      <x:c r="AM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J$7,"—",SUM(IF($A23&gt;=2,(C23+$C$3)*MAX(0,IF('01_数值调参'!$N$7&lt;=$A23,-'01_数值调参'!$N$49,0),IF('01_数值调参'!$O$7&lt;=$A23,-'01_数值调参'!$O$49,0),IF('01_数值调参'!$P$7&lt;=$A23,-'01_数值调参'!$P$49,0),IF('01_数值调参'!$Q$7&lt;=$A23,-'01_数值调参'!$Q$49,0),IF('01_数值调参'!$R$7&lt;=$A23,-'01_数值调参'!$R$49,0)),0),IF($A23&gt;=4,(D23+$C$3)*MAX(0,IF('01_数值调参'!$S$7&lt;=$A23,-'01_数值调参'!$S$49,0),IF('01_数值调参'!$T$7&lt;=$A23,-'01_数值调参'!$T$49,0),IF('01_数值调参'!$U$7&lt;=$A23,-'01_数值调参'!$U$49,0),IF('01_数值调参'!$V$7&lt;=$A23,-'01_数值调参'!$V$49,0),IF('01_数值调参'!$W$7&lt;=$A23,-'01_数值调参'!$W$49,0)),0),IF($A23&gt;=6,(E23+$C$3)*MAX(0,IF('01_数值调参'!$X$7&lt;=$A23,-'01_数值调参'!$X$49,0),IF('01_数值调参'!$Y$7&lt;=$A23,-'01_数值调参'!$Y$49,0),IF('01_数值调参'!$Z$7&lt;=$A23,-'01_数值调参'!$Z$49,0),IF('01_数值调参'!$AA$7&lt;=$A23,-'01_数值调参'!$AA$49,0),IF('01_数值调参'!$AB$7&lt;=$A23,-'01_数值调参'!$AB$49,0),IF('01_数值调参'!$AC$7&lt;=$A23,-'01_数值调参'!$AC$49,0)),0),IF($A23&gt;=8,(F23+$C$3)*MAX(0,IF('01_数值调参'!$AD$7&lt;=$A23,-'01_数值调参'!$AD$49,0),IF('01_数值调参'!$AE$7&lt;=$A23,-'01_数值调参'!$AE$49,0),IF('01_数值调参'!$AF$7&lt;=$A23,-'01_数值调参'!$AF$49,0),IF('01_数值调参'!$AG$7&lt;=$A23,-'01_数值调参'!$AG$49,0)),0),IF($A23&gt;=10,(G23+$C$3)*MAX(0,IF('01_数值调参'!$AH$7&lt;=$A23,-'01_数值调参'!$AH$49,0),IF('01_数值调参'!$AI$7&lt;=$A23,-'01_数值调参'!$AI$49,0),IF('01_数值调参'!$AJ$7&lt;=$A23,0,0),IF('01_数值调参'!$AK$7&lt;=$A23,-'01_数值调参'!$AK$49,0),IF('01_数值调参'!$AL$7&lt;=$A23,-'01_数值调参'!$AL$49,0),IF('01_数值调参'!$AM$7&lt;=$A23,-'01_数值调参'!$AM$49,0)),0),0)),"队列待修正"))</x:f>
        <x:v>0</x:v>
      </x:c>
      <x:c r="AN23" s="179" t="n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K$7,"—",SUM(IF($A23&gt;=2,(C23+$C$3)*MAX(0,IF('01_数值调参'!$N$7&lt;=$A23,-'01_数值调参'!$N$50,0),IF('01_数值调参'!$O$7&lt;=$A23,-'01_数值调参'!$O$50,0),IF('01_数值调参'!$P$7&lt;=$A23,-'01_数值调参'!$P$50,0),IF('01_数值调参'!$Q$7&lt;=$A23,-'01_数值调参'!$Q$50,0),IF('01_数值调参'!$R$7&lt;=$A23,-'01_数值调参'!$R$50,0)),0),IF($A23&gt;=4,(D23+$C$3)*MAX(0,IF('01_数值调参'!$S$7&lt;=$A23,-'01_数值调参'!$S$50,0),IF('01_数值调参'!$T$7&lt;=$A23,-'01_数值调参'!$T$50,0),IF('01_数值调参'!$U$7&lt;=$A23,-'01_数值调参'!$U$50,0),IF('01_数值调参'!$V$7&lt;=$A23,-'01_数值调参'!$V$50,0),IF('01_数值调参'!$W$7&lt;=$A23,-'01_数值调参'!$W$50,0)),0),IF($A23&gt;=6,(E23+$C$3)*MAX(0,IF('01_数值调参'!$X$7&lt;=$A23,-'01_数值调参'!$X$50,0),IF('01_数值调参'!$Y$7&lt;=$A23,-'01_数值调参'!$Y$50,0),IF('01_数值调参'!$Z$7&lt;=$A23,-'01_数值调参'!$Z$50,0),IF('01_数值调参'!$AA$7&lt;=$A23,-'01_数值调参'!$AA$50,0),IF('01_数值调参'!$AB$7&lt;=$A23,-'01_数值调参'!$AB$50,0),IF('01_数值调参'!$AC$7&lt;=$A23,-'01_数值调参'!$AC$50,0)),0),IF($A23&gt;=8,(F23+$C$3)*MAX(0,IF('01_数值调参'!$AD$7&lt;=$A23,-'01_数值调参'!$AD$50,0),IF('01_数值调参'!$AE$7&lt;=$A23,-'01_数值调参'!$AE$50,0),IF('01_数值调参'!$AF$7&lt;=$A23,-'01_数值调参'!$AF$50,0),IF('01_数值调参'!$AG$7&lt;=$A23,-'01_数值调参'!$AG$50,0)),0),IF($A23&gt;=10,(G23+$C$3)*MAX(0,IF('01_数值调参'!$AH$7&lt;=$A23,-'01_数值调参'!$AH$50,0),IF('01_数值调参'!$AI$7&lt;=$A23,-'01_数值调参'!$AI$50,0),IF('01_数值调参'!$AJ$7&lt;=$A23,-'01_数值调参'!$AJ$50,0),IF('01_数值调参'!$AK$7&lt;=$A23,0,0),IF('01_数值调参'!$AL$7&lt;=$A23,-'01_数值调参'!$AL$50,0),IF('01_数值调参'!$AM$7&lt;=$A23,-'01_数值调参'!$AM$50,0)),0),0)),"队列待修正"))</x:f>
        <x:v>0</x:v>
      </x:c>
      <x:c r="AO23" s="179" t="str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L$7,"—",SUM(IF($A23&gt;=2,(C23+$C$3)*MAX(0,IF('01_数值调参'!$N$7&lt;=$A23,-'01_数值调参'!$N$51,0),IF('01_数值调参'!$O$7&lt;=$A23,-'01_数值调参'!$O$51,0),IF('01_数值调参'!$P$7&lt;=$A23,-'01_数值调参'!$P$51,0),IF('01_数值调参'!$Q$7&lt;=$A23,-'01_数值调参'!$Q$51,0),IF('01_数值调参'!$R$7&lt;=$A23,-'01_数值调参'!$R$51,0)),0),IF($A23&gt;=4,(D23+$C$3)*MAX(0,IF('01_数值调参'!$S$7&lt;=$A23,-'01_数值调参'!$S$51,0),IF('01_数值调参'!$T$7&lt;=$A23,-'01_数值调参'!$T$51,0),IF('01_数值调参'!$U$7&lt;=$A23,-'01_数值调参'!$U$51,0),IF('01_数值调参'!$V$7&lt;=$A23,-'01_数值调参'!$V$51,0),IF('01_数值调参'!$W$7&lt;=$A23,-'01_数值调参'!$W$51,0)),0),IF($A23&gt;=6,(E23+$C$3)*MAX(0,IF('01_数值调参'!$X$7&lt;=$A23,-'01_数值调参'!$X$51,0),IF('01_数值调参'!$Y$7&lt;=$A23,-'01_数值调参'!$Y$51,0),IF('01_数值调参'!$Z$7&lt;=$A23,-'01_数值调参'!$Z$51,0),IF('01_数值调参'!$AA$7&lt;=$A23,-'01_数值调参'!$AA$51,0),IF('01_数值调参'!$AB$7&lt;=$A23,-'01_数值调参'!$AB$51,0),IF('01_数值调参'!$AC$7&lt;=$A23,-'01_数值调参'!$AC$51,0)),0),IF($A23&gt;=8,(F23+$C$3)*MAX(0,IF('01_数值调参'!$AD$7&lt;=$A23,-'01_数值调参'!$AD$51,0),IF('01_数值调参'!$AE$7&lt;=$A23,-'01_数值调参'!$AE$51,0),IF('01_数值调参'!$AF$7&lt;=$A23,-'01_数值调参'!$AF$51,0),IF('01_数值调参'!$AG$7&lt;=$A23,-'01_数值调参'!$AG$51,0)),0),IF($A23&gt;=10,(G23+$C$3)*MAX(0,IF('01_数值调参'!$AH$7&lt;=$A23,-'01_数值调参'!$AH$51,0),IF('01_数值调参'!$AI$7&lt;=$A23,-'01_数值调参'!$AI$51,0),IF('01_数值调参'!$AJ$7&lt;=$A23,-'01_数值调参'!$AJ$51,0),IF('01_数值调参'!$AK$7&lt;=$A23,-'01_数值调参'!$AK$51,0),IF('01_数值调参'!$AL$7&lt;=$A23,0,0),IF('01_数值调参'!$AM$7&lt;=$A23,-'01_数值调参'!$AM$51,0)),0),0)),"队列待修正"))</x:f>
        <x:v>—</x:v>
      </x:c>
      <x:c r="AP23" s="180" t="str">
        <x:f>IF('01_数值调参'!$D$3&lt;&gt;"配方有效","待修正",IF(AND(OR($C$3=0,$C$3=1),ISNUMBER(C23),C23&gt;=0,MOD(C23,1)=0,ISNUMBER(D23),D23&gt;=0,MOD(D23,1)=0,ISNUMBER(E23),E23&gt;=0,MOD(E23,1)=0,ISNUMBER(F23),F23&gt;=0,MOD(F23,1)=0,ISNUMBER(G23),G23&gt;=0,MOD(G23,1)=0,TRUE),IF($A23&lt;'01_数值调参'!$AM$7,"—",SUM(IF($A23&gt;=2,(C23+$C$3)*MAX(0,IF('01_数值调参'!$N$7&lt;=$A23,-'01_数值调参'!$N$52,0),IF('01_数值调参'!$O$7&lt;=$A23,-'01_数值调参'!$O$52,0),IF('01_数值调参'!$P$7&lt;=$A23,-'01_数值调参'!$P$52,0),IF('01_数值调参'!$Q$7&lt;=$A23,-'01_数值调参'!$Q$52,0),IF('01_数值调参'!$R$7&lt;=$A23,-'01_数值调参'!$R$52,0)),0),IF($A23&gt;=4,(D23+$C$3)*MAX(0,IF('01_数值调参'!$S$7&lt;=$A23,-'01_数值调参'!$S$52,0),IF('01_数值调参'!$T$7&lt;=$A23,-'01_数值调参'!$T$52,0),IF('01_数值调参'!$U$7&lt;=$A23,-'01_数值调参'!$U$52,0),IF('01_数值调参'!$V$7&lt;=$A23,-'01_数值调参'!$V$52,0),IF('01_数值调参'!$W$7&lt;=$A23,-'01_数值调参'!$W$52,0)),0),IF($A23&gt;=6,(E23+$C$3)*MAX(0,IF('01_数值调参'!$X$7&lt;=$A23,-'01_数值调参'!$X$52,0),IF('01_数值调参'!$Y$7&lt;=$A23,-'01_数值调参'!$Y$52,0),IF('01_数值调参'!$Z$7&lt;=$A23,-'01_数值调参'!$Z$52,0),IF('01_数值调参'!$AA$7&lt;=$A23,-'01_数值调参'!$AA$52,0),IF('01_数值调参'!$AB$7&lt;=$A23,-'01_数值调参'!$AB$52,0),IF('01_数值调参'!$AC$7&lt;=$A23,-'01_数值调参'!$AC$52,0)),0),IF($A23&gt;=8,(F23+$C$3)*MAX(0,IF('01_数值调参'!$AD$7&lt;=$A23,-'01_数值调参'!$AD$52,0),IF('01_数值调参'!$AE$7&lt;=$A23,-'01_数值调参'!$AE$52,0),IF('01_数值调参'!$AF$7&lt;=$A23,-'01_数值调参'!$AF$52,0),IF('01_数值调参'!$AG$7&lt;=$A23,-'01_数值调参'!$AG$52,0)),0),IF($A23&gt;=10,(G23+$C$3)*MAX(0,IF('01_数值调参'!$AH$7&lt;=$A23,-'01_数值调参'!$AH$52,0),IF('01_数值调参'!$AI$7&lt;=$A23,-'01_数值调参'!$AI$52,0),IF('01_数值调参'!$AJ$7&lt;=$A23,-'01_数值调参'!$AJ$52,0),IF('01_数值调参'!$AK$7&lt;=$A23,-'01_数值调参'!$AK$52,0),IF('01_数值调参'!$AL$7&lt;=$A23,-'01_数值调参'!$AL$52,0),IF('01_数值调参'!$AM$7&lt;=$A23,0,0)),0),0)),"队列待修正"))</x:f>
        <x:v>—</x:v>
      </x:c>
    </x:row>
    <x:row r="24" ht="25" customHeight="1">
      <x:c r="A24" s="176" t="n">
        <x:v>18</x:v>
      </x:c>
      <x:c r="B24" s="177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SUM(IF($A24&gt;=2,(C24+$C$3)*MAX(0,IF('01_数值调参'!$N$7&lt;=$A24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24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24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24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24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24&gt;=4,(D24+$C$3)*MAX(0,IF('01_数值调参'!$S$7&lt;=$A24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24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24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24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24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24&gt;=6,(E24+$C$3)*MAX(0,IF('01_数值调参'!$X$7&lt;=$A24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24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24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24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24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24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24&gt;=8,(F24+$C$3)*MAX(0,IF('01_数值调参'!$AD$7&lt;=$A24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24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24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24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24&gt;=10,(G24+$C$3)*MAX(0,IF('01_数值调参'!$AH$7&lt;=$A24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24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24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24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24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24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57</x:v>
      </x:c>
      <x:c r="C24" s="178" t="n">
        <x:v>2</x:v>
      </x:c>
      <x:c r="D24" s="178" t="n">
        <x:v>2</x:v>
      </x:c>
      <x:c r="E24" s="178" t="n">
        <x:v>2</x:v>
      </x:c>
      <x:c r="F24" s="178" t="n">
        <x:v>2</x:v>
      </x:c>
      <x:c r="G24" s="178" t="n">
        <x:v>2</x:v>
      </x:c>
      <x:c r="H24" s="191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E$7,"—",SUM(IF($A24&gt;=2,(C24+$C$3)*MAX(0,IF('01_数值调参'!$N$7&lt;=$A24,-'01_数值调参'!$N$18,0),IF('01_数值调参'!$O$7&lt;=$A24,-'01_数值调参'!$O$18,0),IF('01_数值调参'!$P$7&lt;=$A24,-'01_数值调参'!$P$18,0),IF('01_数值调参'!$Q$7&lt;=$A24,-'01_数值调参'!$Q$18,0),IF('01_数值调参'!$R$7&lt;=$A24,-'01_数值调参'!$R$18,0)),0),IF($A24&gt;=4,(D24+$C$3)*MAX(0,IF('01_数值调参'!$S$7&lt;=$A24,-'01_数值调参'!$S$18,0),IF('01_数值调参'!$T$7&lt;=$A24,-'01_数值调参'!$T$18,0),IF('01_数值调参'!$U$7&lt;=$A24,-'01_数值调参'!$U$18,0),IF('01_数值调参'!$V$7&lt;=$A24,-'01_数值调参'!$V$18,0),IF('01_数值调参'!$W$7&lt;=$A24,-'01_数值调参'!$W$18,0)),0),IF($A24&gt;=6,(E24+$C$3)*MAX(0,IF('01_数值调参'!$X$7&lt;=$A24,-'01_数值调参'!$X$18,0),IF('01_数值调参'!$Y$7&lt;=$A24,-'01_数值调参'!$Y$18,0),IF('01_数值调参'!$Z$7&lt;=$A24,-'01_数值调参'!$Z$18,0),IF('01_数值调参'!$AA$7&lt;=$A24,-'01_数值调参'!$AA$18,0),IF('01_数值调参'!$AB$7&lt;=$A24,-'01_数值调参'!$AB$18,0),IF('01_数值调参'!$AC$7&lt;=$A24,-'01_数值调参'!$AC$18,0)),0),IF($A24&gt;=8,(F24+$C$3)*MAX(0,IF('01_数值调参'!$AD$7&lt;=$A24,-'01_数值调参'!$AD$18,0),IF('01_数值调参'!$AE$7&lt;=$A24,-'01_数值调参'!$AE$18,0),IF('01_数值调参'!$AF$7&lt;=$A24,-'01_数值调参'!$AF$18,0),IF('01_数值调参'!$AG$7&lt;=$A24,-'01_数值调参'!$AG$18,0)),0),IF($A24&gt;=10,(G24+$C$3)*MAX(0,IF('01_数值调参'!$AH$7&lt;=$A24,-'01_数值调参'!$AH$18,0),IF('01_数值调参'!$AI$7&lt;=$A24,-'01_数值调参'!$AI$18,0),IF('01_数值调参'!$AJ$7&lt;=$A24,-'01_数值调参'!$AJ$18,0),IF('01_数值调参'!$AK$7&lt;=$A24,-'01_数值调参'!$AK$18,0),IF('01_数值调参'!$AL$7&lt;=$A24,-'01_数值调参'!$AL$18,0),IF('01_数值调参'!$AM$7&lt;=$A24,-'01_数值调参'!$AM$18,0)),0),0)),"队列待修正"))</x:f>
        <x:v>12</x:v>
      </x:c>
      <x:c r="I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F$7,"—",SUM(IF($A24&gt;=2,(C24+$C$3)*MAX(0,IF('01_数值调参'!$N$7&lt;=$A24,-'01_数值调参'!$N$19,0),IF('01_数值调参'!$O$7&lt;=$A24,-'01_数值调参'!$O$19,0),IF('01_数值调参'!$P$7&lt;=$A24,-'01_数值调参'!$P$19,0),IF('01_数值调参'!$Q$7&lt;=$A24,-'01_数值调参'!$Q$19,0),IF('01_数值调参'!$R$7&lt;=$A24,-'01_数值调参'!$R$19,0)),0),IF($A24&gt;=4,(D24+$C$3)*MAX(0,IF('01_数值调参'!$S$7&lt;=$A24,-'01_数值调参'!$S$19,0),IF('01_数值调参'!$T$7&lt;=$A24,-'01_数值调参'!$T$19,0),IF('01_数值调参'!$U$7&lt;=$A24,-'01_数值调参'!$U$19,0),IF('01_数值调参'!$V$7&lt;=$A24,-'01_数值调参'!$V$19,0),IF('01_数值调参'!$W$7&lt;=$A24,-'01_数值调参'!$W$19,0)),0),IF($A24&gt;=6,(E24+$C$3)*MAX(0,IF('01_数值调参'!$X$7&lt;=$A24,-'01_数值调参'!$X$19,0),IF('01_数值调参'!$Y$7&lt;=$A24,-'01_数值调参'!$Y$19,0),IF('01_数值调参'!$Z$7&lt;=$A24,-'01_数值调参'!$Z$19,0),IF('01_数值调参'!$AA$7&lt;=$A24,-'01_数值调参'!$AA$19,0),IF('01_数值调参'!$AB$7&lt;=$A24,-'01_数值调参'!$AB$19,0),IF('01_数值调参'!$AC$7&lt;=$A24,-'01_数值调参'!$AC$19,0)),0),IF($A24&gt;=8,(F24+$C$3)*MAX(0,IF('01_数值调参'!$AD$7&lt;=$A24,-'01_数值调参'!$AD$19,0),IF('01_数值调参'!$AE$7&lt;=$A24,-'01_数值调参'!$AE$19,0),IF('01_数值调参'!$AF$7&lt;=$A24,-'01_数值调参'!$AF$19,0),IF('01_数值调参'!$AG$7&lt;=$A24,-'01_数值调参'!$AG$19,0)),0),IF($A24&gt;=10,(G24+$C$3)*MAX(0,IF('01_数值调参'!$AH$7&lt;=$A24,-'01_数值调参'!$AH$19,0),IF('01_数值调参'!$AI$7&lt;=$A24,-'01_数值调参'!$AI$19,0),IF('01_数值调参'!$AJ$7&lt;=$A24,-'01_数值调参'!$AJ$19,0),IF('01_数值调参'!$AK$7&lt;=$A24,-'01_数值调参'!$AK$19,0),IF('01_数值调参'!$AL$7&lt;=$A24,-'01_数值调参'!$AL$19,0),IF('01_数值调参'!$AM$7&lt;=$A24,-'01_数值调参'!$AM$19,0)),0),0)),"队列待修正"))</x:f>
        <x:v>12</x:v>
      </x:c>
      <x:c r="J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G$7,"—",SUM(IF($A24&gt;=2,(C24+$C$3)*MAX(0,IF('01_数值调参'!$N$7&lt;=$A24,-'01_数值调参'!$N$20,0),IF('01_数值调参'!$O$7&lt;=$A24,-'01_数值调参'!$O$20,0),IF('01_数值调参'!$P$7&lt;=$A24,-'01_数值调参'!$P$20,0),IF('01_数值调参'!$Q$7&lt;=$A24,-'01_数值调参'!$Q$20,0),IF('01_数值调参'!$R$7&lt;=$A24,-'01_数值调参'!$R$20,0)),0),IF($A24&gt;=4,(D24+$C$3)*MAX(0,IF('01_数值调参'!$S$7&lt;=$A24,-'01_数值调参'!$S$20,0),IF('01_数值调参'!$T$7&lt;=$A24,-'01_数值调参'!$T$20,0),IF('01_数值调参'!$U$7&lt;=$A24,-'01_数值调参'!$U$20,0),IF('01_数值调参'!$V$7&lt;=$A24,-'01_数值调参'!$V$20,0),IF('01_数值调参'!$W$7&lt;=$A24,-'01_数值调参'!$W$20,0)),0),IF($A24&gt;=6,(E24+$C$3)*MAX(0,IF('01_数值调参'!$X$7&lt;=$A24,-'01_数值调参'!$X$20,0),IF('01_数值调参'!$Y$7&lt;=$A24,-'01_数值调参'!$Y$20,0),IF('01_数值调参'!$Z$7&lt;=$A24,-'01_数值调参'!$Z$20,0),IF('01_数值调参'!$AA$7&lt;=$A24,-'01_数值调参'!$AA$20,0),IF('01_数值调参'!$AB$7&lt;=$A24,-'01_数值调参'!$AB$20,0),IF('01_数值调参'!$AC$7&lt;=$A24,-'01_数值调参'!$AC$20,0)),0),IF($A24&gt;=8,(F24+$C$3)*MAX(0,IF('01_数值调参'!$AD$7&lt;=$A24,-'01_数值调参'!$AD$20,0),IF('01_数值调参'!$AE$7&lt;=$A24,-'01_数值调参'!$AE$20,0),IF('01_数值调参'!$AF$7&lt;=$A24,-'01_数值调参'!$AF$20,0),IF('01_数值调参'!$AG$7&lt;=$A24,-'01_数值调参'!$AG$20,0)),0),IF($A24&gt;=10,(G24+$C$3)*MAX(0,IF('01_数值调参'!$AH$7&lt;=$A24,-'01_数值调参'!$AH$20,0),IF('01_数值调参'!$AI$7&lt;=$A24,-'01_数值调参'!$AI$20,0),IF('01_数值调参'!$AJ$7&lt;=$A24,-'01_数值调参'!$AJ$20,0),IF('01_数值调参'!$AK$7&lt;=$A24,-'01_数值调参'!$AK$20,0),IF('01_数值调参'!$AL$7&lt;=$A24,-'01_数值调参'!$AL$20,0),IF('01_数值调参'!$AM$7&lt;=$A24,-'01_数值调参'!$AM$20,0)),0),0)),"队列待修正"))</x:f>
        <x:v>12</x:v>
      </x:c>
      <x:c r="K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H$7,"—",SUM(IF($A24&gt;=2,(C24+$C$3)*MAX(0,IF('01_数值调参'!$N$7&lt;=$A24,-'01_数值调参'!$N$21,0),IF('01_数值调参'!$O$7&lt;=$A24,-'01_数值调参'!$O$21,0),IF('01_数值调参'!$P$7&lt;=$A24,-'01_数值调参'!$P$21,0),IF('01_数值调参'!$Q$7&lt;=$A24,-'01_数值调参'!$Q$21,0),IF('01_数值调参'!$R$7&lt;=$A24,-'01_数值调参'!$R$21,0)),0),IF($A24&gt;=4,(D24+$C$3)*MAX(0,IF('01_数值调参'!$S$7&lt;=$A24,-'01_数值调参'!$S$21,0),IF('01_数值调参'!$T$7&lt;=$A24,-'01_数值调参'!$T$21,0),IF('01_数值调参'!$U$7&lt;=$A24,-'01_数值调参'!$U$21,0),IF('01_数值调参'!$V$7&lt;=$A24,-'01_数值调参'!$V$21,0),IF('01_数值调参'!$W$7&lt;=$A24,-'01_数值调参'!$W$21,0)),0),IF($A24&gt;=6,(E24+$C$3)*MAX(0,IF('01_数值调参'!$X$7&lt;=$A24,-'01_数值调参'!$X$21,0),IF('01_数值调参'!$Y$7&lt;=$A24,-'01_数值调参'!$Y$21,0),IF('01_数值调参'!$Z$7&lt;=$A24,-'01_数值调参'!$Z$21,0),IF('01_数值调参'!$AA$7&lt;=$A24,-'01_数值调参'!$AA$21,0),IF('01_数值调参'!$AB$7&lt;=$A24,-'01_数值调参'!$AB$21,0),IF('01_数值调参'!$AC$7&lt;=$A24,-'01_数值调参'!$AC$21,0)),0),IF($A24&gt;=8,(F24+$C$3)*MAX(0,IF('01_数值调参'!$AD$7&lt;=$A24,-'01_数值调参'!$AD$21,0),IF('01_数值调参'!$AE$7&lt;=$A24,-'01_数值调参'!$AE$21,0),IF('01_数值调参'!$AF$7&lt;=$A24,-'01_数值调参'!$AF$21,0),IF('01_数值调参'!$AG$7&lt;=$A24,-'01_数值调参'!$AG$21,0)),0),IF($A24&gt;=10,(G24+$C$3)*MAX(0,IF('01_数值调参'!$AH$7&lt;=$A24,-'01_数值调参'!$AH$21,0),IF('01_数值调参'!$AI$7&lt;=$A24,-'01_数值调参'!$AI$21,0),IF('01_数值调参'!$AJ$7&lt;=$A24,-'01_数值调参'!$AJ$21,0),IF('01_数值调参'!$AK$7&lt;=$A24,-'01_数值调参'!$AK$21,0),IF('01_数值调参'!$AL$7&lt;=$A24,-'01_数值调参'!$AL$21,0),IF('01_数值调参'!$AM$7&lt;=$A24,-'01_数值调参'!$AM$21,0)),0),0)),"队列待修正"))</x:f>
        <x:v>12</x:v>
      </x:c>
      <x:c r="L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I$7,"—",SUM(IF($A24&gt;=2,(C24+$C$3)*MAX(0,IF('01_数值调参'!$N$7&lt;=$A24,-'01_数值调参'!$N$22,0),IF('01_数值调参'!$O$7&lt;=$A24,-'01_数值调参'!$O$22,0),IF('01_数值调参'!$P$7&lt;=$A24,-'01_数值调参'!$P$22,0),IF('01_数值调参'!$Q$7&lt;=$A24,-'01_数值调参'!$Q$22,0),IF('01_数值调参'!$R$7&lt;=$A24,-'01_数值调参'!$R$22,0)),0),IF($A24&gt;=4,(D24+$C$3)*MAX(0,IF('01_数值调参'!$S$7&lt;=$A24,-'01_数值调参'!$S$22,0),IF('01_数值调参'!$T$7&lt;=$A24,-'01_数值调参'!$T$22,0),IF('01_数值调参'!$U$7&lt;=$A24,-'01_数值调参'!$U$22,0),IF('01_数值调参'!$V$7&lt;=$A24,-'01_数值调参'!$V$22,0),IF('01_数值调参'!$W$7&lt;=$A24,-'01_数值调参'!$W$22,0)),0),IF($A24&gt;=6,(E24+$C$3)*MAX(0,IF('01_数值调参'!$X$7&lt;=$A24,-'01_数值调参'!$X$22,0),IF('01_数值调参'!$Y$7&lt;=$A24,-'01_数值调参'!$Y$22,0),IF('01_数值调参'!$Z$7&lt;=$A24,-'01_数值调参'!$Z$22,0),IF('01_数值调参'!$AA$7&lt;=$A24,-'01_数值调参'!$AA$22,0),IF('01_数值调参'!$AB$7&lt;=$A24,-'01_数值调参'!$AB$22,0),IF('01_数值调参'!$AC$7&lt;=$A24,-'01_数值调参'!$AC$22,0)),0),IF($A24&gt;=8,(F24+$C$3)*MAX(0,IF('01_数值调参'!$AD$7&lt;=$A24,-'01_数值调参'!$AD$22,0),IF('01_数值调参'!$AE$7&lt;=$A24,-'01_数值调参'!$AE$22,0),IF('01_数值调参'!$AF$7&lt;=$A24,-'01_数值调参'!$AF$22,0),IF('01_数值调参'!$AG$7&lt;=$A24,-'01_数值调参'!$AG$22,0)),0),IF($A24&gt;=10,(G24+$C$3)*MAX(0,IF('01_数值调参'!$AH$7&lt;=$A24,-'01_数值调参'!$AH$22,0),IF('01_数值调参'!$AI$7&lt;=$A24,-'01_数值调参'!$AI$22,0),IF('01_数值调参'!$AJ$7&lt;=$A24,-'01_数值调参'!$AJ$22,0),IF('01_数值调参'!$AK$7&lt;=$A24,-'01_数值调参'!$AK$22,0),IF('01_数值调参'!$AL$7&lt;=$A24,-'01_数值调参'!$AL$22,0),IF('01_数值调参'!$AM$7&lt;=$A24,-'01_数值调参'!$AM$22,0)),0),0)),"队列待修正"))</x:f>
        <x:v>12</x:v>
      </x:c>
      <x:c r="M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J$7,"—",SUM(IF($A24&gt;=2,(C24+$C$3)*MAX(0,IF('01_数值调参'!$N$7&lt;=$A24,-'01_数值调参'!$N$23,0),IF('01_数值调参'!$O$7&lt;=$A24,-'01_数值调参'!$O$23,0),IF('01_数值调参'!$P$7&lt;=$A24,-'01_数值调参'!$P$23,0),IF('01_数值调参'!$Q$7&lt;=$A24,-'01_数值调参'!$Q$23,0),IF('01_数值调参'!$R$7&lt;=$A24,-'01_数值调参'!$R$23,0)),0),IF($A24&gt;=4,(D24+$C$3)*MAX(0,IF('01_数值调参'!$S$7&lt;=$A24,-'01_数值调参'!$S$23,0),IF('01_数值调参'!$T$7&lt;=$A24,-'01_数值调参'!$T$23,0),IF('01_数值调参'!$U$7&lt;=$A24,-'01_数值调参'!$U$23,0),IF('01_数值调参'!$V$7&lt;=$A24,-'01_数值调参'!$V$23,0),IF('01_数值调参'!$W$7&lt;=$A24,-'01_数值调参'!$W$23,0)),0),IF($A24&gt;=6,(E24+$C$3)*MAX(0,IF('01_数值调参'!$X$7&lt;=$A24,-'01_数值调参'!$X$23,0),IF('01_数值调参'!$Y$7&lt;=$A24,-'01_数值调参'!$Y$23,0),IF('01_数值调参'!$Z$7&lt;=$A24,-'01_数值调参'!$Z$23,0),IF('01_数值调参'!$AA$7&lt;=$A24,-'01_数值调参'!$AA$23,0),IF('01_数值调参'!$AB$7&lt;=$A24,-'01_数值调参'!$AB$23,0),IF('01_数值调参'!$AC$7&lt;=$A24,-'01_数值调参'!$AC$23,0)),0),IF($A24&gt;=8,(F24+$C$3)*MAX(0,IF('01_数值调参'!$AD$7&lt;=$A24,-'01_数值调参'!$AD$23,0),IF('01_数值调参'!$AE$7&lt;=$A24,-'01_数值调参'!$AE$23,0),IF('01_数值调参'!$AF$7&lt;=$A24,-'01_数值调参'!$AF$23,0),IF('01_数值调参'!$AG$7&lt;=$A24,-'01_数值调参'!$AG$23,0)),0),IF($A24&gt;=10,(G24+$C$3)*MAX(0,IF('01_数值调参'!$AH$7&lt;=$A24,-'01_数值调参'!$AH$23,0),IF('01_数值调参'!$AI$7&lt;=$A24,-'01_数值调参'!$AI$23,0),IF('01_数值调参'!$AJ$7&lt;=$A24,-'01_数值调参'!$AJ$23,0),IF('01_数值调参'!$AK$7&lt;=$A24,-'01_数值调参'!$AK$23,0),IF('01_数值调参'!$AL$7&lt;=$A24,-'01_数值调参'!$AL$23,0),IF('01_数值调参'!$AM$7&lt;=$A24,-'01_数值调参'!$AM$23,0)),0),0)),"队列待修正"))</x:f>
        <x:v>15</x:v>
      </x:c>
      <x:c r="N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K$7,"—",SUM(IF($A24&gt;=2,(C24+$C$3)*MAX(0,IF('01_数值调参'!$N$7&lt;=$A24,-'01_数值调参'!$N$24,0),IF('01_数值调参'!$O$7&lt;=$A24,-'01_数值调参'!$O$24,0),IF('01_数值调参'!$P$7&lt;=$A24,-'01_数值调参'!$P$24,0),IF('01_数值调参'!$Q$7&lt;=$A24,-'01_数值调参'!$Q$24,0),IF('01_数值调参'!$R$7&lt;=$A24,-'01_数值调参'!$R$24,0)),0),IF($A24&gt;=4,(D24+$C$3)*MAX(0,IF('01_数值调参'!$S$7&lt;=$A24,-'01_数值调参'!$S$24,0),IF('01_数值调参'!$T$7&lt;=$A24,-'01_数值调参'!$T$24,0),IF('01_数值调参'!$U$7&lt;=$A24,-'01_数值调参'!$U$24,0),IF('01_数值调参'!$V$7&lt;=$A24,-'01_数值调参'!$V$24,0),IF('01_数值调参'!$W$7&lt;=$A24,-'01_数值调参'!$W$24,0)),0),IF($A24&gt;=6,(E24+$C$3)*MAX(0,IF('01_数值调参'!$X$7&lt;=$A24,-'01_数值调参'!$X$24,0),IF('01_数值调参'!$Y$7&lt;=$A24,-'01_数值调参'!$Y$24,0),IF('01_数值调参'!$Z$7&lt;=$A24,-'01_数值调参'!$Z$24,0),IF('01_数值调参'!$AA$7&lt;=$A24,-'01_数值调参'!$AA$24,0),IF('01_数值调参'!$AB$7&lt;=$A24,-'01_数值调参'!$AB$24,0),IF('01_数值调参'!$AC$7&lt;=$A24,-'01_数值调参'!$AC$24,0)),0),IF($A24&gt;=8,(F24+$C$3)*MAX(0,IF('01_数值调参'!$AD$7&lt;=$A24,-'01_数值调参'!$AD$24,0),IF('01_数值调参'!$AE$7&lt;=$A24,-'01_数值调参'!$AE$24,0),IF('01_数值调参'!$AF$7&lt;=$A24,-'01_数值调参'!$AF$24,0),IF('01_数值调参'!$AG$7&lt;=$A24,-'01_数值调参'!$AG$24,0)),0),IF($A24&gt;=10,(G24+$C$3)*MAX(0,IF('01_数值调参'!$AH$7&lt;=$A24,-'01_数值调参'!$AH$24,0),IF('01_数值调参'!$AI$7&lt;=$A24,-'01_数值调参'!$AI$24,0),IF('01_数值调参'!$AJ$7&lt;=$A24,-'01_数值调参'!$AJ$24,0),IF('01_数值调参'!$AK$7&lt;=$A24,-'01_数值调参'!$AK$24,0),IF('01_数值调参'!$AL$7&lt;=$A24,-'01_数值调参'!$AL$24,0),IF('01_数值调参'!$AM$7&lt;=$A24,-'01_数值调参'!$AM$24,0)),0),0)),"队列待修正"))</x:f>
        <x:v>15</x:v>
      </x:c>
      <x:c r="O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L$7,"—",SUM(IF($A24&gt;=2,(C24+$C$3)*MAX(0,IF('01_数值调参'!$N$7&lt;=$A24,-'01_数值调参'!$N$25,0),IF('01_数值调参'!$O$7&lt;=$A24,-'01_数值调参'!$O$25,0),IF('01_数值调参'!$P$7&lt;=$A24,-'01_数值调参'!$P$25,0),IF('01_数值调参'!$Q$7&lt;=$A24,-'01_数值调参'!$Q$25,0),IF('01_数值调参'!$R$7&lt;=$A24,-'01_数值调参'!$R$25,0)),0),IF($A24&gt;=4,(D24+$C$3)*MAX(0,IF('01_数值调参'!$S$7&lt;=$A24,-'01_数值调参'!$S$25,0),IF('01_数值调参'!$T$7&lt;=$A24,-'01_数值调参'!$T$25,0),IF('01_数值调参'!$U$7&lt;=$A24,-'01_数值调参'!$U$25,0),IF('01_数值调参'!$V$7&lt;=$A24,-'01_数值调参'!$V$25,0),IF('01_数值调参'!$W$7&lt;=$A24,-'01_数值调参'!$W$25,0)),0),IF($A24&gt;=6,(E24+$C$3)*MAX(0,IF('01_数值调参'!$X$7&lt;=$A24,-'01_数值调参'!$X$25,0),IF('01_数值调参'!$Y$7&lt;=$A24,-'01_数值调参'!$Y$25,0),IF('01_数值调参'!$Z$7&lt;=$A24,-'01_数值调参'!$Z$25,0),IF('01_数值调参'!$AA$7&lt;=$A24,-'01_数值调参'!$AA$25,0),IF('01_数值调参'!$AB$7&lt;=$A24,-'01_数值调参'!$AB$25,0),IF('01_数值调参'!$AC$7&lt;=$A24,-'01_数值调参'!$AC$25,0)),0),IF($A24&gt;=8,(F24+$C$3)*MAX(0,IF('01_数值调参'!$AD$7&lt;=$A24,-'01_数值调参'!$AD$25,0),IF('01_数值调参'!$AE$7&lt;=$A24,-'01_数值调参'!$AE$25,0),IF('01_数值调参'!$AF$7&lt;=$A24,-'01_数值调参'!$AF$25,0),IF('01_数值调参'!$AG$7&lt;=$A24,-'01_数值调参'!$AG$25,0)),0),IF($A24&gt;=10,(G24+$C$3)*MAX(0,IF('01_数值调参'!$AH$7&lt;=$A24,-'01_数值调参'!$AH$25,0),IF('01_数值调参'!$AI$7&lt;=$A24,-'01_数值调参'!$AI$25,0),IF('01_数值调参'!$AJ$7&lt;=$A24,-'01_数值调参'!$AJ$25,0),IF('01_数值调参'!$AK$7&lt;=$A24,-'01_数值调参'!$AK$25,0),IF('01_数值调参'!$AL$7&lt;=$A24,-'01_数值调参'!$AL$25,0),IF('01_数值调参'!$AM$7&lt;=$A24,-'01_数值调参'!$AM$25,0)),0),0)),"队列待修正"))</x:f>
        <x:v>9</x:v>
      </x:c>
      <x:c r="P24" s="179" t="str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M$7,"—",SUM(IF($A24&gt;=2,(C24+$C$3)*MAX(0,IF('01_数值调参'!$N$7&lt;=$A24,-'01_数值调参'!$N$26,0),IF('01_数值调参'!$O$7&lt;=$A24,-'01_数值调参'!$O$26,0),IF('01_数值调参'!$P$7&lt;=$A24,-'01_数值调参'!$P$26,0),IF('01_数值调参'!$Q$7&lt;=$A24,-'01_数值调参'!$Q$26,0),IF('01_数值调参'!$R$7&lt;=$A24,-'01_数值调参'!$R$26,0)),0),IF($A24&gt;=4,(D24+$C$3)*MAX(0,IF('01_数值调参'!$S$7&lt;=$A24,-'01_数值调参'!$S$26,0),IF('01_数值调参'!$T$7&lt;=$A24,-'01_数值调参'!$T$26,0),IF('01_数值调参'!$U$7&lt;=$A24,-'01_数值调参'!$U$26,0),IF('01_数值调参'!$V$7&lt;=$A24,-'01_数值调参'!$V$26,0),IF('01_数值调参'!$W$7&lt;=$A24,-'01_数值调参'!$W$26,0)),0),IF($A24&gt;=6,(E24+$C$3)*MAX(0,IF('01_数值调参'!$X$7&lt;=$A24,-'01_数值调参'!$X$26,0),IF('01_数值调参'!$Y$7&lt;=$A24,-'01_数值调参'!$Y$26,0),IF('01_数值调参'!$Z$7&lt;=$A24,-'01_数值调参'!$Z$26,0),IF('01_数值调参'!$AA$7&lt;=$A24,-'01_数值调参'!$AA$26,0),IF('01_数值调参'!$AB$7&lt;=$A24,-'01_数值调参'!$AB$26,0),IF('01_数值调参'!$AC$7&lt;=$A24,-'01_数值调参'!$AC$26,0)),0),IF($A24&gt;=8,(F24+$C$3)*MAX(0,IF('01_数值调参'!$AD$7&lt;=$A24,-'01_数值调参'!$AD$26,0),IF('01_数值调参'!$AE$7&lt;=$A24,-'01_数值调参'!$AE$26,0),IF('01_数值调参'!$AF$7&lt;=$A24,-'01_数值调参'!$AF$26,0),IF('01_数值调参'!$AG$7&lt;=$A24,-'01_数值调参'!$AG$26,0)),0),IF($A24&gt;=10,(G24+$C$3)*MAX(0,IF('01_数值调参'!$AH$7&lt;=$A24,-'01_数值调参'!$AH$26,0),IF('01_数值调参'!$AI$7&lt;=$A24,-'01_数值调参'!$AI$26,0),IF('01_数值调参'!$AJ$7&lt;=$A24,-'01_数值调参'!$AJ$26,0),IF('01_数值调参'!$AK$7&lt;=$A24,-'01_数值调参'!$AK$26,0),IF('01_数值调参'!$AL$7&lt;=$A24,-'01_数值调参'!$AL$26,0),IF('01_数值调参'!$AM$7&lt;=$A24,-'01_数值调参'!$AM$26,0)),0),0)),"队列待修正"))</x:f>
        <x:v>—</x:v>
      </x:c>
      <x:c r="Q24" s="191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N$7,"—",SUM(IF($A24&gt;=2,(C24+$C$3)*MAX(0,IF('01_数值调参'!$N$7&lt;=$A24,0,0),IF('01_数值调参'!$O$7&lt;=$A24,-'01_数值调参'!$O$27,0),IF('01_数值调参'!$P$7&lt;=$A24,-'01_数值调参'!$P$27,0),IF('01_数值调参'!$Q$7&lt;=$A24,-'01_数值调参'!$Q$27,0),IF('01_数值调参'!$R$7&lt;=$A24,-'01_数值调参'!$R$27,0)),0),IF($A24&gt;=4,(D24+$C$3)*MAX(0,IF('01_数值调参'!$S$7&lt;=$A24,-'01_数值调参'!$S$27,0),IF('01_数值调参'!$T$7&lt;=$A24,-'01_数值调参'!$T$27,0),IF('01_数值调参'!$U$7&lt;=$A24,-'01_数值调参'!$U$27,0),IF('01_数值调参'!$V$7&lt;=$A24,-'01_数值调参'!$V$27,0),IF('01_数值调参'!$W$7&lt;=$A24,-'01_数值调参'!$W$27,0)),0),IF($A24&gt;=6,(E24+$C$3)*MAX(0,IF('01_数值调参'!$X$7&lt;=$A24,-'01_数值调参'!$X$27,0),IF('01_数值调参'!$Y$7&lt;=$A24,-'01_数值调参'!$Y$27,0),IF('01_数值调参'!$Z$7&lt;=$A24,-'01_数值调参'!$Z$27,0),IF('01_数值调参'!$AA$7&lt;=$A24,-'01_数值调参'!$AA$27,0),IF('01_数值调参'!$AB$7&lt;=$A24,-'01_数值调参'!$AB$27,0),IF('01_数值调参'!$AC$7&lt;=$A24,-'01_数值调参'!$AC$27,0)),0),IF($A24&gt;=8,(F24+$C$3)*MAX(0,IF('01_数值调参'!$AD$7&lt;=$A24,-'01_数值调参'!$AD$27,0),IF('01_数值调参'!$AE$7&lt;=$A24,-'01_数值调参'!$AE$27,0),IF('01_数值调参'!$AF$7&lt;=$A24,-'01_数值调参'!$AF$27,0),IF('01_数值调参'!$AG$7&lt;=$A24,-'01_数值调参'!$AG$27,0)),0),IF($A24&gt;=10,(G24+$C$3)*MAX(0,IF('01_数值调参'!$AH$7&lt;=$A24,-'01_数值调参'!$AH$27,0),IF('01_数值调参'!$AI$7&lt;=$A24,-'01_数值调参'!$AI$27,0),IF('01_数值调参'!$AJ$7&lt;=$A24,-'01_数值调参'!$AJ$27,0),IF('01_数值调参'!$AK$7&lt;=$A24,-'01_数值调参'!$AK$27,0),IF('01_数值调参'!$AL$7&lt;=$A24,-'01_数值调参'!$AL$27,0),IF('01_数值调参'!$AM$7&lt;=$A24,-'01_数值调参'!$AM$27,0)),0),0)),"队列待修正"))</x:f>
        <x:v>3</x:v>
      </x:c>
      <x:c r="R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O$7,"—",SUM(IF($A24&gt;=2,(C24+$C$3)*MAX(0,IF('01_数值调参'!$N$7&lt;=$A24,-'01_数值调参'!$N$28,0),IF('01_数值调参'!$O$7&lt;=$A24,0,0),IF('01_数值调参'!$P$7&lt;=$A24,-'01_数值调参'!$P$28,0),IF('01_数值调参'!$Q$7&lt;=$A24,-'01_数值调参'!$Q$28,0),IF('01_数值调参'!$R$7&lt;=$A24,-'01_数值调参'!$R$28,0)),0),IF($A24&gt;=4,(D24+$C$3)*MAX(0,IF('01_数值调参'!$S$7&lt;=$A24,-'01_数值调参'!$S$28,0),IF('01_数值调参'!$T$7&lt;=$A24,-'01_数值调参'!$T$28,0),IF('01_数值调参'!$U$7&lt;=$A24,-'01_数值调参'!$U$28,0),IF('01_数值调参'!$V$7&lt;=$A24,-'01_数值调参'!$V$28,0),IF('01_数值调参'!$W$7&lt;=$A24,-'01_数值调参'!$W$28,0)),0),IF($A24&gt;=6,(E24+$C$3)*MAX(0,IF('01_数值调参'!$X$7&lt;=$A24,-'01_数值调参'!$X$28,0),IF('01_数值调参'!$Y$7&lt;=$A24,-'01_数值调参'!$Y$28,0),IF('01_数值调参'!$Z$7&lt;=$A24,-'01_数值调参'!$Z$28,0),IF('01_数值调参'!$AA$7&lt;=$A24,-'01_数值调参'!$AA$28,0),IF('01_数值调参'!$AB$7&lt;=$A24,-'01_数值调参'!$AB$28,0),IF('01_数值调参'!$AC$7&lt;=$A24,-'01_数值调参'!$AC$28,0)),0),IF($A24&gt;=8,(F24+$C$3)*MAX(0,IF('01_数值调参'!$AD$7&lt;=$A24,-'01_数值调参'!$AD$28,0),IF('01_数值调参'!$AE$7&lt;=$A24,-'01_数值调参'!$AE$28,0),IF('01_数值调参'!$AF$7&lt;=$A24,-'01_数值调参'!$AF$28,0),IF('01_数值调参'!$AG$7&lt;=$A24,-'01_数值调参'!$AG$28,0)),0),IF($A24&gt;=10,(G24+$C$3)*MAX(0,IF('01_数值调参'!$AH$7&lt;=$A24,-'01_数值调参'!$AH$28,0),IF('01_数值调参'!$AI$7&lt;=$A24,-'01_数值调参'!$AI$28,0),IF('01_数值调参'!$AJ$7&lt;=$A24,-'01_数值调参'!$AJ$28,0),IF('01_数值调参'!$AK$7&lt;=$A24,-'01_数值调参'!$AK$28,0),IF('01_数值调参'!$AL$7&lt;=$A24,-'01_数值调参'!$AL$28,0),IF('01_数值调参'!$AM$7&lt;=$A24,-'01_数值调参'!$AM$28,0)),0),0)),"队列待修正"))</x:f>
        <x:v>3</x:v>
      </x:c>
      <x:c r="S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P$7,"—",SUM(IF($A24&gt;=2,(C24+$C$3)*MAX(0,IF('01_数值调参'!$N$7&lt;=$A24,-'01_数值调参'!$N$29,0),IF('01_数值调参'!$O$7&lt;=$A24,-'01_数值调参'!$O$29,0),IF('01_数值调参'!$P$7&lt;=$A24,0,0),IF('01_数值调参'!$Q$7&lt;=$A24,-'01_数值调参'!$Q$29,0),IF('01_数值调参'!$R$7&lt;=$A24,-'01_数值调参'!$R$29,0)),0),IF($A24&gt;=4,(D24+$C$3)*MAX(0,IF('01_数值调参'!$S$7&lt;=$A24,-'01_数值调参'!$S$29,0),IF('01_数值调参'!$T$7&lt;=$A24,-'01_数值调参'!$T$29,0),IF('01_数值调参'!$U$7&lt;=$A24,-'01_数值调参'!$U$29,0),IF('01_数值调参'!$V$7&lt;=$A24,-'01_数值调参'!$V$29,0),IF('01_数值调参'!$W$7&lt;=$A24,-'01_数值调参'!$W$29,0)),0),IF($A24&gt;=6,(E24+$C$3)*MAX(0,IF('01_数值调参'!$X$7&lt;=$A24,-'01_数值调参'!$X$29,0),IF('01_数值调参'!$Y$7&lt;=$A24,-'01_数值调参'!$Y$29,0),IF('01_数值调参'!$Z$7&lt;=$A24,-'01_数值调参'!$Z$29,0),IF('01_数值调参'!$AA$7&lt;=$A24,-'01_数值调参'!$AA$29,0),IF('01_数值调参'!$AB$7&lt;=$A24,-'01_数值调参'!$AB$29,0),IF('01_数值调参'!$AC$7&lt;=$A24,-'01_数值调参'!$AC$29,0)),0),IF($A24&gt;=8,(F24+$C$3)*MAX(0,IF('01_数值调参'!$AD$7&lt;=$A24,-'01_数值调参'!$AD$29,0),IF('01_数值调参'!$AE$7&lt;=$A24,-'01_数值调参'!$AE$29,0),IF('01_数值调参'!$AF$7&lt;=$A24,-'01_数值调参'!$AF$29,0),IF('01_数值调参'!$AG$7&lt;=$A24,-'01_数值调参'!$AG$29,0)),0),IF($A24&gt;=10,(G24+$C$3)*MAX(0,IF('01_数值调参'!$AH$7&lt;=$A24,-'01_数值调参'!$AH$29,0),IF('01_数值调参'!$AI$7&lt;=$A24,-'01_数值调参'!$AI$29,0),IF('01_数值调参'!$AJ$7&lt;=$A24,-'01_数值调参'!$AJ$29,0),IF('01_数值调参'!$AK$7&lt;=$A24,-'01_数值调参'!$AK$29,0),IF('01_数值调参'!$AL$7&lt;=$A24,-'01_数值调参'!$AL$29,0),IF('01_数值调参'!$AM$7&lt;=$A24,-'01_数值调参'!$AM$29,0)),0),0)),"队列待修正"))</x:f>
        <x:v>3</x:v>
      </x:c>
      <x:c r="T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Q$7,"—",SUM(IF($A24&gt;=2,(C24+$C$3)*MAX(0,IF('01_数值调参'!$N$7&lt;=$A24,-'01_数值调参'!$N$30,0),IF('01_数值调参'!$O$7&lt;=$A24,-'01_数值调参'!$O$30,0),IF('01_数值调参'!$P$7&lt;=$A24,-'01_数值调参'!$P$30,0),IF('01_数值调参'!$Q$7&lt;=$A24,0,0),IF('01_数值调参'!$R$7&lt;=$A24,-'01_数值调参'!$R$30,0)),0),IF($A24&gt;=4,(D24+$C$3)*MAX(0,IF('01_数值调参'!$S$7&lt;=$A24,-'01_数值调参'!$S$30,0),IF('01_数值调参'!$T$7&lt;=$A24,-'01_数值调参'!$T$30,0),IF('01_数值调参'!$U$7&lt;=$A24,-'01_数值调参'!$U$30,0),IF('01_数值调参'!$V$7&lt;=$A24,-'01_数值调参'!$V$30,0),IF('01_数值调参'!$W$7&lt;=$A24,-'01_数值调参'!$W$30,0)),0),IF($A24&gt;=6,(E24+$C$3)*MAX(0,IF('01_数值调参'!$X$7&lt;=$A24,-'01_数值调参'!$X$30,0),IF('01_数值调参'!$Y$7&lt;=$A24,-'01_数值调参'!$Y$30,0),IF('01_数值调参'!$Z$7&lt;=$A24,-'01_数值调参'!$Z$30,0),IF('01_数值调参'!$AA$7&lt;=$A24,-'01_数值调参'!$AA$30,0),IF('01_数值调参'!$AB$7&lt;=$A24,-'01_数值调参'!$AB$30,0),IF('01_数值调参'!$AC$7&lt;=$A24,-'01_数值调参'!$AC$30,0)),0),IF($A24&gt;=8,(F24+$C$3)*MAX(0,IF('01_数值调参'!$AD$7&lt;=$A24,-'01_数值调参'!$AD$30,0),IF('01_数值调参'!$AE$7&lt;=$A24,-'01_数值调参'!$AE$30,0),IF('01_数值调参'!$AF$7&lt;=$A24,-'01_数值调参'!$AF$30,0),IF('01_数值调参'!$AG$7&lt;=$A24,-'01_数值调参'!$AG$30,0)),0),IF($A24&gt;=10,(G24+$C$3)*MAX(0,IF('01_数值调参'!$AH$7&lt;=$A24,-'01_数值调参'!$AH$30,0),IF('01_数值调参'!$AI$7&lt;=$A24,-'01_数值调参'!$AI$30,0),IF('01_数值调参'!$AJ$7&lt;=$A24,-'01_数值调参'!$AJ$30,0),IF('01_数值调参'!$AK$7&lt;=$A24,-'01_数值调参'!$AK$30,0),IF('01_数值调参'!$AL$7&lt;=$A24,-'01_数值调参'!$AL$30,0),IF('01_数值调参'!$AM$7&lt;=$A24,-'01_数值调参'!$AM$30,0)),0),0)),"队列待修正"))</x:f>
        <x:v>3</x:v>
      </x:c>
      <x:c r="U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R$7,"—",SUM(IF($A24&gt;=2,(C24+$C$3)*MAX(0,IF('01_数值调参'!$N$7&lt;=$A24,-'01_数值调参'!$N$31,0),IF('01_数值调参'!$O$7&lt;=$A24,-'01_数值调参'!$O$31,0),IF('01_数值调参'!$P$7&lt;=$A24,-'01_数值调参'!$P$31,0),IF('01_数值调参'!$Q$7&lt;=$A24,-'01_数值调参'!$Q$31,0),IF('01_数值调参'!$R$7&lt;=$A24,0,0)),0),IF($A24&gt;=4,(D24+$C$3)*MAX(0,IF('01_数值调参'!$S$7&lt;=$A24,-'01_数值调参'!$S$31,0),IF('01_数值调参'!$T$7&lt;=$A24,-'01_数值调参'!$T$31,0),IF('01_数值调参'!$U$7&lt;=$A24,-'01_数值调参'!$U$31,0),IF('01_数值调参'!$V$7&lt;=$A24,-'01_数值调参'!$V$31,0),IF('01_数值调参'!$W$7&lt;=$A24,-'01_数值调参'!$W$31,0)),0),IF($A24&gt;=6,(E24+$C$3)*MAX(0,IF('01_数值调参'!$X$7&lt;=$A24,-'01_数值调参'!$X$31,0),IF('01_数值调参'!$Y$7&lt;=$A24,-'01_数值调参'!$Y$31,0),IF('01_数值调参'!$Z$7&lt;=$A24,-'01_数值调参'!$Z$31,0),IF('01_数值调参'!$AA$7&lt;=$A24,-'01_数值调参'!$AA$31,0),IF('01_数值调参'!$AB$7&lt;=$A24,-'01_数值调参'!$AB$31,0),IF('01_数值调参'!$AC$7&lt;=$A24,-'01_数值调参'!$AC$31,0)),0),IF($A24&gt;=8,(F24+$C$3)*MAX(0,IF('01_数值调参'!$AD$7&lt;=$A24,-'01_数值调参'!$AD$31,0),IF('01_数值调参'!$AE$7&lt;=$A24,-'01_数值调参'!$AE$31,0),IF('01_数值调参'!$AF$7&lt;=$A24,-'01_数值调参'!$AF$31,0),IF('01_数值调参'!$AG$7&lt;=$A24,-'01_数值调参'!$AG$31,0)),0),IF($A24&gt;=10,(G24+$C$3)*MAX(0,IF('01_数值调参'!$AH$7&lt;=$A24,-'01_数值调参'!$AH$31,0),IF('01_数值调参'!$AI$7&lt;=$A24,-'01_数值调参'!$AI$31,0),IF('01_数值调参'!$AJ$7&lt;=$A24,-'01_数值调参'!$AJ$31,0),IF('01_数值调参'!$AK$7&lt;=$A24,-'01_数值调参'!$AK$31,0),IF('01_数值调参'!$AL$7&lt;=$A24,-'01_数值调参'!$AL$31,0),IF('01_数值调参'!$AM$7&lt;=$A24,-'01_数值调参'!$AM$31,0)),0),0)),"队列待修正"))</x:f>
        <x:v>0</x:v>
      </x:c>
      <x:c r="V24" s="191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S$7,"—",SUM(IF($A24&gt;=2,(C24+$C$3)*MAX(0,IF('01_数值调参'!$N$7&lt;=$A24,-'01_数值调参'!$N$32,0),IF('01_数值调参'!$O$7&lt;=$A24,-'01_数值调参'!$O$32,0),IF('01_数值调参'!$P$7&lt;=$A24,-'01_数值调参'!$P$32,0),IF('01_数值调参'!$Q$7&lt;=$A24,-'01_数值调参'!$Q$32,0),IF('01_数值调参'!$R$7&lt;=$A24,-'01_数值调参'!$R$32,0)),0),IF($A24&gt;=4,(D24+$C$3)*MAX(0,IF('01_数值调参'!$S$7&lt;=$A24,0,0),IF('01_数值调参'!$T$7&lt;=$A24,-'01_数值调参'!$T$32,0),IF('01_数值调参'!$U$7&lt;=$A24,-'01_数值调参'!$U$32,0),IF('01_数值调参'!$V$7&lt;=$A24,-'01_数值调参'!$V$32,0),IF('01_数值调参'!$W$7&lt;=$A24,-'01_数值调参'!$W$32,0)),0),IF($A24&gt;=6,(E24+$C$3)*MAX(0,IF('01_数值调参'!$X$7&lt;=$A24,-'01_数值调参'!$X$32,0),IF('01_数值调参'!$Y$7&lt;=$A24,-'01_数值调参'!$Y$32,0),IF('01_数值调参'!$Z$7&lt;=$A24,-'01_数值调参'!$Z$32,0),IF('01_数值调参'!$AA$7&lt;=$A24,-'01_数值调参'!$AA$32,0),IF('01_数值调参'!$AB$7&lt;=$A24,-'01_数值调参'!$AB$32,0),IF('01_数值调参'!$AC$7&lt;=$A24,-'01_数值调参'!$AC$32,0)),0),IF($A24&gt;=8,(F24+$C$3)*MAX(0,IF('01_数值调参'!$AD$7&lt;=$A24,-'01_数值调参'!$AD$32,0),IF('01_数值调参'!$AE$7&lt;=$A24,-'01_数值调参'!$AE$32,0),IF('01_数值调参'!$AF$7&lt;=$A24,-'01_数值调参'!$AF$32,0),IF('01_数值调参'!$AG$7&lt;=$A24,-'01_数值调参'!$AG$32,0)),0),IF($A24&gt;=10,(G24+$C$3)*MAX(0,IF('01_数值调参'!$AH$7&lt;=$A24,-'01_数值调参'!$AH$32,0),IF('01_数值调参'!$AI$7&lt;=$A24,-'01_数值调参'!$AI$32,0),IF('01_数值调参'!$AJ$7&lt;=$A24,-'01_数值调参'!$AJ$32,0),IF('01_数值调参'!$AK$7&lt;=$A24,-'01_数值调参'!$AK$32,0),IF('01_数值调参'!$AL$7&lt;=$A24,-'01_数值调参'!$AL$32,0),IF('01_数值调参'!$AM$7&lt;=$A24,-'01_数值调参'!$AM$32,0)),0),0)),"队列待修正"))</x:f>
        <x:v>6</x:v>
      </x:c>
      <x:c r="W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T$7,"—",SUM(IF($A24&gt;=2,(C24+$C$3)*MAX(0,IF('01_数值调参'!$N$7&lt;=$A24,-'01_数值调参'!$N$33,0),IF('01_数值调参'!$O$7&lt;=$A24,-'01_数值调参'!$O$33,0),IF('01_数值调参'!$P$7&lt;=$A24,-'01_数值调参'!$P$33,0),IF('01_数值调参'!$Q$7&lt;=$A24,-'01_数值调参'!$Q$33,0),IF('01_数值调参'!$R$7&lt;=$A24,-'01_数值调参'!$R$33,0)),0),IF($A24&gt;=4,(D24+$C$3)*MAX(0,IF('01_数值调参'!$S$7&lt;=$A24,-'01_数值调参'!$S$33,0),IF('01_数值调参'!$T$7&lt;=$A24,0,0),IF('01_数值调参'!$U$7&lt;=$A24,-'01_数值调参'!$U$33,0),IF('01_数值调参'!$V$7&lt;=$A24,-'01_数值调参'!$V$33,0),IF('01_数值调参'!$W$7&lt;=$A24,-'01_数值调参'!$W$33,0)),0),IF($A24&gt;=6,(E24+$C$3)*MAX(0,IF('01_数值调参'!$X$7&lt;=$A24,-'01_数值调参'!$X$33,0),IF('01_数值调参'!$Y$7&lt;=$A24,-'01_数值调参'!$Y$33,0),IF('01_数值调参'!$Z$7&lt;=$A24,-'01_数值调参'!$Z$33,0),IF('01_数值调参'!$AA$7&lt;=$A24,-'01_数值调参'!$AA$33,0),IF('01_数值调参'!$AB$7&lt;=$A24,-'01_数值调参'!$AB$33,0),IF('01_数值调参'!$AC$7&lt;=$A24,-'01_数值调参'!$AC$33,0)),0),IF($A24&gt;=8,(F24+$C$3)*MAX(0,IF('01_数值调参'!$AD$7&lt;=$A24,-'01_数值调参'!$AD$33,0),IF('01_数值调参'!$AE$7&lt;=$A24,-'01_数值调参'!$AE$33,0),IF('01_数值调参'!$AF$7&lt;=$A24,-'01_数值调参'!$AF$33,0),IF('01_数值调参'!$AG$7&lt;=$A24,-'01_数值调参'!$AG$33,0)),0),IF($A24&gt;=10,(G24+$C$3)*MAX(0,IF('01_数值调参'!$AH$7&lt;=$A24,-'01_数值调参'!$AH$33,0),IF('01_数值调参'!$AI$7&lt;=$A24,-'01_数值调参'!$AI$33,0),IF('01_数值调参'!$AJ$7&lt;=$A24,-'01_数值调参'!$AJ$33,0),IF('01_数值调参'!$AK$7&lt;=$A24,-'01_数值调参'!$AK$33,0),IF('01_数值调参'!$AL$7&lt;=$A24,-'01_数值调参'!$AL$33,0),IF('01_数值调参'!$AM$7&lt;=$A24,-'01_数值调参'!$AM$33,0)),0),0)),"队列待修正"))</x:f>
        <x:v>3</x:v>
      </x:c>
      <x:c r="X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U$7,"—",SUM(IF($A24&gt;=2,(C24+$C$3)*MAX(0,IF('01_数值调参'!$N$7&lt;=$A24,-'01_数值调参'!$N$34,0),IF('01_数值调参'!$O$7&lt;=$A24,-'01_数值调参'!$O$34,0),IF('01_数值调参'!$P$7&lt;=$A24,-'01_数值调参'!$P$34,0),IF('01_数值调参'!$Q$7&lt;=$A24,-'01_数值调参'!$Q$34,0),IF('01_数值调参'!$R$7&lt;=$A24,-'01_数值调参'!$R$34,0)),0),IF($A24&gt;=4,(D24+$C$3)*MAX(0,IF('01_数值调参'!$S$7&lt;=$A24,-'01_数值调参'!$S$34,0),IF('01_数值调参'!$T$7&lt;=$A24,-'01_数值调参'!$T$34,0),IF('01_数值调参'!$U$7&lt;=$A24,0,0),IF('01_数值调参'!$V$7&lt;=$A24,-'01_数值调参'!$V$34,0),IF('01_数值调参'!$W$7&lt;=$A24,-'01_数值调参'!$W$34,0)),0),IF($A24&gt;=6,(E24+$C$3)*MAX(0,IF('01_数值调参'!$X$7&lt;=$A24,-'01_数值调参'!$X$34,0),IF('01_数值调参'!$Y$7&lt;=$A24,-'01_数值调参'!$Y$34,0),IF('01_数值调参'!$Z$7&lt;=$A24,-'01_数值调参'!$Z$34,0),IF('01_数值调参'!$AA$7&lt;=$A24,-'01_数值调参'!$AA$34,0),IF('01_数值调参'!$AB$7&lt;=$A24,-'01_数值调参'!$AB$34,0),IF('01_数值调参'!$AC$7&lt;=$A24,-'01_数值调参'!$AC$34,0)),0),IF($A24&gt;=8,(F24+$C$3)*MAX(0,IF('01_数值调参'!$AD$7&lt;=$A24,-'01_数值调参'!$AD$34,0),IF('01_数值调参'!$AE$7&lt;=$A24,-'01_数值调参'!$AE$34,0),IF('01_数值调参'!$AF$7&lt;=$A24,-'01_数值调参'!$AF$34,0),IF('01_数值调参'!$AG$7&lt;=$A24,-'01_数值调参'!$AG$34,0)),0),IF($A24&gt;=10,(G24+$C$3)*MAX(0,IF('01_数值调参'!$AH$7&lt;=$A24,-'01_数值调参'!$AH$34,0),IF('01_数值调参'!$AI$7&lt;=$A24,-'01_数值调参'!$AI$34,0),IF('01_数值调参'!$AJ$7&lt;=$A24,-'01_数值调参'!$AJ$34,0),IF('01_数值调参'!$AK$7&lt;=$A24,-'01_数值调参'!$AK$34,0),IF('01_数值调参'!$AL$7&lt;=$A24,-'01_数值调参'!$AL$34,0),IF('01_数值调参'!$AM$7&lt;=$A24,-'01_数值调参'!$AM$34,0)),0),0)),"队列待修正"))</x:f>
        <x:v>3</x:v>
      </x:c>
      <x:c r="Y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V$7,"—",SUM(IF($A24&gt;=2,(C24+$C$3)*MAX(0,IF('01_数值调参'!$N$7&lt;=$A24,-'01_数值调参'!$N$35,0),IF('01_数值调参'!$O$7&lt;=$A24,-'01_数值调参'!$O$35,0),IF('01_数值调参'!$P$7&lt;=$A24,-'01_数值调参'!$P$35,0),IF('01_数值调参'!$Q$7&lt;=$A24,-'01_数值调参'!$Q$35,0),IF('01_数值调参'!$R$7&lt;=$A24,-'01_数值调参'!$R$35,0)),0),IF($A24&gt;=4,(D24+$C$3)*MAX(0,IF('01_数值调参'!$S$7&lt;=$A24,-'01_数值调参'!$S$35,0),IF('01_数值调参'!$T$7&lt;=$A24,-'01_数值调参'!$T$35,0),IF('01_数值调参'!$U$7&lt;=$A24,-'01_数值调参'!$U$35,0),IF('01_数值调参'!$V$7&lt;=$A24,0,0),IF('01_数值调参'!$W$7&lt;=$A24,-'01_数值调参'!$W$35,0)),0),IF($A24&gt;=6,(E24+$C$3)*MAX(0,IF('01_数值调参'!$X$7&lt;=$A24,-'01_数值调参'!$X$35,0),IF('01_数值调参'!$Y$7&lt;=$A24,-'01_数值调参'!$Y$35,0),IF('01_数值调参'!$Z$7&lt;=$A24,-'01_数值调参'!$Z$35,0),IF('01_数值调参'!$AA$7&lt;=$A24,-'01_数值调参'!$AA$35,0),IF('01_数值调参'!$AB$7&lt;=$A24,-'01_数值调参'!$AB$35,0),IF('01_数值调参'!$AC$7&lt;=$A24,-'01_数值调参'!$AC$35,0)),0),IF($A24&gt;=8,(F24+$C$3)*MAX(0,IF('01_数值调参'!$AD$7&lt;=$A24,-'01_数值调参'!$AD$35,0),IF('01_数值调参'!$AE$7&lt;=$A24,-'01_数值调参'!$AE$35,0),IF('01_数值调参'!$AF$7&lt;=$A24,-'01_数值调参'!$AF$35,0),IF('01_数值调参'!$AG$7&lt;=$A24,-'01_数值调参'!$AG$35,0)),0),IF($A24&gt;=10,(G24+$C$3)*MAX(0,IF('01_数值调参'!$AH$7&lt;=$A24,-'01_数值调参'!$AH$35,0),IF('01_数值调参'!$AI$7&lt;=$A24,-'01_数值调参'!$AI$35,0),IF('01_数值调参'!$AJ$7&lt;=$A24,-'01_数值调参'!$AJ$35,0),IF('01_数值调参'!$AK$7&lt;=$A24,-'01_数值调参'!$AK$35,0),IF('01_数值调参'!$AL$7&lt;=$A24,-'01_数值调参'!$AL$35,0),IF('01_数值调参'!$AM$7&lt;=$A24,-'01_数值调参'!$AM$35,0)),0),0)),"队列待修正"))</x:f>
        <x:v>0</x:v>
      </x:c>
      <x:c r="Z24" s="179" t="str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W$7,"—",SUM(IF($A24&gt;=2,(C24+$C$3)*MAX(0,IF('01_数值调参'!$N$7&lt;=$A24,-'01_数值调参'!$N$36,0),IF('01_数值调参'!$O$7&lt;=$A24,-'01_数值调参'!$O$36,0),IF('01_数值调参'!$P$7&lt;=$A24,-'01_数值调参'!$P$36,0),IF('01_数值调参'!$Q$7&lt;=$A24,-'01_数值调参'!$Q$36,0),IF('01_数值调参'!$R$7&lt;=$A24,-'01_数值调参'!$R$36,0)),0),IF($A24&gt;=4,(D24+$C$3)*MAX(0,IF('01_数值调参'!$S$7&lt;=$A24,-'01_数值调参'!$S$36,0),IF('01_数值调参'!$T$7&lt;=$A24,-'01_数值调参'!$T$36,0),IF('01_数值调参'!$U$7&lt;=$A24,-'01_数值调参'!$U$36,0),IF('01_数值调参'!$V$7&lt;=$A24,-'01_数值调参'!$V$36,0),IF('01_数值调参'!$W$7&lt;=$A24,0,0)),0),IF($A24&gt;=6,(E24+$C$3)*MAX(0,IF('01_数值调参'!$X$7&lt;=$A24,-'01_数值调参'!$X$36,0),IF('01_数值调参'!$Y$7&lt;=$A24,-'01_数值调参'!$Y$36,0),IF('01_数值调参'!$Z$7&lt;=$A24,-'01_数值调参'!$Z$36,0),IF('01_数值调参'!$AA$7&lt;=$A24,-'01_数值调参'!$AA$36,0),IF('01_数值调参'!$AB$7&lt;=$A24,-'01_数值调参'!$AB$36,0),IF('01_数值调参'!$AC$7&lt;=$A24,-'01_数值调参'!$AC$36,0)),0),IF($A24&gt;=8,(F24+$C$3)*MAX(0,IF('01_数值调参'!$AD$7&lt;=$A24,-'01_数值调参'!$AD$36,0),IF('01_数值调参'!$AE$7&lt;=$A24,-'01_数值调参'!$AE$36,0),IF('01_数值调参'!$AF$7&lt;=$A24,-'01_数值调参'!$AF$36,0),IF('01_数值调参'!$AG$7&lt;=$A24,-'01_数值调参'!$AG$36,0)),0),IF($A24&gt;=10,(G24+$C$3)*MAX(0,IF('01_数值调参'!$AH$7&lt;=$A24,-'01_数值调参'!$AH$36,0),IF('01_数值调参'!$AI$7&lt;=$A24,-'01_数值调参'!$AI$36,0),IF('01_数值调参'!$AJ$7&lt;=$A24,-'01_数值调参'!$AJ$36,0),IF('01_数值调参'!$AK$7&lt;=$A24,-'01_数值调参'!$AK$36,0),IF('01_数值调参'!$AL$7&lt;=$A24,-'01_数值调参'!$AL$36,0),IF('01_数值调参'!$AM$7&lt;=$A24,-'01_数值调参'!$AM$36,0)),0),0)),"队列待修正"))</x:f>
        <x:v>—</x:v>
      </x:c>
      <x:c r="AA24" s="191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X$7,"—",SUM(IF($A24&gt;=2,(C24+$C$3)*MAX(0,IF('01_数值调参'!$N$7&lt;=$A24,-'01_数值调参'!$N$37,0),IF('01_数值调参'!$O$7&lt;=$A24,-'01_数值调参'!$O$37,0),IF('01_数值调参'!$P$7&lt;=$A24,-'01_数值调参'!$P$37,0),IF('01_数值调参'!$Q$7&lt;=$A24,-'01_数值调参'!$Q$37,0),IF('01_数值调参'!$R$7&lt;=$A24,-'01_数值调参'!$R$37,0)),0),IF($A24&gt;=4,(D24+$C$3)*MAX(0,IF('01_数值调参'!$S$7&lt;=$A24,-'01_数值调参'!$S$37,0),IF('01_数值调参'!$T$7&lt;=$A24,-'01_数值调参'!$T$37,0),IF('01_数值调参'!$U$7&lt;=$A24,-'01_数值调参'!$U$37,0),IF('01_数值调参'!$V$7&lt;=$A24,-'01_数值调参'!$V$37,0),IF('01_数值调参'!$W$7&lt;=$A24,-'01_数值调参'!$W$37,0)),0),IF($A24&gt;=6,(E24+$C$3)*MAX(0,IF('01_数值调参'!$X$7&lt;=$A24,0,0),IF('01_数值调参'!$Y$7&lt;=$A24,-'01_数值调参'!$Y$37,0),IF('01_数值调参'!$Z$7&lt;=$A24,-'01_数值调参'!$Z$37,0),IF('01_数值调参'!$AA$7&lt;=$A24,-'01_数值调参'!$AA$37,0),IF('01_数值调参'!$AB$7&lt;=$A24,-'01_数值调参'!$AB$37,0),IF('01_数值调参'!$AC$7&lt;=$A24,-'01_数值调参'!$AC$37,0)),0),IF($A24&gt;=8,(F24+$C$3)*MAX(0,IF('01_数值调参'!$AD$7&lt;=$A24,-'01_数值调参'!$AD$37,0),IF('01_数值调参'!$AE$7&lt;=$A24,-'01_数值调参'!$AE$37,0),IF('01_数值调参'!$AF$7&lt;=$A24,-'01_数值调参'!$AF$37,0),IF('01_数值调参'!$AG$7&lt;=$A24,-'01_数值调参'!$AG$37,0)),0),IF($A24&gt;=10,(G24+$C$3)*MAX(0,IF('01_数值调参'!$AH$7&lt;=$A24,-'01_数值调参'!$AH$37,0),IF('01_数值调参'!$AI$7&lt;=$A24,-'01_数值调参'!$AI$37,0),IF('01_数值调参'!$AJ$7&lt;=$A24,-'01_数值调参'!$AJ$37,0),IF('01_数值调参'!$AK$7&lt;=$A24,-'01_数值调参'!$AK$37,0),IF('01_数值调参'!$AL$7&lt;=$A24,-'01_数值调参'!$AL$37,0),IF('01_数值调参'!$AM$7&lt;=$A24,-'01_数值调参'!$AM$37,0)),0),0)),"队列待修正"))</x:f>
        <x:v>3</x:v>
      </x:c>
      <x:c r="AB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Y$7,"—",SUM(IF($A24&gt;=2,(C24+$C$3)*MAX(0,IF('01_数值调参'!$N$7&lt;=$A24,-'01_数值调参'!$N$38,0),IF('01_数值调参'!$O$7&lt;=$A24,-'01_数值调参'!$O$38,0),IF('01_数值调参'!$P$7&lt;=$A24,-'01_数值调参'!$P$38,0),IF('01_数值调参'!$Q$7&lt;=$A24,-'01_数值调参'!$Q$38,0),IF('01_数值调参'!$R$7&lt;=$A24,-'01_数值调参'!$R$38,0)),0),IF($A24&gt;=4,(D24+$C$3)*MAX(0,IF('01_数值调参'!$S$7&lt;=$A24,-'01_数值调参'!$S$38,0),IF('01_数值调参'!$T$7&lt;=$A24,-'01_数值调参'!$T$38,0),IF('01_数值调参'!$U$7&lt;=$A24,-'01_数值调参'!$U$38,0),IF('01_数值调参'!$V$7&lt;=$A24,-'01_数值调参'!$V$38,0),IF('01_数值调参'!$W$7&lt;=$A24,-'01_数值调参'!$W$38,0)),0),IF($A24&gt;=6,(E24+$C$3)*MAX(0,IF('01_数值调参'!$X$7&lt;=$A24,-'01_数值调参'!$X$38,0),IF('01_数值调参'!$Y$7&lt;=$A24,0,0),IF('01_数值调参'!$Z$7&lt;=$A24,-'01_数值调参'!$Z$38,0),IF('01_数值调参'!$AA$7&lt;=$A24,-'01_数值调参'!$AA$38,0),IF('01_数值调参'!$AB$7&lt;=$A24,-'01_数值调参'!$AB$38,0),IF('01_数值调参'!$AC$7&lt;=$A24,-'01_数值调参'!$AC$38,0)),0),IF($A24&gt;=8,(F24+$C$3)*MAX(0,IF('01_数值调参'!$AD$7&lt;=$A24,-'01_数值调参'!$AD$38,0),IF('01_数值调参'!$AE$7&lt;=$A24,-'01_数值调参'!$AE$38,0),IF('01_数值调参'!$AF$7&lt;=$A24,-'01_数值调参'!$AF$38,0),IF('01_数值调参'!$AG$7&lt;=$A24,-'01_数值调参'!$AG$38,0)),0),IF($A24&gt;=10,(G24+$C$3)*MAX(0,IF('01_数值调参'!$AH$7&lt;=$A24,-'01_数值调参'!$AH$38,0),IF('01_数值调参'!$AI$7&lt;=$A24,-'01_数值调参'!$AI$38,0),IF('01_数值调参'!$AJ$7&lt;=$A24,-'01_数值调参'!$AJ$38,0),IF('01_数值调参'!$AK$7&lt;=$A24,-'01_数值调参'!$AK$38,0),IF('01_数值调参'!$AL$7&lt;=$A24,-'01_数值调参'!$AL$38,0),IF('01_数值调参'!$AM$7&lt;=$A24,-'01_数值调参'!$AM$38,0)),0),0)),"队列待修正"))</x:f>
        <x:v>0</x:v>
      </x:c>
      <x:c r="AC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Z$7,"—",SUM(IF($A24&gt;=2,(C24+$C$3)*MAX(0,IF('01_数值调参'!$N$7&lt;=$A24,-'01_数值调参'!$N$39,0),IF('01_数值调参'!$O$7&lt;=$A24,-'01_数值调参'!$O$39,0),IF('01_数值调参'!$P$7&lt;=$A24,-'01_数值调参'!$P$39,0),IF('01_数值调参'!$Q$7&lt;=$A24,-'01_数值调参'!$Q$39,0),IF('01_数值调参'!$R$7&lt;=$A24,-'01_数值调参'!$R$39,0)),0),IF($A24&gt;=4,(D24+$C$3)*MAX(0,IF('01_数值调参'!$S$7&lt;=$A24,-'01_数值调参'!$S$39,0),IF('01_数值调参'!$T$7&lt;=$A24,-'01_数值调参'!$T$39,0),IF('01_数值调参'!$U$7&lt;=$A24,-'01_数值调参'!$U$39,0),IF('01_数值调参'!$V$7&lt;=$A24,-'01_数值调参'!$V$39,0),IF('01_数值调参'!$W$7&lt;=$A24,-'01_数值调参'!$W$39,0)),0),IF($A24&gt;=6,(E24+$C$3)*MAX(0,IF('01_数值调参'!$X$7&lt;=$A24,-'01_数值调参'!$X$39,0),IF('01_数值调参'!$Y$7&lt;=$A24,-'01_数值调参'!$Y$39,0),IF('01_数值调参'!$Z$7&lt;=$A24,0,0),IF('01_数值调参'!$AA$7&lt;=$A24,-'01_数值调参'!$AA$39,0),IF('01_数值调参'!$AB$7&lt;=$A24,-'01_数值调参'!$AB$39,0),IF('01_数值调参'!$AC$7&lt;=$A24,-'01_数值调参'!$AC$39,0)),0),IF($A24&gt;=8,(F24+$C$3)*MAX(0,IF('01_数值调参'!$AD$7&lt;=$A24,-'01_数值调参'!$AD$39,0),IF('01_数值调参'!$AE$7&lt;=$A24,-'01_数值调参'!$AE$39,0),IF('01_数值调参'!$AF$7&lt;=$A24,-'01_数值调参'!$AF$39,0),IF('01_数值调参'!$AG$7&lt;=$A24,-'01_数值调参'!$AG$39,0)),0),IF($A24&gt;=10,(G24+$C$3)*MAX(0,IF('01_数值调参'!$AH$7&lt;=$A24,-'01_数值调参'!$AH$39,0),IF('01_数值调参'!$AI$7&lt;=$A24,-'01_数值调参'!$AI$39,0),IF('01_数值调参'!$AJ$7&lt;=$A24,-'01_数值调参'!$AJ$39,0),IF('01_数值调参'!$AK$7&lt;=$A24,-'01_数值调参'!$AK$39,0),IF('01_数值调参'!$AL$7&lt;=$A24,-'01_数值调参'!$AL$39,0),IF('01_数值调参'!$AM$7&lt;=$A24,-'01_数值调参'!$AM$39,0)),0),0)),"队列待修正"))</x:f>
        <x:v>0</x:v>
      </x:c>
      <x:c r="AD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A$7,"—",SUM(IF($A24&gt;=2,(C24+$C$3)*MAX(0,IF('01_数值调参'!$N$7&lt;=$A24,-'01_数值调参'!$N$40,0),IF('01_数值调参'!$O$7&lt;=$A24,-'01_数值调参'!$O$40,0),IF('01_数值调参'!$P$7&lt;=$A24,-'01_数值调参'!$P$40,0),IF('01_数值调参'!$Q$7&lt;=$A24,-'01_数值调参'!$Q$40,0),IF('01_数值调参'!$R$7&lt;=$A24,-'01_数值调参'!$R$40,0)),0),IF($A24&gt;=4,(D24+$C$3)*MAX(0,IF('01_数值调参'!$S$7&lt;=$A24,-'01_数值调参'!$S$40,0),IF('01_数值调参'!$T$7&lt;=$A24,-'01_数值调参'!$T$40,0),IF('01_数值调参'!$U$7&lt;=$A24,-'01_数值调参'!$U$40,0),IF('01_数值调参'!$V$7&lt;=$A24,-'01_数值调参'!$V$40,0),IF('01_数值调参'!$W$7&lt;=$A24,-'01_数值调参'!$W$40,0)),0),IF($A24&gt;=6,(E24+$C$3)*MAX(0,IF('01_数值调参'!$X$7&lt;=$A24,-'01_数值调参'!$X$40,0),IF('01_数值调参'!$Y$7&lt;=$A24,-'01_数值调参'!$Y$40,0),IF('01_数值调参'!$Z$7&lt;=$A24,-'01_数值调参'!$Z$40,0),IF('01_数值调参'!$AA$7&lt;=$A24,0,0),IF('01_数值调参'!$AB$7&lt;=$A24,-'01_数值调参'!$AB$40,0),IF('01_数值调参'!$AC$7&lt;=$A24,-'01_数值调参'!$AC$40,0)),0),IF($A24&gt;=8,(F24+$C$3)*MAX(0,IF('01_数值调参'!$AD$7&lt;=$A24,-'01_数值调参'!$AD$40,0),IF('01_数值调参'!$AE$7&lt;=$A24,-'01_数值调参'!$AE$40,0),IF('01_数值调参'!$AF$7&lt;=$A24,-'01_数值调参'!$AF$40,0),IF('01_数值调参'!$AG$7&lt;=$A24,-'01_数值调参'!$AG$40,0)),0),IF($A24&gt;=10,(G24+$C$3)*MAX(0,IF('01_数值调参'!$AH$7&lt;=$A24,-'01_数值调参'!$AH$40,0),IF('01_数值调参'!$AI$7&lt;=$A24,-'01_数值调参'!$AI$40,0),IF('01_数值调参'!$AJ$7&lt;=$A24,-'01_数值调参'!$AJ$40,0),IF('01_数值调参'!$AK$7&lt;=$A24,-'01_数值调参'!$AK$40,0),IF('01_数值调参'!$AL$7&lt;=$A24,-'01_数值调参'!$AL$40,0),IF('01_数值调参'!$AM$7&lt;=$A24,-'01_数值调参'!$AM$40,0)),0),0)),"队列待修正"))</x:f>
        <x:v>0</x:v>
      </x:c>
      <x:c r="AE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B$7,"—",SUM(IF($A24&gt;=2,(C24+$C$3)*MAX(0,IF('01_数值调参'!$N$7&lt;=$A24,-'01_数值调参'!$N$41,0),IF('01_数值调参'!$O$7&lt;=$A24,-'01_数值调参'!$O$41,0),IF('01_数值调参'!$P$7&lt;=$A24,-'01_数值调参'!$P$41,0),IF('01_数值调参'!$Q$7&lt;=$A24,-'01_数值调参'!$Q$41,0),IF('01_数值调参'!$R$7&lt;=$A24,-'01_数值调参'!$R$41,0)),0),IF($A24&gt;=4,(D24+$C$3)*MAX(0,IF('01_数值调参'!$S$7&lt;=$A24,-'01_数值调参'!$S$41,0),IF('01_数值调参'!$T$7&lt;=$A24,-'01_数值调参'!$T$41,0),IF('01_数值调参'!$U$7&lt;=$A24,-'01_数值调参'!$U$41,0),IF('01_数值调参'!$V$7&lt;=$A24,-'01_数值调参'!$V$41,0),IF('01_数值调参'!$W$7&lt;=$A24,-'01_数值调参'!$W$41,0)),0),IF($A24&gt;=6,(E24+$C$3)*MAX(0,IF('01_数值调参'!$X$7&lt;=$A24,-'01_数值调参'!$X$41,0),IF('01_数值调参'!$Y$7&lt;=$A24,-'01_数值调参'!$Y$41,0),IF('01_数值调参'!$Z$7&lt;=$A24,-'01_数值调参'!$Z$41,0),IF('01_数值调参'!$AA$7&lt;=$A24,-'01_数值调参'!$AA$41,0),IF('01_数值调参'!$AB$7&lt;=$A24,0,0),IF('01_数值调参'!$AC$7&lt;=$A24,-'01_数值调参'!$AC$41,0)),0),IF($A24&gt;=8,(F24+$C$3)*MAX(0,IF('01_数值调参'!$AD$7&lt;=$A24,-'01_数值调参'!$AD$41,0),IF('01_数值调参'!$AE$7&lt;=$A24,-'01_数值调参'!$AE$41,0),IF('01_数值调参'!$AF$7&lt;=$A24,-'01_数值调参'!$AF$41,0),IF('01_数值调参'!$AG$7&lt;=$A24,-'01_数值调参'!$AG$41,0)),0),IF($A24&gt;=10,(G24+$C$3)*MAX(0,IF('01_数值调参'!$AH$7&lt;=$A24,-'01_数值调参'!$AH$41,0),IF('01_数值调参'!$AI$7&lt;=$A24,-'01_数值调参'!$AI$41,0),IF('01_数值调参'!$AJ$7&lt;=$A24,-'01_数值调参'!$AJ$41,0),IF('01_数值调参'!$AK$7&lt;=$A24,-'01_数值调参'!$AK$41,0),IF('01_数值调参'!$AL$7&lt;=$A24,-'01_数值调参'!$AL$41,0),IF('01_数值调参'!$AM$7&lt;=$A24,-'01_数值调参'!$AM$41,0)),0),0)),"队列待修正"))</x:f>
        <x:v>0</x:v>
      </x:c>
      <x:c r="AF24" s="179" t="str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C$7,"—",SUM(IF($A24&gt;=2,(C24+$C$3)*MAX(0,IF('01_数值调参'!$N$7&lt;=$A24,-'01_数值调参'!$N$42,0),IF('01_数值调参'!$O$7&lt;=$A24,-'01_数值调参'!$O$42,0),IF('01_数值调参'!$P$7&lt;=$A24,-'01_数值调参'!$P$42,0),IF('01_数值调参'!$Q$7&lt;=$A24,-'01_数值调参'!$Q$42,0),IF('01_数值调参'!$R$7&lt;=$A24,-'01_数值调参'!$R$42,0)),0),IF($A24&gt;=4,(D24+$C$3)*MAX(0,IF('01_数值调参'!$S$7&lt;=$A24,-'01_数值调参'!$S$42,0),IF('01_数值调参'!$T$7&lt;=$A24,-'01_数值调参'!$T$42,0),IF('01_数值调参'!$U$7&lt;=$A24,-'01_数值调参'!$U$42,0),IF('01_数值调参'!$V$7&lt;=$A24,-'01_数值调参'!$V$42,0),IF('01_数值调参'!$W$7&lt;=$A24,-'01_数值调参'!$W$42,0)),0),IF($A24&gt;=6,(E24+$C$3)*MAX(0,IF('01_数值调参'!$X$7&lt;=$A24,-'01_数值调参'!$X$42,0),IF('01_数值调参'!$Y$7&lt;=$A24,-'01_数值调参'!$Y$42,0),IF('01_数值调参'!$Z$7&lt;=$A24,-'01_数值调参'!$Z$42,0),IF('01_数值调参'!$AA$7&lt;=$A24,-'01_数值调参'!$AA$42,0),IF('01_数值调参'!$AB$7&lt;=$A24,-'01_数值调参'!$AB$42,0),IF('01_数值调参'!$AC$7&lt;=$A24,0,0)),0),IF($A24&gt;=8,(F24+$C$3)*MAX(0,IF('01_数值调参'!$AD$7&lt;=$A24,-'01_数值调参'!$AD$42,0),IF('01_数值调参'!$AE$7&lt;=$A24,-'01_数值调参'!$AE$42,0),IF('01_数值调参'!$AF$7&lt;=$A24,-'01_数值调参'!$AF$42,0),IF('01_数值调参'!$AG$7&lt;=$A24,-'01_数值调参'!$AG$42,0)),0),IF($A24&gt;=10,(G24+$C$3)*MAX(0,IF('01_数值调参'!$AH$7&lt;=$A24,-'01_数值调参'!$AH$42,0),IF('01_数值调参'!$AI$7&lt;=$A24,-'01_数值调参'!$AI$42,0),IF('01_数值调参'!$AJ$7&lt;=$A24,-'01_数值调参'!$AJ$42,0),IF('01_数值调参'!$AK$7&lt;=$A24,-'01_数值调参'!$AK$42,0),IF('01_数值调参'!$AL$7&lt;=$A24,-'01_数值调参'!$AL$42,0),IF('01_数值调参'!$AM$7&lt;=$A24,-'01_数值调参'!$AM$42,0)),0),0)),"队列待修正"))</x:f>
        <x:v>—</x:v>
      </x:c>
      <x:c r="AG24" s="191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D$7,"—",SUM(IF($A24&gt;=2,(C24+$C$3)*MAX(0,IF('01_数值调参'!$N$7&lt;=$A24,-'01_数值调参'!$N$43,0),IF('01_数值调参'!$O$7&lt;=$A24,-'01_数值调参'!$O$43,0),IF('01_数值调参'!$P$7&lt;=$A24,-'01_数值调参'!$P$43,0),IF('01_数值调参'!$Q$7&lt;=$A24,-'01_数值调参'!$Q$43,0),IF('01_数值调参'!$R$7&lt;=$A24,-'01_数值调参'!$R$43,0)),0),IF($A24&gt;=4,(D24+$C$3)*MAX(0,IF('01_数值调参'!$S$7&lt;=$A24,-'01_数值调参'!$S$43,0),IF('01_数值调参'!$T$7&lt;=$A24,-'01_数值调参'!$T$43,0),IF('01_数值调参'!$U$7&lt;=$A24,-'01_数值调参'!$U$43,0),IF('01_数值调参'!$V$7&lt;=$A24,-'01_数值调参'!$V$43,0),IF('01_数值调参'!$W$7&lt;=$A24,-'01_数值调参'!$W$43,0)),0),IF($A24&gt;=6,(E24+$C$3)*MAX(0,IF('01_数值调参'!$X$7&lt;=$A24,-'01_数值调参'!$X$43,0),IF('01_数值调参'!$Y$7&lt;=$A24,-'01_数值调参'!$Y$43,0),IF('01_数值调参'!$Z$7&lt;=$A24,-'01_数值调参'!$Z$43,0),IF('01_数值调参'!$AA$7&lt;=$A24,-'01_数值调参'!$AA$43,0),IF('01_数值调参'!$AB$7&lt;=$A24,-'01_数值调参'!$AB$43,0),IF('01_数值调参'!$AC$7&lt;=$A24,-'01_数值调参'!$AC$43,0)),0),IF($A24&gt;=8,(F24+$C$3)*MAX(0,IF('01_数值调参'!$AD$7&lt;=$A24,0,0),IF('01_数值调参'!$AE$7&lt;=$A24,-'01_数值调参'!$AE$43,0),IF('01_数值调参'!$AF$7&lt;=$A24,-'01_数值调参'!$AF$43,0),IF('01_数值调参'!$AG$7&lt;=$A24,-'01_数值调参'!$AG$43,0)),0),IF($A24&gt;=10,(G24+$C$3)*MAX(0,IF('01_数值调参'!$AH$7&lt;=$A24,-'01_数值调参'!$AH$43,0),IF('01_数值调参'!$AI$7&lt;=$A24,-'01_数值调参'!$AI$43,0),IF('01_数值调参'!$AJ$7&lt;=$A24,-'01_数值调参'!$AJ$43,0),IF('01_数值调参'!$AK$7&lt;=$A24,-'01_数值调参'!$AK$43,0),IF('01_数值调参'!$AL$7&lt;=$A24,-'01_数值调参'!$AL$43,0),IF('01_数值调参'!$AM$7&lt;=$A24,-'01_数值调参'!$AM$43,0)),0),0)),"队列待修正"))</x:f>
        <x:v>3</x:v>
      </x:c>
      <x:c r="AH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E$7,"—",SUM(IF($A24&gt;=2,(C24+$C$3)*MAX(0,IF('01_数值调参'!$N$7&lt;=$A24,-'01_数值调参'!$N$44,0),IF('01_数值调参'!$O$7&lt;=$A24,-'01_数值调参'!$O$44,0),IF('01_数值调参'!$P$7&lt;=$A24,-'01_数值调参'!$P$44,0),IF('01_数值调参'!$Q$7&lt;=$A24,-'01_数值调参'!$Q$44,0),IF('01_数值调参'!$R$7&lt;=$A24,-'01_数值调参'!$R$44,0)),0),IF($A24&gt;=4,(D24+$C$3)*MAX(0,IF('01_数值调参'!$S$7&lt;=$A24,-'01_数值调参'!$S$44,0),IF('01_数值调参'!$T$7&lt;=$A24,-'01_数值调参'!$T$44,0),IF('01_数值调参'!$U$7&lt;=$A24,-'01_数值调参'!$U$44,0),IF('01_数值调参'!$V$7&lt;=$A24,-'01_数值调参'!$V$44,0),IF('01_数值调参'!$W$7&lt;=$A24,-'01_数值调参'!$W$44,0)),0),IF($A24&gt;=6,(E24+$C$3)*MAX(0,IF('01_数值调参'!$X$7&lt;=$A24,-'01_数值调参'!$X$44,0),IF('01_数值调参'!$Y$7&lt;=$A24,-'01_数值调参'!$Y$44,0),IF('01_数值调参'!$Z$7&lt;=$A24,-'01_数值调参'!$Z$44,0),IF('01_数值调参'!$AA$7&lt;=$A24,-'01_数值调参'!$AA$44,0),IF('01_数值调参'!$AB$7&lt;=$A24,-'01_数值调参'!$AB$44,0),IF('01_数值调参'!$AC$7&lt;=$A24,-'01_数值调参'!$AC$44,0)),0),IF($A24&gt;=8,(F24+$C$3)*MAX(0,IF('01_数值调参'!$AD$7&lt;=$A24,-'01_数值调参'!$AD$44,0),IF('01_数值调参'!$AE$7&lt;=$A24,0,0),IF('01_数值调参'!$AF$7&lt;=$A24,-'01_数值调参'!$AF$44,0),IF('01_数值调参'!$AG$7&lt;=$A24,-'01_数值调参'!$AG$44,0)),0),IF($A24&gt;=10,(G24+$C$3)*MAX(0,IF('01_数值调参'!$AH$7&lt;=$A24,-'01_数值调参'!$AH$44,0),IF('01_数值调参'!$AI$7&lt;=$A24,-'01_数值调参'!$AI$44,0),IF('01_数值调参'!$AJ$7&lt;=$A24,-'01_数值调参'!$AJ$44,0),IF('01_数值调参'!$AK$7&lt;=$A24,-'01_数值调参'!$AK$44,0),IF('01_数值调参'!$AL$7&lt;=$A24,-'01_数值调参'!$AL$44,0),IF('01_数值调参'!$AM$7&lt;=$A24,-'01_数值调参'!$AM$44,0)),0),0)),"队列待修正"))</x:f>
        <x:v>3</x:v>
      </x:c>
      <x:c r="AI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F$7,"—",SUM(IF($A24&gt;=2,(C24+$C$3)*MAX(0,IF('01_数值调参'!$N$7&lt;=$A24,-'01_数值调参'!$N$45,0),IF('01_数值调参'!$O$7&lt;=$A24,-'01_数值调参'!$O$45,0),IF('01_数值调参'!$P$7&lt;=$A24,-'01_数值调参'!$P$45,0),IF('01_数值调参'!$Q$7&lt;=$A24,-'01_数值调参'!$Q$45,0),IF('01_数值调参'!$R$7&lt;=$A24,-'01_数值调参'!$R$45,0)),0),IF($A24&gt;=4,(D24+$C$3)*MAX(0,IF('01_数值调参'!$S$7&lt;=$A24,-'01_数值调参'!$S$45,0),IF('01_数值调参'!$T$7&lt;=$A24,-'01_数值调参'!$T$45,0),IF('01_数值调参'!$U$7&lt;=$A24,-'01_数值调参'!$U$45,0),IF('01_数值调参'!$V$7&lt;=$A24,-'01_数值调参'!$V$45,0),IF('01_数值调参'!$W$7&lt;=$A24,-'01_数值调参'!$W$45,0)),0),IF($A24&gt;=6,(E24+$C$3)*MAX(0,IF('01_数值调参'!$X$7&lt;=$A24,-'01_数值调参'!$X$45,0),IF('01_数值调参'!$Y$7&lt;=$A24,-'01_数值调参'!$Y$45,0),IF('01_数值调参'!$Z$7&lt;=$A24,-'01_数值调参'!$Z$45,0),IF('01_数值调参'!$AA$7&lt;=$A24,-'01_数值调参'!$AA$45,0),IF('01_数值调参'!$AB$7&lt;=$A24,-'01_数值调参'!$AB$45,0),IF('01_数值调参'!$AC$7&lt;=$A24,-'01_数值调参'!$AC$45,0)),0),IF($A24&gt;=8,(F24+$C$3)*MAX(0,IF('01_数值调参'!$AD$7&lt;=$A24,-'01_数值调参'!$AD$45,0),IF('01_数值调参'!$AE$7&lt;=$A24,-'01_数值调参'!$AE$45,0),IF('01_数值调参'!$AF$7&lt;=$A24,0,0),IF('01_数值调参'!$AG$7&lt;=$A24,-'01_数值调参'!$AG$45,0)),0),IF($A24&gt;=10,(G24+$C$3)*MAX(0,IF('01_数值调参'!$AH$7&lt;=$A24,-'01_数值调参'!$AH$45,0),IF('01_数值调参'!$AI$7&lt;=$A24,-'01_数值调参'!$AI$45,0),IF('01_数值调参'!$AJ$7&lt;=$A24,-'01_数值调参'!$AJ$45,0),IF('01_数值调参'!$AK$7&lt;=$A24,-'01_数值调参'!$AK$45,0),IF('01_数值调参'!$AL$7&lt;=$A24,-'01_数值调参'!$AL$45,0),IF('01_数值调参'!$AM$7&lt;=$A24,-'01_数值调参'!$AM$45,0)),0),0)),"队列待修正"))</x:f>
        <x:v>3</x:v>
      </x:c>
      <x:c r="AJ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G$7,"—",SUM(IF($A24&gt;=2,(C24+$C$3)*MAX(0,IF('01_数值调参'!$N$7&lt;=$A24,-'01_数值调参'!$N$46,0),IF('01_数值调参'!$O$7&lt;=$A24,-'01_数值调参'!$O$46,0),IF('01_数值调参'!$P$7&lt;=$A24,-'01_数值调参'!$P$46,0),IF('01_数值调参'!$Q$7&lt;=$A24,-'01_数值调参'!$Q$46,0),IF('01_数值调参'!$R$7&lt;=$A24,-'01_数值调参'!$R$46,0)),0),IF($A24&gt;=4,(D24+$C$3)*MAX(0,IF('01_数值调参'!$S$7&lt;=$A24,-'01_数值调参'!$S$46,0),IF('01_数值调参'!$T$7&lt;=$A24,-'01_数值调参'!$T$46,0),IF('01_数值调参'!$U$7&lt;=$A24,-'01_数值调参'!$U$46,0),IF('01_数值调参'!$V$7&lt;=$A24,-'01_数值调参'!$V$46,0),IF('01_数值调参'!$W$7&lt;=$A24,-'01_数值调参'!$W$46,0)),0),IF($A24&gt;=6,(E24+$C$3)*MAX(0,IF('01_数值调参'!$X$7&lt;=$A24,-'01_数值调参'!$X$46,0),IF('01_数值调参'!$Y$7&lt;=$A24,-'01_数值调参'!$Y$46,0),IF('01_数值调参'!$Z$7&lt;=$A24,-'01_数值调参'!$Z$46,0),IF('01_数值调参'!$AA$7&lt;=$A24,-'01_数值调参'!$AA$46,0),IF('01_数值调参'!$AB$7&lt;=$A24,-'01_数值调参'!$AB$46,0),IF('01_数值调参'!$AC$7&lt;=$A24,-'01_数值调参'!$AC$46,0)),0),IF($A24&gt;=8,(F24+$C$3)*MAX(0,IF('01_数值调参'!$AD$7&lt;=$A24,-'01_数值调参'!$AD$46,0),IF('01_数值调参'!$AE$7&lt;=$A24,-'01_数值调参'!$AE$46,0),IF('01_数值调参'!$AF$7&lt;=$A24,-'01_数值调参'!$AF$46,0),IF('01_数值调参'!$AG$7&lt;=$A24,0,0)),0),IF($A24&gt;=10,(G24+$C$3)*MAX(0,IF('01_数值调参'!$AH$7&lt;=$A24,-'01_数值调参'!$AH$46,0),IF('01_数值调参'!$AI$7&lt;=$A24,-'01_数值调参'!$AI$46,0),IF('01_数值调参'!$AJ$7&lt;=$A24,-'01_数值调参'!$AJ$46,0),IF('01_数值调参'!$AK$7&lt;=$A24,-'01_数值调参'!$AK$46,0),IF('01_数值调参'!$AL$7&lt;=$A24,-'01_数值调参'!$AL$46,0),IF('01_数值调参'!$AM$7&lt;=$A24,-'01_数值调参'!$AM$46,0)),0),0)),"队列待修正"))</x:f>
        <x:v>0</x:v>
      </x:c>
      <x:c r="AK24" s="191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H$7,"—",SUM(IF($A24&gt;=2,(C24+$C$3)*MAX(0,IF('01_数值调参'!$N$7&lt;=$A24,-'01_数值调参'!$N$47,0),IF('01_数值调参'!$O$7&lt;=$A24,-'01_数值调参'!$O$47,0),IF('01_数值调参'!$P$7&lt;=$A24,-'01_数值调参'!$P$47,0),IF('01_数值调参'!$Q$7&lt;=$A24,-'01_数值调参'!$Q$47,0),IF('01_数值调参'!$R$7&lt;=$A24,-'01_数值调参'!$R$47,0)),0),IF($A24&gt;=4,(D24+$C$3)*MAX(0,IF('01_数值调参'!$S$7&lt;=$A24,-'01_数值调参'!$S$47,0),IF('01_数值调参'!$T$7&lt;=$A24,-'01_数值调参'!$T$47,0),IF('01_数值调参'!$U$7&lt;=$A24,-'01_数值调参'!$U$47,0),IF('01_数值调参'!$V$7&lt;=$A24,-'01_数值调参'!$V$47,0),IF('01_数值调参'!$W$7&lt;=$A24,-'01_数值调参'!$W$47,0)),0),IF($A24&gt;=6,(E24+$C$3)*MAX(0,IF('01_数值调参'!$X$7&lt;=$A24,-'01_数值调参'!$X$47,0),IF('01_数值调参'!$Y$7&lt;=$A24,-'01_数值调参'!$Y$47,0),IF('01_数值调参'!$Z$7&lt;=$A24,-'01_数值调参'!$Z$47,0),IF('01_数值调参'!$AA$7&lt;=$A24,-'01_数值调参'!$AA$47,0),IF('01_数值调参'!$AB$7&lt;=$A24,-'01_数值调参'!$AB$47,0),IF('01_数值调参'!$AC$7&lt;=$A24,-'01_数值调参'!$AC$47,0)),0),IF($A24&gt;=8,(F24+$C$3)*MAX(0,IF('01_数值调参'!$AD$7&lt;=$A24,-'01_数值调参'!$AD$47,0),IF('01_数值调参'!$AE$7&lt;=$A24,-'01_数值调参'!$AE$47,0),IF('01_数值调参'!$AF$7&lt;=$A24,-'01_数值调参'!$AF$47,0),IF('01_数值调参'!$AG$7&lt;=$A24,-'01_数值调参'!$AG$47,0)),0),IF($A24&gt;=10,(G24+$C$3)*MAX(0,IF('01_数值调参'!$AH$7&lt;=$A24,0,0),IF('01_数值调参'!$AI$7&lt;=$A24,-'01_数值调参'!$AI$47,0),IF('01_数值调参'!$AJ$7&lt;=$A24,-'01_数值调参'!$AJ$47,0),IF('01_数值调参'!$AK$7&lt;=$A24,-'01_数值调参'!$AK$47,0),IF('01_数值调参'!$AL$7&lt;=$A24,-'01_数值调参'!$AL$47,0),IF('01_数值调参'!$AM$7&lt;=$A24,-'01_数值调参'!$AM$47,0)),0),0)),"队列待修正"))</x:f>
        <x:v>0</x:v>
      </x:c>
      <x:c r="AL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I$7,"—",SUM(IF($A24&gt;=2,(C24+$C$3)*MAX(0,IF('01_数值调参'!$N$7&lt;=$A24,-'01_数值调参'!$N$48,0),IF('01_数值调参'!$O$7&lt;=$A24,-'01_数值调参'!$O$48,0),IF('01_数值调参'!$P$7&lt;=$A24,-'01_数值调参'!$P$48,0),IF('01_数值调参'!$Q$7&lt;=$A24,-'01_数值调参'!$Q$48,0),IF('01_数值调参'!$R$7&lt;=$A24,-'01_数值调参'!$R$48,0)),0),IF($A24&gt;=4,(D24+$C$3)*MAX(0,IF('01_数值调参'!$S$7&lt;=$A24,-'01_数值调参'!$S$48,0),IF('01_数值调参'!$T$7&lt;=$A24,-'01_数值调参'!$T$48,0),IF('01_数值调参'!$U$7&lt;=$A24,-'01_数值调参'!$U$48,0),IF('01_数值调参'!$V$7&lt;=$A24,-'01_数值调参'!$V$48,0),IF('01_数值调参'!$W$7&lt;=$A24,-'01_数值调参'!$W$48,0)),0),IF($A24&gt;=6,(E24+$C$3)*MAX(0,IF('01_数值调参'!$X$7&lt;=$A24,-'01_数值调参'!$X$48,0),IF('01_数值调参'!$Y$7&lt;=$A24,-'01_数值调参'!$Y$48,0),IF('01_数值调参'!$Z$7&lt;=$A24,-'01_数值调参'!$Z$48,0),IF('01_数值调参'!$AA$7&lt;=$A24,-'01_数值调参'!$AA$48,0),IF('01_数值调参'!$AB$7&lt;=$A24,-'01_数值调参'!$AB$48,0),IF('01_数值调参'!$AC$7&lt;=$A24,-'01_数值调参'!$AC$48,0)),0),IF($A24&gt;=8,(F24+$C$3)*MAX(0,IF('01_数值调参'!$AD$7&lt;=$A24,-'01_数值调参'!$AD$48,0),IF('01_数值调参'!$AE$7&lt;=$A24,-'01_数值调参'!$AE$48,0),IF('01_数值调参'!$AF$7&lt;=$A24,-'01_数值调参'!$AF$48,0),IF('01_数值调参'!$AG$7&lt;=$A24,-'01_数值调参'!$AG$48,0)),0),IF($A24&gt;=10,(G24+$C$3)*MAX(0,IF('01_数值调参'!$AH$7&lt;=$A24,-'01_数值调参'!$AH$48,0),IF('01_数值调参'!$AI$7&lt;=$A24,0,0),IF('01_数值调参'!$AJ$7&lt;=$A24,-'01_数值调参'!$AJ$48,0),IF('01_数值调参'!$AK$7&lt;=$A24,-'01_数值调参'!$AK$48,0),IF('01_数值调参'!$AL$7&lt;=$A24,-'01_数值调参'!$AL$48,0),IF('01_数值调参'!$AM$7&lt;=$A24,-'01_数值调参'!$AM$48,0)),0),0)),"队列待修正"))</x:f>
        <x:v>0</x:v>
      </x:c>
      <x:c r="AM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J$7,"—",SUM(IF($A24&gt;=2,(C24+$C$3)*MAX(0,IF('01_数值调参'!$N$7&lt;=$A24,-'01_数值调参'!$N$49,0),IF('01_数值调参'!$O$7&lt;=$A24,-'01_数值调参'!$O$49,0),IF('01_数值调参'!$P$7&lt;=$A24,-'01_数值调参'!$P$49,0),IF('01_数值调参'!$Q$7&lt;=$A24,-'01_数值调参'!$Q$49,0),IF('01_数值调参'!$R$7&lt;=$A24,-'01_数值调参'!$R$49,0)),0),IF($A24&gt;=4,(D24+$C$3)*MAX(0,IF('01_数值调参'!$S$7&lt;=$A24,-'01_数值调参'!$S$49,0),IF('01_数值调参'!$T$7&lt;=$A24,-'01_数值调参'!$T$49,0),IF('01_数值调参'!$U$7&lt;=$A24,-'01_数值调参'!$U$49,0),IF('01_数值调参'!$V$7&lt;=$A24,-'01_数值调参'!$V$49,0),IF('01_数值调参'!$W$7&lt;=$A24,-'01_数值调参'!$W$49,0)),0),IF($A24&gt;=6,(E24+$C$3)*MAX(0,IF('01_数值调参'!$X$7&lt;=$A24,-'01_数值调参'!$X$49,0),IF('01_数值调参'!$Y$7&lt;=$A24,-'01_数值调参'!$Y$49,0),IF('01_数值调参'!$Z$7&lt;=$A24,-'01_数值调参'!$Z$49,0),IF('01_数值调参'!$AA$7&lt;=$A24,-'01_数值调参'!$AA$49,0),IF('01_数值调参'!$AB$7&lt;=$A24,-'01_数值调参'!$AB$49,0),IF('01_数值调参'!$AC$7&lt;=$A24,-'01_数值调参'!$AC$49,0)),0),IF($A24&gt;=8,(F24+$C$3)*MAX(0,IF('01_数值调参'!$AD$7&lt;=$A24,-'01_数值调参'!$AD$49,0),IF('01_数值调参'!$AE$7&lt;=$A24,-'01_数值调参'!$AE$49,0),IF('01_数值调参'!$AF$7&lt;=$A24,-'01_数值调参'!$AF$49,0),IF('01_数值调参'!$AG$7&lt;=$A24,-'01_数值调参'!$AG$49,0)),0),IF($A24&gt;=10,(G24+$C$3)*MAX(0,IF('01_数值调参'!$AH$7&lt;=$A24,-'01_数值调参'!$AH$49,0),IF('01_数值调参'!$AI$7&lt;=$A24,-'01_数值调参'!$AI$49,0),IF('01_数值调参'!$AJ$7&lt;=$A24,0,0),IF('01_数值调参'!$AK$7&lt;=$A24,-'01_数值调参'!$AK$49,0),IF('01_数值调参'!$AL$7&lt;=$A24,-'01_数值调参'!$AL$49,0),IF('01_数值调参'!$AM$7&lt;=$A24,-'01_数值调参'!$AM$49,0)),0),0)),"队列待修正"))</x:f>
        <x:v>0</x:v>
      </x:c>
      <x:c r="AN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K$7,"—",SUM(IF($A24&gt;=2,(C24+$C$3)*MAX(0,IF('01_数值调参'!$N$7&lt;=$A24,-'01_数值调参'!$N$50,0),IF('01_数值调参'!$O$7&lt;=$A24,-'01_数值调参'!$O$50,0),IF('01_数值调参'!$P$7&lt;=$A24,-'01_数值调参'!$P$50,0),IF('01_数值调参'!$Q$7&lt;=$A24,-'01_数值调参'!$Q$50,0),IF('01_数值调参'!$R$7&lt;=$A24,-'01_数值调参'!$R$50,0)),0),IF($A24&gt;=4,(D24+$C$3)*MAX(0,IF('01_数值调参'!$S$7&lt;=$A24,-'01_数值调参'!$S$50,0),IF('01_数值调参'!$T$7&lt;=$A24,-'01_数值调参'!$T$50,0),IF('01_数值调参'!$U$7&lt;=$A24,-'01_数值调参'!$U$50,0),IF('01_数值调参'!$V$7&lt;=$A24,-'01_数值调参'!$V$50,0),IF('01_数值调参'!$W$7&lt;=$A24,-'01_数值调参'!$W$50,0)),0),IF($A24&gt;=6,(E24+$C$3)*MAX(0,IF('01_数值调参'!$X$7&lt;=$A24,-'01_数值调参'!$X$50,0),IF('01_数值调参'!$Y$7&lt;=$A24,-'01_数值调参'!$Y$50,0),IF('01_数值调参'!$Z$7&lt;=$A24,-'01_数值调参'!$Z$50,0),IF('01_数值调参'!$AA$7&lt;=$A24,-'01_数值调参'!$AA$50,0),IF('01_数值调参'!$AB$7&lt;=$A24,-'01_数值调参'!$AB$50,0),IF('01_数值调参'!$AC$7&lt;=$A24,-'01_数值调参'!$AC$50,0)),0),IF($A24&gt;=8,(F24+$C$3)*MAX(0,IF('01_数值调参'!$AD$7&lt;=$A24,-'01_数值调参'!$AD$50,0),IF('01_数值调参'!$AE$7&lt;=$A24,-'01_数值调参'!$AE$50,0),IF('01_数值调参'!$AF$7&lt;=$A24,-'01_数值调参'!$AF$50,0),IF('01_数值调参'!$AG$7&lt;=$A24,-'01_数值调参'!$AG$50,0)),0),IF($A24&gt;=10,(G24+$C$3)*MAX(0,IF('01_数值调参'!$AH$7&lt;=$A24,-'01_数值调参'!$AH$50,0),IF('01_数值调参'!$AI$7&lt;=$A24,-'01_数值调参'!$AI$50,0),IF('01_数值调参'!$AJ$7&lt;=$A24,-'01_数值调参'!$AJ$50,0),IF('01_数值调参'!$AK$7&lt;=$A24,0,0),IF('01_数值调参'!$AL$7&lt;=$A24,-'01_数值调参'!$AL$50,0),IF('01_数值调参'!$AM$7&lt;=$A24,-'01_数值调参'!$AM$50,0)),0),0)),"队列待修正"))</x:f>
        <x:v>0</x:v>
      </x:c>
      <x:c r="AO24" s="179" t="n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L$7,"—",SUM(IF($A24&gt;=2,(C24+$C$3)*MAX(0,IF('01_数值调参'!$N$7&lt;=$A24,-'01_数值调参'!$N$51,0),IF('01_数值调参'!$O$7&lt;=$A24,-'01_数值调参'!$O$51,0),IF('01_数值调参'!$P$7&lt;=$A24,-'01_数值调参'!$P$51,0),IF('01_数值调参'!$Q$7&lt;=$A24,-'01_数值调参'!$Q$51,0),IF('01_数值调参'!$R$7&lt;=$A24,-'01_数值调参'!$R$51,0)),0),IF($A24&gt;=4,(D24+$C$3)*MAX(0,IF('01_数值调参'!$S$7&lt;=$A24,-'01_数值调参'!$S$51,0),IF('01_数值调参'!$T$7&lt;=$A24,-'01_数值调参'!$T$51,0),IF('01_数值调参'!$U$7&lt;=$A24,-'01_数值调参'!$U$51,0),IF('01_数值调参'!$V$7&lt;=$A24,-'01_数值调参'!$V$51,0),IF('01_数值调参'!$W$7&lt;=$A24,-'01_数值调参'!$W$51,0)),0),IF($A24&gt;=6,(E24+$C$3)*MAX(0,IF('01_数值调参'!$X$7&lt;=$A24,-'01_数值调参'!$X$51,0),IF('01_数值调参'!$Y$7&lt;=$A24,-'01_数值调参'!$Y$51,0),IF('01_数值调参'!$Z$7&lt;=$A24,-'01_数值调参'!$Z$51,0),IF('01_数值调参'!$AA$7&lt;=$A24,-'01_数值调参'!$AA$51,0),IF('01_数值调参'!$AB$7&lt;=$A24,-'01_数值调参'!$AB$51,0),IF('01_数值调参'!$AC$7&lt;=$A24,-'01_数值调参'!$AC$51,0)),0),IF($A24&gt;=8,(F24+$C$3)*MAX(0,IF('01_数值调参'!$AD$7&lt;=$A24,-'01_数值调参'!$AD$51,0),IF('01_数值调参'!$AE$7&lt;=$A24,-'01_数值调参'!$AE$51,0),IF('01_数值调参'!$AF$7&lt;=$A24,-'01_数值调参'!$AF$51,0),IF('01_数值调参'!$AG$7&lt;=$A24,-'01_数值调参'!$AG$51,0)),0),IF($A24&gt;=10,(G24+$C$3)*MAX(0,IF('01_数值调参'!$AH$7&lt;=$A24,-'01_数值调参'!$AH$51,0),IF('01_数值调参'!$AI$7&lt;=$A24,-'01_数值调参'!$AI$51,0),IF('01_数值调参'!$AJ$7&lt;=$A24,-'01_数值调参'!$AJ$51,0),IF('01_数值调参'!$AK$7&lt;=$A24,-'01_数值调参'!$AK$51,0),IF('01_数值调参'!$AL$7&lt;=$A24,0,0),IF('01_数值调参'!$AM$7&lt;=$A24,-'01_数值调参'!$AM$51,0)),0),0)),"队列待修正"))</x:f>
        <x:v>0</x:v>
      </x:c>
      <x:c r="AP24" s="180" t="str">
        <x:f>IF('01_数值调参'!$D$3&lt;&gt;"配方有效","待修正",IF(AND(OR($C$3=0,$C$3=1),ISNUMBER(C24),C24&gt;=0,MOD(C24,1)=0,ISNUMBER(D24),D24&gt;=0,MOD(D24,1)=0,ISNUMBER(E24),E24&gt;=0,MOD(E24,1)=0,ISNUMBER(F24),F24&gt;=0,MOD(F24,1)=0,ISNUMBER(G24),G24&gt;=0,MOD(G24,1)=0,TRUE),IF($A24&lt;'01_数值调参'!$AM$7,"—",SUM(IF($A24&gt;=2,(C24+$C$3)*MAX(0,IF('01_数值调参'!$N$7&lt;=$A24,-'01_数值调参'!$N$52,0),IF('01_数值调参'!$O$7&lt;=$A24,-'01_数值调参'!$O$52,0),IF('01_数值调参'!$P$7&lt;=$A24,-'01_数值调参'!$P$52,0),IF('01_数值调参'!$Q$7&lt;=$A24,-'01_数值调参'!$Q$52,0),IF('01_数值调参'!$R$7&lt;=$A24,-'01_数值调参'!$R$52,0)),0),IF($A24&gt;=4,(D24+$C$3)*MAX(0,IF('01_数值调参'!$S$7&lt;=$A24,-'01_数值调参'!$S$52,0),IF('01_数值调参'!$T$7&lt;=$A24,-'01_数值调参'!$T$52,0),IF('01_数值调参'!$U$7&lt;=$A24,-'01_数值调参'!$U$52,0),IF('01_数值调参'!$V$7&lt;=$A24,-'01_数值调参'!$V$52,0),IF('01_数值调参'!$W$7&lt;=$A24,-'01_数值调参'!$W$52,0)),0),IF($A24&gt;=6,(E24+$C$3)*MAX(0,IF('01_数值调参'!$X$7&lt;=$A24,-'01_数值调参'!$X$52,0),IF('01_数值调参'!$Y$7&lt;=$A24,-'01_数值调参'!$Y$52,0),IF('01_数值调参'!$Z$7&lt;=$A24,-'01_数值调参'!$Z$52,0),IF('01_数值调参'!$AA$7&lt;=$A24,-'01_数值调参'!$AA$52,0),IF('01_数值调参'!$AB$7&lt;=$A24,-'01_数值调参'!$AB$52,0),IF('01_数值调参'!$AC$7&lt;=$A24,-'01_数值调参'!$AC$52,0)),0),IF($A24&gt;=8,(F24+$C$3)*MAX(0,IF('01_数值调参'!$AD$7&lt;=$A24,-'01_数值调参'!$AD$52,0),IF('01_数值调参'!$AE$7&lt;=$A24,-'01_数值调参'!$AE$52,0),IF('01_数值调参'!$AF$7&lt;=$A24,-'01_数值调参'!$AF$52,0),IF('01_数值调参'!$AG$7&lt;=$A24,-'01_数值调参'!$AG$52,0)),0),IF($A24&gt;=10,(G24+$C$3)*MAX(0,IF('01_数值调参'!$AH$7&lt;=$A24,-'01_数值调参'!$AH$52,0),IF('01_数值调参'!$AI$7&lt;=$A24,-'01_数值调参'!$AI$52,0),IF('01_数值调参'!$AJ$7&lt;=$A24,-'01_数值调参'!$AJ$52,0),IF('01_数值调参'!$AK$7&lt;=$A24,-'01_数值调参'!$AK$52,0),IF('01_数值调参'!$AL$7&lt;=$A24,-'01_数值调参'!$AL$52,0),IF('01_数值调参'!$AM$7&lt;=$A24,0,0)),0),0)),"队列待修正"))</x:f>
        <x:v>—</x:v>
      </x:c>
    </x:row>
    <x:row r="25" ht="25" customHeight="1">
      <x:c r="A25" s="176" t="n">
        <x:v>19</x:v>
      </x:c>
      <x:c r="B25" s="177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SUM(IF($A25&gt;=2,(C25+$C$3)*MAX(0,IF('01_数值调参'!$N$7&lt;=$A25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25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25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25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25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25&gt;=4,(D25+$C$3)*MAX(0,IF('01_数值调参'!$S$7&lt;=$A25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25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25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25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25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25&gt;=6,(E25+$C$3)*MAX(0,IF('01_数值调参'!$X$7&lt;=$A25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25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25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25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25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25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25&gt;=8,(F25+$C$3)*MAX(0,IF('01_数值调参'!$AD$7&lt;=$A25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25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25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25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25&gt;=10,(G25+$C$3)*MAX(0,IF('01_数值调参'!$AH$7&lt;=$A25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25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25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25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25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25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57</x:v>
      </x:c>
      <x:c r="C25" s="178" t="n">
        <x:v>2</x:v>
      </x:c>
      <x:c r="D25" s="178" t="n">
        <x:v>2</x:v>
      </x:c>
      <x:c r="E25" s="178" t="n">
        <x:v>2</x:v>
      </x:c>
      <x:c r="F25" s="178" t="n">
        <x:v>2</x:v>
      </x:c>
      <x:c r="G25" s="178" t="n">
        <x:v>2</x:v>
      </x:c>
      <x:c r="H25" s="191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E$7,"—",SUM(IF($A25&gt;=2,(C25+$C$3)*MAX(0,IF('01_数值调参'!$N$7&lt;=$A25,-'01_数值调参'!$N$18,0),IF('01_数值调参'!$O$7&lt;=$A25,-'01_数值调参'!$O$18,0),IF('01_数值调参'!$P$7&lt;=$A25,-'01_数值调参'!$P$18,0),IF('01_数值调参'!$Q$7&lt;=$A25,-'01_数值调参'!$Q$18,0),IF('01_数值调参'!$R$7&lt;=$A25,-'01_数值调参'!$R$18,0)),0),IF($A25&gt;=4,(D25+$C$3)*MAX(0,IF('01_数值调参'!$S$7&lt;=$A25,-'01_数值调参'!$S$18,0),IF('01_数值调参'!$T$7&lt;=$A25,-'01_数值调参'!$T$18,0),IF('01_数值调参'!$U$7&lt;=$A25,-'01_数值调参'!$U$18,0),IF('01_数值调参'!$V$7&lt;=$A25,-'01_数值调参'!$V$18,0),IF('01_数值调参'!$W$7&lt;=$A25,-'01_数值调参'!$W$18,0)),0),IF($A25&gt;=6,(E25+$C$3)*MAX(0,IF('01_数值调参'!$X$7&lt;=$A25,-'01_数值调参'!$X$18,0),IF('01_数值调参'!$Y$7&lt;=$A25,-'01_数值调参'!$Y$18,0),IF('01_数值调参'!$Z$7&lt;=$A25,-'01_数值调参'!$Z$18,0),IF('01_数值调参'!$AA$7&lt;=$A25,-'01_数值调参'!$AA$18,0),IF('01_数值调参'!$AB$7&lt;=$A25,-'01_数值调参'!$AB$18,0),IF('01_数值调参'!$AC$7&lt;=$A25,-'01_数值调参'!$AC$18,0)),0),IF($A25&gt;=8,(F25+$C$3)*MAX(0,IF('01_数值调参'!$AD$7&lt;=$A25,-'01_数值调参'!$AD$18,0),IF('01_数值调参'!$AE$7&lt;=$A25,-'01_数值调参'!$AE$18,0),IF('01_数值调参'!$AF$7&lt;=$A25,-'01_数值调参'!$AF$18,0),IF('01_数值调参'!$AG$7&lt;=$A25,-'01_数值调参'!$AG$18,0)),0),IF($A25&gt;=10,(G25+$C$3)*MAX(0,IF('01_数值调参'!$AH$7&lt;=$A25,-'01_数值调参'!$AH$18,0),IF('01_数值调参'!$AI$7&lt;=$A25,-'01_数值调参'!$AI$18,0),IF('01_数值调参'!$AJ$7&lt;=$A25,-'01_数值调参'!$AJ$18,0),IF('01_数值调参'!$AK$7&lt;=$A25,-'01_数值调参'!$AK$18,0),IF('01_数值调参'!$AL$7&lt;=$A25,-'01_数值调参'!$AL$18,0),IF('01_数值调参'!$AM$7&lt;=$A25,-'01_数值调参'!$AM$18,0)),0),0)),"队列待修正"))</x:f>
        <x:v>12</x:v>
      </x:c>
      <x:c r="I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F$7,"—",SUM(IF($A25&gt;=2,(C25+$C$3)*MAX(0,IF('01_数值调参'!$N$7&lt;=$A25,-'01_数值调参'!$N$19,0),IF('01_数值调参'!$O$7&lt;=$A25,-'01_数值调参'!$O$19,0),IF('01_数值调参'!$P$7&lt;=$A25,-'01_数值调参'!$P$19,0),IF('01_数值调参'!$Q$7&lt;=$A25,-'01_数值调参'!$Q$19,0),IF('01_数值调参'!$R$7&lt;=$A25,-'01_数值调参'!$R$19,0)),0),IF($A25&gt;=4,(D25+$C$3)*MAX(0,IF('01_数值调参'!$S$7&lt;=$A25,-'01_数值调参'!$S$19,0),IF('01_数值调参'!$T$7&lt;=$A25,-'01_数值调参'!$T$19,0),IF('01_数值调参'!$U$7&lt;=$A25,-'01_数值调参'!$U$19,0),IF('01_数值调参'!$V$7&lt;=$A25,-'01_数值调参'!$V$19,0),IF('01_数值调参'!$W$7&lt;=$A25,-'01_数值调参'!$W$19,0)),0),IF($A25&gt;=6,(E25+$C$3)*MAX(0,IF('01_数值调参'!$X$7&lt;=$A25,-'01_数值调参'!$X$19,0),IF('01_数值调参'!$Y$7&lt;=$A25,-'01_数值调参'!$Y$19,0),IF('01_数值调参'!$Z$7&lt;=$A25,-'01_数值调参'!$Z$19,0),IF('01_数值调参'!$AA$7&lt;=$A25,-'01_数值调参'!$AA$19,0),IF('01_数值调参'!$AB$7&lt;=$A25,-'01_数值调参'!$AB$19,0),IF('01_数值调参'!$AC$7&lt;=$A25,-'01_数值调参'!$AC$19,0)),0),IF($A25&gt;=8,(F25+$C$3)*MAX(0,IF('01_数值调参'!$AD$7&lt;=$A25,-'01_数值调参'!$AD$19,0),IF('01_数值调参'!$AE$7&lt;=$A25,-'01_数值调参'!$AE$19,0),IF('01_数值调参'!$AF$7&lt;=$A25,-'01_数值调参'!$AF$19,0),IF('01_数值调参'!$AG$7&lt;=$A25,-'01_数值调参'!$AG$19,0)),0),IF($A25&gt;=10,(G25+$C$3)*MAX(0,IF('01_数值调参'!$AH$7&lt;=$A25,-'01_数值调参'!$AH$19,0),IF('01_数值调参'!$AI$7&lt;=$A25,-'01_数值调参'!$AI$19,0),IF('01_数值调参'!$AJ$7&lt;=$A25,-'01_数值调参'!$AJ$19,0),IF('01_数值调参'!$AK$7&lt;=$A25,-'01_数值调参'!$AK$19,0),IF('01_数值调参'!$AL$7&lt;=$A25,-'01_数值调参'!$AL$19,0),IF('01_数值调参'!$AM$7&lt;=$A25,-'01_数值调参'!$AM$19,0)),0),0)),"队列待修正"))</x:f>
        <x:v>12</x:v>
      </x:c>
      <x:c r="J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G$7,"—",SUM(IF($A25&gt;=2,(C25+$C$3)*MAX(0,IF('01_数值调参'!$N$7&lt;=$A25,-'01_数值调参'!$N$20,0),IF('01_数值调参'!$O$7&lt;=$A25,-'01_数值调参'!$O$20,0),IF('01_数值调参'!$P$7&lt;=$A25,-'01_数值调参'!$P$20,0),IF('01_数值调参'!$Q$7&lt;=$A25,-'01_数值调参'!$Q$20,0),IF('01_数值调参'!$R$7&lt;=$A25,-'01_数值调参'!$R$20,0)),0),IF($A25&gt;=4,(D25+$C$3)*MAX(0,IF('01_数值调参'!$S$7&lt;=$A25,-'01_数值调参'!$S$20,0),IF('01_数值调参'!$T$7&lt;=$A25,-'01_数值调参'!$T$20,0),IF('01_数值调参'!$U$7&lt;=$A25,-'01_数值调参'!$U$20,0),IF('01_数值调参'!$V$7&lt;=$A25,-'01_数值调参'!$V$20,0),IF('01_数值调参'!$W$7&lt;=$A25,-'01_数值调参'!$W$20,0)),0),IF($A25&gt;=6,(E25+$C$3)*MAX(0,IF('01_数值调参'!$X$7&lt;=$A25,-'01_数值调参'!$X$20,0),IF('01_数值调参'!$Y$7&lt;=$A25,-'01_数值调参'!$Y$20,0),IF('01_数值调参'!$Z$7&lt;=$A25,-'01_数值调参'!$Z$20,0),IF('01_数值调参'!$AA$7&lt;=$A25,-'01_数值调参'!$AA$20,0),IF('01_数值调参'!$AB$7&lt;=$A25,-'01_数值调参'!$AB$20,0),IF('01_数值调参'!$AC$7&lt;=$A25,-'01_数值调参'!$AC$20,0)),0),IF($A25&gt;=8,(F25+$C$3)*MAX(0,IF('01_数值调参'!$AD$7&lt;=$A25,-'01_数值调参'!$AD$20,0),IF('01_数值调参'!$AE$7&lt;=$A25,-'01_数值调参'!$AE$20,0),IF('01_数值调参'!$AF$7&lt;=$A25,-'01_数值调参'!$AF$20,0),IF('01_数值调参'!$AG$7&lt;=$A25,-'01_数值调参'!$AG$20,0)),0),IF($A25&gt;=10,(G25+$C$3)*MAX(0,IF('01_数值调参'!$AH$7&lt;=$A25,-'01_数值调参'!$AH$20,0),IF('01_数值调参'!$AI$7&lt;=$A25,-'01_数值调参'!$AI$20,0),IF('01_数值调参'!$AJ$7&lt;=$A25,-'01_数值调参'!$AJ$20,0),IF('01_数值调参'!$AK$7&lt;=$A25,-'01_数值调参'!$AK$20,0),IF('01_数值调参'!$AL$7&lt;=$A25,-'01_数值调参'!$AL$20,0),IF('01_数值调参'!$AM$7&lt;=$A25,-'01_数值调参'!$AM$20,0)),0),0)),"队列待修正"))</x:f>
        <x:v>12</x:v>
      </x:c>
      <x:c r="K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H$7,"—",SUM(IF($A25&gt;=2,(C25+$C$3)*MAX(0,IF('01_数值调参'!$N$7&lt;=$A25,-'01_数值调参'!$N$21,0),IF('01_数值调参'!$O$7&lt;=$A25,-'01_数值调参'!$O$21,0),IF('01_数值调参'!$P$7&lt;=$A25,-'01_数值调参'!$P$21,0),IF('01_数值调参'!$Q$7&lt;=$A25,-'01_数值调参'!$Q$21,0),IF('01_数值调参'!$R$7&lt;=$A25,-'01_数值调参'!$R$21,0)),0),IF($A25&gt;=4,(D25+$C$3)*MAX(0,IF('01_数值调参'!$S$7&lt;=$A25,-'01_数值调参'!$S$21,0),IF('01_数值调参'!$T$7&lt;=$A25,-'01_数值调参'!$T$21,0),IF('01_数值调参'!$U$7&lt;=$A25,-'01_数值调参'!$U$21,0),IF('01_数值调参'!$V$7&lt;=$A25,-'01_数值调参'!$V$21,0),IF('01_数值调参'!$W$7&lt;=$A25,-'01_数值调参'!$W$21,0)),0),IF($A25&gt;=6,(E25+$C$3)*MAX(0,IF('01_数值调参'!$X$7&lt;=$A25,-'01_数值调参'!$X$21,0),IF('01_数值调参'!$Y$7&lt;=$A25,-'01_数值调参'!$Y$21,0),IF('01_数值调参'!$Z$7&lt;=$A25,-'01_数值调参'!$Z$21,0),IF('01_数值调参'!$AA$7&lt;=$A25,-'01_数值调参'!$AA$21,0),IF('01_数值调参'!$AB$7&lt;=$A25,-'01_数值调参'!$AB$21,0),IF('01_数值调参'!$AC$7&lt;=$A25,-'01_数值调参'!$AC$21,0)),0),IF($A25&gt;=8,(F25+$C$3)*MAX(0,IF('01_数值调参'!$AD$7&lt;=$A25,-'01_数值调参'!$AD$21,0),IF('01_数值调参'!$AE$7&lt;=$A25,-'01_数值调参'!$AE$21,0),IF('01_数值调参'!$AF$7&lt;=$A25,-'01_数值调参'!$AF$21,0),IF('01_数值调参'!$AG$7&lt;=$A25,-'01_数值调参'!$AG$21,0)),0),IF($A25&gt;=10,(G25+$C$3)*MAX(0,IF('01_数值调参'!$AH$7&lt;=$A25,-'01_数值调参'!$AH$21,0),IF('01_数值调参'!$AI$7&lt;=$A25,-'01_数值调参'!$AI$21,0),IF('01_数值调参'!$AJ$7&lt;=$A25,-'01_数值调参'!$AJ$21,0),IF('01_数值调参'!$AK$7&lt;=$A25,-'01_数值调参'!$AK$21,0),IF('01_数值调参'!$AL$7&lt;=$A25,-'01_数值调参'!$AL$21,0),IF('01_数值调参'!$AM$7&lt;=$A25,-'01_数值调参'!$AM$21,0)),0),0)),"队列待修正"))</x:f>
        <x:v>12</x:v>
      </x:c>
      <x:c r="L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I$7,"—",SUM(IF($A25&gt;=2,(C25+$C$3)*MAX(0,IF('01_数值调参'!$N$7&lt;=$A25,-'01_数值调参'!$N$22,0),IF('01_数值调参'!$O$7&lt;=$A25,-'01_数值调参'!$O$22,0),IF('01_数值调参'!$P$7&lt;=$A25,-'01_数值调参'!$P$22,0),IF('01_数值调参'!$Q$7&lt;=$A25,-'01_数值调参'!$Q$22,0),IF('01_数值调参'!$R$7&lt;=$A25,-'01_数值调参'!$R$22,0)),0),IF($A25&gt;=4,(D25+$C$3)*MAX(0,IF('01_数值调参'!$S$7&lt;=$A25,-'01_数值调参'!$S$22,0),IF('01_数值调参'!$T$7&lt;=$A25,-'01_数值调参'!$T$22,0),IF('01_数值调参'!$U$7&lt;=$A25,-'01_数值调参'!$U$22,0),IF('01_数值调参'!$V$7&lt;=$A25,-'01_数值调参'!$V$22,0),IF('01_数值调参'!$W$7&lt;=$A25,-'01_数值调参'!$W$22,0)),0),IF($A25&gt;=6,(E25+$C$3)*MAX(0,IF('01_数值调参'!$X$7&lt;=$A25,-'01_数值调参'!$X$22,0),IF('01_数值调参'!$Y$7&lt;=$A25,-'01_数值调参'!$Y$22,0),IF('01_数值调参'!$Z$7&lt;=$A25,-'01_数值调参'!$Z$22,0),IF('01_数值调参'!$AA$7&lt;=$A25,-'01_数值调参'!$AA$22,0),IF('01_数值调参'!$AB$7&lt;=$A25,-'01_数值调参'!$AB$22,0),IF('01_数值调参'!$AC$7&lt;=$A25,-'01_数值调参'!$AC$22,0)),0),IF($A25&gt;=8,(F25+$C$3)*MAX(0,IF('01_数值调参'!$AD$7&lt;=$A25,-'01_数值调参'!$AD$22,0),IF('01_数值调参'!$AE$7&lt;=$A25,-'01_数值调参'!$AE$22,0),IF('01_数值调参'!$AF$7&lt;=$A25,-'01_数值调参'!$AF$22,0),IF('01_数值调参'!$AG$7&lt;=$A25,-'01_数值调参'!$AG$22,0)),0),IF($A25&gt;=10,(G25+$C$3)*MAX(0,IF('01_数值调参'!$AH$7&lt;=$A25,-'01_数值调参'!$AH$22,0),IF('01_数值调参'!$AI$7&lt;=$A25,-'01_数值调参'!$AI$22,0),IF('01_数值调参'!$AJ$7&lt;=$A25,-'01_数值调参'!$AJ$22,0),IF('01_数值调参'!$AK$7&lt;=$A25,-'01_数值调参'!$AK$22,0),IF('01_数值调参'!$AL$7&lt;=$A25,-'01_数值调参'!$AL$22,0),IF('01_数值调参'!$AM$7&lt;=$A25,-'01_数值调参'!$AM$22,0)),0),0)),"队列待修正"))</x:f>
        <x:v>12</x:v>
      </x:c>
      <x:c r="M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J$7,"—",SUM(IF($A25&gt;=2,(C25+$C$3)*MAX(0,IF('01_数值调参'!$N$7&lt;=$A25,-'01_数值调参'!$N$23,0),IF('01_数值调参'!$O$7&lt;=$A25,-'01_数值调参'!$O$23,0),IF('01_数值调参'!$P$7&lt;=$A25,-'01_数值调参'!$P$23,0),IF('01_数值调参'!$Q$7&lt;=$A25,-'01_数值调参'!$Q$23,0),IF('01_数值调参'!$R$7&lt;=$A25,-'01_数值调参'!$R$23,0)),0),IF($A25&gt;=4,(D25+$C$3)*MAX(0,IF('01_数值调参'!$S$7&lt;=$A25,-'01_数值调参'!$S$23,0),IF('01_数值调参'!$T$7&lt;=$A25,-'01_数值调参'!$T$23,0),IF('01_数值调参'!$U$7&lt;=$A25,-'01_数值调参'!$U$23,0),IF('01_数值调参'!$V$7&lt;=$A25,-'01_数值调参'!$V$23,0),IF('01_数值调参'!$W$7&lt;=$A25,-'01_数值调参'!$W$23,0)),0),IF($A25&gt;=6,(E25+$C$3)*MAX(0,IF('01_数值调参'!$X$7&lt;=$A25,-'01_数值调参'!$X$23,0),IF('01_数值调参'!$Y$7&lt;=$A25,-'01_数值调参'!$Y$23,0),IF('01_数值调参'!$Z$7&lt;=$A25,-'01_数值调参'!$Z$23,0),IF('01_数值调参'!$AA$7&lt;=$A25,-'01_数值调参'!$AA$23,0),IF('01_数值调参'!$AB$7&lt;=$A25,-'01_数值调参'!$AB$23,0),IF('01_数值调参'!$AC$7&lt;=$A25,-'01_数值调参'!$AC$23,0)),0),IF($A25&gt;=8,(F25+$C$3)*MAX(0,IF('01_数值调参'!$AD$7&lt;=$A25,-'01_数值调参'!$AD$23,0),IF('01_数值调参'!$AE$7&lt;=$A25,-'01_数值调参'!$AE$23,0),IF('01_数值调参'!$AF$7&lt;=$A25,-'01_数值调参'!$AF$23,0),IF('01_数值调参'!$AG$7&lt;=$A25,-'01_数值调参'!$AG$23,0)),0),IF($A25&gt;=10,(G25+$C$3)*MAX(0,IF('01_数值调参'!$AH$7&lt;=$A25,-'01_数值调参'!$AH$23,0),IF('01_数值调参'!$AI$7&lt;=$A25,-'01_数值调参'!$AI$23,0),IF('01_数值调参'!$AJ$7&lt;=$A25,-'01_数值调参'!$AJ$23,0),IF('01_数值调参'!$AK$7&lt;=$A25,-'01_数值调参'!$AK$23,0),IF('01_数值调参'!$AL$7&lt;=$A25,-'01_数值调参'!$AL$23,0),IF('01_数值调参'!$AM$7&lt;=$A25,-'01_数值调参'!$AM$23,0)),0),0)),"队列待修正"))</x:f>
        <x:v>15</x:v>
      </x:c>
      <x:c r="N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K$7,"—",SUM(IF($A25&gt;=2,(C25+$C$3)*MAX(0,IF('01_数值调参'!$N$7&lt;=$A25,-'01_数值调参'!$N$24,0),IF('01_数值调参'!$O$7&lt;=$A25,-'01_数值调参'!$O$24,0),IF('01_数值调参'!$P$7&lt;=$A25,-'01_数值调参'!$P$24,0),IF('01_数值调参'!$Q$7&lt;=$A25,-'01_数值调参'!$Q$24,0),IF('01_数值调参'!$R$7&lt;=$A25,-'01_数值调参'!$R$24,0)),0),IF($A25&gt;=4,(D25+$C$3)*MAX(0,IF('01_数值调参'!$S$7&lt;=$A25,-'01_数值调参'!$S$24,0),IF('01_数值调参'!$T$7&lt;=$A25,-'01_数值调参'!$T$24,0),IF('01_数值调参'!$U$7&lt;=$A25,-'01_数值调参'!$U$24,0),IF('01_数值调参'!$V$7&lt;=$A25,-'01_数值调参'!$V$24,0),IF('01_数值调参'!$W$7&lt;=$A25,-'01_数值调参'!$W$24,0)),0),IF($A25&gt;=6,(E25+$C$3)*MAX(0,IF('01_数值调参'!$X$7&lt;=$A25,-'01_数值调参'!$X$24,0),IF('01_数值调参'!$Y$7&lt;=$A25,-'01_数值调参'!$Y$24,0),IF('01_数值调参'!$Z$7&lt;=$A25,-'01_数值调参'!$Z$24,0),IF('01_数值调参'!$AA$7&lt;=$A25,-'01_数值调参'!$AA$24,0),IF('01_数值调参'!$AB$7&lt;=$A25,-'01_数值调参'!$AB$24,0),IF('01_数值调参'!$AC$7&lt;=$A25,-'01_数值调参'!$AC$24,0)),0),IF($A25&gt;=8,(F25+$C$3)*MAX(0,IF('01_数值调参'!$AD$7&lt;=$A25,-'01_数值调参'!$AD$24,0),IF('01_数值调参'!$AE$7&lt;=$A25,-'01_数值调参'!$AE$24,0),IF('01_数值调参'!$AF$7&lt;=$A25,-'01_数值调参'!$AF$24,0),IF('01_数值调参'!$AG$7&lt;=$A25,-'01_数值调参'!$AG$24,0)),0),IF($A25&gt;=10,(G25+$C$3)*MAX(0,IF('01_数值调参'!$AH$7&lt;=$A25,-'01_数值调参'!$AH$24,0),IF('01_数值调参'!$AI$7&lt;=$A25,-'01_数值调参'!$AI$24,0),IF('01_数值调参'!$AJ$7&lt;=$A25,-'01_数值调参'!$AJ$24,0),IF('01_数值调参'!$AK$7&lt;=$A25,-'01_数值调参'!$AK$24,0),IF('01_数值调参'!$AL$7&lt;=$A25,-'01_数值调参'!$AL$24,0),IF('01_数值调参'!$AM$7&lt;=$A25,-'01_数值调参'!$AM$24,0)),0),0)),"队列待修正"))</x:f>
        <x:v>15</x:v>
      </x:c>
      <x:c r="O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L$7,"—",SUM(IF($A25&gt;=2,(C25+$C$3)*MAX(0,IF('01_数值调参'!$N$7&lt;=$A25,-'01_数值调参'!$N$25,0),IF('01_数值调参'!$O$7&lt;=$A25,-'01_数值调参'!$O$25,0),IF('01_数值调参'!$P$7&lt;=$A25,-'01_数值调参'!$P$25,0),IF('01_数值调参'!$Q$7&lt;=$A25,-'01_数值调参'!$Q$25,0),IF('01_数值调参'!$R$7&lt;=$A25,-'01_数值调参'!$R$25,0)),0),IF($A25&gt;=4,(D25+$C$3)*MAX(0,IF('01_数值调参'!$S$7&lt;=$A25,-'01_数值调参'!$S$25,0),IF('01_数值调参'!$T$7&lt;=$A25,-'01_数值调参'!$T$25,0),IF('01_数值调参'!$U$7&lt;=$A25,-'01_数值调参'!$U$25,0),IF('01_数值调参'!$V$7&lt;=$A25,-'01_数值调参'!$V$25,0),IF('01_数值调参'!$W$7&lt;=$A25,-'01_数值调参'!$W$25,0)),0),IF($A25&gt;=6,(E25+$C$3)*MAX(0,IF('01_数值调参'!$X$7&lt;=$A25,-'01_数值调参'!$X$25,0),IF('01_数值调参'!$Y$7&lt;=$A25,-'01_数值调参'!$Y$25,0),IF('01_数值调参'!$Z$7&lt;=$A25,-'01_数值调参'!$Z$25,0),IF('01_数值调参'!$AA$7&lt;=$A25,-'01_数值调参'!$AA$25,0),IF('01_数值调参'!$AB$7&lt;=$A25,-'01_数值调参'!$AB$25,0),IF('01_数值调参'!$AC$7&lt;=$A25,-'01_数值调参'!$AC$25,0)),0),IF($A25&gt;=8,(F25+$C$3)*MAX(0,IF('01_数值调参'!$AD$7&lt;=$A25,-'01_数值调参'!$AD$25,0),IF('01_数值调参'!$AE$7&lt;=$A25,-'01_数值调参'!$AE$25,0),IF('01_数值调参'!$AF$7&lt;=$A25,-'01_数值调参'!$AF$25,0),IF('01_数值调参'!$AG$7&lt;=$A25,-'01_数值调参'!$AG$25,0)),0),IF($A25&gt;=10,(G25+$C$3)*MAX(0,IF('01_数值调参'!$AH$7&lt;=$A25,-'01_数值调参'!$AH$25,0),IF('01_数值调参'!$AI$7&lt;=$A25,-'01_数值调参'!$AI$25,0),IF('01_数值调参'!$AJ$7&lt;=$A25,-'01_数值调参'!$AJ$25,0),IF('01_数值调参'!$AK$7&lt;=$A25,-'01_数值调参'!$AK$25,0),IF('01_数值调参'!$AL$7&lt;=$A25,-'01_数值调参'!$AL$25,0),IF('01_数值调参'!$AM$7&lt;=$A25,-'01_数值调参'!$AM$25,0)),0),0)),"队列待修正"))</x:f>
        <x:v>9</x:v>
      </x:c>
      <x:c r="P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M$7,"—",SUM(IF($A25&gt;=2,(C25+$C$3)*MAX(0,IF('01_数值调参'!$N$7&lt;=$A25,-'01_数值调参'!$N$26,0),IF('01_数值调参'!$O$7&lt;=$A25,-'01_数值调参'!$O$26,0),IF('01_数值调参'!$P$7&lt;=$A25,-'01_数值调参'!$P$26,0),IF('01_数值调参'!$Q$7&lt;=$A25,-'01_数值调参'!$Q$26,0),IF('01_数值调参'!$R$7&lt;=$A25,-'01_数值调参'!$R$26,0)),0),IF($A25&gt;=4,(D25+$C$3)*MAX(0,IF('01_数值调参'!$S$7&lt;=$A25,-'01_数值调参'!$S$26,0),IF('01_数值调参'!$T$7&lt;=$A25,-'01_数值调参'!$T$26,0),IF('01_数值调参'!$U$7&lt;=$A25,-'01_数值调参'!$U$26,0),IF('01_数值调参'!$V$7&lt;=$A25,-'01_数值调参'!$V$26,0),IF('01_数值调参'!$W$7&lt;=$A25,-'01_数值调参'!$W$26,0)),0),IF($A25&gt;=6,(E25+$C$3)*MAX(0,IF('01_数值调参'!$X$7&lt;=$A25,-'01_数值调参'!$X$26,0),IF('01_数值调参'!$Y$7&lt;=$A25,-'01_数值调参'!$Y$26,0),IF('01_数值调参'!$Z$7&lt;=$A25,-'01_数值调参'!$Z$26,0),IF('01_数值调参'!$AA$7&lt;=$A25,-'01_数值调参'!$AA$26,0),IF('01_数值调参'!$AB$7&lt;=$A25,-'01_数值调参'!$AB$26,0),IF('01_数值调参'!$AC$7&lt;=$A25,-'01_数值调参'!$AC$26,0)),0),IF($A25&gt;=8,(F25+$C$3)*MAX(0,IF('01_数值调参'!$AD$7&lt;=$A25,-'01_数值调参'!$AD$26,0),IF('01_数值调参'!$AE$7&lt;=$A25,-'01_数值调参'!$AE$26,0),IF('01_数值调参'!$AF$7&lt;=$A25,-'01_数值调参'!$AF$26,0),IF('01_数值调参'!$AG$7&lt;=$A25,-'01_数值调参'!$AG$26,0)),0),IF($A25&gt;=10,(G25+$C$3)*MAX(0,IF('01_数值调参'!$AH$7&lt;=$A25,-'01_数值调参'!$AH$26,0),IF('01_数值调参'!$AI$7&lt;=$A25,-'01_数值调参'!$AI$26,0),IF('01_数值调参'!$AJ$7&lt;=$A25,-'01_数值调参'!$AJ$26,0),IF('01_数值调参'!$AK$7&lt;=$A25,-'01_数值调参'!$AK$26,0),IF('01_数值调参'!$AL$7&lt;=$A25,-'01_数值调参'!$AL$26,0),IF('01_数值调参'!$AM$7&lt;=$A25,-'01_数值调参'!$AM$26,0)),0),0)),"队列待修正"))</x:f>
        <x:v>6</x:v>
      </x:c>
      <x:c r="Q25" s="191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N$7,"—",SUM(IF($A25&gt;=2,(C25+$C$3)*MAX(0,IF('01_数值调参'!$N$7&lt;=$A25,0,0),IF('01_数值调参'!$O$7&lt;=$A25,-'01_数值调参'!$O$27,0),IF('01_数值调参'!$P$7&lt;=$A25,-'01_数值调参'!$P$27,0),IF('01_数值调参'!$Q$7&lt;=$A25,-'01_数值调参'!$Q$27,0),IF('01_数值调参'!$R$7&lt;=$A25,-'01_数值调参'!$R$27,0)),0),IF($A25&gt;=4,(D25+$C$3)*MAX(0,IF('01_数值调参'!$S$7&lt;=$A25,-'01_数值调参'!$S$27,0),IF('01_数值调参'!$T$7&lt;=$A25,-'01_数值调参'!$T$27,0),IF('01_数值调参'!$U$7&lt;=$A25,-'01_数值调参'!$U$27,0),IF('01_数值调参'!$V$7&lt;=$A25,-'01_数值调参'!$V$27,0),IF('01_数值调参'!$W$7&lt;=$A25,-'01_数值调参'!$W$27,0)),0),IF($A25&gt;=6,(E25+$C$3)*MAX(0,IF('01_数值调参'!$X$7&lt;=$A25,-'01_数值调参'!$X$27,0),IF('01_数值调参'!$Y$7&lt;=$A25,-'01_数值调参'!$Y$27,0),IF('01_数值调参'!$Z$7&lt;=$A25,-'01_数值调参'!$Z$27,0),IF('01_数值调参'!$AA$7&lt;=$A25,-'01_数值调参'!$AA$27,0),IF('01_数值调参'!$AB$7&lt;=$A25,-'01_数值调参'!$AB$27,0),IF('01_数值调参'!$AC$7&lt;=$A25,-'01_数值调参'!$AC$27,0)),0),IF($A25&gt;=8,(F25+$C$3)*MAX(0,IF('01_数值调参'!$AD$7&lt;=$A25,-'01_数值调参'!$AD$27,0),IF('01_数值调参'!$AE$7&lt;=$A25,-'01_数值调参'!$AE$27,0),IF('01_数值调参'!$AF$7&lt;=$A25,-'01_数值调参'!$AF$27,0),IF('01_数值调参'!$AG$7&lt;=$A25,-'01_数值调参'!$AG$27,0)),0),IF($A25&gt;=10,(G25+$C$3)*MAX(0,IF('01_数值调参'!$AH$7&lt;=$A25,-'01_数值调参'!$AH$27,0),IF('01_数值调参'!$AI$7&lt;=$A25,-'01_数值调参'!$AI$27,0),IF('01_数值调参'!$AJ$7&lt;=$A25,-'01_数值调参'!$AJ$27,0),IF('01_数值调参'!$AK$7&lt;=$A25,-'01_数值调参'!$AK$27,0),IF('01_数值调参'!$AL$7&lt;=$A25,-'01_数值调参'!$AL$27,0),IF('01_数值调参'!$AM$7&lt;=$A25,-'01_数值调参'!$AM$27,0)),0),0)),"队列待修正"))</x:f>
        <x:v>3</x:v>
      </x:c>
      <x:c r="R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O$7,"—",SUM(IF($A25&gt;=2,(C25+$C$3)*MAX(0,IF('01_数值调参'!$N$7&lt;=$A25,-'01_数值调参'!$N$28,0),IF('01_数值调参'!$O$7&lt;=$A25,0,0),IF('01_数值调参'!$P$7&lt;=$A25,-'01_数值调参'!$P$28,0),IF('01_数值调参'!$Q$7&lt;=$A25,-'01_数值调参'!$Q$28,0),IF('01_数值调参'!$R$7&lt;=$A25,-'01_数值调参'!$R$28,0)),0),IF($A25&gt;=4,(D25+$C$3)*MAX(0,IF('01_数值调参'!$S$7&lt;=$A25,-'01_数值调参'!$S$28,0),IF('01_数值调参'!$T$7&lt;=$A25,-'01_数值调参'!$T$28,0),IF('01_数值调参'!$U$7&lt;=$A25,-'01_数值调参'!$U$28,0),IF('01_数值调参'!$V$7&lt;=$A25,-'01_数值调参'!$V$28,0),IF('01_数值调参'!$W$7&lt;=$A25,-'01_数值调参'!$W$28,0)),0),IF($A25&gt;=6,(E25+$C$3)*MAX(0,IF('01_数值调参'!$X$7&lt;=$A25,-'01_数值调参'!$X$28,0),IF('01_数值调参'!$Y$7&lt;=$A25,-'01_数值调参'!$Y$28,0),IF('01_数值调参'!$Z$7&lt;=$A25,-'01_数值调参'!$Z$28,0),IF('01_数值调参'!$AA$7&lt;=$A25,-'01_数值调参'!$AA$28,0),IF('01_数值调参'!$AB$7&lt;=$A25,-'01_数值调参'!$AB$28,0),IF('01_数值调参'!$AC$7&lt;=$A25,-'01_数值调参'!$AC$28,0)),0),IF($A25&gt;=8,(F25+$C$3)*MAX(0,IF('01_数值调参'!$AD$7&lt;=$A25,-'01_数值调参'!$AD$28,0),IF('01_数值调参'!$AE$7&lt;=$A25,-'01_数值调参'!$AE$28,0),IF('01_数值调参'!$AF$7&lt;=$A25,-'01_数值调参'!$AF$28,0),IF('01_数值调参'!$AG$7&lt;=$A25,-'01_数值调参'!$AG$28,0)),0),IF($A25&gt;=10,(G25+$C$3)*MAX(0,IF('01_数值调参'!$AH$7&lt;=$A25,-'01_数值调参'!$AH$28,0),IF('01_数值调参'!$AI$7&lt;=$A25,-'01_数值调参'!$AI$28,0),IF('01_数值调参'!$AJ$7&lt;=$A25,-'01_数值调参'!$AJ$28,0),IF('01_数值调参'!$AK$7&lt;=$A25,-'01_数值调参'!$AK$28,0),IF('01_数值调参'!$AL$7&lt;=$A25,-'01_数值调参'!$AL$28,0),IF('01_数值调参'!$AM$7&lt;=$A25,-'01_数值调参'!$AM$28,0)),0),0)),"队列待修正"))</x:f>
        <x:v>3</x:v>
      </x:c>
      <x:c r="S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P$7,"—",SUM(IF($A25&gt;=2,(C25+$C$3)*MAX(0,IF('01_数值调参'!$N$7&lt;=$A25,-'01_数值调参'!$N$29,0),IF('01_数值调参'!$O$7&lt;=$A25,-'01_数值调参'!$O$29,0),IF('01_数值调参'!$P$7&lt;=$A25,0,0),IF('01_数值调参'!$Q$7&lt;=$A25,-'01_数值调参'!$Q$29,0),IF('01_数值调参'!$R$7&lt;=$A25,-'01_数值调参'!$R$29,0)),0),IF($A25&gt;=4,(D25+$C$3)*MAX(0,IF('01_数值调参'!$S$7&lt;=$A25,-'01_数值调参'!$S$29,0),IF('01_数值调参'!$T$7&lt;=$A25,-'01_数值调参'!$T$29,0),IF('01_数值调参'!$U$7&lt;=$A25,-'01_数值调参'!$U$29,0),IF('01_数值调参'!$V$7&lt;=$A25,-'01_数值调参'!$V$29,0),IF('01_数值调参'!$W$7&lt;=$A25,-'01_数值调参'!$W$29,0)),0),IF($A25&gt;=6,(E25+$C$3)*MAX(0,IF('01_数值调参'!$X$7&lt;=$A25,-'01_数值调参'!$X$29,0),IF('01_数值调参'!$Y$7&lt;=$A25,-'01_数值调参'!$Y$29,0),IF('01_数值调参'!$Z$7&lt;=$A25,-'01_数值调参'!$Z$29,0),IF('01_数值调参'!$AA$7&lt;=$A25,-'01_数值调参'!$AA$29,0),IF('01_数值调参'!$AB$7&lt;=$A25,-'01_数值调参'!$AB$29,0),IF('01_数值调参'!$AC$7&lt;=$A25,-'01_数值调参'!$AC$29,0)),0),IF($A25&gt;=8,(F25+$C$3)*MAX(0,IF('01_数值调参'!$AD$7&lt;=$A25,-'01_数值调参'!$AD$29,0),IF('01_数值调参'!$AE$7&lt;=$A25,-'01_数值调参'!$AE$29,0),IF('01_数值调参'!$AF$7&lt;=$A25,-'01_数值调参'!$AF$29,0),IF('01_数值调参'!$AG$7&lt;=$A25,-'01_数值调参'!$AG$29,0)),0),IF($A25&gt;=10,(G25+$C$3)*MAX(0,IF('01_数值调参'!$AH$7&lt;=$A25,-'01_数值调参'!$AH$29,0),IF('01_数值调参'!$AI$7&lt;=$A25,-'01_数值调参'!$AI$29,0),IF('01_数值调参'!$AJ$7&lt;=$A25,-'01_数值调参'!$AJ$29,0),IF('01_数值调参'!$AK$7&lt;=$A25,-'01_数值调参'!$AK$29,0),IF('01_数值调参'!$AL$7&lt;=$A25,-'01_数值调参'!$AL$29,0),IF('01_数值调参'!$AM$7&lt;=$A25,-'01_数值调参'!$AM$29,0)),0),0)),"队列待修正"))</x:f>
        <x:v>3</x:v>
      </x:c>
      <x:c r="T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Q$7,"—",SUM(IF($A25&gt;=2,(C25+$C$3)*MAX(0,IF('01_数值调参'!$N$7&lt;=$A25,-'01_数值调参'!$N$30,0),IF('01_数值调参'!$O$7&lt;=$A25,-'01_数值调参'!$O$30,0),IF('01_数值调参'!$P$7&lt;=$A25,-'01_数值调参'!$P$30,0),IF('01_数值调参'!$Q$7&lt;=$A25,0,0),IF('01_数值调参'!$R$7&lt;=$A25,-'01_数值调参'!$R$30,0)),0),IF($A25&gt;=4,(D25+$C$3)*MAX(0,IF('01_数值调参'!$S$7&lt;=$A25,-'01_数值调参'!$S$30,0),IF('01_数值调参'!$T$7&lt;=$A25,-'01_数值调参'!$T$30,0),IF('01_数值调参'!$U$7&lt;=$A25,-'01_数值调参'!$U$30,0),IF('01_数值调参'!$V$7&lt;=$A25,-'01_数值调参'!$V$30,0),IF('01_数值调参'!$W$7&lt;=$A25,-'01_数值调参'!$W$30,0)),0),IF($A25&gt;=6,(E25+$C$3)*MAX(0,IF('01_数值调参'!$X$7&lt;=$A25,-'01_数值调参'!$X$30,0),IF('01_数值调参'!$Y$7&lt;=$A25,-'01_数值调参'!$Y$30,0),IF('01_数值调参'!$Z$7&lt;=$A25,-'01_数值调参'!$Z$30,0),IF('01_数值调参'!$AA$7&lt;=$A25,-'01_数值调参'!$AA$30,0),IF('01_数值调参'!$AB$7&lt;=$A25,-'01_数值调参'!$AB$30,0),IF('01_数值调参'!$AC$7&lt;=$A25,-'01_数值调参'!$AC$30,0)),0),IF($A25&gt;=8,(F25+$C$3)*MAX(0,IF('01_数值调参'!$AD$7&lt;=$A25,-'01_数值调参'!$AD$30,0),IF('01_数值调参'!$AE$7&lt;=$A25,-'01_数值调参'!$AE$30,0),IF('01_数值调参'!$AF$7&lt;=$A25,-'01_数值调参'!$AF$30,0),IF('01_数值调参'!$AG$7&lt;=$A25,-'01_数值调参'!$AG$30,0)),0),IF($A25&gt;=10,(G25+$C$3)*MAX(0,IF('01_数值调参'!$AH$7&lt;=$A25,-'01_数值调参'!$AH$30,0),IF('01_数值调参'!$AI$7&lt;=$A25,-'01_数值调参'!$AI$30,0),IF('01_数值调参'!$AJ$7&lt;=$A25,-'01_数值调参'!$AJ$30,0),IF('01_数值调参'!$AK$7&lt;=$A25,-'01_数值调参'!$AK$30,0),IF('01_数值调参'!$AL$7&lt;=$A25,-'01_数值调参'!$AL$30,0),IF('01_数值调参'!$AM$7&lt;=$A25,-'01_数值调参'!$AM$30,0)),0),0)),"队列待修正"))</x:f>
        <x:v>3</x:v>
      </x:c>
      <x:c r="U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R$7,"—",SUM(IF($A25&gt;=2,(C25+$C$3)*MAX(0,IF('01_数值调参'!$N$7&lt;=$A25,-'01_数值调参'!$N$31,0),IF('01_数值调参'!$O$7&lt;=$A25,-'01_数值调参'!$O$31,0),IF('01_数值调参'!$P$7&lt;=$A25,-'01_数值调参'!$P$31,0),IF('01_数值调参'!$Q$7&lt;=$A25,-'01_数值调参'!$Q$31,0),IF('01_数值调参'!$R$7&lt;=$A25,0,0)),0),IF($A25&gt;=4,(D25+$C$3)*MAX(0,IF('01_数值调参'!$S$7&lt;=$A25,-'01_数值调参'!$S$31,0),IF('01_数值调参'!$T$7&lt;=$A25,-'01_数值调参'!$T$31,0),IF('01_数值调参'!$U$7&lt;=$A25,-'01_数值调参'!$U$31,0),IF('01_数值调参'!$V$7&lt;=$A25,-'01_数值调参'!$V$31,0),IF('01_数值调参'!$W$7&lt;=$A25,-'01_数值调参'!$W$31,0)),0),IF($A25&gt;=6,(E25+$C$3)*MAX(0,IF('01_数值调参'!$X$7&lt;=$A25,-'01_数值调参'!$X$31,0),IF('01_数值调参'!$Y$7&lt;=$A25,-'01_数值调参'!$Y$31,0),IF('01_数值调参'!$Z$7&lt;=$A25,-'01_数值调参'!$Z$31,0),IF('01_数值调参'!$AA$7&lt;=$A25,-'01_数值调参'!$AA$31,0),IF('01_数值调参'!$AB$7&lt;=$A25,-'01_数值调参'!$AB$31,0),IF('01_数值调参'!$AC$7&lt;=$A25,-'01_数值调参'!$AC$31,0)),0),IF($A25&gt;=8,(F25+$C$3)*MAX(0,IF('01_数值调参'!$AD$7&lt;=$A25,-'01_数值调参'!$AD$31,0),IF('01_数值调参'!$AE$7&lt;=$A25,-'01_数值调参'!$AE$31,0),IF('01_数值调参'!$AF$7&lt;=$A25,-'01_数值调参'!$AF$31,0),IF('01_数值调参'!$AG$7&lt;=$A25,-'01_数值调参'!$AG$31,0)),0),IF($A25&gt;=10,(G25+$C$3)*MAX(0,IF('01_数值调参'!$AH$7&lt;=$A25,-'01_数值调参'!$AH$31,0),IF('01_数值调参'!$AI$7&lt;=$A25,-'01_数值调参'!$AI$31,0),IF('01_数值调参'!$AJ$7&lt;=$A25,-'01_数值调参'!$AJ$31,0),IF('01_数值调参'!$AK$7&lt;=$A25,-'01_数值调参'!$AK$31,0),IF('01_数值调参'!$AL$7&lt;=$A25,-'01_数值调参'!$AL$31,0),IF('01_数值调参'!$AM$7&lt;=$A25,-'01_数值调参'!$AM$31,0)),0),0)),"队列待修正"))</x:f>
        <x:v>0</x:v>
      </x:c>
      <x:c r="V25" s="191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S$7,"—",SUM(IF($A25&gt;=2,(C25+$C$3)*MAX(0,IF('01_数值调参'!$N$7&lt;=$A25,-'01_数值调参'!$N$32,0),IF('01_数值调参'!$O$7&lt;=$A25,-'01_数值调参'!$O$32,0),IF('01_数值调参'!$P$7&lt;=$A25,-'01_数值调参'!$P$32,0),IF('01_数值调参'!$Q$7&lt;=$A25,-'01_数值调参'!$Q$32,0),IF('01_数值调参'!$R$7&lt;=$A25,-'01_数值调参'!$R$32,0)),0),IF($A25&gt;=4,(D25+$C$3)*MAX(0,IF('01_数值调参'!$S$7&lt;=$A25,0,0),IF('01_数值调参'!$T$7&lt;=$A25,-'01_数值调参'!$T$32,0),IF('01_数值调参'!$U$7&lt;=$A25,-'01_数值调参'!$U$32,0),IF('01_数值调参'!$V$7&lt;=$A25,-'01_数值调参'!$V$32,0),IF('01_数值调参'!$W$7&lt;=$A25,-'01_数值调参'!$W$32,0)),0),IF($A25&gt;=6,(E25+$C$3)*MAX(0,IF('01_数值调参'!$X$7&lt;=$A25,-'01_数值调参'!$X$32,0),IF('01_数值调参'!$Y$7&lt;=$A25,-'01_数值调参'!$Y$32,0),IF('01_数值调参'!$Z$7&lt;=$A25,-'01_数值调参'!$Z$32,0),IF('01_数值调参'!$AA$7&lt;=$A25,-'01_数值调参'!$AA$32,0),IF('01_数值调参'!$AB$7&lt;=$A25,-'01_数值调参'!$AB$32,0),IF('01_数值调参'!$AC$7&lt;=$A25,-'01_数值调参'!$AC$32,0)),0),IF($A25&gt;=8,(F25+$C$3)*MAX(0,IF('01_数值调参'!$AD$7&lt;=$A25,-'01_数值调参'!$AD$32,0),IF('01_数值调参'!$AE$7&lt;=$A25,-'01_数值调参'!$AE$32,0),IF('01_数值调参'!$AF$7&lt;=$A25,-'01_数值调参'!$AF$32,0),IF('01_数值调参'!$AG$7&lt;=$A25,-'01_数值调参'!$AG$32,0)),0),IF($A25&gt;=10,(G25+$C$3)*MAX(0,IF('01_数值调参'!$AH$7&lt;=$A25,-'01_数值调参'!$AH$32,0),IF('01_数值调参'!$AI$7&lt;=$A25,-'01_数值调参'!$AI$32,0),IF('01_数值调参'!$AJ$7&lt;=$A25,-'01_数值调参'!$AJ$32,0),IF('01_数值调参'!$AK$7&lt;=$A25,-'01_数值调参'!$AK$32,0),IF('01_数值调参'!$AL$7&lt;=$A25,-'01_数值调参'!$AL$32,0),IF('01_数值调参'!$AM$7&lt;=$A25,-'01_数值调参'!$AM$32,0)),0),0)),"队列待修正"))</x:f>
        <x:v>6</x:v>
      </x:c>
      <x:c r="W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T$7,"—",SUM(IF($A25&gt;=2,(C25+$C$3)*MAX(0,IF('01_数值调参'!$N$7&lt;=$A25,-'01_数值调参'!$N$33,0),IF('01_数值调参'!$O$7&lt;=$A25,-'01_数值调参'!$O$33,0),IF('01_数值调参'!$P$7&lt;=$A25,-'01_数值调参'!$P$33,0),IF('01_数值调参'!$Q$7&lt;=$A25,-'01_数值调参'!$Q$33,0),IF('01_数值调参'!$R$7&lt;=$A25,-'01_数值调参'!$R$33,0)),0),IF($A25&gt;=4,(D25+$C$3)*MAX(0,IF('01_数值调参'!$S$7&lt;=$A25,-'01_数值调参'!$S$33,0),IF('01_数值调参'!$T$7&lt;=$A25,0,0),IF('01_数值调参'!$U$7&lt;=$A25,-'01_数值调参'!$U$33,0),IF('01_数值调参'!$V$7&lt;=$A25,-'01_数值调参'!$V$33,0),IF('01_数值调参'!$W$7&lt;=$A25,-'01_数值调参'!$W$33,0)),0),IF($A25&gt;=6,(E25+$C$3)*MAX(0,IF('01_数值调参'!$X$7&lt;=$A25,-'01_数值调参'!$X$33,0),IF('01_数值调参'!$Y$7&lt;=$A25,-'01_数值调参'!$Y$33,0),IF('01_数值调参'!$Z$7&lt;=$A25,-'01_数值调参'!$Z$33,0),IF('01_数值调参'!$AA$7&lt;=$A25,-'01_数值调参'!$AA$33,0),IF('01_数值调参'!$AB$7&lt;=$A25,-'01_数值调参'!$AB$33,0),IF('01_数值调参'!$AC$7&lt;=$A25,-'01_数值调参'!$AC$33,0)),0),IF($A25&gt;=8,(F25+$C$3)*MAX(0,IF('01_数值调参'!$AD$7&lt;=$A25,-'01_数值调参'!$AD$33,0),IF('01_数值调参'!$AE$7&lt;=$A25,-'01_数值调参'!$AE$33,0),IF('01_数值调参'!$AF$7&lt;=$A25,-'01_数值调参'!$AF$33,0),IF('01_数值调参'!$AG$7&lt;=$A25,-'01_数值调参'!$AG$33,0)),0),IF($A25&gt;=10,(G25+$C$3)*MAX(0,IF('01_数值调参'!$AH$7&lt;=$A25,-'01_数值调参'!$AH$33,0),IF('01_数值调参'!$AI$7&lt;=$A25,-'01_数值调参'!$AI$33,0),IF('01_数值调参'!$AJ$7&lt;=$A25,-'01_数值调参'!$AJ$33,0),IF('01_数值调参'!$AK$7&lt;=$A25,-'01_数值调参'!$AK$33,0),IF('01_数值调参'!$AL$7&lt;=$A25,-'01_数值调参'!$AL$33,0),IF('01_数值调参'!$AM$7&lt;=$A25,-'01_数值调参'!$AM$33,0)),0),0)),"队列待修正"))</x:f>
        <x:v>3</x:v>
      </x:c>
      <x:c r="X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U$7,"—",SUM(IF($A25&gt;=2,(C25+$C$3)*MAX(0,IF('01_数值调参'!$N$7&lt;=$A25,-'01_数值调参'!$N$34,0),IF('01_数值调参'!$O$7&lt;=$A25,-'01_数值调参'!$O$34,0),IF('01_数值调参'!$P$7&lt;=$A25,-'01_数值调参'!$P$34,0),IF('01_数值调参'!$Q$7&lt;=$A25,-'01_数值调参'!$Q$34,0),IF('01_数值调参'!$R$7&lt;=$A25,-'01_数值调参'!$R$34,0)),0),IF($A25&gt;=4,(D25+$C$3)*MAX(0,IF('01_数值调参'!$S$7&lt;=$A25,-'01_数值调参'!$S$34,0),IF('01_数值调参'!$T$7&lt;=$A25,-'01_数值调参'!$T$34,0),IF('01_数值调参'!$U$7&lt;=$A25,0,0),IF('01_数值调参'!$V$7&lt;=$A25,-'01_数值调参'!$V$34,0),IF('01_数值调参'!$W$7&lt;=$A25,-'01_数值调参'!$W$34,0)),0),IF($A25&gt;=6,(E25+$C$3)*MAX(0,IF('01_数值调参'!$X$7&lt;=$A25,-'01_数值调参'!$X$34,0),IF('01_数值调参'!$Y$7&lt;=$A25,-'01_数值调参'!$Y$34,0),IF('01_数值调参'!$Z$7&lt;=$A25,-'01_数值调参'!$Z$34,0),IF('01_数值调参'!$AA$7&lt;=$A25,-'01_数值调参'!$AA$34,0),IF('01_数值调参'!$AB$7&lt;=$A25,-'01_数值调参'!$AB$34,0),IF('01_数值调参'!$AC$7&lt;=$A25,-'01_数值调参'!$AC$34,0)),0),IF($A25&gt;=8,(F25+$C$3)*MAX(0,IF('01_数值调参'!$AD$7&lt;=$A25,-'01_数值调参'!$AD$34,0),IF('01_数值调参'!$AE$7&lt;=$A25,-'01_数值调参'!$AE$34,0),IF('01_数值调参'!$AF$7&lt;=$A25,-'01_数值调参'!$AF$34,0),IF('01_数值调参'!$AG$7&lt;=$A25,-'01_数值调参'!$AG$34,0)),0),IF($A25&gt;=10,(G25+$C$3)*MAX(0,IF('01_数值调参'!$AH$7&lt;=$A25,-'01_数值调参'!$AH$34,0),IF('01_数值调参'!$AI$7&lt;=$A25,-'01_数值调参'!$AI$34,0),IF('01_数值调参'!$AJ$7&lt;=$A25,-'01_数值调参'!$AJ$34,0),IF('01_数值调参'!$AK$7&lt;=$A25,-'01_数值调参'!$AK$34,0),IF('01_数值调参'!$AL$7&lt;=$A25,-'01_数值调参'!$AL$34,0),IF('01_数值调参'!$AM$7&lt;=$A25,-'01_数值调参'!$AM$34,0)),0),0)),"队列待修正"))</x:f>
        <x:v>3</x:v>
      </x:c>
      <x:c r="Y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V$7,"—",SUM(IF($A25&gt;=2,(C25+$C$3)*MAX(0,IF('01_数值调参'!$N$7&lt;=$A25,-'01_数值调参'!$N$35,0),IF('01_数值调参'!$O$7&lt;=$A25,-'01_数值调参'!$O$35,0),IF('01_数值调参'!$P$7&lt;=$A25,-'01_数值调参'!$P$35,0),IF('01_数值调参'!$Q$7&lt;=$A25,-'01_数值调参'!$Q$35,0),IF('01_数值调参'!$R$7&lt;=$A25,-'01_数值调参'!$R$35,0)),0),IF($A25&gt;=4,(D25+$C$3)*MAX(0,IF('01_数值调参'!$S$7&lt;=$A25,-'01_数值调参'!$S$35,0),IF('01_数值调参'!$T$7&lt;=$A25,-'01_数值调参'!$T$35,0),IF('01_数值调参'!$U$7&lt;=$A25,-'01_数值调参'!$U$35,0),IF('01_数值调参'!$V$7&lt;=$A25,0,0),IF('01_数值调参'!$W$7&lt;=$A25,-'01_数值调参'!$W$35,0)),0),IF($A25&gt;=6,(E25+$C$3)*MAX(0,IF('01_数值调参'!$X$7&lt;=$A25,-'01_数值调参'!$X$35,0),IF('01_数值调参'!$Y$7&lt;=$A25,-'01_数值调参'!$Y$35,0),IF('01_数值调参'!$Z$7&lt;=$A25,-'01_数值调参'!$Z$35,0),IF('01_数值调参'!$AA$7&lt;=$A25,-'01_数值调参'!$AA$35,0),IF('01_数值调参'!$AB$7&lt;=$A25,-'01_数值调参'!$AB$35,0),IF('01_数值调参'!$AC$7&lt;=$A25,-'01_数值调参'!$AC$35,0)),0),IF($A25&gt;=8,(F25+$C$3)*MAX(0,IF('01_数值调参'!$AD$7&lt;=$A25,-'01_数值调参'!$AD$35,0),IF('01_数值调参'!$AE$7&lt;=$A25,-'01_数值调参'!$AE$35,0),IF('01_数值调参'!$AF$7&lt;=$A25,-'01_数值调参'!$AF$35,0),IF('01_数值调参'!$AG$7&lt;=$A25,-'01_数值调参'!$AG$35,0)),0),IF($A25&gt;=10,(G25+$C$3)*MAX(0,IF('01_数值调参'!$AH$7&lt;=$A25,-'01_数值调参'!$AH$35,0),IF('01_数值调参'!$AI$7&lt;=$A25,-'01_数值调参'!$AI$35,0),IF('01_数值调参'!$AJ$7&lt;=$A25,-'01_数值调参'!$AJ$35,0),IF('01_数值调参'!$AK$7&lt;=$A25,-'01_数值调参'!$AK$35,0),IF('01_数值调参'!$AL$7&lt;=$A25,-'01_数值调参'!$AL$35,0),IF('01_数值调参'!$AM$7&lt;=$A25,-'01_数值调参'!$AM$35,0)),0),0)),"队列待修正"))</x:f>
        <x:v>0</x:v>
      </x:c>
      <x:c r="Z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W$7,"—",SUM(IF($A25&gt;=2,(C25+$C$3)*MAX(0,IF('01_数值调参'!$N$7&lt;=$A25,-'01_数值调参'!$N$36,0),IF('01_数值调参'!$O$7&lt;=$A25,-'01_数值调参'!$O$36,0),IF('01_数值调参'!$P$7&lt;=$A25,-'01_数值调参'!$P$36,0),IF('01_数值调参'!$Q$7&lt;=$A25,-'01_数值调参'!$Q$36,0),IF('01_数值调参'!$R$7&lt;=$A25,-'01_数值调参'!$R$36,0)),0),IF($A25&gt;=4,(D25+$C$3)*MAX(0,IF('01_数值调参'!$S$7&lt;=$A25,-'01_数值调参'!$S$36,0),IF('01_数值调参'!$T$7&lt;=$A25,-'01_数值调参'!$T$36,0),IF('01_数值调参'!$U$7&lt;=$A25,-'01_数值调参'!$U$36,0),IF('01_数值调参'!$V$7&lt;=$A25,-'01_数值调参'!$V$36,0),IF('01_数值调参'!$W$7&lt;=$A25,0,0)),0),IF($A25&gt;=6,(E25+$C$3)*MAX(0,IF('01_数值调参'!$X$7&lt;=$A25,-'01_数值调参'!$X$36,0),IF('01_数值调参'!$Y$7&lt;=$A25,-'01_数值调参'!$Y$36,0),IF('01_数值调参'!$Z$7&lt;=$A25,-'01_数值调参'!$Z$36,0),IF('01_数值调参'!$AA$7&lt;=$A25,-'01_数值调参'!$AA$36,0),IF('01_数值调参'!$AB$7&lt;=$A25,-'01_数值调参'!$AB$36,0),IF('01_数值调参'!$AC$7&lt;=$A25,-'01_数值调参'!$AC$36,0)),0),IF($A25&gt;=8,(F25+$C$3)*MAX(0,IF('01_数值调参'!$AD$7&lt;=$A25,-'01_数值调参'!$AD$36,0),IF('01_数值调参'!$AE$7&lt;=$A25,-'01_数值调参'!$AE$36,0),IF('01_数值调参'!$AF$7&lt;=$A25,-'01_数值调参'!$AF$36,0),IF('01_数值调参'!$AG$7&lt;=$A25,-'01_数值调参'!$AG$36,0)),0),IF($A25&gt;=10,(G25+$C$3)*MAX(0,IF('01_数值调参'!$AH$7&lt;=$A25,-'01_数值调参'!$AH$36,0),IF('01_数值调参'!$AI$7&lt;=$A25,-'01_数值调参'!$AI$36,0),IF('01_数值调参'!$AJ$7&lt;=$A25,-'01_数值调参'!$AJ$36,0),IF('01_数值调参'!$AK$7&lt;=$A25,-'01_数值调参'!$AK$36,0),IF('01_数值调参'!$AL$7&lt;=$A25,-'01_数值调参'!$AL$36,0),IF('01_数值调参'!$AM$7&lt;=$A25,-'01_数值调参'!$AM$36,0)),0),0)),"队列待修正"))</x:f>
        <x:v>0</x:v>
      </x:c>
      <x:c r="AA25" s="191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X$7,"—",SUM(IF($A25&gt;=2,(C25+$C$3)*MAX(0,IF('01_数值调参'!$N$7&lt;=$A25,-'01_数值调参'!$N$37,0),IF('01_数值调参'!$O$7&lt;=$A25,-'01_数值调参'!$O$37,0),IF('01_数值调参'!$P$7&lt;=$A25,-'01_数值调参'!$P$37,0),IF('01_数值调参'!$Q$7&lt;=$A25,-'01_数值调参'!$Q$37,0),IF('01_数值调参'!$R$7&lt;=$A25,-'01_数值调参'!$R$37,0)),0),IF($A25&gt;=4,(D25+$C$3)*MAX(0,IF('01_数值调参'!$S$7&lt;=$A25,-'01_数值调参'!$S$37,0),IF('01_数值调参'!$T$7&lt;=$A25,-'01_数值调参'!$T$37,0),IF('01_数值调参'!$U$7&lt;=$A25,-'01_数值调参'!$U$37,0),IF('01_数值调参'!$V$7&lt;=$A25,-'01_数值调参'!$V$37,0),IF('01_数值调参'!$W$7&lt;=$A25,-'01_数值调参'!$W$37,0)),0),IF($A25&gt;=6,(E25+$C$3)*MAX(0,IF('01_数值调参'!$X$7&lt;=$A25,0,0),IF('01_数值调参'!$Y$7&lt;=$A25,-'01_数值调参'!$Y$37,0),IF('01_数值调参'!$Z$7&lt;=$A25,-'01_数值调参'!$Z$37,0),IF('01_数值调参'!$AA$7&lt;=$A25,-'01_数值调参'!$AA$37,0),IF('01_数值调参'!$AB$7&lt;=$A25,-'01_数值调参'!$AB$37,0),IF('01_数值调参'!$AC$7&lt;=$A25,-'01_数值调参'!$AC$37,0)),0),IF($A25&gt;=8,(F25+$C$3)*MAX(0,IF('01_数值调参'!$AD$7&lt;=$A25,-'01_数值调参'!$AD$37,0),IF('01_数值调参'!$AE$7&lt;=$A25,-'01_数值调参'!$AE$37,0),IF('01_数值调参'!$AF$7&lt;=$A25,-'01_数值调参'!$AF$37,0),IF('01_数值调参'!$AG$7&lt;=$A25,-'01_数值调参'!$AG$37,0)),0),IF($A25&gt;=10,(G25+$C$3)*MAX(0,IF('01_数值调参'!$AH$7&lt;=$A25,-'01_数值调参'!$AH$37,0),IF('01_数值调参'!$AI$7&lt;=$A25,-'01_数值调参'!$AI$37,0),IF('01_数值调参'!$AJ$7&lt;=$A25,-'01_数值调参'!$AJ$37,0),IF('01_数值调参'!$AK$7&lt;=$A25,-'01_数值调参'!$AK$37,0),IF('01_数值调参'!$AL$7&lt;=$A25,-'01_数值调参'!$AL$37,0),IF('01_数值调参'!$AM$7&lt;=$A25,-'01_数值调参'!$AM$37,0)),0),0)),"队列待修正"))</x:f>
        <x:v>3</x:v>
      </x:c>
      <x:c r="AB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Y$7,"—",SUM(IF($A25&gt;=2,(C25+$C$3)*MAX(0,IF('01_数值调参'!$N$7&lt;=$A25,-'01_数值调参'!$N$38,0),IF('01_数值调参'!$O$7&lt;=$A25,-'01_数值调参'!$O$38,0),IF('01_数值调参'!$P$7&lt;=$A25,-'01_数值调参'!$P$38,0),IF('01_数值调参'!$Q$7&lt;=$A25,-'01_数值调参'!$Q$38,0),IF('01_数值调参'!$R$7&lt;=$A25,-'01_数值调参'!$R$38,0)),0),IF($A25&gt;=4,(D25+$C$3)*MAX(0,IF('01_数值调参'!$S$7&lt;=$A25,-'01_数值调参'!$S$38,0),IF('01_数值调参'!$T$7&lt;=$A25,-'01_数值调参'!$T$38,0),IF('01_数值调参'!$U$7&lt;=$A25,-'01_数值调参'!$U$38,0),IF('01_数值调参'!$V$7&lt;=$A25,-'01_数值调参'!$V$38,0),IF('01_数值调参'!$W$7&lt;=$A25,-'01_数值调参'!$W$38,0)),0),IF($A25&gt;=6,(E25+$C$3)*MAX(0,IF('01_数值调参'!$X$7&lt;=$A25,-'01_数值调参'!$X$38,0),IF('01_数值调参'!$Y$7&lt;=$A25,0,0),IF('01_数值调参'!$Z$7&lt;=$A25,-'01_数值调参'!$Z$38,0),IF('01_数值调参'!$AA$7&lt;=$A25,-'01_数值调参'!$AA$38,0),IF('01_数值调参'!$AB$7&lt;=$A25,-'01_数值调参'!$AB$38,0),IF('01_数值调参'!$AC$7&lt;=$A25,-'01_数值调参'!$AC$38,0)),0),IF($A25&gt;=8,(F25+$C$3)*MAX(0,IF('01_数值调参'!$AD$7&lt;=$A25,-'01_数值调参'!$AD$38,0),IF('01_数值调参'!$AE$7&lt;=$A25,-'01_数值调参'!$AE$38,0),IF('01_数值调参'!$AF$7&lt;=$A25,-'01_数值调参'!$AF$38,0),IF('01_数值调参'!$AG$7&lt;=$A25,-'01_数值调参'!$AG$38,0)),0),IF($A25&gt;=10,(G25+$C$3)*MAX(0,IF('01_数值调参'!$AH$7&lt;=$A25,-'01_数值调参'!$AH$38,0),IF('01_数值调参'!$AI$7&lt;=$A25,-'01_数值调参'!$AI$38,0),IF('01_数值调参'!$AJ$7&lt;=$A25,-'01_数值调参'!$AJ$38,0),IF('01_数值调参'!$AK$7&lt;=$A25,-'01_数值调参'!$AK$38,0),IF('01_数值调参'!$AL$7&lt;=$A25,-'01_数值调参'!$AL$38,0),IF('01_数值调参'!$AM$7&lt;=$A25,-'01_数值调参'!$AM$38,0)),0),0)),"队列待修正"))</x:f>
        <x:v>0</x:v>
      </x:c>
      <x:c r="AC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Z$7,"—",SUM(IF($A25&gt;=2,(C25+$C$3)*MAX(0,IF('01_数值调参'!$N$7&lt;=$A25,-'01_数值调参'!$N$39,0),IF('01_数值调参'!$O$7&lt;=$A25,-'01_数值调参'!$O$39,0),IF('01_数值调参'!$P$7&lt;=$A25,-'01_数值调参'!$P$39,0),IF('01_数值调参'!$Q$7&lt;=$A25,-'01_数值调参'!$Q$39,0),IF('01_数值调参'!$R$7&lt;=$A25,-'01_数值调参'!$R$39,0)),0),IF($A25&gt;=4,(D25+$C$3)*MAX(0,IF('01_数值调参'!$S$7&lt;=$A25,-'01_数值调参'!$S$39,0),IF('01_数值调参'!$T$7&lt;=$A25,-'01_数值调参'!$T$39,0),IF('01_数值调参'!$U$7&lt;=$A25,-'01_数值调参'!$U$39,0),IF('01_数值调参'!$V$7&lt;=$A25,-'01_数值调参'!$V$39,0),IF('01_数值调参'!$W$7&lt;=$A25,-'01_数值调参'!$W$39,0)),0),IF($A25&gt;=6,(E25+$C$3)*MAX(0,IF('01_数值调参'!$X$7&lt;=$A25,-'01_数值调参'!$X$39,0),IF('01_数值调参'!$Y$7&lt;=$A25,-'01_数值调参'!$Y$39,0),IF('01_数值调参'!$Z$7&lt;=$A25,0,0),IF('01_数值调参'!$AA$7&lt;=$A25,-'01_数值调参'!$AA$39,0),IF('01_数值调参'!$AB$7&lt;=$A25,-'01_数值调参'!$AB$39,0),IF('01_数值调参'!$AC$7&lt;=$A25,-'01_数值调参'!$AC$39,0)),0),IF($A25&gt;=8,(F25+$C$3)*MAX(0,IF('01_数值调参'!$AD$7&lt;=$A25,-'01_数值调参'!$AD$39,0),IF('01_数值调参'!$AE$7&lt;=$A25,-'01_数值调参'!$AE$39,0),IF('01_数值调参'!$AF$7&lt;=$A25,-'01_数值调参'!$AF$39,0),IF('01_数值调参'!$AG$7&lt;=$A25,-'01_数值调参'!$AG$39,0)),0),IF($A25&gt;=10,(G25+$C$3)*MAX(0,IF('01_数值调参'!$AH$7&lt;=$A25,-'01_数值调参'!$AH$39,0),IF('01_数值调参'!$AI$7&lt;=$A25,-'01_数值调参'!$AI$39,0),IF('01_数值调参'!$AJ$7&lt;=$A25,-'01_数值调参'!$AJ$39,0),IF('01_数值调参'!$AK$7&lt;=$A25,-'01_数值调参'!$AK$39,0),IF('01_数值调参'!$AL$7&lt;=$A25,-'01_数值调参'!$AL$39,0),IF('01_数值调参'!$AM$7&lt;=$A25,-'01_数值调参'!$AM$39,0)),0),0)),"队列待修正"))</x:f>
        <x:v>0</x:v>
      </x:c>
      <x:c r="AD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A$7,"—",SUM(IF($A25&gt;=2,(C25+$C$3)*MAX(0,IF('01_数值调参'!$N$7&lt;=$A25,-'01_数值调参'!$N$40,0),IF('01_数值调参'!$O$7&lt;=$A25,-'01_数值调参'!$O$40,0),IF('01_数值调参'!$P$7&lt;=$A25,-'01_数值调参'!$P$40,0),IF('01_数值调参'!$Q$7&lt;=$A25,-'01_数值调参'!$Q$40,0),IF('01_数值调参'!$R$7&lt;=$A25,-'01_数值调参'!$R$40,0)),0),IF($A25&gt;=4,(D25+$C$3)*MAX(0,IF('01_数值调参'!$S$7&lt;=$A25,-'01_数值调参'!$S$40,0),IF('01_数值调参'!$T$7&lt;=$A25,-'01_数值调参'!$T$40,0),IF('01_数值调参'!$U$7&lt;=$A25,-'01_数值调参'!$U$40,0),IF('01_数值调参'!$V$7&lt;=$A25,-'01_数值调参'!$V$40,0),IF('01_数值调参'!$W$7&lt;=$A25,-'01_数值调参'!$W$40,0)),0),IF($A25&gt;=6,(E25+$C$3)*MAX(0,IF('01_数值调参'!$X$7&lt;=$A25,-'01_数值调参'!$X$40,0),IF('01_数值调参'!$Y$7&lt;=$A25,-'01_数值调参'!$Y$40,0),IF('01_数值调参'!$Z$7&lt;=$A25,-'01_数值调参'!$Z$40,0),IF('01_数值调参'!$AA$7&lt;=$A25,0,0),IF('01_数值调参'!$AB$7&lt;=$A25,-'01_数值调参'!$AB$40,0),IF('01_数值调参'!$AC$7&lt;=$A25,-'01_数值调参'!$AC$40,0)),0),IF($A25&gt;=8,(F25+$C$3)*MAX(0,IF('01_数值调参'!$AD$7&lt;=$A25,-'01_数值调参'!$AD$40,0),IF('01_数值调参'!$AE$7&lt;=$A25,-'01_数值调参'!$AE$40,0),IF('01_数值调参'!$AF$7&lt;=$A25,-'01_数值调参'!$AF$40,0),IF('01_数值调参'!$AG$7&lt;=$A25,-'01_数值调参'!$AG$40,0)),0),IF($A25&gt;=10,(G25+$C$3)*MAX(0,IF('01_数值调参'!$AH$7&lt;=$A25,-'01_数值调参'!$AH$40,0),IF('01_数值调参'!$AI$7&lt;=$A25,-'01_数值调参'!$AI$40,0),IF('01_数值调参'!$AJ$7&lt;=$A25,-'01_数值调参'!$AJ$40,0),IF('01_数值调参'!$AK$7&lt;=$A25,-'01_数值调参'!$AK$40,0),IF('01_数值调参'!$AL$7&lt;=$A25,-'01_数值调参'!$AL$40,0),IF('01_数值调参'!$AM$7&lt;=$A25,-'01_数值调参'!$AM$40,0)),0),0)),"队列待修正"))</x:f>
        <x:v>0</x:v>
      </x:c>
      <x:c r="AE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B$7,"—",SUM(IF($A25&gt;=2,(C25+$C$3)*MAX(0,IF('01_数值调参'!$N$7&lt;=$A25,-'01_数值调参'!$N$41,0),IF('01_数值调参'!$O$7&lt;=$A25,-'01_数值调参'!$O$41,0),IF('01_数值调参'!$P$7&lt;=$A25,-'01_数值调参'!$P$41,0),IF('01_数值调参'!$Q$7&lt;=$A25,-'01_数值调参'!$Q$41,0),IF('01_数值调参'!$R$7&lt;=$A25,-'01_数值调参'!$R$41,0)),0),IF($A25&gt;=4,(D25+$C$3)*MAX(0,IF('01_数值调参'!$S$7&lt;=$A25,-'01_数值调参'!$S$41,0),IF('01_数值调参'!$T$7&lt;=$A25,-'01_数值调参'!$T$41,0),IF('01_数值调参'!$U$7&lt;=$A25,-'01_数值调参'!$U$41,0),IF('01_数值调参'!$V$7&lt;=$A25,-'01_数值调参'!$V$41,0),IF('01_数值调参'!$W$7&lt;=$A25,-'01_数值调参'!$W$41,0)),0),IF($A25&gt;=6,(E25+$C$3)*MAX(0,IF('01_数值调参'!$X$7&lt;=$A25,-'01_数值调参'!$X$41,0),IF('01_数值调参'!$Y$7&lt;=$A25,-'01_数值调参'!$Y$41,0),IF('01_数值调参'!$Z$7&lt;=$A25,-'01_数值调参'!$Z$41,0),IF('01_数值调参'!$AA$7&lt;=$A25,-'01_数值调参'!$AA$41,0),IF('01_数值调参'!$AB$7&lt;=$A25,0,0),IF('01_数值调参'!$AC$7&lt;=$A25,-'01_数值调参'!$AC$41,0)),0),IF($A25&gt;=8,(F25+$C$3)*MAX(0,IF('01_数值调参'!$AD$7&lt;=$A25,-'01_数值调参'!$AD$41,0),IF('01_数值调参'!$AE$7&lt;=$A25,-'01_数值调参'!$AE$41,0),IF('01_数值调参'!$AF$7&lt;=$A25,-'01_数值调参'!$AF$41,0),IF('01_数值调参'!$AG$7&lt;=$A25,-'01_数值调参'!$AG$41,0)),0),IF($A25&gt;=10,(G25+$C$3)*MAX(0,IF('01_数值调参'!$AH$7&lt;=$A25,-'01_数值调参'!$AH$41,0),IF('01_数值调参'!$AI$7&lt;=$A25,-'01_数值调参'!$AI$41,0),IF('01_数值调参'!$AJ$7&lt;=$A25,-'01_数值调参'!$AJ$41,0),IF('01_数值调参'!$AK$7&lt;=$A25,-'01_数值调参'!$AK$41,0),IF('01_数值调参'!$AL$7&lt;=$A25,-'01_数值调参'!$AL$41,0),IF('01_数值调参'!$AM$7&lt;=$A25,-'01_数值调参'!$AM$41,0)),0),0)),"队列待修正"))</x:f>
        <x:v>0</x:v>
      </x:c>
      <x:c r="AF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C$7,"—",SUM(IF($A25&gt;=2,(C25+$C$3)*MAX(0,IF('01_数值调参'!$N$7&lt;=$A25,-'01_数值调参'!$N$42,0),IF('01_数值调参'!$O$7&lt;=$A25,-'01_数值调参'!$O$42,0),IF('01_数值调参'!$P$7&lt;=$A25,-'01_数值调参'!$P$42,0),IF('01_数值调参'!$Q$7&lt;=$A25,-'01_数值调参'!$Q$42,0),IF('01_数值调参'!$R$7&lt;=$A25,-'01_数值调参'!$R$42,0)),0),IF($A25&gt;=4,(D25+$C$3)*MAX(0,IF('01_数值调参'!$S$7&lt;=$A25,-'01_数值调参'!$S$42,0),IF('01_数值调参'!$T$7&lt;=$A25,-'01_数值调参'!$T$42,0),IF('01_数值调参'!$U$7&lt;=$A25,-'01_数值调参'!$U$42,0),IF('01_数值调参'!$V$7&lt;=$A25,-'01_数值调参'!$V$42,0),IF('01_数值调参'!$W$7&lt;=$A25,-'01_数值调参'!$W$42,0)),0),IF($A25&gt;=6,(E25+$C$3)*MAX(0,IF('01_数值调参'!$X$7&lt;=$A25,-'01_数值调参'!$X$42,0),IF('01_数值调参'!$Y$7&lt;=$A25,-'01_数值调参'!$Y$42,0),IF('01_数值调参'!$Z$7&lt;=$A25,-'01_数值调参'!$Z$42,0),IF('01_数值调参'!$AA$7&lt;=$A25,-'01_数值调参'!$AA$42,0),IF('01_数值调参'!$AB$7&lt;=$A25,-'01_数值调参'!$AB$42,0),IF('01_数值调参'!$AC$7&lt;=$A25,0,0)),0),IF($A25&gt;=8,(F25+$C$3)*MAX(0,IF('01_数值调参'!$AD$7&lt;=$A25,-'01_数值调参'!$AD$42,0),IF('01_数值调参'!$AE$7&lt;=$A25,-'01_数值调参'!$AE$42,0),IF('01_数值调参'!$AF$7&lt;=$A25,-'01_数值调参'!$AF$42,0),IF('01_数值调参'!$AG$7&lt;=$A25,-'01_数值调参'!$AG$42,0)),0),IF($A25&gt;=10,(G25+$C$3)*MAX(0,IF('01_数值调参'!$AH$7&lt;=$A25,-'01_数值调参'!$AH$42,0),IF('01_数值调参'!$AI$7&lt;=$A25,-'01_数值调参'!$AI$42,0),IF('01_数值调参'!$AJ$7&lt;=$A25,-'01_数值调参'!$AJ$42,0),IF('01_数值调参'!$AK$7&lt;=$A25,-'01_数值调参'!$AK$42,0),IF('01_数值调参'!$AL$7&lt;=$A25,-'01_数值调参'!$AL$42,0),IF('01_数值调参'!$AM$7&lt;=$A25,-'01_数值调参'!$AM$42,0)),0),0)),"队列待修正"))</x:f>
        <x:v>0</x:v>
      </x:c>
      <x:c r="AG25" s="191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D$7,"—",SUM(IF($A25&gt;=2,(C25+$C$3)*MAX(0,IF('01_数值调参'!$N$7&lt;=$A25,-'01_数值调参'!$N$43,0),IF('01_数值调参'!$O$7&lt;=$A25,-'01_数值调参'!$O$43,0),IF('01_数值调参'!$P$7&lt;=$A25,-'01_数值调参'!$P$43,0),IF('01_数值调参'!$Q$7&lt;=$A25,-'01_数值调参'!$Q$43,0),IF('01_数值调参'!$R$7&lt;=$A25,-'01_数值调参'!$R$43,0)),0),IF($A25&gt;=4,(D25+$C$3)*MAX(0,IF('01_数值调参'!$S$7&lt;=$A25,-'01_数值调参'!$S$43,0),IF('01_数值调参'!$T$7&lt;=$A25,-'01_数值调参'!$T$43,0),IF('01_数值调参'!$U$7&lt;=$A25,-'01_数值调参'!$U$43,0),IF('01_数值调参'!$V$7&lt;=$A25,-'01_数值调参'!$V$43,0),IF('01_数值调参'!$W$7&lt;=$A25,-'01_数值调参'!$W$43,0)),0),IF($A25&gt;=6,(E25+$C$3)*MAX(0,IF('01_数值调参'!$X$7&lt;=$A25,-'01_数值调参'!$X$43,0),IF('01_数值调参'!$Y$7&lt;=$A25,-'01_数值调参'!$Y$43,0),IF('01_数值调参'!$Z$7&lt;=$A25,-'01_数值调参'!$Z$43,0),IF('01_数值调参'!$AA$7&lt;=$A25,-'01_数值调参'!$AA$43,0),IF('01_数值调参'!$AB$7&lt;=$A25,-'01_数值调参'!$AB$43,0),IF('01_数值调参'!$AC$7&lt;=$A25,-'01_数值调参'!$AC$43,0)),0),IF($A25&gt;=8,(F25+$C$3)*MAX(0,IF('01_数值调参'!$AD$7&lt;=$A25,0,0),IF('01_数值调参'!$AE$7&lt;=$A25,-'01_数值调参'!$AE$43,0),IF('01_数值调参'!$AF$7&lt;=$A25,-'01_数值调参'!$AF$43,0),IF('01_数值调参'!$AG$7&lt;=$A25,-'01_数值调参'!$AG$43,0)),0),IF($A25&gt;=10,(G25+$C$3)*MAX(0,IF('01_数值调参'!$AH$7&lt;=$A25,-'01_数值调参'!$AH$43,0),IF('01_数值调参'!$AI$7&lt;=$A25,-'01_数值调参'!$AI$43,0),IF('01_数值调参'!$AJ$7&lt;=$A25,-'01_数值调参'!$AJ$43,0),IF('01_数值调参'!$AK$7&lt;=$A25,-'01_数值调参'!$AK$43,0),IF('01_数值调参'!$AL$7&lt;=$A25,-'01_数值调参'!$AL$43,0),IF('01_数值调参'!$AM$7&lt;=$A25,-'01_数值调参'!$AM$43,0)),0),0)),"队列待修正"))</x:f>
        <x:v>3</x:v>
      </x:c>
      <x:c r="AH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E$7,"—",SUM(IF($A25&gt;=2,(C25+$C$3)*MAX(0,IF('01_数值调参'!$N$7&lt;=$A25,-'01_数值调参'!$N$44,0),IF('01_数值调参'!$O$7&lt;=$A25,-'01_数值调参'!$O$44,0),IF('01_数值调参'!$P$7&lt;=$A25,-'01_数值调参'!$P$44,0),IF('01_数值调参'!$Q$7&lt;=$A25,-'01_数值调参'!$Q$44,0),IF('01_数值调参'!$R$7&lt;=$A25,-'01_数值调参'!$R$44,0)),0),IF($A25&gt;=4,(D25+$C$3)*MAX(0,IF('01_数值调参'!$S$7&lt;=$A25,-'01_数值调参'!$S$44,0),IF('01_数值调参'!$T$7&lt;=$A25,-'01_数值调参'!$T$44,0),IF('01_数值调参'!$U$7&lt;=$A25,-'01_数值调参'!$U$44,0),IF('01_数值调参'!$V$7&lt;=$A25,-'01_数值调参'!$V$44,0),IF('01_数值调参'!$W$7&lt;=$A25,-'01_数值调参'!$W$44,0)),0),IF($A25&gt;=6,(E25+$C$3)*MAX(0,IF('01_数值调参'!$X$7&lt;=$A25,-'01_数值调参'!$X$44,0),IF('01_数值调参'!$Y$7&lt;=$A25,-'01_数值调参'!$Y$44,0),IF('01_数值调参'!$Z$7&lt;=$A25,-'01_数值调参'!$Z$44,0),IF('01_数值调参'!$AA$7&lt;=$A25,-'01_数值调参'!$AA$44,0),IF('01_数值调参'!$AB$7&lt;=$A25,-'01_数值调参'!$AB$44,0),IF('01_数值调参'!$AC$7&lt;=$A25,-'01_数值调参'!$AC$44,0)),0),IF($A25&gt;=8,(F25+$C$3)*MAX(0,IF('01_数值调参'!$AD$7&lt;=$A25,-'01_数值调参'!$AD$44,0),IF('01_数值调参'!$AE$7&lt;=$A25,0,0),IF('01_数值调参'!$AF$7&lt;=$A25,-'01_数值调参'!$AF$44,0),IF('01_数值调参'!$AG$7&lt;=$A25,-'01_数值调参'!$AG$44,0)),0),IF($A25&gt;=10,(G25+$C$3)*MAX(0,IF('01_数值调参'!$AH$7&lt;=$A25,-'01_数值调参'!$AH$44,0),IF('01_数值调参'!$AI$7&lt;=$A25,-'01_数值调参'!$AI$44,0),IF('01_数值调参'!$AJ$7&lt;=$A25,-'01_数值调参'!$AJ$44,0),IF('01_数值调参'!$AK$7&lt;=$A25,-'01_数值调参'!$AK$44,0),IF('01_数值调参'!$AL$7&lt;=$A25,-'01_数值调参'!$AL$44,0),IF('01_数值调参'!$AM$7&lt;=$A25,-'01_数值调参'!$AM$44,0)),0),0)),"队列待修正"))</x:f>
        <x:v>3</x:v>
      </x:c>
      <x:c r="AI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F$7,"—",SUM(IF($A25&gt;=2,(C25+$C$3)*MAX(0,IF('01_数值调参'!$N$7&lt;=$A25,-'01_数值调参'!$N$45,0),IF('01_数值调参'!$O$7&lt;=$A25,-'01_数值调参'!$O$45,0),IF('01_数值调参'!$P$7&lt;=$A25,-'01_数值调参'!$P$45,0),IF('01_数值调参'!$Q$7&lt;=$A25,-'01_数值调参'!$Q$45,0),IF('01_数值调参'!$R$7&lt;=$A25,-'01_数值调参'!$R$45,0)),0),IF($A25&gt;=4,(D25+$C$3)*MAX(0,IF('01_数值调参'!$S$7&lt;=$A25,-'01_数值调参'!$S$45,0),IF('01_数值调参'!$T$7&lt;=$A25,-'01_数值调参'!$T$45,0),IF('01_数值调参'!$U$7&lt;=$A25,-'01_数值调参'!$U$45,0),IF('01_数值调参'!$V$7&lt;=$A25,-'01_数值调参'!$V$45,0),IF('01_数值调参'!$W$7&lt;=$A25,-'01_数值调参'!$W$45,0)),0),IF($A25&gt;=6,(E25+$C$3)*MAX(0,IF('01_数值调参'!$X$7&lt;=$A25,-'01_数值调参'!$X$45,0),IF('01_数值调参'!$Y$7&lt;=$A25,-'01_数值调参'!$Y$45,0),IF('01_数值调参'!$Z$7&lt;=$A25,-'01_数值调参'!$Z$45,0),IF('01_数值调参'!$AA$7&lt;=$A25,-'01_数值调参'!$AA$45,0),IF('01_数值调参'!$AB$7&lt;=$A25,-'01_数值调参'!$AB$45,0),IF('01_数值调参'!$AC$7&lt;=$A25,-'01_数值调参'!$AC$45,0)),0),IF($A25&gt;=8,(F25+$C$3)*MAX(0,IF('01_数值调参'!$AD$7&lt;=$A25,-'01_数值调参'!$AD$45,0),IF('01_数值调参'!$AE$7&lt;=$A25,-'01_数值调参'!$AE$45,0),IF('01_数值调参'!$AF$7&lt;=$A25,0,0),IF('01_数值调参'!$AG$7&lt;=$A25,-'01_数值调参'!$AG$45,0)),0),IF($A25&gt;=10,(G25+$C$3)*MAX(0,IF('01_数值调参'!$AH$7&lt;=$A25,-'01_数值调参'!$AH$45,0),IF('01_数值调参'!$AI$7&lt;=$A25,-'01_数值调参'!$AI$45,0),IF('01_数值调参'!$AJ$7&lt;=$A25,-'01_数值调参'!$AJ$45,0),IF('01_数值调参'!$AK$7&lt;=$A25,-'01_数值调参'!$AK$45,0),IF('01_数值调参'!$AL$7&lt;=$A25,-'01_数值调参'!$AL$45,0),IF('01_数值调参'!$AM$7&lt;=$A25,-'01_数值调参'!$AM$45,0)),0),0)),"队列待修正"))</x:f>
        <x:v>3</x:v>
      </x:c>
      <x:c r="AJ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G$7,"—",SUM(IF($A25&gt;=2,(C25+$C$3)*MAX(0,IF('01_数值调参'!$N$7&lt;=$A25,-'01_数值调参'!$N$46,0),IF('01_数值调参'!$O$7&lt;=$A25,-'01_数值调参'!$O$46,0),IF('01_数值调参'!$P$7&lt;=$A25,-'01_数值调参'!$P$46,0),IF('01_数值调参'!$Q$7&lt;=$A25,-'01_数值调参'!$Q$46,0),IF('01_数值调参'!$R$7&lt;=$A25,-'01_数值调参'!$R$46,0)),0),IF($A25&gt;=4,(D25+$C$3)*MAX(0,IF('01_数值调参'!$S$7&lt;=$A25,-'01_数值调参'!$S$46,0),IF('01_数值调参'!$T$7&lt;=$A25,-'01_数值调参'!$T$46,0),IF('01_数值调参'!$U$7&lt;=$A25,-'01_数值调参'!$U$46,0),IF('01_数值调参'!$V$7&lt;=$A25,-'01_数值调参'!$V$46,0),IF('01_数值调参'!$W$7&lt;=$A25,-'01_数值调参'!$W$46,0)),0),IF($A25&gt;=6,(E25+$C$3)*MAX(0,IF('01_数值调参'!$X$7&lt;=$A25,-'01_数值调参'!$X$46,0),IF('01_数值调参'!$Y$7&lt;=$A25,-'01_数值调参'!$Y$46,0),IF('01_数值调参'!$Z$7&lt;=$A25,-'01_数值调参'!$Z$46,0),IF('01_数值调参'!$AA$7&lt;=$A25,-'01_数值调参'!$AA$46,0),IF('01_数值调参'!$AB$7&lt;=$A25,-'01_数值调参'!$AB$46,0),IF('01_数值调参'!$AC$7&lt;=$A25,-'01_数值调参'!$AC$46,0)),0),IF($A25&gt;=8,(F25+$C$3)*MAX(0,IF('01_数值调参'!$AD$7&lt;=$A25,-'01_数值调参'!$AD$46,0),IF('01_数值调参'!$AE$7&lt;=$A25,-'01_数值调参'!$AE$46,0),IF('01_数值调参'!$AF$7&lt;=$A25,-'01_数值调参'!$AF$46,0),IF('01_数值调参'!$AG$7&lt;=$A25,0,0)),0),IF($A25&gt;=10,(G25+$C$3)*MAX(0,IF('01_数值调参'!$AH$7&lt;=$A25,-'01_数值调参'!$AH$46,0),IF('01_数值调参'!$AI$7&lt;=$A25,-'01_数值调参'!$AI$46,0),IF('01_数值调参'!$AJ$7&lt;=$A25,-'01_数值调参'!$AJ$46,0),IF('01_数值调参'!$AK$7&lt;=$A25,-'01_数值调参'!$AK$46,0),IF('01_数值调参'!$AL$7&lt;=$A25,-'01_数值调参'!$AL$46,0),IF('01_数值调参'!$AM$7&lt;=$A25,-'01_数值调参'!$AM$46,0)),0),0)),"队列待修正"))</x:f>
        <x:v>3</x:v>
      </x:c>
      <x:c r="AK25" s="191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H$7,"—",SUM(IF($A25&gt;=2,(C25+$C$3)*MAX(0,IF('01_数值调参'!$N$7&lt;=$A25,-'01_数值调参'!$N$47,0),IF('01_数值调参'!$O$7&lt;=$A25,-'01_数值调参'!$O$47,0),IF('01_数值调参'!$P$7&lt;=$A25,-'01_数值调参'!$P$47,0),IF('01_数值调参'!$Q$7&lt;=$A25,-'01_数值调参'!$Q$47,0),IF('01_数值调参'!$R$7&lt;=$A25,-'01_数值调参'!$R$47,0)),0),IF($A25&gt;=4,(D25+$C$3)*MAX(0,IF('01_数值调参'!$S$7&lt;=$A25,-'01_数值调参'!$S$47,0),IF('01_数值调参'!$T$7&lt;=$A25,-'01_数值调参'!$T$47,0),IF('01_数值调参'!$U$7&lt;=$A25,-'01_数值调参'!$U$47,0),IF('01_数值调参'!$V$7&lt;=$A25,-'01_数值调参'!$V$47,0),IF('01_数值调参'!$W$7&lt;=$A25,-'01_数值调参'!$W$47,0)),0),IF($A25&gt;=6,(E25+$C$3)*MAX(0,IF('01_数值调参'!$X$7&lt;=$A25,-'01_数值调参'!$X$47,0),IF('01_数值调参'!$Y$7&lt;=$A25,-'01_数值调参'!$Y$47,0),IF('01_数值调参'!$Z$7&lt;=$A25,-'01_数值调参'!$Z$47,0),IF('01_数值调参'!$AA$7&lt;=$A25,-'01_数值调参'!$AA$47,0),IF('01_数值调参'!$AB$7&lt;=$A25,-'01_数值调参'!$AB$47,0),IF('01_数值调参'!$AC$7&lt;=$A25,-'01_数值调参'!$AC$47,0)),0),IF($A25&gt;=8,(F25+$C$3)*MAX(0,IF('01_数值调参'!$AD$7&lt;=$A25,-'01_数值调参'!$AD$47,0),IF('01_数值调参'!$AE$7&lt;=$A25,-'01_数值调参'!$AE$47,0),IF('01_数值调参'!$AF$7&lt;=$A25,-'01_数值调参'!$AF$47,0),IF('01_数值调参'!$AG$7&lt;=$A25,-'01_数值调参'!$AG$47,0)),0),IF($A25&gt;=10,(G25+$C$3)*MAX(0,IF('01_数值调参'!$AH$7&lt;=$A25,0,0),IF('01_数值调参'!$AI$7&lt;=$A25,-'01_数值调参'!$AI$47,0),IF('01_数值调参'!$AJ$7&lt;=$A25,-'01_数值调参'!$AJ$47,0),IF('01_数值调参'!$AK$7&lt;=$A25,-'01_数值调参'!$AK$47,0),IF('01_数值调参'!$AL$7&lt;=$A25,-'01_数值调参'!$AL$47,0),IF('01_数值调参'!$AM$7&lt;=$A25,-'01_数值调参'!$AM$47,0)),0),0)),"队列待修正"))</x:f>
        <x:v>0</x:v>
      </x:c>
      <x:c r="AL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I$7,"—",SUM(IF($A25&gt;=2,(C25+$C$3)*MAX(0,IF('01_数值调参'!$N$7&lt;=$A25,-'01_数值调参'!$N$48,0),IF('01_数值调参'!$O$7&lt;=$A25,-'01_数值调参'!$O$48,0),IF('01_数值调参'!$P$7&lt;=$A25,-'01_数值调参'!$P$48,0),IF('01_数值调参'!$Q$7&lt;=$A25,-'01_数值调参'!$Q$48,0),IF('01_数值调参'!$R$7&lt;=$A25,-'01_数值调参'!$R$48,0)),0),IF($A25&gt;=4,(D25+$C$3)*MAX(0,IF('01_数值调参'!$S$7&lt;=$A25,-'01_数值调参'!$S$48,0),IF('01_数值调参'!$T$7&lt;=$A25,-'01_数值调参'!$T$48,0),IF('01_数值调参'!$U$7&lt;=$A25,-'01_数值调参'!$U$48,0),IF('01_数值调参'!$V$7&lt;=$A25,-'01_数值调参'!$V$48,0),IF('01_数值调参'!$W$7&lt;=$A25,-'01_数值调参'!$W$48,0)),0),IF($A25&gt;=6,(E25+$C$3)*MAX(0,IF('01_数值调参'!$X$7&lt;=$A25,-'01_数值调参'!$X$48,0),IF('01_数值调参'!$Y$7&lt;=$A25,-'01_数值调参'!$Y$48,0),IF('01_数值调参'!$Z$7&lt;=$A25,-'01_数值调参'!$Z$48,0),IF('01_数值调参'!$AA$7&lt;=$A25,-'01_数值调参'!$AA$48,0),IF('01_数值调参'!$AB$7&lt;=$A25,-'01_数值调参'!$AB$48,0),IF('01_数值调参'!$AC$7&lt;=$A25,-'01_数值调参'!$AC$48,0)),0),IF($A25&gt;=8,(F25+$C$3)*MAX(0,IF('01_数值调参'!$AD$7&lt;=$A25,-'01_数值调参'!$AD$48,0),IF('01_数值调参'!$AE$7&lt;=$A25,-'01_数值调参'!$AE$48,0),IF('01_数值调参'!$AF$7&lt;=$A25,-'01_数值调参'!$AF$48,0),IF('01_数值调参'!$AG$7&lt;=$A25,-'01_数值调参'!$AG$48,0)),0),IF($A25&gt;=10,(G25+$C$3)*MAX(0,IF('01_数值调参'!$AH$7&lt;=$A25,-'01_数值调参'!$AH$48,0),IF('01_数值调参'!$AI$7&lt;=$A25,0,0),IF('01_数值调参'!$AJ$7&lt;=$A25,-'01_数值调参'!$AJ$48,0),IF('01_数值调参'!$AK$7&lt;=$A25,-'01_数值调参'!$AK$48,0),IF('01_数值调参'!$AL$7&lt;=$A25,-'01_数值调参'!$AL$48,0),IF('01_数值调参'!$AM$7&lt;=$A25,-'01_数值调参'!$AM$48,0)),0),0)),"队列待修正"))</x:f>
        <x:v>0</x:v>
      </x:c>
      <x:c r="AM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J$7,"—",SUM(IF($A25&gt;=2,(C25+$C$3)*MAX(0,IF('01_数值调参'!$N$7&lt;=$A25,-'01_数值调参'!$N$49,0),IF('01_数值调参'!$O$7&lt;=$A25,-'01_数值调参'!$O$49,0),IF('01_数值调参'!$P$7&lt;=$A25,-'01_数值调参'!$P$49,0),IF('01_数值调参'!$Q$7&lt;=$A25,-'01_数值调参'!$Q$49,0),IF('01_数值调参'!$R$7&lt;=$A25,-'01_数值调参'!$R$49,0)),0),IF($A25&gt;=4,(D25+$C$3)*MAX(0,IF('01_数值调参'!$S$7&lt;=$A25,-'01_数值调参'!$S$49,0),IF('01_数值调参'!$T$7&lt;=$A25,-'01_数值调参'!$T$49,0),IF('01_数值调参'!$U$7&lt;=$A25,-'01_数值调参'!$U$49,0),IF('01_数值调参'!$V$7&lt;=$A25,-'01_数值调参'!$V$49,0),IF('01_数值调参'!$W$7&lt;=$A25,-'01_数值调参'!$W$49,0)),0),IF($A25&gt;=6,(E25+$C$3)*MAX(0,IF('01_数值调参'!$X$7&lt;=$A25,-'01_数值调参'!$X$49,0),IF('01_数值调参'!$Y$7&lt;=$A25,-'01_数值调参'!$Y$49,0),IF('01_数值调参'!$Z$7&lt;=$A25,-'01_数值调参'!$Z$49,0),IF('01_数值调参'!$AA$7&lt;=$A25,-'01_数值调参'!$AA$49,0),IF('01_数值调参'!$AB$7&lt;=$A25,-'01_数值调参'!$AB$49,0),IF('01_数值调参'!$AC$7&lt;=$A25,-'01_数值调参'!$AC$49,0)),0),IF($A25&gt;=8,(F25+$C$3)*MAX(0,IF('01_数值调参'!$AD$7&lt;=$A25,-'01_数值调参'!$AD$49,0),IF('01_数值调参'!$AE$7&lt;=$A25,-'01_数值调参'!$AE$49,0),IF('01_数值调参'!$AF$7&lt;=$A25,-'01_数值调参'!$AF$49,0),IF('01_数值调参'!$AG$7&lt;=$A25,-'01_数值调参'!$AG$49,0)),0),IF($A25&gt;=10,(G25+$C$3)*MAX(0,IF('01_数值调参'!$AH$7&lt;=$A25,-'01_数值调参'!$AH$49,0),IF('01_数值调参'!$AI$7&lt;=$A25,-'01_数值调参'!$AI$49,0),IF('01_数值调参'!$AJ$7&lt;=$A25,0,0),IF('01_数值调参'!$AK$7&lt;=$A25,-'01_数值调参'!$AK$49,0),IF('01_数值调参'!$AL$7&lt;=$A25,-'01_数值调参'!$AL$49,0),IF('01_数值调参'!$AM$7&lt;=$A25,-'01_数值调参'!$AM$49,0)),0),0)),"队列待修正"))</x:f>
        <x:v>0</x:v>
      </x:c>
      <x:c r="AN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K$7,"—",SUM(IF($A25&gt;=2,(C25+$C$3)*MAX(0,IF('01_数值调参'!$N$7&lt;=$A25,-'01_数值调参'!$N$50,0),IF('01_数值调参'!$O$7&lt;=$A25,-'01_数值调参'!$O$50,0),IF('01_数值调参'!$P$7&lt;=$A25,-'01_数值调参'!$P$50,0),IF('01_数值调参'!$Q$7&lt;=$A25,-'01_数值调参'!$Q$50,0),IF('01_数值调参'!$R$7&lt;=$A25,-'01_数值调参'!$R$50,0)),0),IF($A25&gt;=4,(D25+$C$3)*MAX(0,IF('01_数值调参'!$S$7&lt;=$A25,-'01_数值调参'!$S$50,0),IF('01_数值调参'!$T$7&lt;=$A25,-'01_数值调参'!$T$50,0),IF('01_数值调参'!$U$7&lt;=$A25,-'01_数值调参'!$U$50,0),IF('01_数值调参'!$V$7&lt;=$A25,-'01_数值调参'!$V$50,0),IF('01_数值调参'!$W$7&lt;=$A25,-'01_数值调参'!$W$50,0)),0),IF($A25&gt;=6,(E25+$C$3)*MAX(0,IF('01_数值调参'!$X$7&lt;=$A25,-'01_数值调参'!$X$50,0),IF('01_数值调参'!$Y$7&lt;=$A25,-'01_数值调参'!$Y$50,0),IF('01_数值调参'!$Z$7&lt;=$A25,-'01_数值调参'!$Z$50,0),IF('01_数值调参'!$AA$7&lt;=$A25,-'01_数值调参'!$AA$50,0),IF('01_数值调参'!$AB$7&lt;=$A25,-'01_数值调参'!$AB$50,0),IF('01_数值调参'!$AC$7&lt;=$A25,-'01_数值调参'!$AC$50,0)),0),IF($A25&gt;=8,(F25+$C$3)*MAX(0,IF('01_数值调参'!$AD$7&lt;=$A25,-'01_数值调参'!$AD$50,0),IF('01_数值调参'!$AE$7&lt;=$A25,-'01_数值调参'!$AE$50,0),IF('01_数值调参'!$AF$7&lt;=$A25,-'01_数值调参'!$AF$50,0),IF('01_数值调参'!$AG$7&lt;=$A25,-'01_数值调参'!$AG$50,0)),0),IF($A25&gt;=10,(G25+$C$3)*MAX(0,IF('01_数值调参'!$AH$7&lt;=$A25,-'01_数值调参'!$AH$50,0),IF('01_数值调参'!$AI$7&lt;=$A25,-'01_数值调参'!$AI$50,0),IF('01_数值调参'!$AJ$7&lt;=$A25,-'01_数值调参'!$AJ$50,0),IF('01_数值调参'!$AK$7&lt;=$A25,0,0),IF('01_数值调参'!$AL$7&lt;=$A25,-'01_数值调参'!$AL$50,0),IF('01_数值调参'!$AM$7&lt;=$A25,-'01_数值调参'!$AM$50,0)),0),0)),"队列待修正"))</x:f>
        <x:v>0</x:v>
      </x:c>
      <x:c r="AO25" s="179" t="n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L$7,"—",SUM(IF($A25&gt;=2,(C25+$C$3)*MAX(0,IF('01_数值调参'!$N$7&lt;=$A25,-'01_数值调参'!$N$51,0),IF('01_数值调参'!$O$7&lt;=$A25,-'01_数值调参'!$O$51,0),IF('01_数值调参'!$P$7&lt;=$A25,-'01_数值调参'!$P$51,0),IF('01_数值调参'!$Q$7&lt;=$A25,-'01_数值调参'!$Q$51,0),IF('01_数值调参'!$R$7&lt;=$A25,-'01_数值调参'!$R$51,0)),0),IF($A25&gt;=4,(D25+$C$3)*MAX(0,IF('01_数值调参'!$S$7&lt;=$A25,-'01_数值调参'!$S$51,0),IF('01_数值调参'!$T$7&lt;=$A25,-'01_数值调参'!$T$51,0),IF('01_数值调参'!$U$7&lt;=$A25,-'01_数值调参'!$U$51,0),IF('01_数值调参'!$V$7&lt;=$A25,-'01_数值调参'!$V$51,0),IF('01_数值调参'!$W$7&lt;=$A25,-'01_数值调参'!$W$51,0)),0),IF($A25&gt;=6,(E25+$C$3)*MAX(0,IF('01_数值调参'!$X$7&lt;=$A25,-'01_数值调参'!$X$51,0),IF('01_数值调参'!$Y$7&lt;=$A25,-'01_数值调参'!$Y$51,0),IF('01_数值调参'!$Z$7&lt;=$A25,-'01_数值调参'!$Z$51,0),IF('01_数值调参'!$AA$7&lt;=$A25,-'01_数值调参'!$AA$51,0),IF('01_数值调参'!$AB$7&lt;=$A25,-'01_数值调参'!$AB$51,0),IF('01_数值调参'!$AC$7&lt;=$A25,-'01_数值调参'!$AC$51,0)),0),IF($A25&gt;=8,(F25+$C$3)*MAX(0,IF('01_数值调参'!$AD$7&lt;=$A25,-'01_数值调参'!$AD$51,0),IF('01_数值调参'!$AE$7&lt;=$A25,-'01_数值调参'!$AE$51,0),IF('01_数值调参'!$AF$7&lt;=$A25,-'01_数值调参'!$AF$51,0),IF('01_数值调参'!$AG$7&lt;=$A25,-'01_数值调参'!$AG$51,0)),0),IF($A25&gt;=10,(G25+$C$3)*MAX(0,IF('01_数值调参'!$AH$7&lt;=$A25,-'01_数值调参'!$AH$51,0),IF('01_数值调参'!$AI$7&lt;=$A25,-'01_数值调参'!$AI$51,0),IF('01_数值调参'!$AJ$7&lt;=$A25,-'01_数值调参'!$AJ$51,0),IF('01_数值调参'!$AK$7&lt;=$A25,-'01_数值调参'!$AK$51,0),IF('01_数值调参'!$AL$7&lt;=$A25,0,0),IF('01_数值调参'!$AM$7&lt;=$A25,-'01_数值调参'!$AM$51,0)),0),0)),"队列待修正"))</x:f>
        <x:v>0</x:v>
      </x:c>
      <x:c r="AP25" s="180" t="str">
        <x:f>IF('01_数值调参'!$D$3&lt;&gt;"配方有效","待修正",IF(AND(OR($C$3=0,$C$3=1),ISNUMBER(C25),C25&gt;=0,MOD(C25,1)=0,ISNUMBER(D25),D25&gt;=0,MOD(D25,1)=0,ISNUMBER(E25),E25&gt;=0,MOD(E25,1)=0,ISNUMBER(F25),F25&gt;=0,MOD(F25,1)=0,ISNUMBER(G25),G25&gt;=0,MOD(G25,1)=0,TRUE),IF($A25&lt;'01_数值调参'!$AM$7,"—",SUM(IF($A25&gt;=2,(C25+$C$3)*MAX(0,IF('01_数值调参'!$N$7&lt;=$A25,-'01_数值调参'!$N$52,0),IF('01_数值调参'!$O$7&lt;=$A25,-'01_数值调参'!$O$52,0),IF('01_数值调参'!$P$7&lt;=$A25,-'01_数值调参'!$P$52,0),IF('01_数值调参'!$Q$7&lt;=$A25,-'01_数值调参'!$Q$52,0),IF('01_数值调参'!$R$7&lt;=$A25,-'01_数值调参'!$R$52,0)),0),IF($A25&gt;=4,(D25+$C$3)*MAX(0,IF('01_数值调参'!$S$7&lt;=$A25,-'01_数值调参'!$S$52,0),IF('01_数值调参'!$T$7&lt;=$A25,-'01_数值调参'!$T$52,0),IF('01_数值调参'!$U$7&lt;=$A25,-'01_数值调参'!$U$52,0),IF('01_数值调参'!$V$7&lt;=$A25,-'01_数值调参'!$V$52,0),IF('01_数值调参'!$W$7&lt;=$A25,-'01_数值调参'!$W$52,0)),0),IF($A25&gt;=6,(E25+$C$3)*MAX(0,IF('01_数值调参'!$X$7&lt;=$A25,-'01_数值调参'!$X$52,0),IF('01_数值调参'!$Y$7&lt;=$A25,-'01_数值调参'!$Y$52,0),IF('01_数值调参'!$Z$7&lt;=$A25,-'01_数值调参'!$Z$52,0),IF('01_数值调参'!$AA$7&lt;=$A25,-'01_数值调参'!$AA$52,0),IF('01_数值调参'!$AB$7&lt;=$A25,-'01_数值调参'!$AB$52,0),IF('01_数值调参'!$AC$7&lt;=$A25,-'01_数值调参'!$AC$52,0)),0),IF($A25&gt;=8,(F25+$C$3)*MAX(0,IF('01_数值调参'!$AD$7&lt;=$A25,-'01_数值调参'!$AD$52,0),IF('01_数值调参'!$AE$7&lt;=$A25,-'01_数值调参'!$AE$52,0),IF('01_数值调参'!$AF$7&lt;=$A25,-'01_数值调参'!$AF$52,0),IF('01_数值调参'!$AG$7&lt;=$A25,-'01_数值调参'!$AG$52,0)),0),IF($A25&gt;=10,(G25+$C$3)*MAX(0,IF('01_数值调参'!$AH$7&lt;=$A25,-'01_数值调参'!$AH$52,0),IF('01_数值调参'!$AI$7&lt;=$A25,-'01_数值调参'!$AI$52,0),IF('01_数值调参'!$AJ$7&lt;=$A25,-'01_数值调参'!$AJ$52,0),IF('01_数值调参'!$AK$7&lt;=$A25,-'01_数值调参'!$AK$52,0),IF('01_数值调参'!$AL$7&lt;=$A25,-'01_数值调参'!$AL$52,0),IF('01_数值调参'!$AM$7&lt;=$A25,0,0)),0),0)),"队列待修正"))</x:f>
        <x:v>—</x:v>
      </x:c>
    </x:row>
    <x:row r="26" ht="25" customHeight="1">
      <x:c r="A26" s="181" t="n">
        <x:v>20</x:v>
      </x:c>
      <x:c r="B26" s="18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SUM(IF($A26&gt;=2,(C26+$C$3)*MAX(0,IF('01_数值调参'!$N$7&lt;=$A26,-SUM('01_数值调参'!$N$18,'01_数值调参'!$N$19,'01_数值调参'!$N$20,'01_数值调参'!$N$21,'01_数值调参'!$N$22,'01_数值调参'!$N$23,'01_数值调参'!$N$24,'01_数值调参'!$N$25,'01_数值调参'!$N$26,'01_数值调参'!$N$28,'01_数值调参'!$N$29,'01_数值调参'!$N$30,'01_数值调参'!$N$31,'01_数值调参'!$N$32,'01_数值调参'!$N$33,'01_数值调参'!$N$34,'01_数值调参'!$N$35,'01_数值调参'!$N$36,'01_数值调参'!$N$37,'01_数值调参'!$N$38,'01_数值调参'!$N$39,'01_数值调参'!$N$40,'01_数值调参'!$N$41,'01_数值调参'!$N$42,'01_数值调参'!$N$43,'01_数值调参'!$N$44,'01_数值调参'!$N$45,'01_数值调参'!$N$46,'01_数值调参'!$N$47,'01_数值调参'!$N$48,'01_数值调参'!$N$49,'01_数值调参'!$N$50,'01_数值调参'!$N$51,'01_数值调参'!$N$52,0),0),IF('01_数值调参'!$O$7&lt;=$A26,-SUM('01_数值调参'!$O$18,'01_数值调参'!$O$19,'01_数值调参'!$O$20,'01_数值调参'!$O$21,'01_数值调参'!$O$22,'01_数值调参'!$O$23,'01_数值调参'!$O$24,'01_数值调参'!$O$25,'01_数值调参'!$O$26,'01_数值调参'!$O$27,'01_数值调参'!$O$29,'01_数值调参'!$O$30,'01_数值调参'!$O$31,'01_数值调参'!$O$32,'01_数值调参'!$O$33,'01_数值调参'!$O$34,'01_数值调参'!$O$35,'01_数值调参'!$O$36,'01_数值调参'!$O$37,'01_数值调参'!$O$38,'01_数值调参'!$O$39,'01_数值调参'!$O$40,'01_数值调参'!$O$41,'01_数值调参'!$O$42,'01_数值调参'!$O$43,'01_数值调参'!$O$44,'01_数值调参'!$O$45,'01_数值调参'!$O$46,'01_数值调参'!$O$47,'01_数值调参'!$O$48,'01_数值调参'!$O$49,'01_数值调参'!$O$50,'01_数值调参'!$O$51,'01_数值调参'!$O$52,0),0),IF('01_数值调参'!$P$7&lt;=$A26,-SUM('01_数值调参'!$P$18,'01_数值调参'!$P$19,'01_数值调参'!$P$20,'01_数值调参'!$P$21,'01_数值调参'!$P$22,'01_数值调参'!$P$23,'01_数值调参'!$P$24,'01_数值调参'!$P$25,'01_数值调参'!$P$26,'01_数值调参'!$P$27,'01_数值调参'!$P$28,'01_数值调参'!$P$30,'01_数值调参'!$P$31,'01_数值调参'!$P$32,'01_数值调参'!$P$33,'01_数值调参'!$P$34,'01_数值调参'!$P$35,'01_数值调参'!$P$36,'01_数值调参'!$P$37,'01_数值调参'!$P$38,'01_数值调参'!$P$39,'01_数值调参'!$P$40,'01_数值调参'!$P$41,'01_数值调参'!$P$42,'01_数值调参'!$P$43,'01_数值调参'!$P$44,'01_数值调参'!$P$45,'01_数值调参'!$P$46,'01_数值调参'!$P$47,'01_数值调参'!$P$48,'01_数值调参'!$P$49,'01_数值调参'!$P$50,'01_数值调参'!$P$51,'01_数值调参'!$P$52,0),0),IF('01_数值调参'!$Q$7&lt;=$A26,-SUM('01_数值调参'!$Q$18,'01_数值调参'!$Q$19,'01_数值调参'!$Q$20,'01_数值调参'!$Q$21,'01_数值调参'!$Q$22,'01_数值调参'!$Q$23,'01_数值调参'!$Q$24,'01_数值调参'!$Q$25,'01_数值调参'!$Q$26,'01_数值调参'!$Q$27,'01_数值调参'!$Q$28,'01_数值调参'!$Q$29,'01_数值调参'!$Q$31,'01_数值调参'!$Q$32,'01_数值调参'!$Q$33,'01_数值调参'!$Q$34,'01_数值调参'!$Q$35,'01_数值调参'!$Q$36,'01_数值调参'!$Q$37,'01_数值调参'!$Q$38,'01_数值调参'!$Q$39,'01_数值调参'!$Q$40,'01_数值调参'!$Q$41,'01_数值调参'!$Q$42,'01_数值调参'!$Q$43,'01_数值调参'!$Q$44,'01_数值调参'!$Q$45,'01_数值调参'!$Q$46,'01_数值调参'!$Q$47,'01_数值调参'!$Q$48,'01_数值调参'!$Q$49,'01_数值调参'!$Q$50,'01_数值调参'!$Q$51,'01_数值调参'!$Q$52,0),0),IF('01_数值调参'!$R$7&lt;=$A26,-SUM('01_数值调参'!$R$18,'01_数值调参'!$R$19,'01_数值调参'!$R$20,'01_数值调参'!$R$21,'01_数值调参'!$R$22,'01_数值调参'!$R$23,'01_数值调参'!$R$24,'01_数值调参'!$R$25,'01_数值调参'!$R$26,'01_数值调参'!$R$27,'01_数值调参'!$R$28,'01_数值调参'!$R$29,'01_数值调参'!$R$30,'01_数值调参'!$R$32,'01_数值调参'!$R$33,'01_数值调参'!$R$34,'01_数值调参'!$R$35,'01_数值调参'!$R$36,'01_数值调参'!$R$37,'01_数值调参'!$R$38,'01_数值调参'!$R$39,'01_数值调参'!$R$40,'01_数值调参'!$R$41,'01_数值调参'!$R$42,'01_数值调参'!$R$43,'01_数值调参'!$R$44,'01_数值调参'!$R$45,'01_数值调参'!$R$46,'01_数值调参'!$R$47,'01_数值调参'!$R$48,'01_数值调参'!$R$49,'01_数值调参'!$R$50,'01_数值调参'!$R$51,'01_数值调参'!$R$52,0),0)),0),IF($A26&gt;=4,(D26+$C$3)*MAX(0,IF('01_数值调参'!$S$7&lt;=$A26,-SUM('01_数值调参'!$S$18,'01_数值调参'!$S$19,'01_数值调参'!$S$20,'01_数值调参'!$S$21,'01_数值调参'!$S$22,'01_数值调参'!$S$23,'01_数值调参'!$S$24,'01_数值调参'!$S$25,'01_数值调参'!$S$26,'01_数值调参'!$S$27,'01_数值调参'!$S$28,'01_数值调参'!$S$29,'01_数值调参'!$S$30,'01_数值调参'!$S$31,'01_数值调参'!$S$33,'01_数值调参'!$S$34,'01_数值调参'!$S$35,'01_数值调参'!$S$36,'01_数值调参'!$S$37,'01_数值调参'!$S$38,'01_数值调参'!$S$39,'01_数值调参'!$S$40,'01_数值调参'!$S$41,'01_数值调参'!$S$42,'01_数值调参'!$S$43,'01_数值调参'!$S$44,'01_数值调参'!$S$45,'01_数值调参'!$S$46,'01_数值调参'!$S$47,'01_数值调参'!$S$48,'01_数值调参'!$S$49,'01_数值调参'!$S$50,'01_数值调参'!$S$51,'01_数值调参'!$S$52,0),0),IF('01_数值调参'!$T$7&lt;=$A26,-SUM('01_数值调参'!$T$18,'01_数值调参'!$T$19,'01_数值调参'!$T$20,'01_数值调参'!$T$21,'01_数值调参'!$T$22,'01_数值调参'!$T$23,'01_数值调参'!$T$24,'01_数值调参'!$T$25,'01_数值调参'!$T$26,'01_数值调参'!$T$27,'01_数值调参'!$T$28,'01_数值调参'!$T$29,'01_数值调参'!$T$30,'01_数值调参'!$T$31,'01_数值调参'!$T$32,'01_数值调参'!$T$34,'01_数值调参'!$T$35,'01_数值调参'!$T$36,'01_数值调参'!$T$37,'01_数值调参'!$T$38,'01_数值调参'!$T$39,'01_数值调参'!$T$40,'01_数值调参'!$T$41,'01_数值调参'!$T$42,'01_数值调参'!$T$43,'01_数值调参'!$T$44,'01_数值调参'!$T$45,'01_数值调参'!$T$46,'01_数值调参'!$T$47,'01_数值调参'!$T$48,'01_数值调参'!$T$49,'01_数值调参'!$T$50,'01_数值调参'!$T$51,'01_数值调参'!$T$52,0),0),IF('01_数值调参'!$U$7&lt;=$A26,-SUM('01_数值调参'!$U$18,'01_数值调参'!$U$19,'01_数值调参'!$U$20,'01_数值调参'!$U$21,'01_数值调参'!$U$22,'01_数值调参'!$U$23,'01_数值调参'!$U$24,'01_数值调参'!$U$25,'01_数值调参'!$U$26,'01_数值调参'!$U$27,'01_数值调参'!$U$28,'01_数值调参'!$U$29,'01_数值调参'!$U$30,'01_数值调参'!$U$31,'01_数值调参'!$U$32,'01_数值调参'!$U$33,'01_数值调参'!$U$35,'01_数值调参'!$U$36,'01_数值调参'!$U$37,'01_数值调参'!$U$38,'01_数值调参'!$U$39,'01_数值调参'!$U$40,'01_数值调参'!$U$41,'01_数值调参'!$U$42,'01_数值调参'!$U$43,'01_数值调参'!$U$44,'01_数值调参'!$U$45,'01_数值调参'!$U$46,'01_数值调参'!$U$47,'01_数值调参'!$U$48,'01_数值调参'!$U$49,'01_数值调参'!$U$50,'01_数值调参'!$U$51,'01_数值调参'!$U$52,0),0),IF('01_数值调参'!$V$7&lt;=$A26,-SUM('01_数值调参'!$V$18,'01_数值调参'!$V$19,'01_数值调参'!$V$20,'01_数值调参'!$V$21,'01_数值调参'!$V$22,'01_数值调参'!$V$23,'01_数值调参'!$V$24,'01_数值调参'!$V$25,'01_数值调参'!$V$26,'01_数值调参'!$V$27,'01_数值调参'!$V$28,'01_数值调参'!$V$29,'01_数值调参'!$V$30,'01_数值调参'!$V$31,'01_数值调参'!$V$32,'01_数值调参'!$V$33,'01_数值调参'!$V$34,'01_数值调参'!$V$36,'01_数值调参'!$V$37,'01_数值调参'!$V$38,'01_数值调参'!$V$39,'01_数值调参'!$V$40,'01_数值调参'!$V$41,'01_数值调参'!$V$42,'01_数值调参'!$V$43,'01_数值调参'!$V$44,'01_数值调参'!$V$45,'01_数值调参'!$V$46,'01_数值调参'!$V$47,'01_数值调参'!$V$48,'01_数值调参'!$V$49,'01_数值调参'!$V$50,'01_数值调参'!$V$51,'01_数值调参'!$V$52,0),0),IF('01_数值调参'!$W$7&lt;=$A26,-SUM('01_数值调参'!$W$18,'01_数值调参'!$W$19,'01_数值调参'!$W$20,'01_数值调参'!$W$21,'01_数值调参'!$W$22,'01_数值调参'!$W$23,'01_数值调参'!$W$24,'01_数值调参'!$W$25,'01_数值调参'!$W$26,'01_数值调参'!$W$27,'01_数值调参'!$W$28,'01_数值调参'!$W$29,'01_数值调参'!$W$30,'01_数值调参'!$W$31,'01_数值调参'!$W$32,'01_数值调参'!$W$33,'01_数值调参'!$W$34,'01_数值调参'!$W$35,'01_数值调参'!$W$37,'01_数值调参'!$W$38,'01_数值调参'!$W$39,'01_数值调参'!$W$40,'01_数值调参'!$W$41,'01_数值调参'!$W$42,'01_数值调参'!$W$43,'01_数值调参'!$W$44,'01_数值调参'!$W$45,'01_数值调参'!$W$46,'01_数值调参'!$W$47,'01_数值调参'!$W$48,'01_数值调参'!$W$49,'01_数值调参'!$W$50,'01_数值调参'!$W$51,'01_数值调参'!$W$52,0),0)),0),IF($A26&gt;=6,(E26+$C$3)*MAX(0,IF('01_数值调参'!$X$7&lt;=$A26,-SUM('01_数值调参'!$X$18,'01_数值调参'!$X$19,'01_数值调参'!$X$20,'01_数值调参'!$X$21,'01_数值调参'!$X$22,'01_数值调参'!$X$23,'01_数值调参'!$X$24,'01_数值调参'!$X$25,'01_数值调参'!$X$26,'01_数值调参'!$X$27,'01_数值调参'!$X$28,'01_数值调参'!$X$29,'01_数值调参'!$X$30,'01_数值调参'!$X$31,'01_数值调参'!$X$32,'01_数值调参'!$X$33,'01_数值调参'!$X$34,'01_数值调参'!$X$35,'01_数值调参'!$X$36,'01_数值调参'!$X$38,'01_数值调参'!$X$39,'01_数值调参'!$X$40,'01_数值调参'!$X$41,'01_数值调参'!$X$42,'01_数值调参'!$X$43,'01_数值调参'!$X$44,'01_数值调参'!$X$45,'01_数值调参'!$X$46,'01_数值调参'!$X$47,'01_数值调参'!$X$48,'01_数值调参'!$X$49,'01_数值调参'!$X$50,'01_数值调参'!$X$51,'01_数值调参'!$X$52,0),0),IF('01_数值调参'!$Y$7&lt;=$A26,-SUM('01_数值调参'!$Y$18,'01_数值调参'!$Y$19,'01_数值调参'!$Y$20,'01_数值调参'!$Y$21,'01_数值调参'!$Y$22,'01_数值调参'!$Y$23,'01_数值调参'!$Y$24,'01_数值调参'!$Y$25,'01_数值调参'!$Y$26,'01_数值调参'!$Y$27,'01_数值调参'!$Y$28,'01_数值调参'!$Y$29,'01_数值调参'!$Y$30,'01_数值调参'!$Y$31,'01_数值调参'!$Y$32,'01_数值调参'!$Y$33,'01_数值调参'!$Y$34,'01_数值调参'!$Y$35,'01_数值调参'!$Y$36,'01_数值调参'!$Y$37,'01_数值调参'!$Y$39,'01_数值调参'!$Y$40,'01_数值调参'!$Y$41,'01_数值调参'!$Y$42,'01_数值调参'!$Y$43,'01_数值调参'!$Y$44,'01_数值调参'!$Y$45,'01_数值调参'!$Y$46,'01_数值调参'!$Y$47,'01_数值调参'!$Y$48,'01_数值调参'!$Y$49,'01_数值调参'!$Y$50,'01_数值调参'!$Y$51,'01_数值调参'!$Y$52,0),0),IF('01_数值调参'!$Z$7&lt;=$A26,-SUM('01_数值调参'!$Z$18,'01_数值调参'!$Z$19,'01_数值调参'!$Z$20,'01_数值调参'!$Z$21,'01_数值调参'!$Z$22,'01_数值调参'!$Z$23,'01_数值调参'!$Z$24,'01_数值调参'!$Z$25,'01_数值调参'!$Z$26,'01_数值调参'!$Z$27,'01_数值调参'!$Z$28,'01_数值调参'!$Z$29,'01_数值调参'!$Z$30,'01_数值调参'!$Z$31,'01_数值调参'!$Z$32,'01_数值调参'!$Z$33,'01_数值调参'!$Z$34,'01_数值调参'!$Z$35,'01_数值调参'!$Z$36,'01_数值调参'!$Z$37,'01_数值调参'!$Z$38,'01_数值调参'!$Z$40,'01_数值调参'!$Z$41,'01_数值调参'!$Z$42,'01_数值调参'!$Z$43,'01_数值调参'!$Z$44,'01_数值调参'!$Z$45,'01_数值调参'!$Z$46,'01_数值调参'!$Z$47,'01_数值调参'!$Z$48,'01_数值调参'!$Z$49,'01_数值调参'!$Z$50,'01_数值调参'!$Z$51,'01_数值调参'!$Z$52,0),0),IF('01_数值调参'!$AA$7&lt;=$A26,-SUM('01_数值调参'!$AA$18,'01_数值调参'!$AA$19,'01_数值调参'!$AA$20,'01_数值调参'!$AA$21,'01_数值调参'!$AA$22,'01_数值调参'!$AA$23,'01_数值调参'!$AA$24,'01_数值调参'!$AA$25,'01_数值调参'!$AA$26,'01_数值调参'!$AA$27,'01_数值调参'!$AA$28,'01_数值调参'!$AA$29,'01_数值调参'!$AA$30,'01_数值调参'!$AA$31,'01_数值调参'!$AA$32,'01_数值调参'!$AA$33,'01_数值调参'!$AA$34,'01_数值调参'!$AA$35,'01_数值调参'!$AA$36,'01_数值调参'!$AA$37,'01_数值调参'!$AA$38,'01_数值调参'!$AA$39,'01_数值调参'!$AA$41,'01_数值调参'!$AA$42,'01_数值调参'!$AA$43,'01_数值调参'!$AA$44,'01_数值调参'!$AA$45,'01_数值调参'!$AA$46,'01_数值调参'!$AA$47,'01_数值调参'!$AA$48,'01_数值调参'!$AA$49,'01_数值调参'!$AA$50,'01_数值调参'!$AA$51,'01_数值调参'!$AA$52,0),0),IF('01_数值调参'!$AB$7&lt;=$A26,-SUM('01_数值调参'!$AB$18,'01_数值调参'!$AB$19,'01_数值调参'!$AB$20,'01_数值调参'!$AB$21,'01_数值调参'!$AB$22,'01_数值调参'!$AB$23,'01_数值调参'!$AB$24,'01_数值调参'!$AB$25,'01_数值调参'!$AB$26,'01_数值调参'!$AB$27,'01_数值调参'!$AB$28,'01_数值调参'!$AB$29,'01_数值调参'!$AB$30,'01_数值调参'!$AB$31,'01_数值调参'!$AB$32,'01_数值调参'!$AB$33,'01_数值调参'!$AB$34,'01_数值调参'!$AB$35,'01_数值调参'!$AB$36,'01_数值调参'!$AB$37,'01_数值调参'!$AB$38,'01_数值调参'!$AB$39,'01_数值调参'!$AB$40,'01_数值调参'!$AB$42,'01_数值调参'!$AB$43,'01_数值调参'!$AB$44,'01_数值调参'!$AB$45,'01_数值调参'!$AB$46,'01_数值调参'!$AB$47,'01_数值调参'!$AB$48,'01_数值调参'!$AB$49,'01_数值调参'!$AB$50,'01_数值调参'!$AB$51,'01_数值调参'!$AB$52,0),0),IF('01_数值调参'!$AC$7&lt;=$A26,-SUM('01_数值调参'!$AC$18,'01_数值调参'!$AC$19,'01_数值调参'!$AC$20,'01_数值调参'!$AC$21,'01_数值调参'!$AC$22,'01_数值调参'!$AC$23,'01_数值调参'!$AC$24,'01_数值调参'!$AC$25,'01_数值调参'!$AC$26,'01_数值调参'!$AC$27,'01_数值调参'!$AC$28,'01_数值调参'!$AC$29,'01_数值调参'!$AC$30,'01_数值调参'!$AC$31,'01_数值调参'!$AC$32,'01_数值调参'!$AC$33,'01_数值调参'!$AC$34,'01_数值调参'!$AC$35,'01_数值调参'!$AC$36,'01_数值调参'!$AC$37,'01_数值调参'!$AC$38,'01_数值调参'!$AC$39,'01_数值调参'!$AC$40,'01_数值调参'!$AC$41,'01_数值调参'!$AC$43,'01_数值调参'!$AC$44,'01_数值调参'!$AC$45,'01_数值调参'!$AC$46,'01_数值调参'!$AC$47,'01_数值调参'!$AC$48,'01_数值调参'!$AC$49,'01_数值调参'!$AC$50,'01_数值调参'!$AC$51,'01_数值调参'!$AC$52,0),0)),0),IF($A26&gt;=8,(F26+$C$3)*MAX(0,IF('01_数值调参'!$AD$7&lt;=$A26,-SUM('01_数值调参'!$AD$18,'01_数值调参'!$AD$19,'01_数值调参'!$AD$20,'01_数值调参'!$AD$21,'01_数值调参'!$AD$22,'01_数值调参'!$AD$23,'01_数值调参'!$AD$24,'01_数值调参'!$AD$25,'01_数值调参'!$AD$26,'01_数值调参'!$AD$27,'01_数值调参'!$AD$28,'01_数值调参'!$AD$29,'01_数值调参'!$AD$30,'01_数值调参'!$AD$31,'01_数值调参'!$AD$32,'01_数值调参'!$AD$33,'01_数值调参'!$AD$34,'01_数值调参'!$AD$35,'01_数值调参'!$AD$36,'01_数值调参'!$AD$37,'01_数值调参'!$AD$38,'01_数值调参'!$AD$39,'01_数值调参'!$AD$40,'01_数值调参'!$AD$41,'01_数值调参'!$AD$42,'01_数值调参'!$AD$44,'01_数值调参'!$AD$45,'01_数值调参'!$AD$46,'01_数值调参'!$AD$47,'01_数值调参'!$AD$48,'01_数值调参'!$AD$49,'01_数值调参'!$AD$50,'01_数值调参'!$AD$51,'01_数值调参'!$AD$52,0),0),IF('01_数值调参'!$AE$7&lt;=$A26,-SUM('01_数值调参'!$AE$18,'01_数值调参'!$AE$19,'01_数值调参'!$AE$20,'01_数值调参'!$AE$21,'01_数值调参'!$AE$22,'01_数值调参'!$AE$23,'01_数值调参'!$AE$24,'01_数值调参'!$AE$25,'01_数值调参'!$AE$26,'01_数值调参'!$AE$27,'01_数值调参'!$AE$28,'01_数值调参'!$AE$29,'01_数值调参'!$AE$30,'01_数值调参'!$AE$31,'01_数值调参'!$AE$32,'01_数值调参'!$AE$33,'01_数值调参'!$AE$34,'01_数值调参'!$AE$35,'01_数值调参'!$AE$36,'01_数值调参'!$AE$37,'01_数值调参'!$AE$38,'01_数值调参'!$AE$39,'01_数值调参'!$AE$40,'01_数值调参'!$AE$41,'01_数值调参'!$AE$42,'01_数值调参'!$AE$43,'01_数值调参'!$AE$45,'01_数值调参'!$AE$46,'01_数值调参'!$AE$47,'01_数值调参'!$AE$48,'01_数值调参'!$AE$49,'01_数值调参'!$AE$50,'01_数值调参'!$AE$51,'01_数值调参'!$AE$52,0),0),IF('01_数值调参'!$AF$7&lt;=$A26,-SUM('01_数值调参'!$AF$18,'01_数值调参'!$AF$19,'01_数值调参'!$AF$20,'01_数值调参'!$AF$21,'01_数值调参'!$AF$22,'01_数值调参'!$AF$23,'01_数值调参'!$AF$24,'01_数值调参'!$AF$25,'01_数值调参'!$AF$26,'01_数值调参'!$AF$27,'01_数值调参'!$AF$28,'01_数值调参'!$AF$29,'01_数值调参'!$AF$30,'01_数值调参'!$AF$31,'01_数值调参'!$AF$32,'01_数值调参'!$AF$33,'01_数值调参'!$AF$34,'01_数值调参'!$AF$35,'01_数值调参'!$AF$36,'01_数值调参'!$AF$37,'01_数值调参'!$AF$38,'01_数值调参'!$AF$39,'01_数值调参'!$AF$40,'01_数值调参'!$AF$41,'01_数值调参'!$AF$42,'01_数值调参'!$AF$43,'01_数值调参'!$AF$44,'01_数值调参'!$AF$46,'01_数值调参'!$AF$47,'01_数值调参'!$AF$48,'01_数值调参'!$AF$49,'01_数值调参'!$AF$50,'01_数值调参'!$AF$51,'01_数值调参'!$AF$52,0),0),IF('01_数值调参'!$AG$7&lt;=$A26,-SUM('01_数值调参'!$AG$18,'01_数值调参'!$AG$19,'01_数值调参'!$AG$20,'01_数值调参'!$AG$21,'01_数值调参'!$AG$22,'01_数值调参'!$AG$23,'01_数值调参'!$AG$24,'01_数值调参'!$AG$25,'01_数值调参'!$AG$26,'01_数值调参'!$AG$27,'01_数值调参'!$AG$28,'01_数值调参'!$AG$29,'01_数值调参'!$AG$30,'01_数值调参'!$AG$31,'01_数值调参'!$AG$32,'01_数值调参'!$AG$33,'01_数值调参'!$AG$34,'01_数值调参'!$AG$35,'01_数值调参'!$AG$36,'01_数值调参'!$AG$37,'01_数值调参'!$AG$38,'01_数值调参'!$AG$39,'01_数值调参'!$AG$40,'01_数值调参'!$AG$41,'01_数值调参'!$AG$42,'01_数值调参'!$AG$43,'01_数值调参'!$AG$44,'01_数值调参'!$AG$45,'01_数值调参'!$AG$47,'01_数值调参'!$AG$48,'01_数值调参'!$AG$49,'01_数值调参'!$AG$50,'01_数值调参'!$AG$51,'01_数值调参'!$AG$52,0),0)),0),IF($A26&gt;=10,(G26+$C$3)*MAX(0,IF('01_数值调参'!$AH$7&lt;=$A26,-SUM('01_数值调参'!$AH$18,'01_数值调参'!$AH$19,'01_数值调参'!$AH$20,'01_数值调参'!$AH$21,'01_数值调参'!$AH$22,'01_数值调参'!$AH$23,'01_数值调参'!$AH$24,'01_数值调参'!$AH$25,'01_数值调参'!$AH$26,'01_数值调参'!$AH$27,'01_数值调参'!$AH$28,'01_数值调参'!$AH$29,'01_数值调参'!$AH$30,'01_数值调参'!$AH$31,'01_数值调参'!$AH$32,'01_数值调参'!$AH$33,'01_数值调参'!$AH$34,'01_数值调参'!$AH$35,'01_数值调参'!$AH$36,'01_数值调参'!$AH$37,'01_数值调参'!$AH$38,'01_数值调参'!$AH$39,'01_数值调参'!$AH$40,'01_数值调参'!$AH$41,'01_数值调参'!$AH$42,'01_数值调参'!$AH$43,'01_数值调参'!$AH$44,'01_数值调参'!$AH$45,'01_数值调参'!$AH$46,'01_数值调参'!$AH$48,'01_数值调参'!$AH$49,'01_数值调参'!$AH$50,'01_数值调参'!$AH$51,'01_数值调参'!$AH$52,0),0),IF('01_数值调参'!$AI$7&lt;=$A26,-SUM('01_数值调参'!$AI$18,'01_数值调参'!$AI$19,'01_数值调参'!$AI$20,'01_数值调参'!$AI$21,'01_数值调参'!$AI$22,'01_数值调参'!$AI$23,'01_数值调参'!$AI$24,'01_数值调参'!$AI$25,'01_数值调参'!$AI$26,'01_数值调参'!$AI$27,'01_数值调参'!$AI$28,'01_数值调参'!$AI$29,'01_数值调参'!$AI$30,'01_数值调参'!$AI$31,'01_数值调参'!$AI$32,'01_数值调参'!$AI$33,'01_数值调参'!$AI$34,'01_数值调参'!$AI$35,'01_数值调参'!$AI$36,'01_数值调参'!$AI$37,'01_数值调参'!$AI$38,'01_数值调参'!$AI$39,'01_数值调参'!$AI$40,'01_数值调参'!$AI$41,'01_数值调参'!$AI$42,'01_数值调参'!$AI$43,'01_数值调参'!$AI$44,'01_数值调参'!$AI$45,'01_数值调参'!$AI$46,'01_数值调参'!$AI$47,'01_数值调参'!$AI$49,'01_数值调参'!$AI$50,'01_数值调参'!$AI$51,'01_数值调参'!$AI$52,0),0),IF('01_数值调参'!$AJ$7&lt;=$A26,-SUM('01_数值调参'!$AJ$18,'01_数值调参'!$AJ$19,'01_数值调参'!$AJ$20,'01_数值调参'!$AJ$21,'01_数值调参'!$AJ$22,'01_数值调参'!$AJ$23,'01_数值调参'!$AJ$24,'01_数值调参'!$AJ$25,'01_数值调参'!$AJ$26,'01_数值调参'!$AJ$27,'01_数值调参'!$AJ$28,'01_数值调参'!$AJ$29,'01_数值调参'!$AJ$30,'01_数值调参'!$AJ$31,'01_数值调参'!$AJ$32,'01_数值调参'!$AJ$33,'01_数值调参'!$AJ$34,'01_数值调参'!$AJ$35,'01_数值调参'!$AJ$36,'01_数值调参'!$AJ$37,'01_数值调参'!$AJ$38,'01_数值调参'!$AJ$39,'01_数值调参'!$AJ$40,'01_数值调参'!$AJ$41,'01_数值调参'!$AJ$42,'01_数值调参'!$AJ$43,'01_数值调参'!$AJ$44,'01_数值调参'!$AJ$45,'01_数值调参'!$AJ$46,'01_数值调参'!$AJ$47,'01_数值调参'!$AJ$48,'01_数值调参'!$AJ$50,'01_数值调参'!$AJ$51,'01_数值调参'!$AJ$52,0),0),IF('01_数值调参'!$AK$7&lt;=$A26,-SUM('01_数值调参'!$AK$18,'01_数值调参'!$AK$19,'01_数值调参'!$AK$20,'01_数值调参'!$AK$21,'01_数值调参'!$AK$22,'01_数值调参'!$AK$23,'01_数值调参'!$AK$24,'01_数值调参'!$AK$25,'01_数值调参'!$AK$26,'01_数值调参'!$AK$27,'01_数值调参'!$AK$28,'01_数值调参'!$AK$29,'01_数值调参'!$AK$30,'01_数值调参'!$AK$31,'01_数值调参'!$AK$32,'01_数值调参'!$AK$33,'01_数值调参'!$AK$34,'01_数值调参'!$AK$35,'01_数值调参'!$AK$36,'01_数值调参'!$AK$37,'01_数值调参'!$AK$38,'01_数值调参'!$AK$39,'01_数值调参'!$AK$40,'01_数值调参'!$AK$41,'01_数值调参'!$AK$42,'01_数值调参'!$AK$43,'01_数值调参'!$AK$44,'01_数值调参'!$AK$45,'01_数值调参'!$AK$46,'01_数值调参'!$AK$47,'01_数值调参'!$AK$48,'01_数值调参'!$AK$49,'01_数值调参'!$AK$51,'01_数值调参'!$AK$52,0),0),IF('01_数值调参'!$AL$7&lt;=$A26,-SUM('01_数值调参'!$AL$18,'01_数值调参'!$AL$19,'01_数值调参'!$AL$20,'01_数值调参'!$AL$21,'01_数值调参'!$AL$22,'01_数值调参'!$AL$23,'01_数值调参'!$AL$24,'01_数值调参'!$AL$25,'01_数值调参'!$AL$26,'01_数值调参'!$AL$27,'01_数值调参'!$AL$28,'01_数值调参'!$AL$29,'01_数值调参'!$AL$30,'01_数值调参'!$AL$31,'01_数值调参'!$AL$32,'01_数值调参'!$AL$33,'01_数值调参'!$AL$34,'01_数值调参'!$AL$35,'01_数值调参'!$AL$36,'01_数值调参'!$AL$37,'01_数值调参'!$AL$38,'01_数值调参'!$AL$39,'01_数值调参'!$AL$40,'01_数值调参'!$AL$41,'01_数值调参'!$AL$42,'01_数值调参'!$AL$43,'01_数值调参'!$AL$44,'01_数值调参'!$AL$45,'01_数值调参'!$AL$46,'01_数值调参'!$AL$47,'01_数值调参'!$AL$48,'01_数值调参'!$AL$49,'01_数值调参'!$AL$50,'01_数值调参'!$AL$52,0),0),IF('01_数值调参'!$AM$7&lt;=$A26,-SUM('01_数值调参'!$AM$18,'01_数值调参'!$AM$19,'01_数值调参'!$AM$20,'01_数值调参'!$AM$21,'01_数值调参'!$AM$22,'01_数值调参'!$AM$23,'01_数值调参'!$AM$24,'01_数值调参'!$AM$25,'01_数值调参'!$AM$26,'01_数值调参'!$AM$27,'01_数值调参'!$AM$28,'01_数值调参'!$AM$29,'01_数值调参'!$AM$30,'01_数值调参'!$AM$31,'01_数值调参'!$AM$32,'01_数值调参'!$AM$33,'01_数值调参'!$AM$34,'01_数值调参'!$AM$35,'01_数值调参'!$AM$36,'01_数值调参'!$AM$37,'01_数值调参'!$AM$38,'01_数值调参'!$AM$39,'01_数值调参'!$AM$40,'01_数值调参'!$AM$41,'01_数值调参'!$AM$42,'01_数值调参'!$AM$43,'01_数值调参'!$AM$44,'01_数值调参'!$AM$45,'01_数值调参'!$AM$46,'01_数值调参'!$AM$47,'01_数值调参'!$AM$48,'01_数值调参'!$AM$49,'01_数值调参'!$AM$50,'01_数值调参'!$AM$51,0),0)),0),0),"队列待修正"))</x:f>
        <x:v>57</x:v>
      </x:c>
      <x:c r="C26" s="183" t="n">
        <x:v>2</x:v>
      </x:c>
      <x:c r="D26" s="183" t="n">
        <x:v>2</x:v>
      </x:c>
      <x:c r="E26" s="183" t="n">
        <x:v>2</x:v>
      </x:c>
      <x:c r="F26" s="183" t="n">
        <x:v>2</x:v>
      </x:c>
      <x:c r="G26" s="183" t="n">
        <x:v>2</x:v>
      </x:c>
      <x:c r="H26" s="19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E$7,"—",SUM(IF($A26&gt;=2,(C26+$C$3)*MAX(0,IF('01_数值调参'!$N$7&lt;=$A26,-'01_数值调参'!$N$18,0),IF('01_数值调参'!$O$7&lt;=$A26,-'01_数值调参'!$O$18,0),IF('01_数值调参'!$P$7&lt;=$A26,-'01_数值调参'!$P$18,0),IF('01_数值调参'!$Q$7&lt;=$A26,-'01_数值调参'!$Q$18,0),IF('01_数值调参'!$R$7&lt;=$A26,-'01_数值调参'!$R$18,0)),0),IF($A26&gt;=4,(D26+$C$3)*MAX(0,IF('01_数值调参'!$S$7&lt;=$A26,-'01_数值调参'!$S$18,0),IF('01_数值调参'!$T$7&lt;=$A26,-'01_数值调参'!$T$18,0),IF('01_数值调参'!$U$7&lt;=$A26,-'01_数值调参'!$U$18,0),IF('01_数值调参'!$V$7&lt;=$A26,-'01_数值调参'!$V$18,0),IF('01_数值调参'!$W$7&lt;=$A26,-'01_数值调参'!$W$18,0)),0),IF($A26&gt;=6,(E26+$C$3)*MAX(0,IF('01_数值调参'!$X$7&lt;=$A26,-'01_数值调参'!$X$18,0),IF('01_数值调参'!$Y$7&lt;=$A26,-'01_数值调参'!$Y$18,0),IF('01_数值调参'!$Z$7&lt;=$A26,-'01_数值调参'!$Z$18,0),IF('01_数值调参'!$AA$7&lt;=$A26,-'01_数值调参'!$AA$18,0),IF('01_数值调参'!$AB$7&lt;=$A26,-'01_数值调参'!$AB$18,0),IF('01_数值调参'!$AC$7&lt;=$A26,-'01_数值调参'!$AC$18,0)),0),IF($A26&gt;=8,(F26+$C$3)*MAX(0,IF('01_数值调参'!$AD$7&lt;=$A26,-'01_数值调参'!$AD$18,0),IF('01_数值调参'!$AE$7&lt;=$A26,-'01_数值调参'!$AE$18,0),IF('01_数值调参'!$AF$7&lt;=$A26,-'01_数值调参'!$AF$18,0),IF('01_数值调参'!$AG$7&lt;=$A26,-'01_数值调参'!$AG$18,0)),0),IF($A26&gt;=10,(G26+$C$3)*MAX(0,IF('01_数值调参'!$AH$7&lt;=$A26,-'01_数值调参'!$AH$18,0),IF('01_数值调参'!$AI$7&lt;=$A26,-'01_数值调参'!$AI$18,0),IF('01_数值调参'!$AJ$7&lt;=$A26,-'01_数值调参'!$AJ$18,0),IF('01_数值调参'!$AK$7&lt;=$A26,-'01_数值调参'!$AK$18,0),IF('01_数值调参'!$AL$7&lt;=$A26,-'01_数值调参'!$AL$18,0),IF('01_数值调参'!$AM$7&lt;=$A26,-'01_数值调参'!$AM$18,0)),0),0)),"队列待修正"))</x:f>
        <x:v>12</x:v>
      </x:c>
      <x:c r="I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F$7,"—",SUM(IF($A26&gt;=2,(C26+$C$3)*MAX(0,IF('01_数值调参'!$N$7&lt;=$A26,-'01_数值调参'!$N$19,0),IF('01_数值调参'!$O$7&lt;=$A26,-'01_数值调参'!$O$19,0),IF('01_数值调参'!$P$7&lt;=$A26,-'01_数值调参'!$P$19,0),IF('01_数值调参'!$Q$7&lt;=$A26,-'01_数值调参'!$Q$19,0),IF('01_数值调参'!$R$7&lt;=$A26,-'01_数值调参'!$R$19,0)),0),IF($A26&gt;=4,(D26+$C$3)*MAX(0,IF('01_数值调参'!$S$7&lt;=$A26,-'01_数值调参'!$S$19,0),IF('01_数值调参'!$T$7&lt;=$A26,-'01_数值调参'!$T$19,0),IF('01_数值调参'!$U$7&lt;=$A26,-'01_数值调参'!$U$19,0),IF('01_数值调参'!$V$7&lt;=$A26,-'01_数值调参'!$V$19,0),IF('01_数值调参'!$W$7&lt;=$A26,-'01_数值调参'!$W$19,0)),0),IF($A26&gt;=6,(E26+$C$3)*MAX(0,IF('01_数值调参'!$X$7&lt;=$A26,-'01_数值调参'!$X$19,0),IF('01_数值调参'!$Y$7&lt;=$A26,-'01_数值调参'!$Y$19,0),IF('01_数值调参'!$Z$7&lt;=$A26,-'01_数值调参'!$Z$19,0),IF('01_数值调参'!$AA$7&lt;=$A26,-'01_数值调参'!$AA$19,0),IF('01_数值调参'!$AB$7&lt;=$A26,-'01_数值调参'!$AB$19,0),IF('01_数值调参'!$AC$7&lt;=$A26,-'01_数值调参'!$AC$19,0)),0),IF($A26&gt;=8,(F26+$C$3)*MAX(0,IF('01_数值调参'!$AD$7&lt;=$A26,-'01_数值调参'!$AD$19,0),IF('01_数值调参'!$AE$7&lt;=$A26,-'01_数值调参'!$AE$19,0),IF('01_数值调参'!$AF$7&lt;=$A26,-'01_数值调参'!$AF$19,0),IF('01_数值调参'!$AG$7&lt;=$A26,-'01_数值调参'!$AG$19,0)),0),IF($A26&gt;=10,(G26+$C$3)*MAX(0,IF('01_数值调参'!$AH$7&lt;=$A26,-'01_数值调参'!$AH$19,0),IF('01_数值调参'!$AI$7&lt;=$A26,-'01_数值调参'!$AI$19,0),IF('01_数值调参'!$AJ$7&lt;=$A26,-'01_数值调参'!$AJ$19,0),IF('01_数值调参'!$AK$7&lt;=$A26,-'01_数值调参'!$AK$19,0),IF('01_数值调参'!$AL$7&lt;=$A26,-'01_数值调参'!$AL$19,0),IF('01_数值调参'!$AM$7&lt;=$A26,-'01_数值调参'!$AM$19,0)),0),0)),"队列待修正"))</x:f>
        <x:v>12</x:v>
      </x:c>
      <x:c r="J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G$7,"—",SUM(IF($A26&gt;=2,(C26+$C$3)*MAX(0,IF('01_数值调参'!$N$7&lt;=$A26,-'01_数值调参'!$N$20,0),IF('01_数值调参'!$O$7&lt;=$A26,-'01_数值调参'!$O$20,0),IF('01_数值调参'!$P$7&lt;=$A26,-'01_数值调参'!$P$20,0),IF('01_数值调参'!$Q$7&lt;=$A26,-'01_数值调参'!$Q$20,0),IF('01_数值调参'!$R$7&lt;=$A26,-'01_数值调参'!$R$20,0)),0),IF($A26&gt;=4,(D26+$C$3)*MAX(0,IF('01_数值调参'!$S$7&lt;=$A26,-'01_数值调参'!$S$20,0),IF('01_数值调参'!$T$7&lt;=$A26,-'01_数值调参'!$T$20,0),IF('01_数值调参'!$U$7&lt;=$A26,-'01_数值调参'!$U$20,0),IF('01_数值调参'!$V$7&lt;=$A26,-'01_数值调参'!$V$20,0),IF('01_数值调参'!$W$7&lt;=$A26,-'01_数值调参'!$W$20,0)),0),IF($A26&gt;=6,(E26+$C$3)*MAX(0,IF('01_数值调参'!$X$7&lt;=$A26,-'01_数值调参'!$X$20,0),IF('01_数值调参'!$Y$7&lt;=$A26,-'01_数值调参'!$Y$20,0),IF('01_数值调参'!$Z$7&lt;=$A26,-'01_数值调参'!$Z$20,0),IF('01_数值调参'!$AA$7&lt;=$A26,-'01_数值调参'!$AA$20,0),IF('01_数值调参'!$AB$7&lt;=$A26,-'01_数值调参'!$AB$20,0),IF('01_数值调参'!$AC$7&lt;=$A26,-'01_数值调参'!$AC$20,0)),0),IF($A26&gt;=8,(F26+$C$3)*MAX(0,IF('01_数值调参'!$AD$7&lt;=$A26,-'01_数值调参'!$AD$20,0),IF('01_数值调参'!$AE$7&lt;=$A26,-'01_数值调参'!$AE$20,0),IF('01_数值调参'!$AF$7&lt;=$A26,-'01_数值调参'!$AF$20,0),IF('01_数值调参'!$AG$7&lt;=$A26,-'01_数值调参'!$AG$20,0)),0),IF($A26&gt;=10,(G26+$C$3)*MAX(0,IF('01_数值调参'!$AH$7&lt;=$A26,-'01_数值调参'!$AH$20,0),IF('01_数值调参'!$AI$7&lt;=$A26,-'01_数值调参'!$AI$20,0),IF('01_数值调参'!$AJ$7&lt;=$A26,-'01_数值调参'!$AJ$20,0),IF('01_数值调参'!$AK$7&lt;=$A26,-'01_数值调参'!$AK$20,0),IF('01_数值调参'!$AL$7&lt;=$A26,-'01_数值调参'!$AL$20,0),IF('01_数值调参'!$AM$7&lt;=$A26,-'01_数值调参'!$AM$20,0)),0),0)),"队列待修正"))</x:f>
        <x:v>12</x:v>
      </x:c>
      <x:c r="K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H$7,"—",SUM(IF($A26&gt;=2,(C26+$C$3)*MAX(0,IF('01_数值调参'!$N$7&lt;=$A26,-'01_数值调参'!$N$21,0),IF('01_数值调参'!$O$7&lt;=$A26,-'01_数值调参'!$O$21,0),IF('01_数值调参'!$P$7&lt;=$A26,-'01_数值调参'!$P$21,0),IF('01_数值调参'!$Q$7&lt;=$A26,-'01_数值调参'!$Q$21,0),IF('01_数值调参'!$R$7&lt;=$A26,-'01_数值调参'!$R$21,0)),0),IF($A26&gt;=4,(D26+$C$3)*MAX(0,IF('01_数值调参'!$S$7&lt;=$A26,-'01_数值调参'!$S$21,0),IF('01_数值调参'!$T$7&lt;=$A26,-'01_数值调参'!$T$21,0),IF('01_数值调参'!$U$7&lt;=$A26,-'01_数值调参'!$U$21,0),IF('01_数值调参'!$V$7&lt;=$A26,-'01_数值调参'!$V$21,0),IF('01_数值调参'!$W$7&lt;=$A26,-'01_数值调参'!$W$21,0)),0),IF($A26&gt;=6,(E26+$C$3)*MAX(0,IF('01_数值调参'!$X$7&lt;=$A26,-'01_数值调参'!$X$21,0),IF('01_数值调参'!$Y$7&lt;=$A26,-'01_数值调参'!$Y$21,0),IF('01_数值调参'!$Z$7&lt;=$A26,-'01_数值调参'!$Z$21,0),IF('01_数值调参'!$AA$7&lt;=$A26,-'01_数值调参'!$AA$21,0),IF('01_数值调参'!$AB$7&lt;=$A26,-'01_数值调参'!$AB$21,0),IF('01_数值调参'!$AC$7&lt;=$A26,-'01_数值调参'!$AC$21,0)),0),IF($A26&gt;=8,(F26+$C$3)*MAX(0,IF('01_数值调参'!$AD$7&lt;=$A26,-'01_数值调参'!$AD$21,0),IF('01_数值调参'!$AE$7&lt;=$A26,-'01_数值调参'!$AE$21,0),IF('01_数值调参'!$AF$7&lt;=$A26,-'01_数值调参'!$AF$21,0),IF('01_数值调参'!$AG$7&lt;=$A26,-'01_数值调参'!$AG$21,0)),0),IF($A26&gt;=10,(G26+$C$3)*MAX(0,IF('01_数值调参'!$AH$7&lt;=$A26,-'01_数值调参'!$AH$21,0),IF('01_数值调参'!$AI$7&lt;=$A26,-'01_数值调参'!$AI$21,0),IF('01_数值调参'!$AJ$7&lt;=$A26,-'01_数值调参'!$AJ$21,0),IF('01_数值调参'!$AK$7&lt;=$A26,-'01_数值调参'!$AK$21,0),IF('01_数值调参'!$AL$7&lt;=$A26,-'01_数值调参'!$AL$21,0),IF('01_数值调参'!$AM$7&lt;=$A26,-'01_数值调参'!$AM$21,0)),0),0)),"队列待修正"))</x:f>
        <x:v>12</x:v>
      </x:c>
      <x:c r="L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I$7,"—",SUM(IF($A26&gt;=2,(C26+$C$3)*MAX(0,IF('01_数值调参'!$N$7&lt;=$A26,-'01_数值调参'!$N$22,0),IF('01_数值调参'!$O$7&lt;=$A26,-'01_数值调参'!$O$22,0),IF('01_数值调参'!$P$7&lt;=$A26,-'01_数值调参'!$P$22,0),IF('01_数值调参'!$Q$7&lt;=$A26,-'01_数值调参'!$Q$22,0),IF('01_数值调参'!$R$7&lt;=$A26,-'01_数值调参'!$R$22,0)),0),IF($A26&gt;=4,(D26+$C$3)*MAX(0,IF('01_数值调参'!$S$7&lt;=$A26,-'01_数值调参'!$S$22,0),IF('01_数值调参'!$T$7&lt;=$A26,-'01_数值调参'!$T$22,0),IF('01_数值调参'!$U$7&lt;=$A26,-'01_数值调参'!$U$22,0),IF('01_数值调参'!$V$7&lt;=$A26,-'01_数值调参'!$V$22,0),IF('01_数值调参'!$W$7&lt;=$A26,-'01_数值调参'!$W$22,0)),0),IF($A26&gt;=6,(E26+$C$3)*MAX(0,IF('01_数值调参'!$X$7&lt;=$A26,-'01_数值调参'!$X$22,0),IF('01_数值调参'!$Y$7&lt;=$A26,-'01_数值调参'!$Y$22,0),IF('01_数值调参'!$Z$7&lt;=$A26,-'01_数值调参'!$Z$22,0),IF('01_数值调参'!$AA$7&lt;=$A26,-'01_数值调参'!$AA$22,0),IF('01_数值调参'!$AB$7&lt;=$A26,-'01_数值调参'!$AB$22,0),IF('01_数值调参'!$AC$7&lt;=$A26,-'01_数值调参'!$AC$22,0)),0),IF($A26&gt;=8,(F26+$C$3)*MAX(0,IF('01_数值调参'!$AD$7&lt;=$A26,-'01_数值调参'!$AD$22,0),IF('01_数值调参'!$AE$7&lt;=$A26,-'01_数值调参'!$AE$22,0),IF('01_数值调参'!$AF$7&lt;=$A26,-'01_数值调参'!$AF$22,0),IF('01_数值调参'!$AG$7&lt;=$A26,-'01_数值调参'!$AG$22,0)),0),IF($A26&gt;=10,(G26+$C$3)*MAX(0,IF('01_数值调参'!$AH$7&lt;=$A26,-'01_数值调参'!$AH$22,0),IF('01_数值调参'!$AI$7&lt;=$A26,-'01_数值调参'!$AI$22,0),IF('01_数值调参'!$AJ$7&lt;=$A26,-'01_数值调参'!$AJ$22,0),IF('01_数值调参'!$AK$7&lt;=$A26,-'01_数值调参'!$AK$22,0),IF('01_数值调参'!$AL$7&lt;=$A26,-'01_数值调参'!$AL$22,0),IF('01_数值调参'!$AM$7&lt;=$A26,-'01_数值调参'!$AM$22,0)),0),0)),"队列待修正"))</x:f>
        <x:v>12</x:v>
      </x:c>
      <x:c r="M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J$7,"—",SUM(IF($A26&gt;=2,(C26+$C$3)*MAX(0,IF('01_数值调参'!$N$7&lt;=$A26,-'01_数值调参'!$N$23,0),IF('01_数值调参'!$O$7&lt;=$A26,-'01_数值调参'!$O$23,0),IF('01_数值调参'!$P$7&lt;=$A26,-'01_数值调参'!$P$23,0),IF('01_数值调参'!$Q$7&lt;=$A26,-'01_数值调参'!$Q$23,0),IF('01_数值调参'!$R$7&lt;=$A26,-'01_数值调参'!$R$23,0)),0),IF($A26&gt;=4,(D26+$C$3)*MAX(0,IF('01_数值调参'!$S$7&lt;=$A26,-'01_数值调参'!$S$23,0),IF('01_数值调参'!$T$7&lt;=$A26,-'01_数值调参'!$T$23,0),IF('01_数值调参'!$U$7&lt;=$A26,-'01_数值调参'!$U$23,0),IF('01_数值调参'!$V$7&lt;=$A26,-'01_数值调参'!$V$23,0),IF('01_数值调参'!$W$7&lt;=$A26,-'01_数值调参'!$W$23,0)),0),IF($A26&gt;=6,(E26+$C$3)*MAX(0,IF('01_数值调参'!$X$7&lt;=$A26,-'01_数值调参'!$X$23,0),IF('01_数值调参'!$Y$7&lt;=$A26,-'01_数值调参'!$Y$23,0),IF('01_数值调参'!$Z$7&lt;=$A26,-'01_数值调参'!$Z$23,0),IF('01_数值调参'!$AA$7&lt;=$A26,-'01_数值调参'!$AA$23,0),IF('01_数值调参'!$AB$7&lt;=$A26,-'01_数值调参'!$AB$23,0),IF('01_数值调参'!$AC$7&lt;=$A26,-'01_数值调参'!$AC$23,0)),0),IF($A26&gt;=8,(F26+$C$3)*MAX(0,IF('01_数值调参'!$AD$7&lt;=$A26,-'01_数值调参'!$AD$23,0),IF('01_数值调参'!$AE$7&lt;=$A26,-'01_数值调参'!$AE$23,0),IF('01_数值调参'!$AF$7&lt;=$A26,-'01_数值调参'!$AF$23,0),IF('01_数值调参'!$AG$7&lt;=$A26,-'01_数值调参'!$AG$23,0)),0),IF($A26&gt;=10,(G26+$C$3)*MAX(0,IF('01_数值调参'!$AH$7&lt;=$A26,-'01_数值调参'!$AH$23,0),IF('01_数值调参'!$AI$7&lt;=$A26,-'01_数值调参'!$AI$23,0),IF('01_数值调参'!$AJ$7&lt;=$A26,-'01_数值调参'!$AJ$23,0),IF('01_数值调参'!$AK$7&lt;=$A26,-'01_数值调参'!$AK$23,0),IF('01_数值调参'!$AL$7&lt;=$A26,-'01_数值调参'!$AL$23,0),IF('01_数值调参'!$AM$7&lt;=$A26,-'01_数值调参'!$AM$23,0)),0),0)),"队列待修正"))</x:f>
        <x:v>15</x:v>
      </x:c>
      <x:c r="N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K$7,"—",SUM(IF($A26&gt;=2,(C26+$C$3)*MAX(0,IF('01_数值调参'!$N$7&lt;=$A26,-'01_数值调参'!$N$24,0),IF('01_数值调参'!$O$7&lt;=$A26,-'01_数值调参'!$O$24,0),IF('01_数值调参'!$P$7&lt;=$A26,-'01_数值调参'!$P$24,0),IF('01_数值调参'!$Q$7&lt;=$A26,-'01_数值调参'!$Q$24,0),IF('01_数值调参'!$R$7&lt;=$A26,-'01_数值调参'!$R$24,0)),0),IF($A26&gt;=4,(D26+$C$3)*MAX(0,IF('01_数值调参'!$S$7&lt;=$A26,-'01_数值调参'!$S$24,0),IF('01_数值调参'!$T$7&lt;=$A26,-'01_数值调参'!$T$24,0),IF('01_数值调参'!$U$7&lt;=$A26,-'01_数值调参'!$U$24,0),IF('01_数值调参'!$V$7&lt;=$A26,-'01_数值调参'!$V$24,0),IF('01_数值调参'!$W$7&lt;=$A26,-'01_数值调参'!$W$24,0)),0),IF($A26&gt;=6,(E26+$C$3)*MAX(0,IF('01_数值调参'!$X$7&lt;=$A26,-'01_数值调参'!$X$24,0),IF('01_数值调参'!$Y$7&lt;=$A26,-'01_数值调参'!$Y$24,0),IF('01_数值调参'!$Z$7&lt;=$A26,-'01_数值调参'!$Z$24,0),IF('01_数值调参'!$AA$7&lt;=$A26,-'01_数值调参'!$AA$24,0),IF('01_数值调参'!$AB$7&lt;=$A26,-'01_数值调参'!$AB$24,0),IF('01_数值调参'!$AC$7&lt;=$A26,-'01_数值调参'!$AC$24,0)),0),IF($A26&gt;=8,(F26+$C$3)*MAX(0,IF('01_数值调参'!$AD$7&lt;=$A26,-'01_数值调参'!$AD$24,0),IF('01_数值调参'!$AE$7&lt;=$A26,-'01_数值调参'!$AE$24,0),IF('01_数值调参'!$AF$7&lt;=$A26,-'01_数值调参'!$AF$24,0),IF('01_数值调参'!$AG$7&lt;=$A26,-'01_数值调参'!$AG$24,0)),0),IF($A26&gt;=10,(G26+$C$3)*MAX(0,IF('01_数值调参'!$AH$7&lt;=$A26,-'01_数值调参'!$AH$24,0),IF('01_数值调参'!$AI$7&lt;=$A26,-'01_数值调参'!$AI$24,0),IF('01_数值调参'!$AJ$7&lt;=$A26,-'01_数值调参'!$AJ$24,0),IF('01_数值调参'!$AK$7&lt;=$A26,-'01_数值调参'!$AK$24,0),IF('01_数值调参'!$AL$7&lt;=$A26,-'01_数值调参'!$AL$24,0),IF('01_数值调参'!$AM$7&lt;=$A26,-'01_数值调参'!$AM$24,0)),0),0)),"队列待修正"))</x:f>
        <x:v>15</x:v>
      </x:c>
      <x:c r="O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L$7,"—",SUM(IF($A26&gt;=2,(C26+$C$3)*MAX(0,IF('01_数值调参'!$N$7&lt;=$A26,-'01_数值调参'!$N$25,0),IF('01_数值调参'!$O$7&lt;=$A26,-'01_数值调参'!$O$25,0),IF('01_数值调参'!$P$7&lt;=$A26,-'01_数值调参'!$P$25,0),IF('01_数值调参'!$Q$7&lt;=$A26,-'01_数值调参'!$Q$25,0),IF('01_数值调参'!$R$7&lt;=$A26,-'01_数值调参'!$R$25,0)),0),IF($A26&gt;=4,(D26+$C$3)*MAX(0,IF('01_数值调参'!$S$7&lt;=$A26,-'01_数值调参'!$S$25,0),IF('01_数值调参'!$T$7&lt;=$A26,-'01_数值调参'!$T$25,0),IF('01_数值调参'!$U$7&lt;=$A26,-'01_数值调参'!$U$25,0),IF('01_数值调参'!$V$7&lt;=$A26,-'01_数值调参'!$V$25,0),IF('01_数值调参'!$W$7&lt;=$A26,-'01_数值调参'!$W$25,0)),0),IF($A26&gt;=6,(E26+$C$3)*MAX(0,IF('01_数值调参'!$X$7&lt;=$A26,-'01_数值调参'!$X$25,0),IF('01_数值调参'!$Y$7&lt;=$A26,-'01_数值调参'!$Y$25,0),IF('01_数值调参'!$Z$7&lt;=$A26,-'01_数值调参'!$Z$25,0),IF('01_数值调参'!$AA$7&lt;=$A26,-'01_数值调参'!$AA$25,0),IF('01_数值调参'!$AB$7&lt;=$A26,-'01_数值调参'!$AB$25,0),IF('01_数值调参'!$AC$7&lt;=$A26,-'01_数值调参'!$AC$25,0)),0),IF($A26&gt;=8,(F26+$C$3)*MAX(0,IF('01_数值调参'!$AD$7&lt;=$A26,-'01_数值调参'!$AD$25,0),IF('01_数值调参'!$AE$7&lt;=$A26,-'01_数值调参'!$AE$25,0),IF('01_数值调参'!$AF$7&lt;=$A26,-'01_数值调参'!$AF$25,0),IF('01_数值调参'!$AG$7&lt;=$A26,-'01_数值调参'!$AG$25,0)),0),IF($A26&gt;=10,(G26+$C$3)*MAX(0,IF('01_数值调参'!$AH$7&lt;=$A26,-'01_数值调参'!$AH$25,0),IF('01_数值调参'!$AI$7&lt;=$A26,-'01_数值调参'!$AI$25,0),IF('01_数值调参'!$AJ$7&lt;=$A26,-'01_数值调参'!$AJ$25,0),IF('01_数值调参'!$AK$7&lt;=$A26,-'01_数值调参'!$AK$25,0),IF('01_数值调参'!$AL$7&lt;=$A26,-'01_数值调参'!$AL$25,0),IF('01_数值调参'!$AM$7&lt;=$A26,-'01_数值调参'!$AM$25,0)),0),0)),"队列待修正"))</x:f>
        <x:v>15</x:v>
      </x:c>
      <x:c r="P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M$7,"—",SUM(IF($A26&gt;=2,(C26+$C$3)*MAX(0,IF('01_数值调参'!$N$7&lt;=$A26,-'01_数值调参'!$N$26,0),IF('01_数值调参'!$O$7&lt;=$A26,-'01_数值调参'!$O$26,0),IF('01_数值调参'!$P$7&lt;=$A26,-'01_数值调参'!$P$26,0),IF('01_数值调参'!$Q$7&lt;=$A26,-'01_数值调参'!$Q$26,0),IF('01_数值调参'!$R$7&lt;=$A26,-'01_数值调参'!$R$26,0)),0),IF($A26&gt;=4,(D26+$C$3)*MAX(0,IF('01_数值调参'!$S$7&lt;=$A26,-'01_数值调参'!$S$26,0),IF('01_数值调参'!$T$7&lt;=$A26,-'01_数值调参'!$T$26,0),IF('01_数值调参'!$U$7&lt;=$A26,-'01_数值调参'!$U$26,0),IF('01_数值调参'!$V$7&lt;=$A26,-'01_数值调参'!$V$26,0),IF('01_数值调参'!$W$7&lt;=$A26,-'01_数值调参'!$W$26,0)),0),IF($A26&gt;=6,(E26+$C$3)*MAX(0,IF('01_数值调参'!$X$7&lt;=$A26,-'01_数值调参'!$X$26,0),IF('01_数值调参'!$Y$7&lt;=$A26,-'01_数值调参'!$Y$26,0),IF('01_数值调参'!$Z$7&lt;=$A26,-'01_数值调参'!$Z$26,0),IF('01_数值调参'!$AA$7&lt;=$A26,-'01_数值调参'!$AA$26,0),IF('01_数值调参'!$AB$7&lt;=$A26,-'01_数值调参'!$AB$26,0),IF('01_数值调参'!$AC$7&lt;=$A26,-'01_数值调参'!$AC$26,0)),0),IF($A26&gt;=8,(F26+$C$3)*MAX(0,IF('01_数值调参'!$AD$7&lt;=$A26,-'01_数值调参'!$AD$26,0),IF('01_数值调参'!$AE$7&lt;=$A26,-'01_数值调参'!$AE$26,0),IF('01_数值调参'!$AF$7&lt;=$A26,-'01_数值调参'!$AF$26,0),IF('01_数值调参'!$AG$7&lt;=$A26,-'01_数值调参'!$AG$26,0)),0),IF($A26&gt;=10,(G26+$C$3)*MAX(0,IF('01_数值调参'!$AH$7&lt;=$A26,-'01_数值调参'!$AH$26,0),IF('01_数值调参'!$AI$7&lt;=$A26,-'01_数值调参'!$AI$26,0),IF('01_数值调参'!$AJ$7&lt;=$A26,-'01_数值调参'!$AJ$26,0),IF('01_数值调参'!$AK$7&lt;=$A26,-'01_数值调参'!$AK$26,0),IF('01_数值调参'!$AL$7&lt;=$A26,-'01_数值调参'!$AL$26,0),IF('01_数值调参'!$AM$7&lt;=$A26,-'01_数值调参'!$AM$26,0)),0),0)),"队列待修正"))</x:f>
        <x:v>6</x:v>
      </x:c>
      <x:c r="Q26" s="19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N$7,"—",SUM(IF($A26&gt;=2,(C26+$C$3)*MAX(0,IF('01_数值调参'!$N$7&lt;=$A26,0,0),IF('01_数值调参'!$O$7&lt;=$A26,-'01_数值调参'!$O$27,0),IF('01_数值调参'!$P$7&lt;=$A26,-'01_数值调参'!$P$27,0),IF('01_数值调参'!$Q$7&lt;=$A26,-'01_数值调参'!$Q$27,0),IF('01_数值调参'!$R$7&lt;=$A26,-'01_数值调参'!$R$27,0)),0),IF($A26&gt;=4,(D26+$C$3)*MAX(0,IF('01_数值调参'!$S$7&lt;=$A26,-'01_数值调参'!$S$27,0),IF('01_数值调参'!$T$7&lt;=$A26,-'01_数值调参'!$T$27,0),IF('01_数值调参'!$U$7&lt;=$A26,-'01_数值调参'!$U$27,0),IF('01_数值调参'!$V$7&lt;=$A26,-'01_数值调参'!$V$27,0),IF('01_数值调参'!$W$7&lt;=$A26,-'01_数值调参'!$W$27,0)),0),IF($A26&gt;=6,(E26+$C$3)*MAX(0,IF('01_数值调参'!$X$7&lt;=$A26,-'01_数值调参'!$X$27,0),IF('01_数值调参'!$Y$7&lt;=$A26,-'01_数值调参'!$Y$27,0),IF('01_数值调参'!$Z$7&lt;=$A26,-'01_数值调参'!$Z$27,0),IF('01_数值调参'!$AA$7&lt;=$A26,-'01_数值调参'!$AA$27,0),IF('01_数值调参'!$AB$7&lt;=$A26,-'01_数值调参'!$AB$27,0),IF('01_数值调参'!$AC$7&lt;=$A26,-'01_数值调参'!$AC$27,0)),0),IF($A26&gt;=8,(F26+$C$3)*MAX(0,IF('01_数值调参'!$AD$7&lt;=$A26,-'01_数值调参'!$AD$27,0),IF('01_数值调参'!$AE$7&lt;=$A26,-'01_数值调参'!$AE$27,0),IF('01_数值调参'!$AF$7&lt;=$A26,-'01_数值调参'!$AF$27,0),IF('01_数值调参'!$AG$7&lt;=$A26,-'01_数值调参'!$AG$27,0)),0),IF($A26&gt;=10,(G26+$C$3)*MAX(0,IF('01_数值调参'!$AH$7&lt;=$A26,-'01_数值调参'!$AH$27,0),IF('01_数值调参'!$AI$7&lt;=$A26,-'01_数值调参'!$AI$27,0),IF('01_数值调参'!$AJ$7&lt;=$A26,-'01_数值调参'!$AJ$27,0),IF('01_数值调参'!$AK$7&lt;=$A26,-'01_数值调参'!$AK$27,0),IF('01_数值调参'!$AL$7&lt;=$A26,-'01_数值调参'!$AL$27,0),IF('01_数值调参'!$AM$7&lt;=$A26,-'01_数值调参'!$AM$27,0)),0),0)),"队列待修正"))</x:f>
        <x:v>3</x:v>
      </x:c>
      <x:c r="R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O$7,"—",SUM(IF($A26&gt;=2,(C26+$C$3)*MAX(0,IF('01_数值调参'!$N$7&lt;=$A26,-'01_数值调参'!$N$28,0),IF('01_数值调参'!$O$7&lt;=$A26,0,0),IF('01_数值调参'!$P$7&lt;=$A26,-'01_数值调参'!$P$28,0),IF('01_数值调参'!$Q$7&lt;=$A26,-'01_数值调参'!$Q$28,0),IF('01_数值调参'!$R$7&lt;=$A26,-'01_数值调参'!$R$28,0)),0),IF($A26&gt;=4,(D26+$C$3)*MAX(0,IF('01_数值调参'!$S$7&lt;=$A26,-'01_数值调参'!$S$28,0),IF('01_数值调参'!$T$7&lt;=$A26,-'01_数值调参'!$T$28,0),IF('01_数值调参'!$U$7&lt;=$A26,-'01_数值调参'!$U$28,0),IF('01_数值调参'!$V$7&lt;=$A26,-'01_数值调参'!$V$28,0),IF('01_数值调参'!$W$7&lt;=$A26,-'01_数值调参'!$W$28,0)),0),IF($A26&gt;=6,(E26+$C$3)*MAX(0,IF('01_数值调参'!$X$7&lt;=$A26,-'01_数值调参'!$X$28,0),IF('01_数值调参'!$Y$7&lt;=$A26,-'01_数值调参'!$Y$28,0),IF('01_数值调参'!$Z$7&lt;=$A26,-'01_数值调参'!$Z$28,0),IF('01_数值调参'!$AA$7&lt;=$A26,-'01_数值调参'!$AA$28,0),IF('01_数值调参'!$AB$7&lt;=$A26,-'01_数值调参'!$AB$28,0),IF('01_数值调参'!$AC$7&lt;=$A26,-'01_数值调参'!$AC$28,0)),0),IF($A26&gt;=8,(F26+$C$3)*MAX(0,IF('01_数值调参'!$AD$7&lt;=$A26,-'01_数值调参'!$AD$28,0),IF('01_数值调参'!$AE$7&lt;=$A26,-'01_数值调参'!$AE$28,0),IF('01_数值调参'!$AF$7&lt;=$A26,-'01_数值调参'!$AF$28,0),IF('01_数值调参'!$AG$7&lt;=$A26,-'01_数值调参'!$AG$28,0)),0),IF($A26&gt;=10,(G26+$C$3)*MAX(0,IF('01_数值调参'!$AH$7&lt;=$A26,-'01_数值调参'!$AH$28,0),IF('01_数值调参'!$AI$7&lt;=$A26,-'01_数值调参'!$AI$28,0),IF('01_数值调参'!$AJ$7&lt;=$A26,-'01_数值调参'!$AJ$28,0),IF('01_数值调参'!$AK$7&lt;=$A26,-'01_数值调参'!$AK$28,0),IF('01_数值调参'!$AL$7&lt;=$A26,-'01_数值调参'!$AL$28,0),IF('01_数值调参'!$AM$7&lt;=$A26,-'01_数值调参'!$AM$28,0)),0),0)),"队列待修正"))</x:f>
        <x:v>3</x:v>
      </x:c>
      <x:c r="S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P$7,"—",SUM(IF($A26&gt;=2,(C26+$C$3)*MAX(0,IF('01_数值调参'!$N$7&lt;=$A26,-'01_数值调参'!$N$29,0),IF('01_数值调参'!$O$7&lt;=$A26,-'01_数值调参'!$O$29,0),IF('01_数值调参'!$P$7&lt;=$A26,0,0),IF('01_数值调参'!$Q$7&lt;=$A26,-'01_数值调参'!$Q$29,0),IF('01_数值调参'!$R$7&lt;=$A26,-'01_数值调参'!$R$29,0)),0),IF($A26&gt;=4,(D26+$C$3)*MAX(0,IF('01_数值调参'!$S$7&lt;=$A26,-'01_数值调参'!$S$29,0),IF('01_数值调参'!$T$7&lt;=$A26,-'01_数值调参'!$T$29,0),IF('01_数值调参'!$U$7&lt;=$A26,-'01_数值调参'!$U$29,0),IF('01_数值调参'!$V$7&lt;=$A26,-'01_数值调参'!$V$29,0),IF('01_数值调参'!$W$7&lt;=$A26,-'01_数值调参'!$W$29,0)),0),IF($A26&gt;=6,(E26+$C$3)*MAX(0,IF('01_数值调参'!$X$7&lt;=$A26,-'01_数值调参'!$X$29,0),IF('01_数值调参'!$Y$7&lt;=$A26,-'01_数值调参'!$Y$29,0),IF('01_数值调参'!$Z$7&lt;=$A26,-'01_数值调参'!$Z$29,0),IF('01_数值调参'!$AA$7&lt;=$A26,-'01_数值调参'!$AA$29,0),IF('01_数值调参'!$AB$7&lt;=$A26,-'01_数值调参'!$AB$29,0),IF('01_数值调参'!$AC$7&lt;=$A26,-'01_数值调参'!$AC$29,0)),0),IF($A26&gt;=8,(F26+$C$3)*MAX(0,IF('01_数值调参'!$AD$7&lt;=$A26,-'01_数值调参'!$AD$29,0),IF('01_数值调参'!$AE$7&lt;=$A26,-'01_数值调参'!$AE$29,0),IF('01_数值调参'!$AF$7&lt;=$A26,-'01_数值调参'!$AF$29,0),IF('01_数值调参'!$AG$7&lt;=$A26,-'01_数值调参'!$AG$29,0)),0),IF($A26&gt;=10,(G26+$C$3)*MAX(0,IF('01_数值调参'!$AH$7&lt;=$A26,-'01_数值调参'!$AH$29,0),IF('01_数值调参'!$AI$7&lt;=$A26,-'01_数值调参'!$AI$29,0),IF('01_数值调参'!$AJ$7&lt;=$A26,-'01_数值调参'!$AJ$29,0),IF('01_数值调参'!$AK$7&lt;=$A26,-'01_数值调参'!$AK$29,0),IF('01_数值调参'!$AL$7&lt;=$A26,-'01_数值调参'!$AL$29,0),IF('01_数值调参'!$AM$7&lt;=$A26,-'01_数值调参'!$AM$29,0)),0),0)),"队列待修正"))</x:f>
        <x:v>3</x:v>
      </x:c>
      <x:c r="T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Q$7,"—",SUM(IF($A26&gt;=2,(C26+$C$3)*MAX(0,IF('01_数值调参'!$N$7&lt;=$A26,-'01_数值调参'!$N$30,0),IF('01_数值调参'!$O$7&lt;=$A26,-'01_数值调参'!$O$30,0),IF('01_数值调参'!$P$7&lt;=$A26,-'01_数值调参'!$P$30,0),IF('01_数值调参'!$Q$7&lt;=$A26,0,0),IF('01_数值调参'!$R$7&lt;=$A26,-'01_数值调参'!$R$30,0)),0),IF($A26&gt;=4,(D26+$C$3)*MAX(0,IF('01_数值调参'!$S$7&lt;=$A26,-'01_数值调参'!$S$30,0),IF('01_数值调参'!$T$7&lt;=$A26,-'01_数值调参'!$T$30,0),IF('01_数值调参'!$U$7&lt;=$A26,-'01_数值调参'!$U$30,0),IF('01_数值调参'!$V$7&lt;=$A26,-'01_数值调参'!$V$30,0),IF('01_数值调参'!$W$7&lt;=$A26,-'01_数值调参'!$W$30,0)),0),IF($A26&gt;=6,(E26+$C$3)*MAX(0,IF('01_数值调参'!$X$7&lt;=$A26,-'01_数值调参'!$X$30,0),IF('01_数值调参'!$Y$7&lt;=$A26,-'01_数值调参'!$Y$30,0),IF('01_数值调参'!$Z$7&lt;=$A26,-'01_数值调参'!$Z$30,0),IF('01_数值调参'!$AA$7&lt;=$A26,-'01_数值调参'!$AA$30,0),IF('01_数值调参'!$AB$7&lt;=$A26,-'01_数值调参'!$AB$30,0),IF('01_数值调参'!$AC$7&lt;=$A26,-'01_数值调参'!$AC$30,0)),0),IF($A26&gt;=8,(F26+$C$3)*MAX(0,IF('01_数值调参'!$AD$7&lt;=$A26,-'01_数值调参'!$AD$30,0),IF('01_数值调参'!$AE$7&lt;=$A26,-'01_数值调参'!$AE$30,0),IF('01_数值调参'!$AF$7&lt;=$A26,-'01_数值调参'!$AF$30,0),IF('01_数值调参'!$AG$7&lt;=$A26,-'01_数值调参'!$AG$30,0)),0),IF($A26&gt;=10,(G26+$C$3)*MAX(0,IF('01_数值调参'!$AH$7&lt;=$A26,-'01_数值调参'!$AH$30,0),IF('01_数值调参'!$AI$7&lt;=$A26,-'01_数值调参'!$AI$30,0),IF('01_数值调参'!$AJ$7&lt;=$A26,-'01_数值调参'!$AJ$30,0),IF('01_数值调参'!$AK$7&lt;=$A26,-'01_数值调参'!$AK$30,0),IF('01_数值调参'!$AL$7&lt;=$A26,-'01_数值调参'!$AL$30,0),IF('01_数值调参'!$AM$7&lt;=$A26,-'01_数值调参'!$AM$30,0)),0),0)),"队列待修正"))</x:f>
        <x:v>3</x:v>
      </x:c>
      <x:c r="U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R$7,"—",SUM(IF($A26&gt;=2,(C26+$C$3)*MAX(0,IF('01_数值调参'!$N$7&lt;=$A26,-'01_数值调参'!$N$31,0),IF('01_数值调参'!$O$7&lt;=$A26,-'01_数值调参'!$O$31,0),IF('01_数值调参'!$P$7&lt;=$A26,-'01_数值调参'!$P$31,0),IF('01_数值调参'!$Q$7&lt;=$A26,-'01_数值调参'!$Q$31,0),IF('01_数值调参'!$R$7&lt;=$A26,0,0)),0),IF($A26&gt;=4,(D26+$C$3)*MAX(0,IF('01_数值调参'!$S$7&lt;=$A26,-'01_数值调参'!$S$31,0),IF('01_数值调参'!$T$7&lt;=$A26,-'01_数值调参'!$T$31,0),IF('01_数值调参'!$U$7&lt;=$A26,-'01_数值调参'!$U$31,0),IF('01_数值调参'!$V$7&lt;=$A26,-'01_数值调参'!$V$31,0),IF('01_数值调参'!$W$7&lt;=$A26,-'01_数值调参'!$W$31,0)),0),IF($A26&gt;=6,(E26+$C$3)*MAX(0,IF('01_数值调参'!$X$7&lt;=$A26,-'01_数值调参'!$X$31,0),IF('01_数值调参'!$Y$7&lt;=$A26,-'01_数值调参'!$Y$31,0),IF('01_数值调参'!$Z$7&lt;=$A26,-'01_数值调参'!$Z$31,0),IF('01_数值调参'!$AA$7&lt;=$A26,-'01_数值调参'!$AA$31,0),IF('01_数值调参'!$AB$7&lt;=$A26,-'01_数值调参'!$AB$31,0),IF('01_数值调参'!$AC$7&lt;=$A26,-'01_数值调参'!$AC$31,0)),0),IF($A26&gt;=8,(F26+$C$3)*MAX(0,IF('01_数值调参'!$AD$7&lt;=$A26,-'01_数值调参'!$AD$31,0),IF('01_数值调参'!$AE$7&lt;=$A26,-'01_数值调参'!$AE$31,0),IF('01_数值调参'!$AF$7&lt;=$A26,-'01_数值调参'!$AF$31,0),IF('01_数值调参'!$AG$7&lt;=$A26,-'01_数值调参'!$AG$31,0)),0),IF($A26&gt;=10,(G26+$C$3)*MAX(0,IF('01_数值调参'!$AH$7&lt;=$A26,-'01_数值调参'!$AH$31,0),IF('01_数值调参'!$AI$7&lt;=$A26,-'01_数值调参'!$AI$31,0),IF('01_数值调参'!$AJ$7&lt;=$A26,-'01_数值调参'!$AJ$31,0),IF('01_数值调参'!$AK$7&lt;=$A26,-'01_数值调参'!$AK$31,0),IF('01_数值调参'!$AL$7&lt;=$A26,-'01_数值调参'!$AL$31,0),IF('01_数值调参'!$AM$7&lt;=$A26,-'01_数值调参'!$AM$31,0)),0),0)),"队列待修正"))</x:f>
        <x:v>0</x:v>
      </x:c>
      <x:c r="V26" s="19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S$7,"—",SUM(IF($A26&gt;=2,(C26+$C$3)*MAX(0,IF('01_数值调参'!$N$7&lt;=$A26,-'01_数值调参'!$N$32,0),IF('01_数值调参'!$O$7&lt;=$A26,-'01_数值调参'!$O$32,0),IF('01_数值调参'!$P$7&lt;=$A26,-'01_数值调参'!$P$32,0),IF('01_数值调参'!$Q$7&lt;=$A26,-'01_数值调参'!$Q$32,0),IF('01_数值调参'!$R$7&lt;=$A26,-'01_数值调参'!$R$32,0)),0),IF($A26&gt;=4,(D26+$C$3)*MAX(0,IF('01_数值调参'!$S$7&lt;=$A26,0,0),IF('01_数值调参'!$T$7&lt;=$A26,-'01_数值调参'!$T$32,0),IF('01_数值调参'!$U$7&lt;=$A26,-'01_数值调参'!$U$32,0),IF('01_数值调参'!$V$7&lt;=$A26,-'01_数值调参'!$V$32,0),IF('01_数值调参'!$W$7&lt;=$A26,-'01_数值调参'!$W$32,0)),0),IF($A26&gt;=6,(E26+$C$3)*MAX(0,IF('01_数值调参'!$X$7&lt;=$A26,-'01_数值调参'!$X$32,0),IF('01_数值调参'!$Y$7&lt;=$A26,-'01_数值调参'!$Y$32,0),IF('01_数值调参'!$Z$7&lt;=$A26,-'01_数值调参'!$Z$32,0),IF('01_数值调参'!$AA$7&lt;=$A26,-'01_数值调参'!$AA$32,0),IF('01_数值调参'!$AB$7&lt;=$A26,-'01_数值调参'!$AB$32,0),IF('01_数值调参'!$AC$7&lt;=$A26,-'01_数值调参'!$AC$32,0)),0),IF($A26&gt;=8,(F26+$C$3)*MAX(0,IF('01_数值调参'!$AD$7&lt;=$A26,-'01_数值调参'!$AD$32,0),IF('01_数值调参'!$AE$7&lt;=$A26,-'01_数值调参'!$AE$32,0),IF('01_数值调参'!$AF$7&lt;=$A26,-'01_数值调参'!$AF$32,0),IF('01_数值调参'!$AG$7&lt;=$A26,-'01_数值调参'!$AG$32,0)),0),IF($A26&gt;=10,(G26+$C$3)*MAX(0,IF('01_数值调参'!$AH$7&lt;=$A26,-'01_数值调参'!$AH$32,0),IF('01_数值调参'!$AI$7&lt;=$A26,-'01_数值调参'!$AI$32,0),IF('01_数值调参'!$AJ$7&lt;=$A26,-'01_数值调参'!$AJ$32,0),IF('01_数值调参'!$AK$7&lt;=$A26,-'01_数值调参'!$AK$32,0),IF('01_数值调参'!$AL$7&lt;=$A26,-'01_数值调参'!$AL$32,0),IF('01_数值调参'!$AM$7&lt;=$A26,-'01_数值调参'!$AM$32,0)),0),0)),"队列待修正"))</x:f>
        <x:v>6</x:v>
      </x:c>
      <x:c r="W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T$7,"—",SUM(IF($A26&gt;=2,(C26+$C$3)*MAX(0,IF('01_数值调参'!$N$7&lt;=$A26,-'01_数值调参'!$N$33,0),IF('01_数值调参'!$O$7&lt;=$A26,-'01_数值调参'!$O$33,0),IF('01_数值调参'!$P$7&lt;=$A26,-'01_数值调参'!$P$33,0),IF('01_数值调参'!$Q$7&lt;=$A26,-'01_数值调参'!$Q$33,0),IF('01_数值调参'!$R$7&lt;=$A26,-'01_数值调参'!$R$33,0)),0),IF($A26&gt;=4,(D26+$C$3)*MAX(0,IF('01_数值调参'!$S$7&lt;=$A26,-'01_数值调参'!$S$33,0),IF('01_数值调参'!$T$7&lt;=$A26,0,0),IF('01_数值调参'!$U$7&lt;=$A26,-'01_数值调参'!$U$33,0),IF('01_数值调参'!$V$7&lt;=$A26,-'01_数值调参'!$V$33,0),IF('01_数值调参'!$W$7&lt;=$A26,-'01_数值调参'!$W$33,0)),0),IF($A26&gt;=6,(E26+$C$3)*MAX(0,IF('01_数值调参'!$X$7&lt;=$A26,-'01_数值调参'!$X$33,0),IF('01_数值调参'!$Y$7&lt;=$A26,-'01_数值调参'!$Y$33,0),IF('01_数值调参'!$Z$7&lt;=$A26,-'01_数值调参'!$Z$33,0),IF('01_数值调参'!$AA$7&lt;=$A26,-'01_数值调参'!$AA$33,0),IF('01_数值调参'!$AB$7&lt;=$A26,-'01_数值调参'!$AB$33,0),IF('01_数值调参'!$AC$7&lt;=$A26,-'01_数值调参'!$AC$33,0)),0),IF($A26&gt;=8,(F26+$C$3)*MAX(0,IF('01_数值调参'!$AD$7&lt;=$A26,-'01_数值调参'!$AD$33,0),IF('01_数值调参'!$AE$7&lt;=$A26,-'01_数值调参'!$AE$33,0),IF('01_数值调参'!$AF$7&lt;=$A26,-'01_数值调参'!$AF$33,0),IF('01_数值调参'!$AG$7&lt;=$A26,-'01_数值调参'!$AG$33,0)),0),IF($A26&gt;=10,(G26+$C$3)*MAX(0,IF('01_数值调参'!$AH$7&lt;=$A26,-'01_数值调参'!$AH$33,0),IF('01_数值调参'!$AI$7&lt;=$A26,-'01_数值调参'!$AI$33,0),IF('01_数值调参'!$AJ$7&lt;=$A26,-'01_数值调参'!$AJ$33,0),IF('01_数值调参'!$AK$7&lt;=$A26,-'01_数值调参'!$AK$33,0),IF('01_数值调参'!$AL$7&lt;=$A26,-'01_数值调参'!$AL$33,0),IF('01_数值调参'!$AM$7&lt;=$A26,-'01_数值调参'!$AM$33,0)),0),0)),"队列待修正"))</x:f>
        <x:v>3</x:v>
      </x:c>
      <x:c r="X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U$7,"—",SUM(IF($A26&gt;=2,(C26+$C$3)*MAX(0,IF('01_数值调参'!$N$7&lt;=$A26,-'01_数值调参'!$N$34,0),IF('01_数值调参'!$O$7&lt;=$A26,-'01_数值调参'!$O$34,0),IF('01_数值调参'!$P$7&lt;=$A26,-'01_数值调参'!$P$34,0),IF('01_数值调参'!$Q$7&lt;=$A26,-'01_数值调参'!$Q$34,0),IF('01_数值调参'!$R$7&lt;=$A26,-'01_数值调参'!$R$34,0)),0),IF($A26&gt;=4,(D26+$C$3)*MAX(0,IF('01_数值调参'!$S$7&lt;=$A26,-'01_数值调参'!$S$34,0),IF('01_数值调参'!$T$7&lt;=$A26,-'01_数值调参'!$T$34,0),IF('01_数值调参'!$U$7&lt;=$A26,0,0),IF('01_数值调参'!$V$7&lt;=$A26,-'01_数值调参'!$V$34,0),IF('01_数值调参'!$W$7&lt;=$A26,-'01_数值调参'!$W$34,0)),0),IF($A26&gt;=6,(E26+$C$3)*MAX(0,IF('01_数值调参'!$X$7&lt;=$A26,-'01_数值调参'!$X$34,0),IF('01_数值调参'!$Y$7&lt;=$A26,-'01_数值调参'!$Y$34,0),IF('01_数值调参'!$Z$7&lt;=$A26,-'01_数值调参'!$Z$34,0),IF('01_数值调参'!$AA$7&lt;=$A26,-'01_数值调参'!$AA$34,0),IF('01_数值调参'!$AB$7&lt;=$A26,-'01_数值调参'!$AB$34,0),IF('01_数值调参'!$AC$7&lt;=$A26,-'01_数值调参'!$AC$34,0)),0),IF($A26&gt;=8,(F26+$C$3)*MAX(0,IF('01_数值调参'!$AD$7&lt;=$A26,-'01_数值调参'!$AD$34,0),IF('01_数值调参'!$AE$7&lt;=$A26,-'01_数值调参'!$AE$34,0),IF('01_数值调参'!$AF$7&lt;=$A26,-'01_数值调参'!$AF$34,0),IF('01_数值调参'!$AG$7&lt;=$A26,-'01_数值调参'!$AG$34,0)),0),IF($A26&gt;=10,(G26+$C$3)*MAX(0,IF('01_数值调参'!$AH$7&lt;=$A26,-'01_数值调参'!$AH$34,0),IF('01_数值调参'!$AI$7&lt;=$A26,-'01_数值调参'!$AI$34,0),IF('01_数值调参'!$AJ$7&lt;=$A26,-'01_数值调参'!$AJ$34,0),IF('01_数值调参'!$AK$7&lt;=$A26,-'01_数值调参'!$AK$34,0),IF('01_数值调参'!$AL$7&lt;=$A26,-'01_数值调参'!$AL$34,0),IF('01_数值调参'!$AM$7&lt;=$A26,-'01_数值调参'!$AM$34,0)),0),0)),"队列待修正"))</x:f>
        <x:v>3</x:v>
      </x:c>
      <x:c r="Y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V$7,"—",SUM(IF($A26&gt;=2,(C26+$C$3)*MAX(0,IF('01_数值调参'!$N$7&lt;=$A26,-'01_数值调参'!$N$35,0),IF('01_数值调参'!$O$7&lt;=$A26,-'01_数值调参'!$O$35,0),IF('01_数值调参'!$P$7&lt;=$A26,-'01_数值调参'!$P$35,0),IF('01_数值调参'!$Q$7&lt;=$A26,-'01_数值调参'!$Q$35,0),IF('01_数值调参'!$R$7&lt;=$A26,-'01_数值调参'!$R$35,0)),0),IF($A26&gt;=4,(D26+$C$3)*MAX(0,IF('01_数值调参'!$S$7&lt;=$A26,-'01_数值调参'!$S$35,0),IF('01_数值调参'!$T$7&lt;=$A26,-'01_数值调参'!$T$35,0),IF('01_数值调参'!$U$7&lt;=$A26,-'01_数值调参'!$U$35,0),IF('01_数值调参'!$V$7&lt;=$A26,0,0),IF('01_数值调参'!$W$7&lt;=$A26,-'01_数值调参'!$W$35,0)),0),IF($A26&gt;=6,(E26+$C$3)*MAX(0,IF('01_数值调参'!$X$7&lt;=$A26,-'01_数值调参'!$X$35,0),IF('01_数值调参'!$Y$7&lt;=$A26,-'01_数值调参'!$Y$35,0),IF('01_数值调参'!$Z$7&lt;=$A26,-'01_数值调参'!$Z$35,0),IF('01_数值调参'!$AA$7&lt;=$A26,-'01_数值调参'!$AA$35,0),IF('01_数值调参'!$AB$7&lt;=$A26,-'01_数值调参'!$AB$35,0),IF('01_数值调参'!$AC$7&lt;=$A26,-'01_数值调参'!$AC$35,0)),0),IF($A26&gt;=8,(F26+$C$3)*MAX(0,IF('01_数值调参'!$AD$7&lt;=$A26,-'01_数值调参'!$AD$35,0),IF('01_数值调参'!$AE$7&lt;=$A26,-'01_数值调参'!$AE$35,0),IF('01_数值调参'!$AF$7&lt;=$A26,-'01_数值调参'!$AF$35,0),IF('01_数值调参'!$AG$7&lt;=$A26,-'01_数值调参'!$AG$35,0)),0),IF($A26&gt;=10,(G26+$C$3)*MAX(0,IF('01_数值调参'!$AH$7&lt;=$A26,-'01_数值调参'!$AH$35,0),IF('01_数值调参'!$AI$7&lt;=$A26,-'01_数值调参'!$AI$35,0),IF('01_数值调参'!$AJ$7&lt;=$A26,-'01_数值调参'!$AJ$35,0),IF('01_数值调参'!$AK$7&lt;=$A26,-'01_数值调参'!$AK$35,0),IF('01_数值调参'!$AL$7&lt;=$A26,-'01_数值调参'!$AL$35,0),IF('01_数值调参'!$AM$7&lt;=$A26,-'01_数值调参'!$AM$35,0)),0),0)),"队列待修正"))</x:f>
        <x:v>3</x:v>
      </x:c>
      <x:c r="Z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W$7,"—",SUM(IF($A26&gt;=2,(C26+$C$3)*MAX(0,IF('01_数值调参'!$N$7&lt;=$A26,-'01_数值调参'!$N$36,0),IF('01_数值调参'!$O$7&lt;=$A26,-'01_数值调参'!$O$36,0),IF('01_数值调参'!$P$7&lt;=$A26,-'01_数值调参'!$P$36,0),IF('01_数值调参'!$Q$7&lt;=$A26,-'01_数值调参'!$Q$36,0),IF('01_数值调参'!$R$7&lt;=$A26,-'01_数值调参'!$R$36,0)),0),IF($A26&gt;=4,(D26+$C$3)*MAX(0,IF('01_数值调参'!$S$7&lt;=$A26,-'01_数值调参'!$S$36,0),IF('01_数值调参'!$T$7&lt;=$A26,-'01_数值调参'!$T$36,0),IF('01_数值调参'!$U$7&lt;=$A26,-'01_数值调参'!$U$36,0),IF('01_数值调参'!$V$7&lt;=$A26,-'01_数值调参'!$V$36,0),IF('01_数值调参'!$W$7&lt;=$A26,0,0)),0),IF($A26&gt;=6,(E26+$C$3)*MAX(0,IF('01_数值调参'!$X$7&lt;=$A26,-'01_数值调参'!$X$36,0),IF('01_数值调参'!$Y$7&lt;=$A26,-'01_数值调参'!$Y$36,0),IF('01_数值调参'!$Z$7&lt;=$A26,-'01_数值调参'!$Z$36,0),IF('01_数值调参'!$AA$7&lt;=$A26,-'01_数值调参'!$AA$36,0),IF('01_数值调参'!$AB$7&lt;=$A26,-'01_数值调参'!$AB$36,0),IF('01_数值调参'!$AC$7&lt;=$A26,-'01_数值调参'!$AC$36,0)),0),IF($A26&gt;=8,(F26+$C$3)*MAX(0,IF('01_数值调参'!$AD$7&lt;=$A26,-'01_数值调参'!$AD$36,0),IF('01_数值调参'!$AE$7&lt;=$A26,-'01_数值调参'!$AE$36,0),IF('01_数值调参'!$AF$7&lt;=$A26,-'01_数值调参'!$AF$36,0),IF('01_数值调参'!$AG$7&lt;=$A26,-'01_数值调参'!$AG$36,0)),0),IF($A26&gt;=10,(G26+$C$3)*MAX(0,IF('01_数值调参'!$AH$7&lt;=$A26,-'01_数值调参'!$AH$36,0),IF('01_数值调参'!$AI$7&lt;=$A26,-'01_数值调参'!$AI$36,0),IF('01_数值调参'!$AJ$7&lt;=$A26,-'01_数值调参'!$AJ$36,0),IF('01_数值调参'!$AK$7&lt;=$A26,-'01_数值调参'!$AK$36,0),IF('01_数值调参'!$AL$7&lt;=$A26,-'01_数值调参'!$AL$36,0),IF('01_数值调参'!$AM$7&lt;=$A26,-'01_数值调参'!$AM$36,0)),0),0)),"队列待修正"))</x:f>
        <x:v>0</x:v>
      </x:c>
      <x:c r="AA26" s="19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X$7,"—",SUM(IF($A26&gt;=2,(C26+$C$3)*MAX(0,IF('01_数值调参'!$N$7&lt;=$A26,-'01_数值调参'!$N$37,0),IF('01_数值调参'!$O$7&lt;=$A26,-'01_数值调参'!$O$37,0),IF('01_数值调参'!$P$7&lt;=$A26,-'01_数值调参'!$P$37,0),IF('01_数值调参'!$Q$7&lt;=$A26,-'01_数值调参'!$Q$37,0),IF('01_数值调参'!$R$7&lt;=$A26,-'01_数值调参'!$R$37,0)),0),IF($A26&gt;=4,(D26+$C$3)*MAX(0,IF('01_数值调参'!$S$7&lt;=$A26,-'01_数值调参'!$S$37,0),IF('01_数值调参'!$T$7&lt;=$A26,-'01_数值调参'!$T$37,0),IF('01_数值调参'!$U$7&lt;=$A26,-'01_数值调参'!$U$37,0),IF('01_数值调参'!$V$7&lt;=$A26,-'01_数值调参'!$V$37,0),IF('01_数值调参'!$W$7&lt;=$A26,-'01_数值调参'!$W$37,0)),0),IF($A26&gt;=6,(E26+$C$3)*MAX(0,IF('01_数值调参'!$X$7&lt;=$A26,0,0),IF('01_数值调参'!$Y$7&lt;=$A26,-'01_数值调参'!$Y$37,0),IF('01_数值调参'!$Z$7&lt;=$A26,-'01_数值调参'!$Z$37,0),IF('01_数值调参'!$AA$7&lt;=$A26,-'01_数值调参'!$AA$37,0),IF('01_数值调参'!$AB$7&lt;=$A26,-'01_数值调参'!$AB$37,0),IF('01_数值调参'!$AC$7&lt;=$A26,-'01_数值调参'!$AC$37,0)),0),IF($A26&gt;=8,(F26+$C$3)*MAX(0,IF('01_数值调参'!$AD$7&lt;=$A26,-'01_数值调参'!$AD$37,0),IF('01_数值调参'!$AE$7&lt;=$A26,-'01_数值调参'!$AE$37,0),IF('01_数值调参'!$AF$7&lt;=$A26,-'01_数值调参'!$AF$37,0),IF('01_数值调参'!$AG$7&lt;=$A26,-'01_数值调参'!$AG$37,0)),0),IF($A26&gt;=10,(G26+$C$3)*MAX(0,IF('01_数值调参'!$AH$7&lt;=$A26,-'01_数值调参'!$AH$37,0),IF('01_数值调参'!$AI$7&lt;=$A26,-'01_数值调参'!$AI$37,0),IF('01_数值调参'!$AJ$7&lt;=$A26,-'01_数值调参'!$AJ$37,0),IF('01_数值调参'!$AK$7&lt;=$A26,-'01_数值调参'!$AK$37,0),IF('01_数值调参'!$AL$7&lt;=$A26,-'01_数值调参'!$AL$37,0),IF('01_数值调参'!$AM$7&lt;=$A26,-'01_数值调参'!$AM$37,0)),0),0)),"队列待修正"))</x:f>
        <x:v>3</x:v>
      </x:c>
      <x:c r="AB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Y$7,"—",SUM(IF($A26&gt;=2,(C26+$C$3)*MAX(0,IF('01_数值调参'!$N$7&lt;=$A26,-'01_数值调参'!$N$38,0),IF('01_数值调参'!$O$7&lt;=$A26,-'01_数值调参'!$O$38,0),IF('01_数值调参'!$P$7&lt;=$A26,-'01_数值调参'!$P$38,0),IF('01_数值调参'!$Q$7&lt;=$A26,-'01_数值调参'!$Q$38,0),IF('01_数值调参'!$R$7&lt;=$A26,-'01_数值调参'!$R$38,0)),0),IF($A26&gt;=4,(D26+$C$3)*MAX(0,IF('01_数值调参'!$S$7&lt;=$A26,-'01_数值调参'!$S$38,0),IF('01_数值调参'!$T$7&lt;=$A26,-'01_数值调参'!$T$38,0),IF('01_数值调参'!$U$7&lt;=$A26,-'01_数值调参'!$U$38,0),IF('01_数值调参'!$V$7&lt;=$A26,-'01_数值调参'!$V$38,0),IF('01_数值调参'!$W$7&lt;=$A26,-'01_数值调参'!$W$38,0)),0),IF($A26&gt;=6,(E26+$C$3)*MAX(0,IF('01_数值调参'!$X$7&lt;=$A26,-'01_数值调参'!$X$38,0),IF('01_数值调参'!$Y$7&lt;=$A26,0,0),IF('01_数值调参'!$Z$7&lt;=$A26,-'01_数值调参'!$Z$38,0),IF('01_数值调参'!$AA$7&lt;=$A26,-'01_数值调参'!$AA$38,0),IF('01_数值调参'!$AB$7&lt;=$A26,-'01_数值调参'!$AB$38,0),IF('01_数值调参'!$AC$7&lt;=$A26,-'01_数值调参'!$AC$38,0)),0),IF($A26&gt;=8,(F26+$C$3)*MAX(0,IF('01_数值调参'!$AD$7&lt;=$A26,-'01_数值调参'!$AD$38,0),IF('01_数值调参'!$AE$7&lt;=$A26,-'01_数值调参'!$AE$38,0),IF('01_数值调参'!$AF$7&lt;=$A26,-'01_数值调参'!$AF$38,0),IF('01_数值调参'!$AG$7&lt;=$A26,-'01_数值调参'!$AG$38,0)),0),IF($A26&gt;=10,(G26+$C$3)*MAX(0,IF('01_数值调参'!$AH$7&lt;=$A26,-'01_数值调参'!$AH$38,0),IF('01_数值调参'!$AI$7&lt;=$A26,-'01_数值调参'!$AI$38,0),IF('01_数值调参'!$AJ$7&lt;=$A26,-'01_数值调参'!$AJ$38,0),IF('01_数值调参'!$AK$7&lt;=$A26,-'01_数值调参'!$AK$38,0),IF('01_数值调参'!$AL$7&lt;=$A26,-'01_数值调参'!$AL$38,0),IF('01_数值调参'!$AM$7&lt;=$A26,-'01_数值调参'!$AM$38,0)),0),0)),"队列待修正"))</x:f>
        <x:v>0</x:v>
      </x:c>
      <x:c r="AC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Z$7,"—",SUM(IF($A26&gt;=2,(C26+$C$3)*MAX(0,IF('01_数值调参'!$N$7&lt;=$A26,-'01_数值调参'!$N$39,0),IF('01_数值调参'!$O$7&lt;=$A26,-'01_数值调参'!$O$39,0),IF('01_数值调参'!$P$7&lt;=$A26,-'01_数值调参'!$P$39,0),IF('01_数值调参'!$Q$7&lt;=$A26,-'01_数值调参'!$Q$39,0),IF('01_数值调参'!$R$7&lt;=$A26,-'01_数值调参'!$R$39,0)),0),IF($A26&gt;=4,(D26+$C$3)*MAX(0,IF('01_数值调参'!$S$7&lt;=$A26,-'01_数值调参'!$S$39,0),IF('01_数值调参'!$T$7&lt;=$A26,-'01_数值调参'!$T$39,0),IF('01_数值调参'!$U$7&lt;=$A26,-'01_数值调参'!$U$39,0),IF('01_数值调参'!$V$7&lt;=$A26,-'01_数值调参'!$V$39,0),IF('01_数值调参'!$W$7&lt;=$A26,-'01_数值调参'!$W$39,0)),0),IF($A26&gt;=6,(E26+$C$3)*MAX(0,IF('01_数值调参'!$X$7&lt;=$A26,-'01_数值调参'!$X$39,0),IF('01_数值调参'!$Y$7&lt;=$A26,-'01_数值调参'!$Y$39,0),IF('01_数值调参'!$Z$7&lt;=$A26,0,0),IF('01_数值调参'!$AA$7&lt;=$A26,-'01_数值调参'!$AA$39,0),IF('01_数值调参'!$AB$7&lt;=$A26,-'01_数值调参'!$AB$39,0),IF('01_数值调参'!$AC$7&lt;=$A26,-'01_数值调参'!$AC$39,0)),0),IF($A26&gt;=8,(F26+$C$3)*MAX(0,IF('01_数值调参'!$AD$7&lt;=$A26,-'01_数值调参'!$AD$39,0),IF('01_数值调参'!$AE$7&lt;=$A26,-'01_数值调参'!$AE$39,0),IF('01_数值调参'!$AF$7&lt;=$A26,-'01_数值调参'!$AF$39,0),IF('01_数值调参'!$AG$7&lt;=$A26,-'01_数值调参'!$AG$39,0)),0),IF($A26&gt;=10,(G26+$C$3)*MAX(0,IF('01_数值调参'!$AH$7&lt;=$A26,-'01_数值调参'!$AH$39,0),IF('01_数值调参'!$AI$7&lt;=$A26,-'01_数值调参'!$AI$39,0),IF('01_数值调参'!$AJ$7&lt;=$A26,-'01_数值调参'!$AJ$39,0),IF('01_数值调参'!$AK$7&lt;=$A26,-'01_数值调参'!$AK$39,0),IF('01_数值调参'!$AL$7&lt;=$A26,-'01_数值调参'!$AL$39,0),IF('01_数值调参'!$AM$7&lt;=$A26,-'01_数值调参'!$AM$39,0)),0),0)),"队列待修正"))</x:f>
        <x:v>0</x:v>
      </x:c>
      <x:c r="AD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A$7,"—",SUM(IF($A26&gt;=2,(C26+$C$3)*MAX(0,IF('01_数值调参'!$N$7&lt;=$A26,-'01_数值调参'!$N$40,0),IF('01_数值调参'!$O$7&lt;=$A26,-'01_数值调参'!$O$40,0),IF('01_数值调参'!$P$7&lt;=$A26,-'01_数值调参'!$P$40,0),IF('01_数值调参'!$Q$7&lt;=$A26,-'01_数值调参'!$Q$40,0),IF('01_数值调参'!$R$7&lt;=$A26,-'01_数值调参'!$R$40,0)),0),IF($A26&gt;=4,(D26+$C$3)*MAX(0,IF('01_数值调参'!$S$7&lt;=$A26,-'01_数值调参'!$S$40,0),IF('01_数值调参'!$T$7&lt;=$A26,-'01_数值调参'!$T$40,0),IF('01_数值调参'!$U$7&lt;=$A26,-'01_数值调参'!$U$40,0),IF('01_数值调参'!$V$7&lt;=$A26,-'01_数值调参'!$V$40,0),IF('01_数值调参'!$W$7&lt;=$A26,-'01_数值调参'!$W$40,0)),0),IF($A26&gt;=6,(E26+$C$3)*MAX(0,IF('01_数值调参'!$X$7&lt;=$A26,-'01_数值调参'!$X$40,0),IF('01_数值调参'!$Y$7&lt;=$A26,-'01_数值调参'!$Y$40,0),IF('01_数值调参'!$Z$7&lt;=$A26,-'01_数值调参'!$Z$40,0),IF('01_数值调参'!$AA$7&lt;=$A26,0,0),IF('01_数值调参'!$AB$7&lt;=$A26,-'01_数值调参'!$AB$40,0),IF('01_数值调参'!$AC$7&lt;=$A26,-'01_数值调参'!$AC$40,0)),0),IF($A26&gt;=8,(F26+$C$3)*MAX(0,IF('01_数值调参'!$AD$7&lt;=$A26,-'01_数值调参'!$AD$40,0),IF('01_数值调参'!$AE$7&lt;=$A26,-'01_数值调参'!$AE$40,0),IF('01_数值调参'!$AF$7&lt;=$A26,-'01_数值调参'!$AF$40,0),IF('01_数值调参'!$AG$7&lt;=$A26,-'01_数值调参'!$AG$40,0)),0),IF($A26&gt;=10,(G26+$C$3)*MAX(0,IF('01_数值调参'!$AH$7&lt;=$A26,-'01_数值调参'!$AH$40,0),IF('01_数值调参'!$AI$7&lt;=$A26,-'01_数值调参'!$AI$40,0),IF('01_数值调参'!$AJ$7&lt;=$A26,-'01_数值调参'!$AJ$40,0),IF('01_数值调参'!$AK$7&lt;=$A26,-'01_数值调参'!$AK$40,0),IF('01_数值调参'!$AL$7&lt;=$A26,-'01_数值调参'!$AL$40,0),IF('01_数值调参'!$AM$7&lt;=$A26,-'01_数值调参'!$AM$40,0)),0),0)),"队列待修正"))</x:f>
        <x:v>3</x:v>
      </x:c>
      <x:c r="AE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B$7,"—",SUM(IF($A26&gt;=2,(C26+$C$3)*MAX(0,IF('01_数值调参'!$N$7&lt;=$A26,-'01_数值调参'!$N$41,0),IF('01_数值调参'!$O$7&lt;=$A26,-'01_数值调参'!$O$41,0),IF('01_数值调参'!$P$7&lt;=$A26,-'01_数值调参'!$P$41,0),IF('01_数值调参'!$Q$7&lt;=$A26,-'01_数值调参'!$Q$41,0),IF('01_数值调参'!$R$7&lt;=$A26,-'01_数值调参'!$R$41,0)),0),IF($A26&gt;=4,(D26+$C$3)*MAX(0,IF('01_数值调参'!$S$7&lt;=$A26,-'01_数值调参'!$S$41,0),IF('01_数值调参'!$T$7&lt;=$A26,-'01_数值调参'!$T$41,0),IF('01_数值调参'!$U$7&lt;=$A26,-'01_数值调参'!$U$41,0),IF('01_数值调参'!$V$7&lt;=$A26,-'01_数值调参'!$V$41,0),IF('01_数值调参'!$W$7&lt;=$A26,-'01_数值调参'!$W$41,0)),0),IF($A26&gt;=6,(E26+$C$3)*MAX(0,IF('01_数值调参'!$X$7&lt;=$A26,-'01_数值调参'!$X$41,0),IF('01_数值调参'!$Y$7&lt;=$A26,-'01_数值调参'!$Y$41,0),IF('01_数值调参'!$Z$7&lt;=$A26,-'01_数值调参'!$Z$41,0),IF('01_数值调参'!$AA$7&lt;=$A26,-'01_数值调参'!$AA$41,0),IF('01_数值调参'!$AB$7&lt;=$A26,0,0),IF('01_数值调参'!$AC$7&lt;=$A26,-'01_数值调参'!$AC$41,0)),0),IF($A26&gt;=8,(F26+$C$3)*MAX(0,IF('01_数值调参'!$AD$7&lt;=$A26,-'01_数值调参'!$AD$41,0),IF('01_数值调参'!$AE$7&lt;=$A26,-'01_数值调参'!$AE$41,0),IF('01_数值调参'!$AF$7&lt;=$A26,-'01_数值调参'!$AF$41,0),IF('01_数值调参'!$AG$7&lt;=$A26,-'01_数值调参'!$AG$41,0)),0),IF($A26&gt;=10,(G26+$C$3)*MAX(0,IF('01_数值调参'!$AH$7&lt;=$A26,-'01_数值调参'!$AH$41,0),IF('01_数值调参'!$AI$7&lt;=$A26,-'01_数值调参'!$AI$41,0),IF('01_数值调参'!$AJ$7&lt;=$A26,-'01_数值调参'!$AJ$41,0),IF('01_数值调参'!$AK$7&lt;=$A26,-'01_数值调参'!$AK$41,0),IF('01_数值调参'!$AL$7&lt;=$A26,-'01_数值调参'!$AL$41,0),IF('01_数值调参'!$AM$7&lt;=$A26,-'01_数值调参'!$AM$41,0)),0),0)),"队列待修正"))</x:f>
        <x:v>0</x:v>
      </x:c>
      <x:c r="AF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C$7,"—",SUM(IF($A26&gt;=2,(C26+$C$3)*MAX(0,IF('01_数值调参'!$N$7&lt;=$A26,-'01_数值调参'!$N$42,0),IF('01_数值调参'!$O$7&lt;=$A26,-'01_数值调参'!$O$42,0),IF('01_数值调参'!$P$7&lt;=$A26,-'01_数值调参'!$P$42,0),IF('01_数值调参'!$Q$7&lt;=$A26,-'01_数值调参'!$Q$42,0),IF('01_数值调参'!$R$7&lt;=$A26,-'01_数值调参'!$R$42,0)),0),IF($A26&gt;=4,(D26+$C$3)*MAX(0,IF('01_数值调参'!$S$7&lt;=$A26,-'01_数值调参'!$S$42,0),IF('01_数值调参'!$T$7&lt;=$A26,-'01_数值调参'!$T$42,0),IF('01_数值调参'!$U$7&lt;=$A26,-'01_数值调参'!$U$42,0),IF('01_数值调参'!$V$7&lt;=$A26,-'01_数值调参'!$V$42,0),IF('01_数值调参'!$W$7&lt;=$A26,-'01_数值调参'!$W$42,0)),0),IF($A26&gt;=6,(E26+$C$3)*MAX(0,IF('01_数值调参'!$X$7&lt;=$A26,-'01_数值调参'!$X$42,0),IF('01_数值调参'!$Y$7&lt;=$A26,-'01_数值调参'!$Y$42,0),IF('01_数值调参'!$Z$7&lt;=$A26,-'01_数值调参'!$Z$42,0),IF('01_数值调参'!$AA$7&lt;=$A26,-'01_数值调参'!$AA$42,0),IF('01_数值调参'!$AB$7&lt;=$A26,-'01_数值调参'!$AB$42,0),IF('01_数值调参'!$AC$7&lt;=$A26,0,0)),0),IF($A26&gt;=8,(F26+$C$3)*MAX(0,IF('01_数值调参'!$AD$7&lt;=$A26,-'01_数值调参'!$AD$42,0),IF('01_数值调参'!$AE$7&lt;=$A26,-'01_数值调参'!$AE$42,0),IF('01_数值调参'!$AF$7&lt;=$A26,-'01_数值调参'!$AF$42,0),IF('01_数值调参'!$AG$7&lt;=$A26,-'01_数值调参'!$AG$42,0)),0),IF($A26&gt;=10,(G26+$C$3)*MAX(0,IF('01_数值调参'!$AH$7&lt;=$A26,-'01_数值调参'!$AH$42,0),IF('01_数值调参'!$AI$7&lt;=$A26,-'01_数值调参'!$AI$42,0),IF('01_数值调参'!$AJ$7&lt;=$A26,-'01_数值调参'!$AJ$42,0),IF('01_数值调参'!$AK$7&lt;=$A26,-'01_数值调参'!$AK$42,0),IF('01_数值调参'!$AL$7&lt;=$A26,-'01_数值调参'!$AL$42,0),IF('01_数值调参'!$AM$7&lt;=$A26,-'01_数值调参'!$AM$42,0)),0),0)),"队列待修正"))</x:f>
        <x:v>0</x:v>
      </x:c>
      <x:c r="AG26" s="19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D$7,"—",SUM(IF($A26&gt;=2,(C26+$C$3)*MAX(0,IF('01_数值调参'!$N$7&lt;=$A26,-'01_数值调参'!$N$43,0),IF('01_数值调参'!$O$7&lt;=$A26,-'01_数值调参'!$O$43,0),IF('01_数值调参'!$P$7&lt;=$A26,-'01_数值调参'!$P$43,0),IF('01_数值调参'!$Q$7&lt;=$A26,-'01_数值调参'!$Q$43,0),IF('01_数值调参'!$R$7&lt;=$A26,-'01_数值调参'!$R$43,0)),0),IF($A26&gt;=4,(D26+$C$3)*MAX(0,IF('01_数值调参'!$S$7&lt;=$A26,-'01_数值调参'!$S$43,0),IF('01_数值调参'!$T$7&lt;=$A26,-'01_数值调参'!$T$43,0),IF('01_数值调参'!$U$7&lt;=$A26,-'01_数值调参'!$U$43,0),IF('01_数值调参'!$V$7&lt;=$A26,-'01_数值调参'!$V$43,0),IF('01_数值调参'!$W$7&lt;=$A26,-'01_数值调参'!$W$43,0)),0),IF($A26&gt;=6,(E26+$C$3)*MAX(0,IF('01_数值调参'!$X$7&lt;=$A26,-'01_数值调参'!$X$43,0),IF('01_数值调参'!$Y$7&lt;=$A26,-'01_数值调参'!$Y$43,0),IF('01_数值调参'!$Z$7&lt;=$A26,-'01_数值调参'!$Z$43,0),IF('01_数值调参'!$AA$7&lt;=$A26,-'01_数值调参'!$AA$43,0),IF('01_数值调参'!$AB$7&lt;=$A26,-'01_数值调参'!$AB$43,0),IF('01_数值调参'!$AC$7&lt;=$A26,-'01_数值调参'!$AC$43,0)),0),IF($A26&gt;=8,(F26+$C$3)*MAX(0,IF('01_数值调参'!$AD$7&lt;=$A26,0,0),IF('01_数值调参'!$AE$7&lt;=$A26,-'01_数值调参'!$AE$43,0),IF('01_数值调参'!$AF$7&lt;=$A26,-'01_数值调参'!$AF$43,0),IF('01_数值调参'!$AG$7&lt;=$A26,-'01_数值调参'!$AG$43,0)),0),IF($A26&gt;=10,(G26+$C$3)*MAX(0,IF('01_数值调参'!$AH$7&lt;=$A26,-'01_数值调参'!$AH$43,0),IF('01_数值调参'!$AI$7&lt;=$A26,-'01_数值调参'!$AI$43,0),IF('01_数值调参'!$AJ$7&lt;=$A26,-'01_数值调参'!$AJ$43,0),IF('01_数值调参'!$AK$7&lt;=$A26,-'01_数值调参'!$AK$43,0),IF('01_数值调参'!$AL$7&lt;=$A26,-'01_数值调参'!$AL$43,0),IF('01_数值调参'!$AM$7&lt;=$A26,-'01_数值调参'!$AM$43,0)),0),0)),"队列待修正"))</x:f>
        <x:v>3</x:v>
      </x:c>
      <x:c r="AH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E$7,"—",SUM(IF($A26&gt;=2,(C26+$C$3)*MAX(0,IF('01_数值调参'!$N$7&lt;=$A26,-'01_数值调参'!$N$44,0),IF('01_数值调参'!$O$7&lt;=$A26,-'01_数值调参'!$O$44,0),IF('01_数值调参'!$P$7&lt;=$A26,-'01_数值调参'!$P$44,0),IF('01_数值调参'!$Q$7&lt;=$A26,-'01_数值调参'!$Q$44,0),IF('01_数值调参'!$R$7&lt;=$A26,-'01_数值调参'!$R$44,0)),0),IF($A26&gt;=4,(D26+$C$3)*MAX(0,IF('01_数值调参'!$S$7&lt;=$A26,-'01_数值调参'!$S$44,0),IF('01_数值调参'!$T$7&lt;=$A26,-'01_数值调参'!$T$44,0),IF('01_数值调参'!$U$7&lt;=$A26,-'01_数值调参'!$U$44,0),IF('01_数值调参'!$V$7&lt;=$A26,-'01_数值调参'!$V$44,0),IF('01_数值调参'!$W$7&lt;=$A26,-'01_数值调参'!$W$44,0)),0),IF($A26&gt;=6,(E26+$C$3)*MAX(0,IF('01_数值调参'!$X$7&lt;=$A26,-'01_数值调参'!$X$44,0),IF('01_数值调参'!$Y$7&lt;=$A26,-'01_数值调参'!$Y$44,0),IF('01_数值调参'!$Z$7&lt;=$A26,-'01_数值调参'!$Z$44,0),IF('01_数值调参'!$AA$7&lt;=$A26,-'01_数值调参'!$AA$44,0),IF('01_数值调参'!$AB$7&lt;=$A26,-'01_数值调参'!$AB$44,0),IF('01_数值调参'!$AC$7&lt;=$A26,-'01_数值调参'!$AC$44,0)),0),IF($A26&gt;=8,(F26+$C$3)*MAX(0,IF('01_数值调参'!$AD$7&lt;=$A26,-'01_数值调参'!$AD$44,0),IF('01_数值调参'!$AE$7&lt;=$A26,0,0),IF('01_数值调参'!$AF$7&lt;=$A26,-'01_数值调参'!$AF$44,0),IF('01_数值调参'!$AG$7&lt;=$A26,-'01_数值调参'!$AG$44,0)),0),IF($A26&gt;=10,(G26+$C$3)*MAX(0,IF('01_数值调参'!$AH$7&lt;=$A26,-'01_数值调参'!$AH$44,0),IF('01_数值调参'!$AI$7&lt;=$A26,-'01_数值调参'!$AI$44,0),IF('01_数值调参'!$AJ$7&lt;=$A26,-'01_数值调参'!$AJ$44,0),IF('01_数值调参'!$AK$7&lt;=$A26,-'01_数值调参'!$AK$44,0),IF('01_数值调参'!$AL$7&lt;=$A26,-'01_数值调参'!$AL$44,0),IF('01_数值调参'!$AM$7&lt;=$A26,-'01_数值调参'!$AM$44,0)),0),0)),"队列待修正"))</x:f>
        <x:v>3</x:v>
      </x:c>
      <x:c r="AI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F$7,"—",SUM(IF($A26&gt;=2,(C26+$C$3)*MAX(0,IF('01_数值调参'!$N$7&lt;=$A26,-'01_数值调参'!$N$45,0),IF('01_数值调参'!$O$7&lt;=$A26,-'01_数值调参'!$O$45,0),IF('01_数值调参'!$P$7&lt;=$A26,-'01_数值调参'!$P$45,0),IF('01_数值调参'!$Q$7&lt;=$A26,-'01_数值调参'!$Q$45,0),IF('01_数值调参'!$R$7&lt;=$A26,-'01_数值调参'!$R$45,0)),0),IF($A26&gt;=4,(D26+$C$3)*MAX(0,IF('01_数值调参'!$S$7&lt;=$A26,-'01_数值调参'!$S$45,0),IF('01_数值调参'!$T$7&lt;=$A26,-'01_数值调参'!$T$45,0),IF('01_数值调参'!$U$7&lt;=$A26,-'01_数值调参'!$U$45,0),IF('01_数值调参'!$V$7&lt;=$A26,-'01_数值调参'!$V$45,0),IF('01_数值调参'!$W$7&lt;=$A26,-'01_数值调参'!$W$45,0)),0),IF($A26&gt;=6,(E26+$C$3)*MAX(0,IF('01_数值调参'!$X$7&lt;=$A26,-'01_数值调参'!$X$45,0),IF('01_数值调参'!$Y$7&lt;=$A26,-'01_数值调参'!$Y$45,0),IF('01_数值调参'!$Z$7&lt;=$A26,-'01_数值调参'!$Z$45,0),IF('01_数值调参'!$AA$7&lt;=$A26,-'01_数值调参'!$AA$45,0),IF('01_数值调参'!$AB$7&lt;=$A26,-'01_数值调参'!$AB$45,0),IF('01_数值调参'!$AC$7&lt;=$A26,-'01_数值调参'!$AC$45,0)),0),IF($A26&gt;=8,(F26+$C$3)*MAX(0,IF('01_数值调参'!$AD$7&lt;=$A26,-'01_数值调参'!$AD$45,0),IF('01_数值调参'!$AE$7&lt;=$A26,-'01_数值调参'!$AE$45,0),IF('01_数值调参'!$AF$7&lt;=$A26,0,0),IF('01_数值调参'!$AG$7&lt;=$A26,-'01_数值调参'!$AG$45,0)),0),IF($A26&gt;=10,(G26+$C$3)*MAX(0,IF('01_数值调参'!$AH$7&lt;=$A26,-'01_数值调参'!$AH$45,0),IF('01_数值调参'!$AI$7&lt;=$A26,-'01_数值调参'!$AI$45,0),IF('01_数值调参'!$AJ$7&lt;=$A26,-'01_数值调参'!$AJ$45,0),IF('01_数值调参'!$AK$7&lt;=$A26,-'01_数值调参'!$AK$45,0),IF('01_数值调参'!$AL$7&lt;=$A26,-'01_数值调参'!$AL$45,0),IF('01_数值调参'!$AM$7&lt;=$A26,-'01_数值调参'!$AM$45,0)),0),0)),"队列待修正"))</x:f>
        <x:v>3</x:v>
      </x:c>
      <x:c r="AJ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G$7,"—",SUM(IF($A26&gt;=2,(C26+$C$3)*MAX(0,IF('01_数值调参'!$N$7&lt;=$A26,-'01_数值调参'!$N$46,0),IF('01_数值调参'!$O$7&lt;=$A26,-'01_数值调参'!$O$46,0),IF('01_数值调参'!$P$7&lt;=$A26,-'01_数值调参'!$P$46,0),IF('01_数值调参'!$Q$7&lt;=$A26,-'01_数值调参'!$Q$46,0),IF('01_数值调参'!$R$7&lt;=$A26,-'01_数值调参'!$R$46,0)),0),IF($A26&gt;=4,(D26+$C$3)*MAX(0,IF('01_数值调参'!$S$7&lt;=$A26,-'01_数值调参'!$S$46,0),IF('01_数值调参'!$T$7&lt;=$A26,-'01_数值调参'!$T$46,0),IF('01_数值调参'!$U$7&lt;=$A26,-'01_数值调参'!$U$46,0),IF('01_数值调参'!$V$7&lt;=$A26,-'01_数值调参'!$V$46,0),IF('01_数值调参'!$W$7&lt;=$A26,-'01_数值调参'!$W$46,0)),0),IF($A26&gt;=6,(E26+$C$3)*MAX(0,IF('01_数值调参'!$X$7&lt;=$A26,-'01_数值调参'!$X$46,0),IF('01_数值调参'!$Y$7&lt;=$A26,-'01_数值调参'!$Y$46,0),IF('01_数值调参'!$Z$7&lt;=$A26,-'01_数值调参'!$Z$46,0),IF('01_数值调参'!$AA$7&lt;=$A26,-'01_数值调参'!$AA$46,0),IF('01_数值调参'!$AB$7&lt;=$A26,-'01_数值调参'!$AB$46,0),IF('01_数值调参'!$AC$7&lt;=$A26,-'01_数值调参'!$AC$46,0)),0),IF($A26&gt;=8,(F26+$C$3)*MAX(0,IF('01_数值调参'!$AD$7&lt;=$A26,-'01_数值调参'!$AD$46,0),IF('01_数值调参'!$AE$7&lt;=$A26,-'01_数值调参'!$AE$46,0),IF('01_数值调参'!$AF$7&lt;=$A26,-'01_数值调参'!$AF$46,0),IF('01_数值调参'!$AG$7&lt;=$A26,0,0)),0),IF($A26&gt;=10,(G26+$C$3)*MAX(0,IF('01_数值调参'!$AH$7&lt;=$A26,-'01_数值调参'!$AH$46,0),IF('01_数值调参'!$AI$7&lt;=$A26,-'01_数值调参'!$AI$46,0),IF('01_数值调参'!$AJ$7&lt;=$A26,-'01_数值调参'!$AJ$46,0),IF('01_数值调参'!$AK$7&lt;=$A26,-'01_数值调参'!$AK$46,0),IF('01_数值调参'!$AL$7&lt;=$A26,-'01_数值调参'!$AL$46,0),IF('01_数值调参'!$AM$7&lt;=$A26,-'01_数值调参'!$AM$46,0)),0),0)),"队列待修正"))</x:f>
        <x:v>3</x:v>
      </x:c>
      <x:c r="AK26" s="192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H$7,"—",SUM(IF($A26&gt;=2,(C26+$C$3)*MAX(0,IF('01_数值调参'!$N$7&lt;=$A26,-'01_数值调参'!$N$47,0),IF('01_数值调参'!$O$7&lt;=$A26,-'01_数值调参'!$O$47,0),IF('01_数值调参'!$P$7&lt;=$A26,-'01_数值调参'!$P$47,0),IF('01_数值调参'!$Q$7&lt;=$A26,-'01_数值调参'!$Q$47,0),IF('01_数值调参'!$R$7&lt;=$A26,-'01_数值调参'!$R$47,0)),0),IF($A26&gt;=4,(D26+$C$3)*MAX(0,IF('01_数值调参'!$S$7&lt;=$A26,-'01_数值调参'!$S$47,0),IF('01_数值调参'!$T$7&lt;=$A26,-'01_数值调参'!$T$47,0),IF('01_数值调参'!$U$7&lt;=$A26,-'01_数值调参'!$U$47,0),IF('01_数值调参'!$V$7&lt;=$A26,-'01_数值调参'!$V$47,0),IF('01_数值调参'!$W$7&lt;=$A26,-'01_数值调参'!$W$47,0)),0),IF($A26&gt;=6,(E26+$C$3)*MAX(0,IF('01_数值调参'!$X$7&lt;=$A26,-'01_数值调参'!$X$47,0),IF('01_数值调参'!$Y$7&lt;=$A26,-'01_数值调参'!$Y$47,0),IF('01_数值调参'!$Z$7&lt;=$A26,-'01_数值调参'!$Z$47,0),IF('01_数值调参'!$AA$7&lt;=$A26,-'01_数值调参'!$AA$47,0),IF('01_数值调参'!$AB$7&lt;=$A26,-'01_数值调参'!$AB$47,0),IF('01_数值调参'!$AC$7&lt;=$A26,-'01_数值调参'!$AC$47,0)),0),IF($A26&gt;=8,(F26+$C$3)*MAX(0,IF('01_数值调参'!$AD$7&lt;=$A26,-'01_数值调参'!$AD$47,0),IF('01_数值调参'!$AE$7&lt;=$A26,-'01_数值调参'!$AE$47,0),IF('01_数值调参'!$AF$7&lt;=$A26,-'01_数值调参'!$AF$47,0),IF('01_数值调参'!$AG$7&lt;=$A26,-'01_数值调参'!$AG$47,0)),0),IF($A26&gt;=10,(G26+$C$3)*MAX(0,IF('01_数值调参'!$AH$7&lt;=$A26,0,0),IF('01_数值调参'!$AI$7&lt;=$A26,-'01_数值调参'!$AI$47,0),IF('01_数值调参'!$AJ$7&lt;=$A26,-'01_数值调参'!$AJ$47,0),IF('01_数值调参'!$AK$7&lt;=$A26,-'01_数值调参'!$AK$47,0),IF('01_数值调参'!$AL$7&lt;=$A26,-'01_数值调参'!$AL$47,0),IF('01_数值调参'!$AM$7&lt;=$A26,-'01_数值调参'!$AM$47,0)),0),0)),"队列待修正"))</x:f>
        <x:v>0</x:v>
      </x:c>
      <x:c r="AL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I$7,"—",SUM(IF($A26&gt;=2,(C26+$C$3)*MAX(0,IF('01_数值调参'!$N$7&lt;=$A26,-'01_数值调参'!$N$48,0),IF('01_数值调参'!$O$7&lt;=$A26,-'01_数值调参'!$O$48,0),IF('01_数值调参'!$P$7&lt;=$A26,-'01_数值调参'!$P$48,0),IF('01_数值调参'!$Q$7&lt;=$A26,-'01_数值调参'!$Q$48,0),IF('01_数值调参'!$R$7&lt;=$A26,-'01_数值调参'!$R$48,0)),0),IF($A26&gt;=4,(D26+$C$3)*MAX(0,IF('01_数值调参'!$S$7&lt;=$A26,-'01_数值调参'!$S$48,0),IF('01_数值调参'!$T$7&lt;=$A26,-'01_数值调参'!$T$48,0),IF('01_数值调参'!$U$7&lt;=$A26,-'01_数值调参'!$U$48,0),IF('01_数值调参'!$V$7&lt;=$A26,-'01_数值调参'!$V$48,0),IF('01_数值调参'!$W$7&lt;=$A26,-'01_数值调参'!$W$48,0)),0),IF($A26&gt;=6,(E26+$C$3)*MAX(0,IF('01_数值调参'!$X$7&lt;=$A26,-'01_数值调参'!$X$48,0),IF('01_数值调参'!$Y$7&lt;=$A26,-'01_数值调参'!$Y$48,0),IF('01_数值调参'!$Z$7&lt;=$A26,-'01_数值调参'!$Z$48,0),IF('01_数值调参'!$AA$7&lt;=$A26,-'01_数值调参'!$AA$48,0),IF('01_数值调参'!$AB$7&lt;=$A26,-'01_数值调参'!$AB$48,0),IF('01_数值调参'!$AC$7&lt;=$A26,-'01_数值调参'!$AC$48,0)),0),IF($A26&gt;=8,(F26+$C$3)*MAX(0,IF('01_数值调参'!$AD$7&lt;=$A26,-'01_数值调参'!$AD$48,0),IF('01_数值调参'!$AE$7&lt;=$A26,-'01_数值调参'!$AE$48,0),IF('01_数值调参'!$AF$7&lt;=$A26,-'01_数值调参'!$AF$48,0),IF('01_数值调参'!$AG$7&lt;=$A26,-'01_数值调参'!$AG$48,0)),0),IF($A26&gt;=10,(G26+$C$3)*MAX(0,IF('01_数值调参'!$AH$7&lt;=$A26,-'01_数值调参'!$AH$48,0),IF('01_数值调参'!$AI$7&lt;=$A26,0,0),IF('01_数值调参'!$AJ$7&lt;=$A26,-'01_数值调参'!$AJ$48,0),IF('01_数值调参'!$AK$7&lt;=$A26,-'01_数值调参'!$AK$48,0),IF('01_数值调参'!$AL$7&lt;=$A26,-'01_数值调参'!$AL$48,0),IF('01_数值调参'!$AM$7&lt;=$A26,-'01_数值调参'!$AM$48,0)),0),0)),"队列待修正"))</x:f>
        <x:v>0</x:v>
      </x:c>
      <x:c r="AM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J$7,"—",SUM(IF($A26&gt;=2,(C26+$C$3)*MAX(0,IF('01_数值调参'!$N$7&lt;=$A26,-'01_数值调参'!$N$49,0),IF('01_数值调参'!$O$7&lt;=$A26,-'01_数值调参'!$O$49,0),IF('01_数值调参'!$P$7&lt;=$A26,-'01_数值调参'!$P$49,0),IF('01_数值调参'!$Q$7&lt;=$A26,-'01_数值调参'!$Q$49,0),IF('01_数值调参'!$R$7&lt;=$A26,-'01_数值调参'!$R$49,0)),0),IF($A26&gt;=4,(D26+$C$3)*MAX(0,IF('01_数值调参'!$S$7&lt;=$A26,-'01_数值调参'!$S$49,0),IF('01_数值调参'!$T$7&lt;=$A26,-'01_数值调参'!$T$49,0),IF('01_数值调参'!$U$7&lt;=$A26,-'01_数值调参'!$U$49,0),IF('01_数值调参'!$V$7&lt;=$A26,-'01_数值调参'!$V$49,0),IF('01_数值调参'!$W$7&lt;=$A26,-'01_数值调参'!$W$49,0)),0),IF($A26&gt;=6,(E26+$C$3)*MAX(0,IF('01_数值调参'!$X$7&lt;=$A26,-'01_数值调参'!$X$49,0),IF('01_数值调参'!$Y$7&lt;=$A26,-'01_数值调参'!$Y$49,0),IF('01_数值调参'!$Z$7&lt;=$A26,-'01_数值调参'!$Z$49,0),IF('01_数值调参'!$AA$7&lt;=$A26,-'01_数值调参'!$AA$49,0),IF('01_数值调参'!$AB$7&lt;=$A26,-'01_数值调参'!$AB$49,0),IF('01_数值调参'!$AC$7&lt;=$A26,-'01_数值调参'!$AC$49,0)),0),IF($A26&gt;=8,(F26+$C$3)*MAX(0,IF('01_数值调参'!$AD$7&lt;=$A26,-'01_数值调参'!$AD$49,0),IF('01_数值调参'!$AE$7&lt;=$A26,-'01_数值调参'!$AE$49,0),IF('01_数值调参'!$AF$7&lt;=$A26,-'01_数值调参'!$AF$49,0),IF('01_数值调参'!$AG$7&lt;=$A26,-'01_数值调参'!$AG$49,0)),0),IF($A26&gt;=10,(G26+$C$3)*MAX(0,IF('01_数值调参'!$AH$7&lt;=$A26,-'01_数值调参'!$AH$49,0),IF('01_数值调参'!$AI$7&lt;=$A26,-'01_数值调参'!$AI$49,0),IF('01_数值调参'!$AJ$7&lt;=$A26,0,0),IF('01_数值调参'!$AK$7&lt;=$A26,-'01_数值调参'!$AK$49,0),IF('01_数值调参'!$AL$7&lt;=$A26,-'01_数值调参'!$AL$49,0),IF('01_数值调参'!$AM$7&lt;=$A26,-'01_数值调参'!$AM$49,0)),0),0)),"队列待修正"))</x:f>
        <x:v>0</x:v>
      </x:c>
      <x:c r="AN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K$7,"—",SUM(IF($A26&gt;=2,(C26+$C$3)*MAX(0,IF('01_数值调参'!$N$7&lt;=$A26,-'01_数值调参'!$N$50,0),IF('01_数值调参'!$O$7&lt;=$A26,-'01_数值调参'!$O$50,0),IF('01_数值调参'!$P$7&lt;=$A26,-'01_数值调参'!$P$50,0),IF('01_数值调参'!$Q$7&lt;=$A26,-'01_数值调参'!$Q$50,0),IF('01_数值调参'!$R$7&lt;=$A26,-'01_数值调参'!$R$50,0)),0),IF($A26&gt;=4,(D26+$C$3)*MAX(0,IF('01_数值调参'!$S$7&lt;=$A26,-'01_数值调参'!$S$50,0),IF('01_数值调参'!$T$7&lt;=$A26,-'01_数值调参'!$T$50,0),IF('01_数值调参'!$U$7&lt;=$A26,-'01_数值调参'!$U$50,0),IF('01_数值调参'!$V$7&lt;=$A26,-'01_数值调参'!$V$50,0),IF('01_数值调参'!$W$7&lt;=$A26,-'01_数值调参'!$W$50,0)),0),IF($A26&gt;=6,(E26+$C$3)*MAX(0,IF('01_数值调参'!$X$7&lt;=$A26,-'01_数值调参'!$X$50,0),IF('01_数值调参'!$Y$7&lt;=$A26,-'01_数值调参'!$Y$50,0),IF('01_数值调参'!$Z$7&lt;=$A26,-'01_数值调参'!$Z$50,0),IF('01_数值调参'!$AA$7&lt;=$A26,-'01_数值调参'!$AA$50,0),IF('01_数值调参'!$AB$7&lt;=$A26,-'01_数值调参'!$AB$50,0),IF('01_数值调参'!$AC$7&lt;=$A26,-'01_数值调参'!$AC$50,0)),0),IF($A26&gt;=8,(F26+$C$3)*MAX(0,IF('01_数值调参'!$AD$7&lt;=$A26,-'01_数值调参'!$AD$50,0),IF('01_数值调参'!$AE$7&lt;=$A26,-'01_数值调参'!$AE$50,0),IF('01_数值调参'!$AF$7&lt;=$A26,-'01_数值调参'!$AF$50,0),IF('01_数值调参'!$AG$7&lt;=$A26,-'01_数值调参'!$AG$50,0)),0),IF($A26&gt;=10,(G26+$C$3)*MAX(0,IF('01_数值调参'!$AH$7&lt;=$A26,-'01_数值调参'!$AH$50,0),IF('01_数值调参'!$AI$7&lt;=$A26,-'01_数值调参'!$AI$50,0),IF('01_数值调参'!$AJ$7&lt;=$A26,-'01_数值调参'!$AJ$50,0),IF('01_数值调参'!$AK$7&lt;=$A26,0,0),IF('01_数值调参'!$AL$7&lt;=$A26,-'01_数值调参'!$AL$50,0),IF('01_数值调参'!$AM$7&lt;=$A26,-'01_数值调参'!$AM$50,0)),0),0)),"队列待修正"))</x:f>
        <x:v>0</x:v>
      </x:c>
      <x:c r="AO26" s="184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L$7,"—",SUM(IF($A26&gt;=2,(C26+$C$3)*MAX(0,IF('01_数值调参'!$N$7&lt;=$A26,-'01_数值调参'!$N$51,0),IF('01_数值调参'!$O$7&lt;=$A26,-'01_数值调参'!$O$51,0),IF('01_数值调参'!$P$7&lt;=$A26,-'01_数值调参'!$P$51,0),IF('01_数值调参'!$Q$7&lt;=$A26,-'01_数值调参'!$Q$51,0),IF('01_数值调参'!$R$7&lt;=$A26,-'01_数值调参'!$R$51,0)),0),IF($A26&gt;=4,(D26+$C$3)*MAX(0,IF('01_数值调参'!$S$7&lt;=$A26,-'01_数值调参'!$S$51,0),IF('01_数值调参'!$T$7&lt;=$A26,-'01_数值调参'!$T$51,0),IF('01_数值调参'!$U$7&lt;=$A26,-'01_数值调参'!$U$51,0),IF('01_数值调参'!$V$7&lt;=$A26,-'01_数值调参'!$V$51,0),IF('01_数值调参'!$W$7&lt;=$A26,-'01_数值调参'!$W$51,0)),0),IF($A26&gt;=6,(E26+$C$3)*MAX(0,IF('01_数值调参'!$X$7&lt;=$A26,-'01_数值调参'!$X$51,0),IF('01_数值调参'!$Y$7&lt;=$A26,-'01_数值调参'!$Y$51,0),IF('01_数值调参'!$Z$7&lt;=$A26,-'01_数值调参'!$Z$51,0),IF('01_数值调参'!$AA$7&lt;=$A26,-'01_数值调参'!$AA$51,0),IF('01_数值调参'!$AB$7&lt;=$A26,-'01_数值调参'!$AB$51,0),IF('01_数值调参'!$AC$7&lt;=$A26,-'01_数值调参'!$AC$51,0)),0),IF($A26&gt;=8,(F26+$C$3)*MAX(0,IF('01_数值调参'!$AD$7&lt;=$A26,-'01_数值调参'!$AD$51,0),IF('01_数值调参'!$AE$7&lt;=$A26,-'01_数值调参'!$AE$51,0),IF('01_数值调参'!$AF$7&lt;=$A26,-'01_数值调参'!$AF$51,0),IF('01_数值调参'!$AG$7&lt;=$A26,-'01_数值调参'!$AG$51,0)),0),IF($A26&gt;=10,(G26+$C$3)*MAX(0,IF('01_数值调参'!$AH$7&lt;=$A26,-'01_数值调参'!$AH$51,0),IF('01_数值调参'!$AI$7&lt;=$A26,-'01_数值调参'!$AI$51,0),IF('01_数值调参'!$AJ$7&lt;=$A26,-'01_数值调参'!$AJ$51,0),IF('01_数值调参'!$AK$7&lt;=$A26,-'01_数值调参'!$AK$51,0),IF('01_数值调参'!$AL$7&lt;=$A26,0,0),IF('01_数值调参'!$AM$7&lt;=$A26,-'01_数值调参'!$AM$51,0)),0),0)),"队列待修正"))</x:f>
        <x:v>0</x:v>
      </x:c>
      <x:c r="AP26" s="185" t="n">
        <x:f>IF('01_数值调参'!$D$3&lt;&gt;"配方有效","待修正",IF(AND(OR($C$3=0,$C$3=1),ISNUMBER(C26),C26&gt;=0,MOD(C26,1)=0,ISNUMBER(D26),D26&gt;=0,MOD(D26,1)=0,ISNUMBER(E26),E26&gt;=0,MOD(E26,1)=0,ISNUMBER(F26),F26&gt;=0,MOD(F26,1)=0,ISNUMBER(G26),G26&gt;=0,MOD(G26,1)=0,TRUE),IF($A26&lt;'01_数值调参'!$AM$7,"—",SUM(IF($A26&gt;=2,(C26+$C$3)*MAX(0,IF('01_数值调参'!$N$7&lt;=$A26,-'01_数值调参'!$N$52,0),IF('01_数值调参'!$O$7&lt;=$A26,-'01_数值调参'!$O$52,0),IF('01_数值调参'!$P$7&lt;=$A26,-'01_数值调参'!$P$52,0),IF('01_数值调参'!$Q$7&lt;=$A26,-'01_数值调参'!$Q$52,0),IF('01_数值调参'!$R$7&lt;=$A26,-'01_数值调参'!$R$52,0)),0),IF($A26&gt;=4,(D26+$C$3)*MAX(0,IF('01_数值调参'!$S$7&lt;=$A26,-'01_数值调参'!$S$52,0),IF('01_数值调参'!$T$7&lt;=$A26,-'01_数值调参'!$T$52,0),IF('01_数值调参'!$U$7&lt;=$A26,-'01_数值调参'!$U$52,0),IF('01_数值调参'!$V$7&lt;=$A26,-'01_数值调参'!$V$52,0),IF('01_数值调参'!$W$7&lt;=$A26,-'01_数值调参'!$W$52,0)),0),IF($A26&gt;=6,(E26+$C$3)*MAX(0,IF('01_数值调参'!$X$7&lt;=$A26,-'01_数值调参'!$X$52,0),IF('01_数值调参'!$Y$7&lt;=$A26,-'01_数值调参'!$Y$52,0),IF('01_数值调参'!$Z$7&lt;=$A26,-'01_数值调参'!$Z$52,0),IF('01_数值调参'!$AA$7&lt;=$A26,-'01_数值调参'!$AA$52,0),IF('01_数值调参'!$AB$7&lt;=$A26,-'01_数值调参'!$AB$52,0),IF('01_数值调参'!$AC$7&lt;=$A26,-'01_数值调参'!$AC$52,0)),0),IF($A26&gt;=8,(F26+$C$3)*MAX(0,IF('01_数值调参'!$AD$7&lt;=$A26,-'01_数值调参'!$AD$52,0),IF('01_数值调参'!$AE$7&lt;=$A26,-'01_数值调参'!$AE$52,0),IF('01_数值调参'!$AF$7&lt;=$A26,-'01_数值调参'!$AF$52,0),IF('01_数值调参'!$AG$7&lt;=$A26,-'01_数值调参'!$AG$52,0)),0),IF($A26&gt;=10,(G26+$C$3)*MAX(0,IF('01_数值调参'!$AH$7&lt;=$A26,-'01_数值调参'!$AH$52,0),IF('01_数值调参'!$AI$7&lt;=$A26,-'01_数值调参'!$AI$52,0),IF('01_数值调参'!$AJ$7&lt;=$A26,-'01_数值调参'!$AJ$52,0),IF('01_数值调参'!$AK$7&lt;=$A26,-'01_数值调参'!$AK$52,0),IF('01_数值调参'!$AL$7&lt;=$A26,-'01_数值调参'!$AL$52,0),IF('01_数值调参'!$AM$7&lt;=$A26,0,0)),0),0)),"队列待修正"))</x:f>
        <x:v>0</x:v>
      </x:c>
    </x:row>
  </x:sheetData>
  <x:mergeCells>
    <x:mergeCell ref="A3:B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6E8C7B"/>
  </x:sheetPr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7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1" hidden="0" customWidth="1"/>
    <x:col min="12" max="12" width="13" hidden="0" customWidth="1"/>
    <x:col min="13" max="13" width="13" hidden="0" customWidth="1"/>
  </x:cols>
  <x:sheetData>
    <x:row r="1" ht="30" customHeight="1">
      <x:c r="A1" s="11" t="str">
        <x:v>价格配置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</x:row>
    <x:row r="2" ht="24" customHeight="1">
      <x:c r="A2" s="12" t="str">
        <x:v>价格＝INT（原料总价＋本步时间价值×来源系数）。原料使用已取整价格。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4" customHeight="1">
      <x:c r="A3" s="12" t="str">
        <x:v>缺失时间用线性插值；区间外按端点斜率外推，最低0。黄色为输入。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 ht="30" customHeight="1">
      <x:c r="A4" s="20" t="str">
        <x:v>时间-s</x:v>
      </x:c>
      <x:c r="B4" s="20" t="str">
        <x:v>价值</x:v>
      </x:c>
      <x:c r="C4" s="9"/>
      <x:c r="D4" s="9"/>
      <x:c r="E4" s="20" t="str">
        <x:v>来源ID</x:v>
      </x:c>
      <x:c r="F4" s="20" t="str">
        <x:v>来源</x:v>
      </x:c>
      <x:c r="G4" s="20" t="str">
        <x:v>价值系数</x:v>
      </x:c>
      <x:c r="H4" s="9"/>
      <x:c r="I4" s="9"/>
      <x:c r="J4" s="9"/>
      <x:c r="K4" s="9"/>
      <x:c r="L4" s="9"/>
      <x:c r="M4" s="9"/>
    </x:row>
    <x:row r="5" ht="24" customHeight="1">
      <x:c r="A5" s="167" t="n">
        <x:v>120</x:v>
      </x:c>
      <x:c r="B5" s="228" t="n">
        <x:v>1</x:v>
      </x:c>
      <x:c r="C5" s="9"/>
      <x:c r="D5" s="9"/>
      <x:c r="E5" s="9" t="str">
        <x:v>来源:0</x:v>
      </x:c>
      <x:c r="F5" s="9" t="str">
        <x:v>田地</x:v>
      </x:c>
      <x:c r="G5" s="228" t="n">
        <x:v>1</x:v>
      </x:c>
      <x:c r="H5" s="9"/>
      <x:c r="I5" s="9"/>
      <x:c r="J5" s="9"/>
      <x:c r="K5" s="9"/>
      <x:c r="L5" s="9"/>
      <x:c r="M5" s="9"/>
    </x:row>
    <x:row r="6" ht="24" customHeight="1">
      <x:c r="A6" s="167" t="n">
        <x:v>300</x:v>
      </x:c>
      <x:c r="B6" s="228" t="n">
        <x:v>2</x:v>
      </x:c>
      <x:c r="C6" s="9"/>
      <x:c r="D6" s="9"/>
      <x:c r="E6" s="9" t="str">
        <x:v>来源:501</x:v>
      </x:c>
      <x:c r="F6" s="9" t="str">
        <x:v>研磨机</x:v>
      </x:c>
      <x:c r="G6" s="228" t="n">
        <x:v>2</x:v>
      </x:c>
      <x:c r="H6" s="9"/>
      <x:c r="I6" s="9"/>
      <x:c r="J6" s="9"/>
      <x:c r="K6" s="9"/>
      <x:c r="L6" s="9"/>
      <x:c r="M6" s="9"/>
    </x:row>
    <x:row r="7" ht="24" customHeight="1">
      <x:c r="A7" s="167" t="n">
        <x:v>600</x:v>
      </x:c>
      <x:c r="B7" s="228" t="n">
        <x:v>3</x:v>
      </x:c>
      <x:c r="C7" s="9"/>
      <x:c r="D7" s="9"/>
      <x:c r="E7" s="9" t="str">
        <x:v>来源:502</x:v>
      </x:c>
      <x:c r="F7" s="9" t="str">
        <x:v>切割机</x:v>
      </x:c>
      <x:c r="G7" s="228" t="n">
        <x:v>2</x:v>
      </x:c>
      <x:c r="H7" s="9"/>
      <x:c r="I7" s="9"/>
      <x:c r="J7" s="9"/>
      <x:c r="K7" s="9"/>
      <x:c r="L7" s="9"/>
      <x:c r="M7" s="9"/>
    </x:row>
    <x:row r="8" ht="24" customHeight="1">
      <x:c r="A8" s="167" t="n">
        <x:v>1200</x:v>
      </x:c>
      <x:c r="B8" s="228" t="n">
        <x:v>4</x:v>
      </x:c>
      <x:c r="C8" s="9"/>
      <x:c r="D8" s="9"/>
      <x:c r="E8" s="9" t="str">
        <x:v>来源:503</x:v>
      </x:c>
      <x:c r="F8" s="9" t="str">
        <x:v>纺织机</x:v>
      </x:c>
      <x:c r="G8" s="228" t="n">
        <x:v>2</x:v>
      </x:c>
      <x:c r="H8" s="9"/>
      <x:c r="I8" s="9"/>
      <x:c r="J8" s="9"/>
      <x:c r="K8" s="9"/>
      <x:c r="L8" s="9"/>
      <x:c r="M8" s="9"/>
    </x:row>
    <x:row r="9" ht="24" customHeight="1">
      <x:c r="A9" s="167" t="n">
        <x:v>1800</x:v>
      </x:c>
      <x:c r="B9" s="228" t="n">
        <x:v>5</x:v>
      </x:c>
      <x:c r="C9" s="9"/>
      <x:c r="D9" s="9"/>
      <x:c r="E9" s="9" t="str">
        <x:v>来源:504</x:v>
      </x:c>
      <x:c r="F9" s="9" t="str">
        <x:v>萃取机</x:v>
      </x:c>
      <x:c r="G9" s="228" t="n">
        <x:v>2</x:v>
      </x:c>
      <x:c r="H9" s="9"/>
      <x:c r="I9" s="9"/>
      <x:c r="J9" s="9"/>
      <x:c r="K9" s="9"/>
      <x:c r="L9" s="9"/>
      <x:c r="M9" s="9"/>
    </x:row>
    <x:row r="10" ht="24" customHeight="1">
      <x:c r="A10" s="167" t="n">
        <x:v>3600</x:v>
      </x:c>
      <x:c r="B10" s="228" t="n">
        <x:v>6</x:v>
      </x:c>
      <x:c r="C10" s="9"/>
      <x:c r="D10" s="9"/>
      <x:c r="E10" s="9" t="str">
        <x:v>来源:505</x:v>
      </x:c>
      <x:c r="F10" s="9" t="str">
        <x:v>窑炉</x:v>
      </x:c>
      <x:c r="G10" s="228" t="n">
        <x:v>2</x:v>
      </x:c>
      <x:c r="H10" s="9"/>
      <x:c r="I10" s="9"/>
      <x:c r="J10" s="9"/>
      <x:c r="K10" s="9"/>
      <x:c r="L10" s="9"/>
      <x:c r="M10" s="9"/>
    </x:row>
    <x:row r="11" ht="24" customHeight="1">
      <x:c r="A11" s="167" t="n">
        <x:v>7200</x:v>
      </x:c>
      <x:c r="B11" s="228" t="n">
        <x:v>7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</x:row>
    <x:row r="12" ht="24" customHeight="1">
      <x:c r="A12" s="167" t="n">
        <x:v>10800</x:v>
      </x:c>
      <x:c r="B12" s="228" t="n">
        <x:v>8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</x:row>
    <x:row r="13" ht="24" customHeight="1">
      <x:c r="A13" s="167" t="n">
        <x:v>14400</x:v>
      </x:c>
      <x:c r="B13" s="228" t="n">
        <x:v>9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</x:row>
    <x:row r="14" ht="24" customHeight="1">
      <x:c r="A14" s="167" t="n">
        <x:v>18000</x:v>
      </x:c>
      <x:c r="B14" s="228" t="n">
        <x:v>10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</x:row>
    <x:row r="15" ht="24" customHeight="1">
      <x:c r="A15" s="167" t="n">
        <x:v>21600</x:v>
      </x:c>
      <x:c r="B15" s="228" t="n">
        <x:v>11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</x:row>
    <x:row r="16" ht="24" customHeight="1">
      <x:c r="A16" s="167" t="n">
        <x:v>25200</x:v>
      </x:c>
      <x:c r="B16" s="228" t="n">
        <x:v>12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</x:row>
    <x:row r="17" ht="24" customHeight="1">
      <x:c r="A17" s="167" t="n">
        <x:v>28800</x:v>
      </x:c>
      <x:c r="B17" s="228" t="n">
        <x:v>13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</x:row>
    <x:row r="18" ht="24" customHeight="1">
      <x:c r="A18" s="167" t="n">
        <x:v>32400</x:v>
      </x:c>
      <x:c r="B18" s="228" t="n">
        <x:v>14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</x:row>
    <x:row r="19" ht="24" customHeight="1">
      <x:c r="A19" s="167" t="n">
        <x:v>36000</x:v>
      </x:c>
      <x:c r="B19" s="228" t="n">
        <x:v>15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</x:row>
    <x:row r="20" ht="24" customHeight="1">
      <x:c r="A20" s="167" t="n">
        <x:v>39600</x:v>
      </x:c>
      <x:c r="B20" s="228" t="n">
        <x:v>16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</x:row>
    <x:row r="21" ht="24" customHeight="1">
      <x:c r="A21" s="167" t="n">
        <x:v>43200</x:v>
      </x:c>
      <x:c r="B21" s="228" t="n">
        <x:v>17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</x:row>
    <x:row r="22" ht="24" customHeight="1">
      <x:c r="A22" s="167" t="n">
        <x:v>46800</x:v>
      </x:c>
      <x:c r="B22" s="228" t="n">
        <x:v>18</x:v>
      </x:c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</x:row>
    <x:row r="23" ht="24" customHeight="1">
      <x:c r="A23" s="167" t="n">
        <x:v>50400</x:v>
      </x:c>
      <x:c r="B23" s="228" t="n">
        <x:v>19</x:v>
      </x:c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</x:row>
    <x:row r="24" ht="24" customHeight="1">
      <x:c r="A24" s="167" t="n">
        <x:v>54000</x:v>
      </x:c>
      <x:c r="B24" s="228" t="n">
        <x:v>20</x:v>
      </x:c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</x:row>
    <x:row r="25" ht="24" customHeight="1">
      <x:c r="A25" s="167" t="n">
        <x:v>57600</x:v>
      </x:c>
      <x:c r="B25" s="228" t="n">
        <x:v>21</x:v>
      </x:c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</x:row>
    <x:row r="26" ht="24" customHeight="1">
      <x:c r="A26" s="167" t="n">
        <x:v>61200</x:v>
      </x:c>
      <x:c r="B26" s="228" t="n">
        <x:v>22</x:v>
      </x:c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</x:row>
    <x:row r="27" ht="24" customHeight="1">
      <x:c r="A27" s="167" t="n">
        <x:v>64800</x:v>
      </x:c>
      <x:c r="B27" s="228" t="n">
        <x:v>23</x:v>
      </x:c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</x:row>
    <x:row r="28" ht="24" customHeight="1">
      <x:c r="A28" s="167" t="n">
        <x:v>68400</x:v>
      </x:c>
      <x:c r="B28" s="228" t="n">
        <x:v>24</x:v>
      </x:c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</x:row>
    <x:row r="29" ht="24" customHeight="1">
      <x:c r="A29" s="167" t="n">
        <x:v>72000</x:v>
      </x:c>
      <x:c r="B29" s="228" t="n">
        <x:v>25</x:v>
      </x:c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</x:row>
    <x:row r="30" ht="24" customHeight="1">
      <x:c r="A30" s="167" t="n">
        <x:v>75600</x:v>
      </x:c>
      <x:c r="B30" s="228" t="n">
        <x:v>26</x:v>
      </x:c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</x:row>
    <x:row r="31" ht="24" customHeight="1">
      <x:c r="A31" s="167" t="n">
        <x:v>79200</x:v>
      </x:c>
      <x:c r="B31" s="228" t="n">
        <x:v>27</x:v>
      </x:c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</x:row>
    <x:row r="32" ht="24" customHeight="1">
      <x:c r="A32" s="167" t="n">
        <x:v>82800</x:v>
      </x:c>
      <x:c r="B32" s="228" t="n">
        <x:v>28</x:v>
      </x:c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</x:row>
    <x:row r="33" ht="24" customHeight="1">
      <x:c r="A33" s="167" t="n">
        <x:v>86400</x:v>
      </x:c>
      <x:c r="B33" s="228" t="n">
        <x:v>29</x:v>
      </x:c>
      <x:c r="C33" s="9"/>
      <x:c r="D33" s="9"/>
      <x:c r="E33" s="9"/>
      <x:c r="F33" s="9"/>
      <x:c r="G33" s="9"/>
      <x:c r="H33" s="9"/>
      <x:c r="I33" s="9"/>
      <x:c r="J33" s="9"/>
      <x:c r="K33" s="9"/>
      <x:c r="L33" s="9"/>
      <x:c r="M33" s="9"/>
    </x:row>
    <x:row r="34" ht="24" customHeight="1">
      <x:c r="A34" s="9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9"/>
      <x:c r="M34" s="9"/>
    </x:row>
    <x:row r="35" ht="24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</x:row>
    <x:row r="36" ht="24" customHeight="1">
      <x:c r="A36" s="9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9"/>
      <x:c r="M36" s="9"/>
    </x:row>
    <x:row r="37" ht="30" customHeight="1">
      <x:c r="A37" s="20" t="str">
        <x:v>商品ID</x:v>
      </x:c>
      <x:c r="B37" s="20" t="str">
        <x:v>商品</x:v>
      </x:c>
      <x:c r="C37" s="20" t="str">
        <x:v>生产来源</x:v>
      </x:c>
      <x:c r="D37" s="20" t="str">
        <x:v>时间-s</x:v>
      </x:c>
      <x:c r="E37" s="20" t="str">
        <x:v>时间价值</x:v>
      </x:c>
      <x:c r="F37" s="20" t="str">
        <x:v>来源系数</x:v>
      </x:c>
      <x:c r="G37" s="20" t="str">
        <x:v>原料总价</x:v>
      </x:c>
      <x:c r="H37" s="20" t="str">
        <x:v>本步增值</x:v>
      </x:c>
      <x:c r="I37" s="20" t="str">
        <x:v>金币价格</x:v>
      </x:c>
      <x:c r="J37" s="20" t="str">
        <x:v>时间取值</x:v>
      </x:c>
      <x:c r="K37" s="20" t="str">
        <x:v>区间序号</x:v>
      </x:c>
      <x:c r="L37" s="20" t="str">
        <x:v>配方状态</x:v>
      </x:c>
      <x:c r="M37" s="20" t="str">
        <x:v>价格状态</x:v>
      </x:c>
    </x:row>
    <x:row r="38" ht="24" customHeight="1">
      <x:c r="A38" s="233" t="n">
        <x:v>1</x:v>
      </x:c>
      <x:c r="B38" s="233" t="str">
        <x:v>芦苇草</x:v>
      </x:c>
      <x:c r="C38" s="233" t="str">
        <x:v>农田</x:v>
      </x:c>
      <x:c r="D38" s="234" t="n">
        <x:f>'01_数值调参'!E9*60</x:f>
        <x:v>120</x:v>
      </x:c>
      <x:c r="E38" s="234" t="n">
        <x:f>IF(ABS(D38-INDEX($A$5:$A$33,K38))&lt;=0.000001,INDEX($B$5:$B$33,K38),IF(ABS(D38-INDEX($A$5:$A$33,K38+1))&lt;=0.000001,INDEX($B$5:$B$33,K38+1),MAX(0,INDEX($B$5:$B$33,K38)+(D38-INDEX($A$5:$A$33,K38))*(INDEX($B$5:$B$33,K38+1)-INDEX($B$5:$B$33,K38))/(INDEX($A$5:$A$33,K38+1)-INDEX($A$5:$A$33,K38)))))</x:f>
        <x:v>1</x:v>
      </x:c>
      <x:c r="F38" s="234" t="n">
        <x:f>$G$5</x:f>
        <x:v>1</x:v>
      </x:c>
      <x:c r="G38" s="234" t="n">
        <x:f>IF(AND('01_数值调参'!$D$3="配方有效",L38="当前"),0,"待重算")</x:f>
        <x:v>0</x:v>
      </x:c>
      <x:c r="H38" s="234" t="n">
        <x:f>E38*F38</x:f>
        <x:v>1</x:v>
      </x:c>
      <x:c r="I38" s="235" t="n">
        <x:f>IF(ISNUMBER(G38),INT(G38+H38),G38)</x:f>
        <x:v>1</x:v>
      </x:c>
      <x:c r="J38" s="233" t="str">
        <x:f>IF(OR(ABS(D38-INDEX($A$5:$A$33,K38))&lt;=0.000001,ABS(D38-INDEX($A$5:$A$33,K38+1))&lt;=0.000001),"配置值",IF(OR(D38&lt;$A$5,D38&gt;$A$33),"外推估算","插值估算"))</x:f>
        <x:v>配置值</x:v>
      </x:c>
      <x:c r="K38" s="233" t="n">
        <x:f>MAX(1,MIN(28,COUNTIF($A$5:$A$33,"&lt;="&amp;(D38+0.000001))))</x:f>
        <x:v>1</x:v>
      </x:c>
      <x:c r="L38" s="233" t="str">
        <x:f>IF(AND(COUNTIF('01_数值调参'!E18:E52,"&lt;0")=0),"当前","待重算")</x:f>
        <x:v>当前</x:v>
      </x:c>
      <x:c r="M38" s="233" t="str">
        <x:f>IF(ISNUMBER(I38),IF(OR(J38&lt;&gt;"配置值"),"含估算","配置值"),"待重算")</x:f>
        <x:v>配置值</x:v>
      </x:c>
    </x:row>
    <x:row r="39" ht="24" customHeight="1">
      <x:c r="A39" s="236" t="n">
        <x:v>2</x:v>
      </x:c>
      <x:c r="B39" s="236" t="str">
        <x:v>棉花</x:v>
      </x:c>
      <x:c r="C39" s="236" t="str">
        <x:v>农田</x:v>
      </x:c>
      <x:c r="D39" s="237" t="n">
        <x:f>'01_数值调参'!F9*60</x:f>
        <x:v>300</x:v>
      </x:c>
      <x:c r="E39" s="237" t="n">
        <x:f>IF(ABS(D39-INDEX($A$5:$A$33,K39))&lt;=0.000001,INDEX($B$5:$B$33,K39),IF(ABS(D39-INDEX($A$5:$A$33,K39+1))&lt;=0.000001,INDEX($B$5:$B$33,K39+1),MAX(0,INDEX($B$5:$B$33,K39)+(D39-INDEX($A$5:$A$33,K39))*(INDEX($B$5:$B$33,K39+1)-INDEX($B$5:$B$33,K39))/(INDEX($A$5:$A$33,K39+1)-INDEX($A$5:$A$33,K39)))))</x:f>
        <x:v>2</x:v>
      </x:c>
      <x:c r="F39" s="237" t="n">
        <x:f>$G$5</x:f>
        <x:v>1</x:v>
      </x:c>
      <x:c r="G39" s="237" t="n">
        <x:f>IF(AND('01_数值调参'!$D$3="配方有效",L39="当前"),0,"待重算")</x:f>
        <x:v>0</x:v>
      </x:c>
      <x:c r="H39" s="237" t="n">
        <x:f>E39*F39</x:f>
        <x:v>2</x:v>
      </x:c>
      <x:c r="I39" s="238" t="n">
        <x:f>IF(ISNUMBER(G39),INT(G39+H39),G39)</x:f>
        <x:v>2</x:v>
      </x:c>
      <x:c r="J39" s="236" t="str">
        <x:f>IF(OR(ABS(D39-INDEX($A$5:$A$33,K39))&lt;=0.000001,ABS(D39-INDEX($A$5:$A$33,K39+1))&lt;=0.000001),"配置值",IF(OR(D39&lt;$A$5,D39&gt;$A$33),"外推估算","插值估算"))</x:f>
        <x:v>配置值</x:v>
      </x:c>
      <x:c r="K39" s="236" t="n">
        <x:f>MAX(1,MIN(28,COUNTIF($A$5:$A$33,"&lt;="&amp;(D39+0.000001))))</x:f>
        <x:v>2</x:v>
      </x:c>
      <x:c r="L39" s="236" t="str">
        <x:f>IF(AND(COUNTIF('01_数值调参'!F18:F52,"&lt;0")=0),"当前","待重算")</x:f>
        <x:v>当前</x:v>
      </x:c>
      <x:c r="M39" s="236" t="str">
        <x:f>IF(ISNUMBER(I39),IF(OR(J39&lt;&gt;"配置值"),"含估算","配置值"),"待重算")</x:f>
        <x:v>配置值</x:v>
      </x:c>
    </x:row>
    <x:row r="40" ht="24" customHeight="1">
      <x:c r="A40" s="236" t="n">
        <x:v>5</x:v>
      </x:c>
      <x:c r="B40" s="236" t="str">
        <x:v>竹子</x:v>
      </x:c>
      <x:c r="C40" s="236" t="str">
        <x:v>农田</x:v>
      </x:c>
      <x:c r="D40" s="237" t="n">
        <x:f>'01_数值调参'!G9*60</x:f>
        <x:v>600</x:v>
      </x:c>
      <x:c r="E40" s="237" t="n">
        <x:f>IF(ABS(D40-INDEX($A$5:$A$33,K40))&lt;=0.000001,INDEX($B$5:$B$33,K40),IF(ABS(D40-INDEX($A$5:$A$33,K40+1))&lt;=0.000001,INDEX($B$5:$B$33,K40+1),MAX(0,INDEX($B$5:$B$33,K40)+(D40-INDEX($A$5:$A$33,K40))*(INDEX($B$5:$B$33,K40+1)-INDEX($B$5:$B$33,K40))/(INDEX($A$5:$A$33,K40+1)-INDEX($A$5:$A$33,K40)))))</x:f>
        <x:v>3</x:v>
      </x:c>
      <x:c r="F40" s="237" t="n">
        <x:f>$G$5</x:f>
        <x:v>1</x:v>
      </x:c>
      <x:c r="G40" s="237" t="n">
        <x:f>IF(AND('01_数值调参'!$D$3="配方有效",L40="当前"),0,"待重算")</x:f>
        <x:v>0</x:v>
      </x:c>
      <x:c r="H40" s="237" t="n">
        <x:f>E40*F40</x:f>
        <x:v>3</x:v>
      </x:c>
      <x:c r="I40" s="238" t="n">
        <x:f>IF(ISNUMBER(G40),INT(G40+H40),G40)</x:f>
        <x:v>3</x:v>
      </x:c>
      <x:c r="J40" s="236" t="str">
        <x:f>IF(OR(ABS(D40-INDEX($A$5:$A$33,K40))&lt;=0.000001,ABS(D40-INDEX($A$5:$A$33,K40+1))&lt;=0.000001),"配置值",IF(OR(D40&lt;$A$5,D40&gt;$A$33),"外推估算","插值估算"))</x:f>
        <x:v>配置值</x:v>
      </x:c>
      <x:c r="K40" s="236" t="n">
        <x:f>MAX(1,MIN(28,COUNTIF($A$5:$A$33,"&lt;="&amp;(D40+0.000001))))</x:f>
        <x:v>3</x:v>
      </x:c>
      <x:c r="L40" s="236" t="str">
        <x:f>IF(AND(COUNTIF('01_数值调参'!G18:G52,"&lt;0")=0),"当前","待重算")</x:f>
        <x:v>当前</x:v>
      </x:c>
      <x:c r="M40" s="236" t="str">
        <x:f>IF(ISNUMBER(I40),IF(OR(J40&lt;&gt;"配置值"),"含估算","配置值"),"待重算")</x:f>
        <x:v>配置值</x:v>
      </x:c>
    </x:row>
    <x:row r="41" ht="24" customHeight="1">
      <x:c r="A41" s="236" t="n">
        <x:v>10</x:v>
      </x:c>
      <x:c r="B41" s="236" t="str">
        <x:v>香绒草</x:v>
      </x:c>
      <x:c r="C41" s="236" t="str">
        <x:v>农田</x:v>
      </x:c>
      <x:c r="D41" s="237" t="n">
        <x:f>'01_数值调参'!H9*60</x:f>
        <x:v>900</x:v>
      </x:c>
      <x:c r="E41" s="237" t="n">
        <x:f>IF(ABS(D41-INDEX($A$5:$A$33,K41))&lt;=0.000001,INDEX($B$5:$B$33,K41),IF(ABS(D41-INDEX($A$5:$A$33,K41+1))&lt;=0.000001,INDEX($B$5:$B$33,K41+1),MAX(0,INDEX($B$5:$B$33,K41)+(D41-INDEX($A$5:$A$33,K41))*(INDEX($B$5:$B$33,K41+1)-INDEX($B$5:$B$33,K41))/(INDEX($A$5:$A$33,K41+1)-INDEX($A$5:$A$33,K41)))))</x:f>
        <x:v>3.5</x:v>
      </x:c>
      <x:c r="F41" s="237" t="n">
        <x:f>$G$5</x:f>
        <x:v>1</x:v>
      </x:c>
      <x:c r="G41" s="237" t="n">
        <x:f>IF(AND('01_数值调参'!$D$3="配方有效",L41="当前"),0,"待重算")</x:f>
        <x:v>0</x:v>
      </x:c>
      <x:c r="H41" s="237" t="n">
        <x:f>E41*F41</x:f>
        <x:v>3.5</x:v>
      </x:c>
      <x:c r="I41" s="238" t="n">
        <x:f>IF(ISNUMBER(G41),INT(G41+H41),G41)</x:f>
        <x:v>3</x:v>
      </x:c>
      <x:c r="J41" s="236" t="str">
        <x:f>IF(OR(ABS(D41-INDEX($A$5:$A$33,K41))&lt;=0.000001,ABS(D41-INDEX($A$5:$A$33,K41+1))&lt;=0.000001),"配置值",IF(OR(D41&lt;$A$5,D41&gt;$A$33),"外推估算","插值估算"))</x:f>
        <x:v>插值估算</x:v>
      </x:c>
      <x:c r="K41" s="236" t="n">
        <x:f>MAX(1,MIN(28,COUNTIF($A$5:$A$33,"&lt;="&amp;(D41+0.000001))))</x:f>
        <x:v>3</x:v>
      </x:c>
      <x:c r="L41" s="236" t="str">
        <x:f>IF(AND(COUNTIF('01_数值调参'!H18:H52,"&lt;0")=0),"当前","待重算")</x:f>
        <x:v>当前</x:v>
      </x:c>
      <x:c r="M41" s="236" t="str">
        <x:f>IF(ISNUMBER(I41),IF(OR(J41&lt;&gt;"配置值"),"含估算","配置值"),"待重算")</x:f>
        <x:v>含估算</x:v>
      </x:c>
    </x:row>
    <x:row r="42" ht="24" customHeight="1">
      <x:c r="A42" s="236" t="n">
        <x:v>15</x:v>
      </x:c>
      <x:c r="B42" s="236" t="str">
        <x:v>薰衣草</x:v>
      </x:c>
      <x:c r="C42" s="236" t="str">
        <x:v>农田</x:v>
      </x:c>
      <x:c r="D42" s="237" t="n">
        <x:f>'01_数值调参'!I9*60</x:f>
        <x:v>1200</x:v>
      </x:c>
      <x:c r="E42" s="237" t="n">
        <x:f>IF(ABS(D42-INDEX($A$5:$A$33,K42))&lt;=0.000001,INDEX($B$5:$B$33,K42),IF(ABS(D42-INDEX($A$5:$A$33,K42+1))&lt;=0.000001,INDEX($B$5:$B$33,K42+1),MAX(0,INDEX($B$5:$B$33,K42)+(D42-INDEX($A$5:$A$33,K42))*(INDEX($B$5:$B$33,K42+1)-INDEX($B$5:$B$33,K42))/(INDEX($A$5:$A$33,K42+1)-INDEX($A$5:$A$33,K42)))))</x:f>
        <x:v>4</x:v>
      </x:c>
      <x:c r="F42" s="237" t="n">
        <x:f>$G$5</x:f>
        <x:v>1</x:v>
      </x:c>
      <x:c r="G42" s="237" t="n">
        <x:f>IF(AND('01_数值调参'!$D$3="配方有效",L42="当前"),0,"待重算")</x:f>
        <x:v>0</x:v>
      </x:c>
      <x:c r="H42" s="237" t="n">
        <x:f>E42*F42</x:f>
        <x:v>4</x:v>
      </x:c>
      <x:c r="I42" s="238" t="n">
        <x:f>IF(ISNUMBER(G42),INT(G42+H42),G42)</x:f>
        <x:v>4</x:v>
      </x:c>
      <x:c r="J42" s="236" t="str">
        <x:f>IF(OR(ABS(D42-INDEX($A$5:$A$33,K42))&lt;=0.000001,ABS(D42-INDEX($A$5:$A$33,K42+1))&lt;=0.000001),"配置值",IF(OR(D42&lt;$A$5,D42&gt;$A$33),"外推估算","插值估算"))</x:f>
        <x:v>配置值</x:v>
      </x:c>
      <x:c r="K42" s="236" t="n">
        <x:f>MAX(1,MIN(28,COUNTIF($A$5:$A$33,"&lt;="&amp;(D42+0.000001))))</x:f>
        <x:v>4</x:v>
      </x:c>
      <x:c r="L42" s="236" t="str">
        <x:f>IF(AND(COUNTIF('01_数值调参'!I18:I52,"&lt;0")=0),"当前","待重算")</x:f>
        <x:v>当前</x:v>
      </x:c>
      <x:c r="M42" s="236" t="str">
        <x:f>IF(ISNUMBER(I42),IF(OR(J42&lt;&gt;"配置值"),"含估算","配置值"),"待重算")</x:f>
        <x:v>配置值</x:v>
      </x:c>
    </x:row>
    <x:row r="43" ht="24" customHeight="1">
      <x:c r="A43" s="236" t="n">
        <x:v>17</x:v>
      </x:c>
      <x:c r="B43" s="236" t="str">
        <x:v>芍药花</x:v>
      </x:c>
      <x:c r="C43" s="236" t="str">
        <x:v>农田</x:v>
      </x:c>
      <x:c r="D43" s="237" t="n">
        <x:f>'01_数值调参'!J9*60</x:f>
        <x:v>1800</x:v>
      </x:c>
      <x:c r="E43" s="237" t="n">
        <x:f>IF(ABS(D43-INDEX($A$5:$A$33,K43))&lt;=0.000001,INDEX($B$5:$B$33,K43),IF(ABS(D43-INDEX($A$5:$A$33,K43+1))&lt;=0.000001,INDEX($B$5:$B$33,K43+1),MAX(0,INDEX($B$5:$B$33,K43)+(D43-INDEX($A$5:$A$33,K43))*(INDEX($B$5:$B$33,K43+1)-INDEX($B$5:$B$33,K43))/(INDEX($A$5:$A$33,K43+1)-INDEX($A$5:$A$33,K43)))))</x:f>
        <x:v>5</x:v>
      </x:c>
      <x:c r="F43" s="237" t="n">
        <x:f>$G$5</x:f>
        <x:v>1</x:v>
      </x:c>
      <x:c r="G43" s="237" t="n">
        <x:f>IF(AND('01_数值调参'!$D$3="配方有效",L43="当前"),0,"待重算")</x:f>
        <x:v>0</x:v>
      </x:c>
      <x:c r="H43" s="237" t="n">
        <x:f>E43*F43</x:f>
        <x:v>5</x:v>
      </x:c>
      <x:c r="I43" s="238" t="n">
        <x:f>IF(ISNUMBER(G43),INT(G43+H43),G43)</x:f>
        <x:v>5</x:v>
      </x:c>
      <x:c r="J43" s="236" t="str">
        <x:f>IF(OR(ABS(D43-INDEX($A$5:$A$33,K43))&lt;=0.000001,ABS(D43-INDEX($A$5:$A$33,K43+1))&lt;=0.000001),"配置值",IF(OR(D43&lt;$A$5,D43&gt;$A$33),"外推估算","插值估算"))</x:f>
        <x:v>配置值</x:v>
      </x:c>
      <x:c r="K43" s="236" t="n">
        <x:f>MAX(1,MIN(28,COUNTIF($A$5:$A$33,"&lt;="&amp;(D43+0.000001))))</x:f>
        <x:v>5</x:v>
      </x:c>
      <x:c r="L43" s="236" t="str">
        <x:f>IF(AND(COUNTIF('01_数值调参'!J18:J52,"&lt;0")=0),"当前","待重算")</x:f>
        <x:v>当前</x:v>
      </x:c>
      <x:c r="M43" s="236" t="str">
        <x:f>IF(ISNUMBER(I43),IF(OR(J43&lt;&gt;"配置值"),"含估算","配置值"),"待重算")</x:f>
        <x:v>配置值</x:v>
      </x:c>
    </x:row>
    <x:row r="44" ht="24" customHeight="1">
      <x:c r="A44" s="236" t="n">
        <x:v>24</x:v>
      </x:c>
      <x:c r="B44" s="236" t="str">
        <x:v>墨水花</x:v>
      </x:c>
      <x:c r="C44" s="236" t="str">
        <x:v>农田</x:v>
      </x:c>
      <x:c r="D44" s="237" t="n">
        <x:f>'01_数值调参'!K9*60</x:f>
        <x:v>3600</x:v>
      </x:c>
      <x:c r="E44" s="237" t="n">
        <x:f>IF(ABS(D44-INDEX($A$5:$A$33,K44))&lt;=0.000001,INDEX($B$5:$B$33,K44),IF(ABS(D44-INDEX($A$5:$A$33,K44+1))&lt;=0.000001,INDEX($B$5:$B$33,K44+1),MAX(0,INDEX($B$5:$B$33,K44)+(D44-INDEX($A$5:$A$33,K44))*(INDEX($B$5:$B$33,K44+1)-INDEX($B$5:$B$33,K44))/(INDEX($A$5:$A$33,K44+1)-INDEX($A$5:$A$33,K44)))))</x:f>
        <x:v>6</x:v>
      </x:c>
      <x:c r="F44" s="237" t="n">
        <x:f>$G$5</x:f>
        <x:v>1</x:v>
      </x:c>
      <x:c r="G44" s="237" t="n">
        <x:f>IF(AND('01_数值调参'!$D$3="配方有效",L44="当前"),0,"待重算")</x:f>
        <x:v>0</x:v>
      </x:c>
      <x:c r="H44" s="237" t="n">
        <x:f>E44*F44</x:f>
        <x:v>6</x:v>
      </x:c>
      <x:c r="I44" s="238" t="n">
        <x:f>IF(ISNUMBER(G44),INT(G44+H44),G44)</x:f>
        <x:v>6</x:v>
      </x:c>
      <x:c r="J44" s="236" t="str">
        <x:f>IF(OR(ABS(D44-INDEX($A$5:$A$33,K44))&lt;=0.000001,ABS(D44-INDEX($A$5:$A$33,K44+1))&lt;=0.000001),"配置值",IF(OR(D44&lt;$A$5,D44&gt;$A$33),"外推估算","插值估算"))</x:f>
        <x:v>配置值</x:v>
      </x:c>
      <x:c r="K44" s="236" t="n">
        <x:f>MAX(1,MIN(28,COUNTIF($A$5:$A$33,"&lt;="&amp;(D44+0.000001))))</x:f>
        <x:v>6</x:v>
      </x:c>
      <x:c r="L44" s="236" t="str">
        <x:f>IF(AND(COUNTIF('01_数值调参'!K18:K52,"&lt;0")=0),"当前","待重算")</x:f>
        <x:v>当前</x:v>
      </x:c>
      <x:c r="M44" s="236" t="str">
        <x:f>IF(ISNUMBER(I44),IF(OR(J44&lt;&gt;"配置值"),"含估算","配置值"),"待重算")</x:f>
        <x:v>配置值</x:v>
      </x:c>
    </x:row>
    <x:row r="45" ht="24" customHeight="1">
      <x:c r="A45" s="236" t="n">
        <x:v>30</x:v>
      </x:c>
      <x:c r="B45" s="236" t="str">
        <x:v>蜡烛花</x:v>
      </x:c>
      <x:c r="C45" s="236" t="str">
        <x:v>农田</x:v>
      </x:c>
      <x:c r="D45" s="237" t="n">
        <x:f>'01_数值调参'!L9*60</x:f>
        <x:v>5400</x:v>
      </x:c>
      <x:c r="E45" s="237" t="n">
        <x:f>IF(ABS(D45-INDEX($A$5:$A$33,K45))&lt;=0.000001,INDEX($B$5:$B$33,K45),IF(ABS(D45-INDEX($A$5:$A$33,K45+1))&lt;=0.000001,INDEX($B$5:$B$33,K45+1),MAX(0,INDEX($B$5:$B$33,K45)+(D45-INDEX($A$5:$A$33,K45))*(INDEX($B$5:$B$33,K45+1)-INDEX($B$5:$B$33,K45))/(INDEX($A$5:$A$33,K45+1)-INDEX($A$5:$A$33,K45)))))</x:f>
        <x:v>6.5</x:v>
      </x:c>
      <x:c r="F45" s="237" t="n">
        <x:f>$G$5</x:f>
        <x:v>1</x:v>
      </x:c>
      <x:c r="G45" s="237" t="n">
        <x:f>IF(AND('01_数值调参'!$D$3="配方有效",L45="当前"),0,"待重算")</x:f>
        <x:v>0</x:v>
      </x:c>
      <x:c r="H45" s="237" t="n">
        <x:f>E45*F45</x:f>
        <x:v>6.5</x:v>
      </x:c>
      <x:c r="I45" s="238" t="n">
        <x:f>IF(ISNUMBER(G45),INT(G45+H45),G45)</x:f>
        <x:v>6</x:v>
      </x:c>
      <x:c r="J45" s="236" t="str">
        <x:f>IF(OR(ABS(D45-INDEX($A$5:$A$33,K45))&lt;=0.000001,ABS(D45-INDEX($A$5:$A$33,K45+1))&lt;=0.000001),"配置值",IF(OR(D45&lt;$A$5,D45&gt;$A$33),"外推估算","插值估算"))</x:f>
        <x:v>插值估算</x:v>
      </x:c>
      <x:c r="K45" s="236" t="n">
        <x:f>MAX(1,MIN(28,COUNTIF($A$5:$A$33,"&lt;="&amp;(D45+0.000001))))</x:f>
        <x:v>6</x:v>
      </x:c>
      <x:c r="L45" s="236" t="str">
        <x:f>IF(AND(COUNTIF('01_数值调参'!L18:L52,"&lt;0")=0),"当前","待重算")</x:f>
        <x:v>当前</x:v>
      </x:c>
      <x:c r="M45" s="236" t="str">
        <x:f>IF(ISNUMBER(I45),IF(OR(J45&lt;&gt;"配置值"),"含估算","配置值"),"待重算")</x:f>
        <x:v>含估算</x:v>
      </x:c>
    </x:row>
    <x:row r="46" ht="24" customHeight="1">
      <x:c r="A46" s="236" t="n">
        <x:v>35</x:v>
      </x:c>
      <x:c r="B46" s="236" t="str">
        <x:v>浆果珍珠</x:v>
      </x:c>
      <x:c r="C46" s="236" t="str">
        <x:v>农田</x:v>
      </x:c>
      <x:c r="D46" s="237" t="n">
        <x:f>'01_数值调参'!M9*60</x:f>
        <x:v>7200</x:v>
      </x:c>
      <x:c r="E46" s="237" t="n">
        <x:f>IF(ABS(D46-INDEX($A$5:$A$33,K46))&lt;=0.000001,INDEX($B$5:$B$33,K46),IF(ABS(D46-INDEX($A$5:$A$33,K46+1))&lt;=0.000001,INDEX($B$5:$B$33,K46+1),MAX(0,INDEX($B$5:$B$33,K46)+(D46-INDEX($A$5:$A$33,K46))*(INDEX($B$5:$B$33,K46+1)-INDEX($B$5:$B$33,K46))/(INDEX($A$5:$A$33,K46+1)-INDEX($A$5:$A$33,K46)))))</x:f>
        <x:v>7</x:v>
      </x:c>
      <x:c r="F46" s="237" t="n">
        <x:f>$G$5</x:f>
        <x:v>1</x:v>
      </x:c>
      <x:c r="G46" s="237" t="n">
        <x:f>IF(AND('01_数值调参'!$D$3="配方有效",L46="当前"),0,"待重算")</x:f>
        <x:v>0</x:v>
      </x:c>
      <x:c r="H46" s="237" t="n">
        <x:f>E46*F46</x:f>
        <x:v>7</x:v>
      </x:c>
      <x:c r="I46" s="238" t="n">
        <x:f>IF(ISNUMBER(G46),INT(G46+H46),G46)</x:f>
        <x:v>7</x:v>
      </x:c>
      <x:c r="J46" s="236" t="str">
        <x:f>IF(OR(ABS(D46-INDEX($A$5:$A$33,K46))&lt;=0.000001,ABS(D46-INDEX($A$5:$A$33,K46+1))&lt;=0.000001),"配置值",IF(OR(D46&lt;$A$5,D46&gt;$A$33),"外推估算","插值估算"))</x:f>
        <x:v>配置值</x:v>
      </x:c>
      <x:c r="K46" s="236" t="n">
        <x:f>MAX(1,MIN(28,COUNTIF($A$5:$A$33,"&lt;="&amp;(D46+0.000001))))</x:f>
        <x:v>7</x:v>
      </x:c>
      <x:c r="L46" s="236" t="str">
        <x:f>IF(AND(COUNTIF('01_数值调参'!M18:M52,"&lt;0")=0),"当前","待重算")</x:f>
        <x:v>当前</x:v>
      </x:c>
      <x:c r="M46" s="236" t="str">
        <x:f>IF(ISNUMBER(I46),IF(OR(J46&lt;&gt;"配置值"),"含估算","配置值"),"待重算")</x:f>
        <x:v>配置值</x:v>
      </x:c>
    </x:row>
    <x:row r="47" ht="24" customHeight="1">
      <x:c r="A47" s="236" t="n">
        <x:v>3</x:v>
      </x:c>
      <x:c r="B47" s="236" t="str">
        <x:v>芦苇丝</x:v>
      </x:c>
      <x:c r="C47" s="236" t="str">
        <x:v>研磨机</x:v>
      </x:c>
      <x:c r="D47" s="237" t="n">
        <x:f>'01_数值调参'!N9*60</x:f>
        <x:v>300</x:v>
      </x:c>
      <x:c r="E47" s="237" t="n">
        <x:f>IF(ABS(D47-INDEX($A$5:$A$33,K47))&lt;=0.000001,INDEX($B$5:$B$33,K47),IF(ABS(D47-INDEX($A$5:$A$33,K47+1))&lt;=0.000001,INDEX($B$5:$B$33,K47+1),MAX(0,INDEX($B$5:$B$33,K47)+(D47-INDEX($A$5:$A$33,K47))*(INDEX($B$5:$B$33,K47+1)-INDEX($B$5:$B$33,K47))/(INDEX($A$5:$A$33,K47+1)-INDEX($A$5:$A$33,K47)))))</x:f>
        <x:v>2</x:v>
      </x:c>
      <x:c r="F47" s="237" t="n">
        <x:f>$G$6</x:f>
        <x:v>2</x:v>
      </x:c>
      <x:c r="G47" s="237" t="n">
        <x:f>IF(AND('01_数值调参'!$D$3="配方有效",L47="当前",ISNUMBER(I38)),SUM(-'01_数值调参'!N18*I38),"待重算")</x:f>
        <x:v>2</x:v>
      </x:c>
      <x:c r="H47" s="237" t="n">
        <x:f>E47*F47</x:f>
        <x:v>4</x:v>
      </x:c>
      <x:c r="I47" s="238" t="n">
        <x:f>IF(ISNUMBER(G47),INT(G47+H47),G47)</x:f>
        <x:v>6</x:v>
      </x:c>
      <x:c r="J47" s="236" t="str">
        <x:f>IF(OR(ABS(D47-INDEX($A$5:$A$33,K47))&lt;=0.000001,ABS(D47-INDEX($A$5:$A$33,K47+1))&lt;=0.000001),"配置值",IF(OR(D47&lt;$A$5,D47&gt;$A$33),"外推估算","插值估算"))</x:f>
        <x:v>配置值</x:v>
      </x:c>
      <x:c r="K47" s="236" t="n">
        <x:f>MAX(1,MIN(28,COUNTIF($A$5:$A$33,"&lt;="&amp;(D47+0.000001))))</x:f>
        <x:v>2</x:v>
      </x:c>
      <x:c r="L47" s="236" t="str">
        <x:f>IF(AND(COUNTIF('01_数值调参'!N18:N52,"&lt;0")=1,'01_数值调参'!N18&lt;0),"当前","待重算")</x:f>
        <x:v>当前</x:v>
      </x:c>
      <x:c r="M47" s="236" t="str">
        <x:f>IF(ISNUMBER(I47),IF(OR(J47&lt;&gt;"配置值",M38="含估算"),"含估算","配置值"),"待重算")</x:f>
        <x:v>配置值</x:v>
      </x:c>
    </x:row>
    <x:row r="48" ht="24" customHeight="1">
      <x:c r="A48" s="236" t="n">
        <x:v>4</x:v>
      </x:c>
      <x:c r="B48" s="236" t="str">
        <x:v>棉绒团</x:v>
      </x:c>
      <x:c r="C48" s="236" t="str">
        <x:v>研磨机</x:v>
      </x:c>
      <x:c r="D48" s="237" t="n">
        <x:f>'01_数值调参'!O9*60</x:f>
        <x:v>600</x:v>
      </x:c>
      <x:c r="E48" s="237" t="n">
        <x:f>IF(ABS(D48-INDEX($A$5:$A$33,K48))&lt;=0.000001,INDEX($B$5:$B$33,K48),IF(ABS(D48-INDEX($A$5:$A$33,K48+1))&lt;=0.000001,INDEX($B$5:$B$33,K48+1),MAX(0,INDEX($B$5:$B$33,K48)+(D48-INDEX($A$5:$A$33,K48))*(INDEX($B$5:$B$33,K48+1)-INDEX($B$5:$B$33,K48))/(INDEX($A$5:$A$33,K48+1)-INDEX($A$5:$A$33,K48)))))</x:f>
        <x:v>3</x:v>
      </x:c>
      <x:c r="F48" s="237" t="n">
        <x:f>$G$6</x:f>
        <x:v>2</x:v>
      </x:c>
      <x:c r="G48" s="237" t="n">
        <x:f>IF(AND('01_数值调参'!$D$3="配方有效",L48="当前",ISNUMBER(I38),ISNUMBER(I39)),SUM(-'01_数值调参'!O18*I38,-'01_数值调参'!O19*I39),"待重算")</x:f>
        <x:v>3</x:v>
      </x:c>
      <x:c r="H48" s="237" t="n">
        <x:f>E48*F48</x:f>
        <x:v>6</x:v>
      </x:c>
      <x:c r="I48" s="238" t="n">
        <x:f>IF(ISNUMBER(G48),INT(G48+H48),G48)</x:f>
        <x:v>9</x:v>
      </x:c>
      <x:c r="J48" s="236" t="str">
        <x:f>IF(OR(ABS(D48-INDEX($A$5:$A$33,K48))&lt;=0.000001,ABS(D48-INDEX($A$5:$A$33,K48+1))&lt;=0.000001),"配置值",IF(OR(D48&lt;$A$5,D48&gt;$A$33),"外推估算","插值估算"))</x:f>
        <x:v>配置值</x:v>
      </x:c>
      <x:c r="K48" s="236" t="n">
        <x:f>MAX(1,MIN(28,COUNTIF($A$5:$A$33,"&lt;="&amp;(D48+0.000001))))</x:f>
        <x:v>3</x:v>
      </x:c>
      <x:c r="L48" s="236" t="str">
        <x:f>IF(AND(COUNTIF('01_数值调参'!O18:O52,"&lt;0")=2,'01_数值调参'!O18&lt;0,'01_数值调参'!O19&lt;0),"当前","待重算")</x:f>
        <x:v>当前</x:v>
      </x:c>
      <x:c r="M48" s="236" t="str">
        <x:f>IF(ISNUMBER(I48),IF(OR(J48&lt;&gt;"配置值",M38="含估算",M39="含估算"),"含估算","配置值"),"待重算")</x:f>
        <x:v>配置值</x:v>
      </x:c>
    </x:row>
    <x:row r="49" ht="24" customHeight="1">
      <x:c r="A49" s="236" t="n">
        <x:v>12</x:v>
      </x:c>
      <x:c r="B49" s="236" t="str">
        <x:v>绒香粉</x:v>
      </x:c>
      <x:c r="C49" s="236" t="str">
        <x:v>研磨机</x:v>
      </x:c>
      <x:c r="D49" s="237" t="n">
        <x:f>'01_数值调参'!P9*60</x:f>
        <x:v>1200</x:v>
      </x:c>
      <x:c r="E49" s="237" t="n">
        <x:f>IF(ABS(D49-INDEX($A$5:$A$33,K49))&lt;=0.000001,INDEX($B$5:$B$33,K49),IF(ABS(D49-INDEX($A$5:$A$33,K49+1))&lt;=0.000001,INDEX($B$5:$B$33,K49+1),MAX(0,INDEX($B$5:$B$33,K49)+(D49-INDEX($A$5:$A$33,K49))*(INDEX($B$5:$B$33,K49+1)-INDEX($B$5:$B$33,K49))/(INDEX($A$5:$A$33,K49+1)-INDEX($A$5:$A$33,K49)))))</x:f>
        <x:v>4</x:v>
      </x:c>
      <x:c r="F49" s="237" t="n">
        <x:f>$G$6</x:f>
        <x:v>2</x:v>
      </x:c>
      <x:c r="G49" s="237" t="n">
        <x:f>IF(AND('01_数值调参'!$D$3="配方有效",L49="当前",ISNUMBER(I41)),SUM(-'01_数值调参'!P21*I41),"待重算")</x:f>
        <x:v>6</x:v>
      </x:c>
      <x:c r="H49" s="237" t="n">
        <x:f>E49*F49</x:f>
        <x:v>8</x:v>
      </x:c>
      <x:c r="I49" s="238" t="n">
        <x:f>IF(ISNUMBER(G49),INT(G49+H49),G49)</x:f>
        <x:v>14</x:v>
      </x:c>
      <x:c r="J49" s="236" t="str">
        <x:f>IF(OR(ABS(D49-INDEX($A$5:$A$33,K49))&lt;=0.000001,ABS(D49-INDEX($A$5:$A$33,K49+1))&lt;=0.000001),"配置值",IF(OR(D49&lt;$A$5,D49&gt;$A$33),"外推估算","插值估算"))</x:f>
        <x:v>配置值</x:v>
      </x:c>
      <x:c r="K49" s="236" t="n">
        <x:f>MAX(1,MIN(28,COUNTIF($A$5:$A$33,"&lt;="&amp;(D49+0.000001))))</x:f>
        <x:v>4</x:v>
      </x:c>
      <x:c r="L49" s="236" t="str">
        <x:f>IF(AND(COUNTIF('01_数值调参'!P18:P52,"&lt;0")=1,'01_数值调参'!P21&lt;0),"当前","待重算")</x:f>
        <x:v>当前</x:v>
      </x:c>
      <x:c r="M49" s="236" t="str">
        <x:f>IF(ISNUMBER(I49),IF(OR(J49&lt;&gt;"配置值",M41="含估算"),"含估算","配置值"),"待重算")</x:f>
        <x:v>含估算</x:v>
      </x:c>
    </x:row>
    <x:row r="50" ht="24" customHeight="1">
      <x:c r="A50" s="236" t="n">
        <x:v>22</x:v>
      </x:c>
      <x:c r="B50" s="236" t="str">
        <x:v>云朵香粉</x:v>
      </x:c>
      <x:c r="C50" s="236" t="str">
        <x:v>研磨机</x:v>
      </x:c>
      <x:c r="D50" s="237" t="n">
        <x:f>'01_数值调参'!Q9*60</x:f>
        <x:v>1800</x:v>
      </x:c>
      <x:c r="E50" s="237" t="n">
        <x:f>IF(ABS(D50-INDEX($A$5:$A$33,K50))&lt;=0.000001,INDEX($B$5:$B$33,K50),IF(ABS(D50-INDEX($A$5:$A$33,K50+1))&lt;=0.000001,INDEX($B$5:$B$33,K50+1),MAX(0,INDEX($B$5:$B$33,K50)+(D50-INDEX($A$5:$A$33,K50))*(INDEX($B$5:$B$33,K50+1)-INDEX($B$5:$B$33,K50))/(INDEX($A$5:$A$33,K50+1)-INDEX($A$5:$A$33,K50)))))</x:f>
        <x:v>5</x:v>
      </x:c>
      <x:c r="F50" s="237" t="n">
        <x:f>$G$6</x:f>
        <x:v>2</x:v>
      </x:c>
      <x:c r="G50" s="237" t="n">
        <x:f>IF(AND('01_数值调参'!$D$3="配方有效",L50="当前",ISNUMBER(I39),ISNUMBER(I41)),SUM(-'01_数值调参'!Q19*I39,-'01_数值调参'!Q21*I41),"待重算")</x:f>
        <x:v>10</x:v>
      </x:c>
      <x:c r="H50" s="237" t="n">
        <x:f>E50*F50</x:f>
        <x:v>10</x:v>
      </x:c>
      <x:c r="I50" s="238" t="n">
        <x:f>IF(ISNUMBER(G50),INT(G50+H50),G50)</x:f>
        <x:v>20</x:v>
      </x:c>
      <x:c r="J50" s="236" t="str">
        <x:f>IF(OR(ABS(D50-INDEX($A$5:$A$33,K50))&lt;=0.000001,ABS(D50-INDEX($A$5:$A$33,K50+1))&lt;=0.000001),"配置值",IF(OR(D50&lt;$A$5,D50&gt;$A$33),"外推估算","插值估算"))</x:f>
        <x:v>配置值</x:v>
      </x:c>
      <x:c r="K50" s="236" t="n">
        <x:f>MAX(1,MIN(28,COUNTIF($A$5:$A$33,"&lt;="&amp;(D50+0.000001))))</x:f>
        <x:v>5</x:v>
      </x:c>
      <x:c r="L50" s="236" t="str">
        <x:f>IF(AND(COUNTIF('01_数值调参'!Q18:Q52,"&lt;0")=2,'01_数值调参'!Q19&lt;0,'01_数值调参'!Q21&lt;0),"当前","待重算")</x:f>
        <x:v>当前</x:v>
      </x:c>
      <x:c r="M50" s="236" t="str">
        <x:f>IF(ISNUMBER(I50),IF(OR(J50&lt;&gt;"配置值",M39="含估算",M41="含估算"),"含估算","配置值"),"待重算")</x:f>
        <x:v>含估算</x:v>
      </x:c>
    </x:row>
    <x:row r="51" ht="24" customHeight="1">
      <x:c r="A51" s="236" t="n">
        <x:v>33</x:v>
      </x:c>
      <x:c r="B51" s="236" t="str">
        <x:v>乌云绒团</x:v>
      </x:c>
      <x:c r="C51" s="236" t="str">
        <x:v>研磨机</x:v>
      </x:c>
      <x:c r="D51" s="237" t="n">
        <x:f>'01_数值调参'!R9*60</x:f>
        <x:v>3600</x:v>
      </x:c>
      <x:c r="E51" s="237" t="n">
        <x:f>IF(ABS(D51-INDEX($A$5:$A$33,K51))&lt;=0.000001,INDEX($B$5:$B$33,K51),IF(ABS(D51-INDEX($A$5:$A$33,K51+1))&lt;=0.000001,INDEX($B$5:$B$33,K51+1),MAX(0,INDEX($B$5:$B$33,K51)+(D51-INDEX($A$5:$A$33,K51))*(INDEX($B$5:$B$33,K51+1)-INDEX($B$5:$B$33,K51))/(INDEX($A$5:$A$33,K51+1)-INDEX($A$5:$A$33,K51)))))</x:f>
        <x:v>6</x:v>
      </x:c>
      <x:c r="F51" s="237" t="n">
        <x:f>$G$6</x:f>
        <x:v>2</x:v>
      </x:c>
      <x:c r="G51" s="237" t="n">
        <x:f>IF(AND('01_数值调参'!$D$3="配方有效",L51="当前",ISNUMBER(I38),ISNUMBER(I44)),SUM(-'01_数值调参'!R18*I38,-'01_数值调参'!R24*I44),"待重算")</x:f>
        <x:v>14</x:v>
      </x:c>
      <x:c r="H51" s="237" t="n">
        <x:f>E51*F51</x:f>
        <x:v>12</x:v>
      </x:c>
      <x:c r="I51" s="238" t="n">
        <x:f>IF(ISNUMBER(G51),INT(G51+H51),G51)</x:f>
        <x:v>26</x:v>
      </x:c>
      <x:c r="J51" s="236" t="str">
        <x:f>IF(OR(ABS(D51-INDEX($A$5:$A$33,K51))&lt;=0.000001,ABS(D51-INDEX($A$5:$A$33,K51+1))&lt;=0.000001),"配置值",IF(OR(D51&lt;$A$5,D51&gt;$A$33),"外推估算","插值估算"))</x:f>
        <x:v>配置值</x:v>
      </x:c>
      <x:c r="K51" s="236" t="n">
        <x:f>MAX(1,MIN(28,COUNTIF($A$5:$A$33,"&lt;="&amp;(D51+0.000001))))</x:f>
        <x:v>6</x:v>
      </x:c>
      <x:c r="L51" s="236" t="str">
        <x:f>IF(AND(COUNTIF('01_数值调参'!R18:R52,"&lt;0")=2,'01_数值调参'!R18&lt;0,'01_数值调参'!R24&lt;0),"当前","待重算")</x:f>
        <x:v>当前</x:v>
      </x:c>
      <x:c r="M51" s="236" t="str">
        <x:f>IF(ISNUMBER(I51),IF(OR(J51&lt;&gt;"配置值",M38="含估算",M44="含估算"),"含估算","配置值"),"待重算")</x:f>
        <x:v>配置值</x:v>
      </x:c>
    </x:row>
    <x:row r="52" ht="24" customHeight="1">
      <x:c r="A52" s="236" t="n">
        <x:v>6</x:v>
      </x:c>
      <x:c r="B52" s="236" t="str">
        <x:v>竹条</x:v>
      </x:c>
      <x:c r="C52" s="236" t="str">
        <x:v>切割机</x:v>
      </x:c>
      <x:c r="D52" s="237" t="n">
        <x:f>'01_数值调参'!S9*60</x:f>
        <x:v>600</x:v>
      </x:c>
      <x:c r="E52" s="237" t="n">
        <x:f>IF(ABS(D52-INDEX($A$5:$A$33,K52))&lt;=0.000001,INDEX($B$5:$B$33,K52),IF(ABS(D52-INDEX($A$5:$A$33,K52+1))&lt;=0.000001,INDEX($B$5:$B$33,K52+1),MAX(0,INDEX($B$5:$B$33,K52)+(D52-INDEX($A$5:$A$33,K52))*(INDEX($B$5:$B$33,K52+1)-INDEX($B$5:$B$33,K52))/(INDEX($A$5:$A$33,K52+1)-INDEX($A$5:$A$33,K52)))))</x:f>
        <x:v>3</x:v>
      </x:c>
      <x:c r="F52" s="237" t="n">
        <x:f>$G$7</x:f>
        <x:v>2</x:v>
      </x:c>
      <x:c r="G52" s="237" t="n">
        <x:f>IF(AND('01_数值调参'!$D$3="配方有效",L52="当前",ISNUMBER(I40)),SUM(-'01_数值调参'!S20*I40),"待重算")</x:f>
        <x:v>6</x:v>
      </x:c>
      <x:c r="H52" s="237" t="n">
        <x:f>E52*F52</x:f>
        <x:v>6</x:v>
      </x:c>
      <x:c r="I52" s="238" t="n">
        <x:f>IF(ISNUMBER(G52),INT(G52+H52),G52)</x:f>
        <x:v>12</x:v>
      </x:c>
      <x:c r="J52" s="236" t="str">
        <x:f>IF(OR(ABS(D52-INDEX($A$5:$A$33,K52))&lt;=0.000001,ABS(D52-INDEX($A$5:$A$33,K52+1))&lt;=0.000001),"配置值",IF(OR(D52&lt;$A$5,D52&gt;$A$33),"外推估算","插值估算"))</x:f>
        <x:v>配置值</x:v>
      </x:c>
      <x:c r="K52" s="236" t="n">
        <x:f>MAX(1,MIN(28,COUNTIF($A$5:$A$33,"&lt;="&amp;(D52+0.000001))))</x:f>
        <x:v>3</x:v>
      </x:c>
      <x:c r="L52" s="236" t="str">
        <x:f>IF(AND(COUNTIF('01_数值调参'!S18:S52,"&lt;0")=1,'01_数值调参'!S20&lt;0),"当前","待重算")</x:f>
        <x:v>当前</x:v>
      </x:c>
      <x:c r="M52" s="236" t="str">
        <x:f>IF(ISNUMBER(I52),IF(OR(J52&lt;&gt;"配置值",M40="含估算"),"含估算","配置值"),"待重算")</x:f>
        <x:v>配置值</x:v>
      </x:c>
    </x:row>
    <x:row r="53" ht="24" customHeight="1">
      <x:c r="A53" s="236" t="n">
        <x:v>7</x:v>
      </x:c>
      <x:c r="B53" s="236" t="str">
        <x:v>薄竹片</x:v>
      </x:c>
      <x:c r="C53" s="236" t="str">
        <x:v>切割机</x:v>
      </x:c>
      <x:c r="D53" s="237" t="n">
        <x:f>'01_数值调参'!T9*60</x:f>
        <x:v>1200</x:v>
      </x:c>
      <x:c r="E53" s="237" t="n">
        <x:f>IF(ABS(D53-INDEX($A$5:$A$33,K53))&lt;=0.000001,INDEX($B$5:$B$33,K53),IF(ABS(D53-INDEX($A$5:$A$33,K53+1))&lt;=0.000001,INDEX($B$5:$B$33,K53+1),MAX(0,INDEX($B$5:$B$33,K53)+(D53-INDEX($A$5:$A$33,K53))*(INDEX($B$5:$B$33,K53+1)-INDEX($B$5:$B$33,K53))/(INDEX($A$5:$A$33,K53+1)-INDEX($A$5:$A$33,K53)))))</x:f>
        <x:v>4</x:v>
      </x:c>
      <x:c r="F53" s="237" t="n">
        <x:f>$G$7</x:f>
        <x:v>2</x:v>
      </x:c>
      <x:c r="G53" s="237" t="n">
        <x:f>IF(AND('01_数值调参'!$D$3="配方有效",L53="当前",ISNUMBER(I40)),SUM(-'01_数值调参'!T20*I40),"待重算")</x:f>
        <x:v>9</x:v>
      </x:c>
      <x:c r="H53" s="237" t="n">
        <x:f>E53*F53</x:f>
        <x:v>8</x:v>
      </x:c>
      <x:c r="I53" s="238" t="n">
        <x:f>IF(ISNUMBER(G53),INT(G53+H53),G53)</x:f>
        <x:v>17</x:v>
      </x:c>
      <x:c r="J53" s="236" t="str">
        <x:f>IF(OR(ABS(D53-INDEX($A$5:$A$33,K53))&lt;=0.000001,ABS(D53-INDEX($A$5:$A$33,K53+1))&lt;=0.000001),"配置值",IF(OR(D53&lt;$A$5,D53&gt;$A$33),"外推估算","插值估算"))</x:f>
        <x:v>配置值</x:v>
      </x:c>
      <x:c r="K53" s="236" t="n">
        <x:f>MAX(1,MIN(28,COUNTIF($A$5:$A$33,"&lt;="&amp;(D53+0.000001))))</x:f>
        <x:v>4</x:v>
      </x:c>
      <x:c r="L53" s="236" t="str">
        <x:f>IF(AND(COUNTIF('01_数值调参'!T18:T52,"&lt;0")=1,'01_数值调参'!T20&lt;0),"当前","待重算")</x:f>
        <x:v>当前</x:v>
      </x:c>
      <x:c r="M53" s="236" t="str">
        <x:f>IF(ISNUMBER(I53),IF(OR(J53&lt;&gt;"配置值",M40="含估算"),"含估算","配置值"),"待重算")</x:f>
        <x:v>配置值</x:v>
      </x:c>
    </x:row>
    <x:row r="54" ht="24" customHeight="1">
      <x:c r="A54" s="236" t="n">
        <x:v>20</x:v>
      </x:c>
      <x:c r="B54" s="236" t="str">
        <x:v>小竹框</x:v>
      </x:c>
      <x:c r="C54" s="236" t="str">
        <x:v>切割机</x:v>
      </x:c>
      <x:c r="D54" s="237" t="n">
        <x:f>'01_数值调参'!U9*60</x:f>
        <x:v>1800</x:v>
      </x:c>
      <x:c r="E54" s="237" t="n">
        <x:f>IF(ABS(D54-INDEX($A$5:$A$33,K54))&lt;=0.000001,INDEX($B$5:$B$33,K54),IF(ABS(D54-INDEX($A$5:$A$33,K54+1))&lt;=0.000001,INDEX($B$5:$B$33,K54+1),MAX(0,INDEX($B$5:$B$33,K54)+(D54-INDEX($A$5:$A$33,K54))*(INDEX($B$5:$B$33,K54+1)-INDEX($B$5:$B$33,K54))/(INDEX($A$5:$A$33,K54+1)-INDEX($A$5:$A$33,K54)))))</x:f>
        <x:v>5</x:v>
      </x:c>
      <x:c r="F54" s="237" t="n">
        <x:f>$G$7</x:f>
        <x:v>2</x:v>
      </x:c>
      <x:c r="G54" s="237" t="n">
        <x:f>IF(AND('01_数值调参'!$D$3="配方有效",L54="当前",ISNUMBER(I40)),SUM(-'01_数值调参'!U20*I40),"待重算")</x:f>
        <x:v>12</x:v>
      </x:c>
      <x:c r="H54" s="237" t="n">
        <x:f>E54*F54</x:f>
        <x:v>10</x:v>
      </x:c>
      <x:c r="I54" s="238" t="n">
        <x:f>IF(ISNUMBER(G54),INT(G54+H54),G54)</x:f>
        <x:v>22</x:v>
      </x:c>
      <x:c r="J54" s="236" t="str">
        <x:f>IF(OR(ABS(D54-INDEX($A$5:$A$33,K54))&lt;=0.000001,ABS(D54-INDEX($A$5:$A$33,K54+1))&lt;=0.000001),"配置值",IF(OR(D54&lt;$A$5,D54&gt;$A$33),"外推估算","插值估算"))</x:f>
        <x:v>配置值</x:v>
      </x:c>
      <x:c r="K54" s="236" t="n">
        <x:f>MAX(1,MIN(28,COUNTIF($A$5:$A$33,"&lt;="&amp;(D54+0.000001))))</x:f>
        <x:v>5</x:v>
      </x:c>
      <x:c r="L54" s="236" t="str">
        <x:f>IF(AND(COUNTIF('01_数值调参'!U18:U52,"&lt;0")=1,'01_数值调参'!U20&lt;0),"当前","待重算")</x:f>
        <x:v>当前</x:v>
      </x:c>
      <x:c r="M54" s="236" t="str">
        <x:f>IF(ISNUMBER(I54),IF(OR(J54&lt;&gt;"配置值",M40="含估算"),"含估算","配置值"),"待重算")</x:f>
        <x:v>配置值</x:v>
      </x:c>
    </x:row>
    <x:row r="55" ht="24" customHeight="1">
      <x:c r="A55" s="236" t="n">
        <x:v>28</x:v>
      </x:c>
      <x:c r="B55" s="236" t="str">
        <x:v>花瓣竹板</x:v>
      </x:c>
      <x:c r="C55" s="236" t="str">
        <x:v>切割机</x:v>
      </x:c>
      <x:c r="D55" s="237" t="n">
        <x:f>'01_数值调参'!V9*60</x:f>
        <x:v>2700</x:v>
      </x:c>
      <x:c r="E55" s="237" t="n">
        <x:f>IF(ABS(D55-INDEX($A$5:$A$33,K55))&lt;=0.000001,INDEX($B$5:$B$33,K55),IF(ABS(D55-INDEX($A$5:$A$33,K55+1))&lt;=0.000001,INDEX($B$5:$B$33,K55+1),MAX(0,INDEX($B$5:$B$33,K55)+(D55-INDEX($A$5:$A$33,K55))*(INDEX($B$5:$B$33,K55+1)-INDEX($B$5:$B$33,K55))/(INDEX($A$5:$A$33,K55+1)-INDEX($A$5:$A$33,K55)))))</x:f>
        <x:v>5.5</x:v>
      </x:c>
      <x:c r="F55" s="237" t="n">
        <x:f>$G$7</x:f>
        <x:v>2</x:v>
      </x:c>
      <x:c r="G55" s="237" t="n">
        <x:f>IF(AND('01_数值调参'!$D$3="配方有效",L55="当前",ISNUMBER(I40),ISNUMBER(I43)),SUM(-'01_数值调参'!V20*I40,-'01_数值调参'!V23*I43),"待重算")</x:f>
        <x:v>16</x:v>
      </x:c>
      <x:c r="H55" s="237" t="n">
        <x:f>E55*F55</x:f>
        <x:v>11</x:v>
      </x:c>
      <x:c r="I55" s="238" t="n">
        <x:f>IF(ISNUMBER(G55),INT(G55+H55),G55)</x:f>
        <x:v>27</x:v>
      </x:c>
      <x:c r="J55" s="236" t="str">
        <x:f>IF(OR(ABS(D55-INDEX($A$5:$A$33,K55))&lt;=0.000001,ABS(D55-INDEX($A$5:$A$33,K55+1))&lt;=0.000001),"配置值",IF(OR(D55&lt;$A$5,D55&gt;$A$33),"外推估算","插值估算"))</x:f>
        <x:v>插值估算</x:v>
      </x:c>
      <x:c r="K55" s="236" t="n">
        <x:f>MAX(1,MIN(28,COUNTIF($A$5:$A$33,"&lt;="&amp;(D55+0.000001))))</x:f>
        <x:v>5</x:v>
      </x:c>
      <x:c r="L55" s="236" t="str">
        <x:f>IF(AND(COUNTIF('01_数值调参'!V18:V52,"&lt;0")=2,'01_数值调参'!V20&lt;0,'01_数值调参'!V23&lt;0),"当前","待重算")</x:f>
        <x:v>当前</x:v>
      </x:c>
      <x:c r="M55" s="236" t="str">
        <x:f>IF(ISNUMBER(I55),IF(OR(J55&lt;&gt;"配置值",M40="含估算",M43="含估算"),"含估算","配置值"),"待重算")</x:f>
        <x:v>含估算</x:v>
      </x:c>
    </x:row>
    <x:row r="56" ht="24" customHeight="1">
      <x:c r="A56" s="236" t="n">
        <x:v>36</x:v>
      </x:c>
      <x:c r="B56" s="236" t="str">
        <x:v>珍珠衣帽架</x:v>
      </x:c>
      <x:c r="C56" s="236" t="str">
        <x:v>切割机</x:v>
      </x:c>
      <x:c r="D56" s="237" t="n">
        <x:f>'01_数值调参'!W9*60</x:f>
        <x:v>3600</x:v>
      </x:c>
      <x:c r="E56" s="237" t="n">
        <x:f>IF(ABS(D56-INDEX($A$5:$A$33,K56))&lt;=0.000001,INDEX($B$5:$B$33,K56),IF(ABS(D56-INDEX($A$5:$A$33,K56+1))&lt;=0.000001,INDEX($B$5:$B$33,K56+1),MAX(0,INDEX($B$5:$B$33,K56)+(D56-INDEX($A$5:$A$33,K56))*(INDEX($B$5:$B$33,K56+1)-INDEX($B$5:$B$33,K56))/(INDEX($A$5:$A$33,K56+1)-INDEX($A$5:$A$33,K56)))))</x:f>
        <x:v>6</x:v>
      </x:c>
      <x:c r="F56" s="237" t="n">
        <x:f>$G$7</x:f>
        <x:v>2</x:v>
      </x:c>
      <x:c r="G56" s="237" t="n">
        <x:f>IF(AND('01_数值调参'!$D$3="配方有效",L56="当前",ISNUMBER(I40),ISNUMBER(I46)),SUM(-'01_数值调参'!W20*I40,-'01_数值调参'!W26*I46),"待重算")</x:f>
        <x:v>17</x:v>
      </x:c>
      <x:c r="H56" s="237" t="n">
        <x:f>E56*F56</x:f>
        <x:v>12</x:v>
      </x:c>
      <x:c r="I56" s="238" t="n">
        <x:f>IF(ISNUMBER(G56),INT(G56+H56),G56)</x:f>
        <x:v>29</x:v>
      </x:c>
      <x:c r="J56" s="236" t="str">
        <x:f>IF(OR(ABS(D56-INDEX($A$5:$A$33,K56))&lt;=0.000001,ABS(D56-INDEX($A$5:$A$33,K56+1))&lt;=0.000001),"配置值",IF(OR(D56&lt;$A$5,D56&gt;$A$33),"外推估算","插值估算"))</x:f>
        <x:v>配置值</x:v>
      </x:c>
      <x:c r="K56" s="236" t="n">
        <x:f>MAX(1,MIN(28,COUNTIF($A$5:$A$33,"&lt;="&amp;(D56+0.000001))))</x:f>
        <x:v>6</x:v>
      </x:c>
      <x:c r="L56" s="236" t="str">
        <x:f>IF(AND(COUNTIF('01_数值调参'!W18:W52,"&lt;0")=2,'01_数值调参'!W20&lt;0,'01_数值调参'!W26&lt;0),"当前","待重算")</x:f>
        <x:v>当前</x:v>
      </x:c>
      <x:c r="M56" s="236" t="str">
        <x:f>IF(ISNUMBER(I56),IF(OR(J56&lt;&gt;"配置值",M40="含估算",M46="含估算"),"含估算","配置值"),"待重算")</x:f>
        <x:v>配置值</x:v>
      </x:c>
    </x:row>
    <x:row r="57" ht="24" customHeight="1">
      <x:c r="A57" s="236" t="n">
        <x:v>14</x:v>
      </x:c>
      <x:c r="B57" s="236" t="str">
        <x:v>竹编小垫</x:v>
      </x:c>
      <x:c r="C57" s="236" t="str">
        <x:v>纺织机</x:v>
      </x:c>
      <x:c r="D57" s="237" t="n">
        <x:f>'01_数值调参'!X9*60</x:f>
        <x:v>1800</x:v>
      </x:c>
      <x:c r="E57" s="237" t="n">
        <x:f>IF(ABS(D57-INDEX($A$5:$A$33,K57))&lt;=0.000001,INDEX($B$5:$B$33,K57),IF(ABS(D57-INDEX($A$5:$A$33,K57+1))&lt;=0.000001,INDEX($B$5:$B$33,K57+1),MAX(0,INDEX($B$5:$B$33,K57)+(D57-INDEX($A$5:$A$33,K57))*(INDEX($B$5:$B$33,K57+1)-INDEX($B$5:$B$33,K57))/(INDEX($A$5:$A$33,K57+1)-INDEX($A$5:$A$33,K57)))))</x:f>
        <x:v>5</x:v>
      </x:c>
      <x:c r="F57" s="237" t="n">
        <x:f>$G$8</x:f>
        <x:v>2</x:v>
      </x:c>
      <x:c r="G57" s="237" t="n">
        <x:f>IF(AND('01_数值调参'!$D$3="配方有效",L57="当前",ISNUMBER(I47),ISNUMBER(I52)),SUM(-'01_数值调参'!X27*I47,-'01_数值调参'!X32*I52),"待重算")</x:f>
        <x:v>18</x:v>
      </x:c>
      <x:c r="H57" s="237" t="n">
        <x:f>E57*F57</x:f>
        <x:v>10</x:v>
      </x:c>
      <x:c r="I57" s="238" t="n">
        <x:f>IF(ISNUMBER(G57),INT(G57+H57),G57)</x:f>
        <x:v>28</x:v>
      </x:c>
      <x:c r="J57" s="236" t="str">
        <x:f>IF(OR(ABS(D57-INDEX($A$5:$A$33,K57))&lt;=0.000001,ABS(D57-INDEX($A$5:$A$33,K57+1))&lt;=0.000001),"配置值",IF(OR(D57&lt;$A$5,D57&gt;$A$33),"外推估算","插值估算"))</x:f>
        <x:v>配置值</x:v>
      </x:c>
      <x:c r="K57" s="236" t="n">
        <x:f>MAX(1,MIN(28,COUNTIF($A$5:$A$33,"&lt;="&amp;(D57+0.000001))))</x:f>
        <x:v>5</x:v>
      </x:c>
      <x:c r="L57" s="236" t="str">
        <x:f>IF(AND(COUNTIF('01_数值调参'!X18:X52,"&lt;0")=2,'01_数值调参'!X27&lt;0,'01_数值调参'!X32&lt;0),"当前","待重算")</x:f>
        <x:v>当前</x:v>
      </x:c>
      <x:c r="M57" s="236" t="str">
        <x:f>IF(ISNUMBER(I57),IF(OR(J57&lt;&gt;"配置值",M47="含估算",M52="含估算"),"含估算","配置值"),"待重算")</x:f>
        <x:v>配置值</x:v>
      </x:c>
    </x:row>
    <x:row r="58" ht="24" customHeight="1">
      <x:c r="A58" s="236" t="n">
        <x:v>16</x:v>
      </x:c>
      <x:c r="B58" s="236" t="str">
        <x:v>软棉布</x:v>
      </x:c>
      <x:c r="C58" s="236" t="str">
        <x:v>纺织机</x:v>
      </x:c>
      <x:c r="D58" s="237" t="n">
        <x:f>'01_数值调参'!Y9*60</x:f>
        <x:v>2700</x:v>
      </x:c>
      <x:c r="E58" s="237" t="n">
        <x:f>IF(ABS(D58-INDEX($A$5:$A$33,K58))&lt;=0.000001,INDEX($B$5:$B$33,K58),IF(ABS(D58-INDEX($A$5:$A$33,K58+1))&lt;=0.000001,INDEX($B$5:$B$33,K58+1),MAX(0,INDEX($B$5:$B$33,K58)+(D58-INDEX($A$5:$A$33,K58))*(INDEX($B$5:$B$33,K58+1)-INDEX($B$5:$B$33,K58))/(INDEX($A$5:$A$33,K58+1)-INDEX($A$5:$A$33,K58)))))</x:f>
        <x:v>5.5</x:v>
      </x:c>
      <x:c r="F58" s="237" t="n">
        <x:f>$G$8</x:f>
        <x:v>2</x:v>
      </x:c>
      <x:c r="G58" s="237" t="n">
        <x:f>IF(AND('01_数值调参'!$D$3="配方有效",L58="当前",ISNUMBER(I38),ISNUMBER(I48)),SUM(-'01_数值调参'!Y18*I38,-'01_数值调参'!Y28*I48),"待重算")</x:f>
        <x:v>11</x:v>
      </x:c>
      <x:c r="H58" s="237" t="n">
        <x:f>E58*F58</x:f>
        <x:v>11</x:v>
      </x:c>
      <x:c r="I58" s="238" t="n">
        <x:f>IF(ISNUMBER(G58),INT(G58+H58),G58)</x:f>
        <x:v>22</x:v>
      </x:c>
      <x:c r="J58" s="236" t="str">
        <x:f>IF(OR(ABS(D58-INDEX($A$5:$A$33,K58))&lt;=0.000001,ABS(D58-INDEX($A$5:$A$33,K58+1))&lt;=0.000001),"配置值",IF(OR(D58&lt;$A$5,D58&gt;$A$33),"外推估算","插值估算"))</x:f>
        <x:v>插值估算</x:v>
      </x:c>
      <x:c r="K58" s="236" t="n">
        <x:f>MAX(1,MIN(28,COUNTIF($A$5:$A$33,"&lt;="&amp;(D58+0.000001))))</x:f>
        <x:v>5</x:v>
      </x:c>
      <x:c r="L58" s="236" t="str">
        <x:f>IF(AND(COUNTIF('01_数值调参'!Y18:Y52,"&lt;0")=2,'01_数值调参'!Y18&lt;0,'01_数值调参'!Y28&lt;0),"当前","待重算")</x:f>
        <x:v>当前</x:v>
      </x:c>
      <x:c r="M58" s="236" t="str">
        <x:f>IF(ISNUMBER(I58),IF(OR(J58&lt;&gt;"配置值",M38="含估算",M48="含估算"),"含估算","配置值"),"待重算")</x:f>
        <x:v>含估算</x:v>
      </x:c>
    </x:row>
    <x:row r="59" ht="24" customHeight="1">
      <x:c r="A59" s="236" t="n">
        <x:v>21</x:v>
      </x:c>
      <x:c r="B59" s="236" t="str">
        <x:v>竹帘</x:v>
      </x:c>
      <x:c r="C59" s="236" t="str">
        <x:v>纺织机</x:v>
      </x:c>
      <x:c r="D59" s="237" t="n">
        <x:f>'01_数值调参'!Z9*60</x:f>
        <x:v>3600</x:v>
      </x:c>
      <x:c r="E59" s="237" t="n">
        <x:f>IF(ABS(D59-INDEX($A$5:$A$33,K59))&lt;=0.000001,INDEX($B$5:$B$33,K59),IF(ABS(D59-INDEX($A$5:$A$33,K59+1))&lt;=0.000001,INDEX($B$5:$B$33,K59+1),MAX(0,INDEX($B$5:$B$33,K59)+(D59-INDEX($A$5:$A$33,K59))*(INDEX($B$5:$B$33,K59+1)-INDEX($B$5:$B$33,K59))/(INDEX($A$5:$A$33,K59+1)-INDEX($A$5:$A$33,K59)))))</x:f>
        <x:v>6</x:v>
      </x:c>
      <x:c r="F59" s="237" t="n">
        <x:f>$G$8</x:f>
        <x:v>2</x:v>
      </x:c>
      <x:c r="G59" s="237" t="n">
        <x:f>IF(AND('01_数值调参'!$D$3="配方有效",L59="当前",ISNUMBER(I39),ISNUMBER(I53)),SUM(-'01_数值调参'!Z19*I39,-'01_数值调参'!Z33*I53),"待重算")</x:f>
        <x:v>21</x:v>
      </x:c>
      <x:c r="H59" s="237" t="n">
        <x:f>E59*F59</x:f>
        <x:v>12</x:v>
      </x:c>
      <x:c r="I59" s="238" t="n">
        <x:f>IF(ISNUMBER(G59),INT(G59+H59),G59)</x:f>
        <x:v>33</x:v>
      </x:c>
      <x:c r="J59" s="236" t="str">
        <x:f>IF(OR(ABS(D59-INDEX($A$5:$A$33,K59))&lt;=0.000001,ABS(D59-INDEX($A$5:$A$33,K59+1))&lt;=0.000001),"配置值",IF(OR(D59&lt;$A$5,D59&gt;$A$33),"外推估算","插值估算"))</x:f>
        <x:v>配置值</x:v>
      </x:c>
      <x:c r="K59" s="236" t="n">
        <x:f>MAX(1,MIN(28,COUNTIF($A$5:$A$33,"&lt;="&amp;(D59+0.000001))))</x:f>
        <x:v>6</x:v>
      </x:c>
      <x:c r="L59" s="236" t="str">
        <x:f>IF(AND(COUNTIF('01_数值调参'!Z18:Z52,"&lt;0")=2,'01_数值调参'!Z19&lt;0,'01_数值调参'!Z33&lt;0),"当前","待重算")</x:f>
        <x:v>当前</x:v>
      </x:c>
      <x:c r="M59" s="236" t="str">
        <x:f>IF(ISNUMBER(I59),IF(OR(J59&lt;&gt;"配置值",M39="含估算",M53="含估算"),"含估算","配置值"),"待重算")</x:f>
        <x:v>配置值</x:v>
      </x:c>
    </x:row>
    <x:row r="60" ht="24" customHeight="1">
      <x:c r="A60" s="236" t="n">
        <x:v>27</x:v>
      </x:c>
      <x:c r="B60" s="236" t="str">
        <x:v>绒绒灯罩</x:v>
      </x:c>
      <x:c r="C60" s="236" t="str">
        <x:v>纺织机</x:v>
      </x:c>
      <x:c r="D60" s="237" t="n">
        <x:f>'01_数值调参'!AA9*60</x:f>
        <x:v>7200</x:v>
      </x:c>
      <x:c r="E60" s="237" t="n">
        <x:f>IF(ABS(D60-INDEX($A$5:$A$33,K60))&lt;=0.000001,INDEX($B$5:$B$33,K60),IF(ABS(D60-INDEX($A$5:$A$33,K60+1))&lt;=0.000001,INDEX($B$5:$B$33,K60+1),MAX(0,INDEX($B$5:$B$33,K60)+(D60-INDEX($A$5:$A$33,K60))*(INDEX($B$5:$B$33,K60+1)-INDEX($B$5:$B$33,K60))/(INDEX($A$5:$A$33,K60+1)-INDEX($A$5:$A$33,K60)))))</x:f>
        <x:v>7</x:v>
      </x:c>
      <x:c r="F60" s="237" t="n">
        <x:f>$G$8</x:f>
        <x:v>2</x:v>
      </x:c>
      <x:c r="G60" s="237" t="n">
        <x:f>IF(AND('01_数值调参'!$D$3="配方有效",L60="当前",ISNUMBER(I48),ISNUMBER(I54)),SUM(-'01_数值调参'!AA28*I48,-'01_数值调参'!AA34*I54),"待重算")</x:f>
        <x:v>31</x:v>
      </x:c>
      <x:c r="H60" s="237" t="n">
        <x:f>E60*F60</x:f>
        <x:v>14</x:v>
      </x:c>
      <x:c r="I60" s="238" t="n">
        <x:f>IF(ISNUMBER(G60),INT(G60+H60),G60)</x:f>
        <x:v>45</x:v>
      </x:c>
      <x:c r="J60" s="236" t="str">
        <x:f>IF(OR(ABS(D60-INDEX($A$5:$A$33,K60))&lt;=0.000001,ABS(D60-INDEX($A$5:$A$33,K60+1))&lt;=0.000001),"配置值",IF(OR(D60&lt;$A$5,D60&gt;$A$33),"外推估算","插值估算"))</x:f>
        <x:v>配置值</x:v>
      </x:c>
      <x:c r="K60" s="236" t="n">
        <x:f>MAX(1,MIN(28,COUNTIF($A$5:$A$33,"&lt;="&amp;(D60+0.000001))))</x:f>
        <x:v>7</x:v>
      </x:c>
      <x:c r="L60" s="236" t="str">
        <x:f>IF(AND(COUNTIF('01_数值调参'!AA18:AA52,"&lt;0")=2,'01_数值调参'!AA28&lt;0,'01_数值调参'!AA34&lt;0),"当前","待重算")</x:f>
        <x:v>当前</x:v>
      </x:c>
      <x:c r="M60" s="236" t="str">
        <x:f>IF(ISNUMBER(I60),IF(OR(J60&lt;&gt;"配置值",M48="含估算",M54="含估算"),"含估算","配置值"),"待重算")</x:f>
        <x:v>配置值</x:v>
      </x:c>
    </x:row>
    <x:row r="61" ht="24" customHeight="1">
      <x:c r="A61" s="236" t="n">
        <x:v>32</x:v>
      </x:c>
      <x:c r="B61" s="236" t="str">
        <x:v>软边小席</x:v>
      </x:c>
      <x:c r="C61" s="236" t="str">
        <x:v>纺织机</x:v>
      </x:c>
      <x:c r="D61" s="237" t="n">
        <x:f>'01_数值调参'!AB9*60</x:f>
        <x:v>9000</x:v>
      </x:c>
      <x:c r="E61" s="237" t="n">
        <x:f>IF(ABS(D61-INDEX($A$5:$A$33,K61))&lt;=0.000001,INDEX($B$5:$B$33,K61),IF(ABS(D61-INDEX($A$5:$A$33,K61+1))&lt;=0.000001,INDEX($B$5:$B$33,K61+1),MAX(0,INDEX($B$5:$B$33,K61)+(D61-INDEX($A$5:$A$33,K61))*(INDEX($B$5:$B$33,K61+1)-INDEX($B$5:$B$33,K61))/(INDEX($A$5:$A$33,K61+1)-INDEX($A$5:$A$33,K61)))))</x:f>
        <x:v>7.5</x:v>
      </x:c>
      <x:c r="F61" s="237" t="n">
        <x:f>$G$8</x:f>
        <x:v>2</x:v>
      </x:c>
      <x:c r="G61" s="237" t="n">
        <x:f>IF(AND('01_数值调参'!$D$3="配方有效",L61="当前",ISNUMBER(I39),ISNUMBER(I47),ISNUMBER(I53)),SUM(-'01_数值调参'!AB19*I39,-'01_数值调参'!AB27*I47,-'01_数值调参'!AB33*I53),"待重算")</x:f>
        <x:v>27</x:v>
      </x:c>
      <x:c r="H61" s="237" t="n">
        <x:f>E61*F61</x:f>
        <x:v>15</x:v>
      </x:c>
      <x:c r="I61" s="238" t="n">
        <x:f>IF(ISNUMBER(G61),INT(G61+H61),G61)</x:f>
        <x:v>42</x:v>
      </x:c>
      <x:c r="J61" s="236" t="str">
        <x:f>IF(OR(ABS(D61-INDEX($A$5:$A$33,K61))&lt;=0.000001,ABS(D61-INDEX($A$5:$A$33,K61+1))&lt;=0.000001),"配置值",IF(OR(D61&lt;$A$5,D61&gt;$A$33),"外推估算","插值估算"))</x:f>
        <x:v>插值估算</x:v>
      </x:c>
      <x:c r="K61" s="236" t="n">
        <x:f>MAX(1,MIN(28,COUNTIF($A$5:$A$33,"&lt;="&amp;(D61+0.000001))))</x:f>
        <x:v>7</x:v>
      </x:c>
      <x:c r="L61" s="236" t="str">
        <x:f>IF(AND(COUNTIF('01_数值调参'!AB18:AB52,"&lt;0")=3,'01_数值调参'!AB19&lt;0,'01_数值调参'!AB27&lt;0,'01_数值调参'!AB33&lt;0),"当前","待重算")</x:f>
        <x:v>当前</x:v>
      </x:c>
      <x:c r="M61" s="236" t="str">
        <x:f>IF(ISNUMBER(I61),IF(OR(J61&lt;&gt;"配置值",M39="含估算",M47="含估算",M53="含估算"),"含估算","配置值"),"待重算")</x:f>
        <x:v>含估算</x:v>
      </x:c>
    </x:row>
    <x:row r="62" ht="24" customHeight="1">
      <x:c r="A62" s="236" t="n">
        <x:v>37</x:v>
      </x:c>
      <x:c r="B62" s="236" t="str">
        <x:v>雨滴篮子</x:v>
      </x:c>
      <x:c r="C62" s="236" t="str">
        <x:v>纺织机</x:v>
      </x:c>
      <x:c r="D62" s="237" t="n">
        <x:f>'01_数值调参'!AC9*60</x:f>
        <x:v>10800</x:v>
      </x:c>
      <x:c r="E62" s="237" t="n">
        <x:f>IF(ABS(D62-INDEX($A$5:$A$33,K62))&lt;=0.000001,INDEX($B$5:$B$33,K62),IF(ABS(D62-INDEX($A$5:$A$33,K62+1))&lt;=0.000001,INDEX($B$5:$B$33,K62+1),MAX(0,INDEX($B$5:$B$33,K62)+(D62-INDEX($A$5:$A$33,K62))*(INDEX($B$5:$B$33,K62+1)-INDEX($B$5:$B$33,K62))/(INDEX($A$5:$A$33,K62+1)-INDEX($A$5:$A$33,K62)))))</x:f>
        <x:v>8</x:v>
      </x:c>
      <x:c r="F62" s="237" t="n">
        <x:f>$G$8</x:f>
        <x:v>2</x:v>
      </x:c>
      <x:c r="G62" s="237" t="n">
        <x:f>IF(AND('01_数值调参'!$D$3="配方有效",L62="当前",ISNUMBER(I38),ISNUMBER(I47),ISNUMBER(I66)),SUM(-'01_数值调参'!AC18*I38,-'01_数值调参'!AC27*I47,-'01_数值调参'!AC46*I66),"待重算")</x:f>
        <x:v>38</x:v>
      </x:c>
      <x:c r="H62" s="237" t="n">
        <x:f>E62*F62</x:f>
        <x:v>16</x:v>
      </x:c>
      <x:c r="I62" s="238" t="n">
        <x:f>IF(ISNUMBER(G62),INT(G62+H62),G62)</x:f>
        <x:v>54</x:v>
      </x:c>
      <x:c r="J62" s="236" t="str">
        <x:f>IF(OR(ABS(D62-INDEX($A$5:$A$33,K62))&lt;=0.000001,ABS(D62-INDEX($A$5:$A$33,K62+1))&lt;=0.000001),"配置值",IF(OR(D62&lt;$A$5,D62&gt;$A$33),"外推估算","插值估算"))</x:f>
        <x:v>配置值</x:v>
      </x:c>
      <x:c r="K62" s="236" t="n">
        <x:f>MAX(1,MIN(28,COUNTIF($A$5:$A$33,"&lt;="&amp;(D62+0.000001))))</x:f>
        <x:v>8</x:v>
      </x:c>
      <x:c r="L62" s="236" t="str">
        <x:f>IF(AND(COUNTIF('01_数值调参'!AC18:AC52,"&lt;0")=3,'01_数值调参'!AC18&lt;0,'01_数值调参'!AC27&lt;0,'01_数值调参'!AC46&lt;0),"当前","待重算")</x:f>
        <x:v>当前</x:v>
      </x:c>
      <x:c r="M62" s="236" t="str">
        <x:f>IF(ISNUMBER(I62),IF(OR(J62&lt;&gt;"配置值",M38="含估算",M47="含估算",M66="含估算"),"含估算","配置值"),"待重算")</x:f>
        <x:v>含估算</x:v>
      </x:c>
    </x:row>
    <x:row r="63" ht="24" customHeight="1">
      <x:c r="A63" s="236" t="n">
        <x:v>13</x:v>
      </x:c>
      <x:c r="B63" s="236" t="str">
        <x:v>薰衣草精油</x:v>
      </x:c>
      <x:c r="C63" s="236" t="str">
        <x:v>萃取机</x:v>
      </x:c>
      <x:c r="D63" s="237" t="n">
        <x:f>'01_数值调参'!AD9*60</x:f>
        <x:v>1200</x:v>
      </x:c>
      <x:c r="E63" s="237" t="n">
        <x:f>IF(ABS(D63-INDEX($A$5:$A$33,K63))&lt;=0.000001,INDEX($B$5:$B$33,K63),IF(ABS(D63-INDEX($A$5:$A$33,K63+1))&lt;=0.000001,INDEX($B$5:$B$33,K63+1),MAX(0,INDEX($B$5:$B$33,K63)+(D63-INDEX($A$5:$A$33,K63))*(INDEX($B$5:$B$33,K63+1)-INDEX($B$5:$B$33,K63))/(INDEX($A$5:$A$33,K63+1)-INDEX($A$5:$A$33,K63)))))</x:f>
        <x:v>4</x:v>
      </x:c>
      <x:c r="F63" s="237" t="n">
        <x:f>$G$9</x:f>
        <x:v>2</x:v>
      </x:c>
      <x:c r="G63" s="237" t="n">
        <x:f>IF(AND('01_数值调参'!$D$3="配方有效",L63="当前",ISNUMBER(I42)),SUM(-'01_数值调参'!AD22*I42),"待重算")</x:f>
        <x:v>8</x:v>
      </x:c>
      <x:c r="H63" s="237" t="n">
        <x:f>E63*F63</x:f>
        <x:v>8</x:v>
      </x:c>
      <x:c r="I63" s="238" t="n">
        <x:f>IF(ISNUMBER(G63),INT(G63+H63),G63)</x:f>
        <x:v>16</x:v>
      </x:c>
      <x:c r="J63" s="236" t="str">
        <x:f>IF(OR(ABS(D63-INDEX($A$5:$A$33,K63))&lt;=0.000001,ABS(D63-INDEX($A$5:$A$33,K63+1))&lt;=0.000001),"配置值",IF(OR(D63&lt;$A$5,D63&gt;$A$33),"外推估算","插值估算"))</x:f>
        <x:v>配置值</x:v>
      </x:c>
      <x:c r="K63" s="236" t="n">
        <x:f>MAX(1,MIN(28,COUNTIF($A$5:$A$33,"&lt;="&amp;(D63+0.000001))))</x:f>
        <x:v>4</x:v>
      </x:c>
      <x:c r="L63" s="236" t="str">
        <x:f>IF(AND(COUNTIF('01_数值调参'!AD18:AD52,"&lt;0")=1,'01_数值调参'!AD22&lt;0),"当前","待重算")</x:f>
        <x:v>当前</x:v>
      </x:c>
      <x:c r="M63" s="236" t="str">
        <x:f>IF(ISNUMBER(I63),IF(OR(J63&lt;&gt;"配置值",M42="含估算"),"含估算","配置值"),"待重算")</x:f>
        <x:v>配置值</x:v>
      </x:c>
    </x:row>
    <x:row r="64" ht="24" customHeight="1">
      <x:c r="A64" s="236" t="n">
        <x:v>18</x:v>
      </x:c>
      <x:c r="B64" s="236" t="str">
        <x:v>花瓣香水</x:v>
      </x:c>
      <x:c r="C64" s="236" t="str">
        <x:v>萃取机</x:v>
      </x:c>
      <x:c r="D64" s="237" t="n">
        <x:f>'01_数值调参'!AE9*60</x:f>
        <x:v>2700</x:v>
      </x:c>
      <x:c r="E64" s="237" t="n">
        <x:f>IF(ABS(D64-INDEX($A$5:$A$33,K64))&lt;=0.000001,INDEX($B$5:$B$33,K64),IF(ABS(D64-INDEX($A$5:$A$33,K64+1))&lt;=0.000001,INDEX($B$5:$B$33,K64+1),MAX(0,INDEX($B$5:$B$33,K64)+(D64-INDEX($A$5:$A$33,K64))*(INDEX($B$5:$B$33,K64+1)-INDEX($B$5:$B$33,K64))/(INDEX($A$5:$A$33,K64+1)-INDEX($A$5:$A$33,K64)))))</x:f>
        <x:v>5.5</x:v>
      </x:c>
      <x:c r="F64" s="237" t="n">
        <x:f>$G$9</x:f>
        <x:v>2</x:v>
      </x:c>
      <x:c r="G64" s="237" t="n">
        <x:f>IF(AND('01_数值调参'!$D$3="配方有效",L64="当前",ISNUMBER(I43)),SUM(-'01_数值调参'!AE23*I43),"待重算")</x:f>
        <x:v>15</x:v>
      </x:c>
      <x:c r="H64" s="237" t="n">
        <x:f>E64*F64</x:f>
        <x:v>11</x:v>
      </x:c>
      <x:c r="I64" s="238" t="n">
        <x:f>IF(ISNUMBER(G64),INT(G64+H64),G64)</x:f>
        <x:v>26</x:v>
      </x:c>
      <x:c r="J64" s="236" t="str">
        <x:f>IF(OR(ABS(D64-INDEX($A$5:$A$33,K64))&lt;=0.000001,ABS(D64-INDEX($A$5:$A$33,K64+1))&lt;=0.000001),"配置值",IF(OR(D64&lt;$A$5,D64&gt;$A$33),"外推估算","插值估算"))</x:f>
        <x:v>插值估算</x:v>
      </x:c>
      <x:c r="K64" s="236" t="n">
        <x:f>MAX(1,MIN(28,COUNTIF($A$5:$A$33,"&lt;="&amp;(D64+0.000001))))</x:f>
        <x:v>5</x:v>
      </x:c>
      <x:c r="L64" s="236" t="str">
        <x:f>IF(AND(COUNTIF('01_数值调参'!AE18:AE52,"&lt;0")=1,'01_数值调参'!AE23&lt;0),"当前","待重算")</x:f>
        <x:v>当前</x:v>
      </x:c>
      <x:c r="M64" s="236" t="str">
        <x:f>IF(ISNUMBER(I64),IF(OR(J64&lt;&gt;"配置值",M43="含估算"),"含估算","配置值"),"待重算")</x:f>
        <x:v>含估算</x:v>
      </x:c>
    </x:row>
    <x:row r="65" ht="24" customHeight="1">
      <x:c r="A65" s="236" t="n">
        <x:v>25</x:v>
      </x:c>
      <x:c r="B65" s="236" t="str">
        <x:v>墨汁</x:v>
      </x:c>
      <x:c r="C65" s="236" t="str">
        <x:v>萃取机</x:v>
      </x:c>
      <x:c r="D65" s="237" t="n">
        <x:f>'01_数值调参'!AF9*60</x:f>
        <x:v>3600</x:v>
      </x:c>
      <x:c r="E65" s="237" t="n">
        <x:f>IF(ABS(D65-INDEX($A$5:$A$33,K65))&lt;=0.000001,INDEX($B$5:$B$33,K65),IF(ABS(D65-INDEX($A$5:$A$33,K65+1))&lt;=0.000001,INDEX($B$5:$B$33,K65+1),MAX(0,INDEX($B$5:$B$33,K65)+(D65-INDEX($A$5:$A$33,K65))*(INDEX($B$5:$B$33,K65+1)-INDEX($B$5:$B$33,K65))/(INDEX($A$5:$A$33,K65+1)-INDEX($A$5:$A$33,K65)))))</x:f>
        <x:v>6</x:v>
      </x:c>
      <x:c r="F65" s="237" t="n">
        <x:f>$G$9</x:f>
        <x:v>2</x:v>
      </x:c>
      <x:c r="G65" s="237" t="n">
        <x:f>IF(AND('01_数值调参'!$D$3="配方有效",L65="当前",ISNUMBER(I44)),SUM(-'01_数值调参'!AF24*I44),"待重算")</x:f>
        <x:v>18</x:v>
      </x:c>
      <x:c r="H65" s="237" t="n">
        <x:f>E65*F65</x:f>
        <x:v>12</x:v>
      </x:c>
      <x:c r="I65" s="238" t="n">
        <x:f>IF(ISNUMBER(G65),INT(G65+H65),G65)</x:f>
        <x:v>30</x:v>
      </x:c>
      <x:c r="J65" s="236" t="str">
        <x:f>IF(OR(ABS(D65-INDEX($A$5:$A$33,K65))&lt;=0.000001,ABS(D65-INDEX($A$5:$A$33,K65+1))&lt;=0.000001),"配置值",IF(OR(D65&lt;$A$5,D65&gt;$A$33),"外推估算","插值估算"))</x:f>
        <x:v>配置值</x:v>
      </x:c>
      <x:c r="K65" s="236" t="n">
        <x:f>MAX(1,MIN(28,COUNTIF($A$5:$A$33,"&lt;="&amp;(D65+0.000001))))</x:f>
        <x:v>6</x:v>
      </x:c>
      <x:c r="L65" s="236" t="str">
        <x:f>IF(AND(COUNTIF('01_数值调参'!AF18:AF52,"&lt;0")=1,'01_数值调参'!AF24&lt;0),"当前","待重算")</x:f>
        <x:v>当前</x:v>
      </x:c>
      <x:c r="M65" s="236" t="str">
        <x:f>IF(ISNUMBER(I65),IF(OR(J65&lt;&gt;"配置值",M44="含估算"),"含估算","配置值"),"待重算")</x:f>
        <x:v>配置值</x:v>
      </x:c>
    </x:row>
    <x:row r="66" ht="24" customHeight="1">
      <x:c r="A66" s="236" t="n">
        <x:v>31</x:v>
      </x:c>
      <x:c r="B66" s="236" t="str">
        <x:v>花蜡</x:v>
      </x:c>
      <x:c r="C66" s="236" t="str">
        <x:v>萃取机</x:v>
      </x:c>
      <x:c r="D66" s="237" t="n">
        <x:f>'01_数值调参'!AG9*60</x:f>
        <x:v>5400</x:v>
      </x:c>
      <x:c r="E66" s="237" t="n">
        <x:f>IF(ABS(D66-INDEX($A$5:$A$33,K66))&lt;=0.000001,INDEX($B$5:$B$33,K66),IF(ABS(D66-INDEX($A$5:$A$33,K66+1))&lt;=0.000001,INDEX($B$5:$B$33,K66+1),MAX(0,INDEX($B$5:$B$33,K66)+(D66-INDEX($A$5:$A$33,K66))*(INDEX($B$5:$B$33,K66+1)-INDEX($B$5:$B$33,K66))/(INDEX($A$5:$A$33,K66+1)-INDEX($A$5:$A$33,K66)))))</x:f>
        <x:v>6.5</x:v>
      </x:c>
      <x:c r="F66" s="237" t="n">
        <x:f>$G$9</x:f>
        <x:v>2</x:v>
      </x:c>
      <x:c r="G66" s="237" t="n">
        <x:f>IF(AND('01_数值调参'!$D$3="配方有效",L66="当前",ISNUMBER(I45)),SUM(-'01_数值调参'!AG25*I45),"待重算")</x:f>
        <x:v>18</x:v>
      </x:c>
      <x:c r="H66" s="237" t="n">
        <x:f>E66*F66</x:f>
        <x:v>13</x:v>
      </x:c>
      <x:c r="I66" s="238" t="n">
        <x:f>IF(ISNUMBER(G66),INT(G66+H66),G66)</x:f>
        <x:v>31</x:v>
      </x:c>
      <x:c r="J66" s="236" t="str">
        <x:f>IF(OR(ABS(D66-INDEX($A$5:$A$33,K66))&lt;=0.000001,ABS(D66-INDEX($A$5:$A$33,K66+1))&lt;=0.000001),"配置值",IF(OR(D66&lt;$A$5,D66&gt;$A$33),"外推估算","插值估算"))</x:f>
        <x:v>插值估算</x:v>
      </x:c>
      <x:c r="K66" s="236" t="n">
        <x:f>MAX(1,MIN(28,COUNTIF($A$5:$A$33,"&lt;="&amp;(D66+0.000001))))</x:f>
        <x:v>6</x:v>
      </x:c>
      <x:c r="L66" s="236" t="str">
        <x:f>IF(AND(COUNTIF('01_数值调参'!AG18:AG52,"&lt;0")=1,'01_数值调参'!AG25&lt;0),"当前","待重算")</x:f>
        <x:v>当前</x:v>
      </x:c>
      <x:c r="M66" s="236" t="str">
        <x:f>IF(ISNUMBER(I66),IF(OR(J66&lt;&gt;"配置值",M45="含估算"),"含估算","配置值"),"待重算")</x:f>
        <x:v>含估算</x:v>
      </x:c>
    </x:row>
    <x:row r="67" ht="24" customHeight="1">
      <x:c r="A67" s="236" t="n">
        <x:v>19</x:v>
      </x:c>
      <x:c r="B67" s="236" t="str">
        <x:v>竹炭画笔</x:v>
      </x:c>
      <x:c r="C67" s="236" t="str">
        <x:v>窑炉</x:v>
      </x:c>
      <x:c r="D67" s="237" t="n">
        <x:f>'01_数值调参'!AH9*60</x:f>
        <x:v>2700</x:v>
      </x:c>
      <x:c r="E67" s="237" t="n">
        <x:f>IF(ABS(D67-INDEX($A$5:$A$33,K67))&lt;=0.000001,INDEX($B$5:$B$33,K67),IF(ABS(D67-INDEX($A$5:$A$33,K67+1))&lt;=0.000001,INDEX($B$5:$B$33,K67+1),MAX(0,INDEX($B$5:$B$33,K67)+(D67-INDEX($A$5:$A$33,K67))*(INDEX($B$5:$B$33,K67+1)-INDEX($B$5:$B$33,K67))/(INDEX($A$5:$A$33,K67+1)-INDEX($A$5:$A$33,K67)))))</x:f>
        <x:v>5.5</x:v>
      </x:c>
      <x:c r="F67" s="237" t="n">
        <x:f>$G$10</x:f>
        <x:v>2</x:v>
      </x:c>
      <x:c r="G67" s="237" t="n">
        <x:f>IF(AND('01_数值调参'!$D$3="配方有效",L67="当前",ISNUMBER(I52),ISNUMBER(I49)),SUM(-'01_数值调参'!AH32*I52,-'01_数值调参'!AH29*I49),"待重算")</x:f>
        <x:v>26</x:v>
      </x:c>
      <x:c r="H67" s="237" t="n">
        <x:f>E67*F67</x:f>
        <x:v>11</x:v>
      </x:c>
      <x:c r="I67" s="238" t="n">
        <x:f>IF(ISNUMBER(G67),INT(G67+H67),G67)</x:f>
        <x:v>37</x:v>
      </x:c>
      <x:c r="J67" s="236" t="str">
        <x:f>IF(OR(ABS(D67-INDEX($A$5:$A$33,K67))&lt;=0.000001,ABS(D67-INDEX($A$5:$A$33,K67+1))&lt;=0.000001),"配置值",IF(OR(D67&lt;$A$5,D67&gt;$A$33),"外推估算","插值估算"))</x:f>
        <x:v>插值估算</x:v>
      </x:c>
      <x:c r="K67" s="236" t="n">
        <x:f>MAX(1,MIN(28,COUNTIF($A$5:$A$33,"&lt;="&amp;(D67+0.000001))))</x:f>
        <x:v>5</x:v>
      </x:c>
      <x:c r="L67" s="236" t="str">
        <x:f>IF(AND(COUNTIF('01_数值调参'!AH18:AH52,"&lt;0")=2,'01_数值调参'!AH32&lt;0,'01_数值调参'!AH29&lt;0),"当前","待重算")</x:f>
        <x:v>当前</x:v>
      </x:c>
      <x:c r="M67" s="236" t="str">
        <x:f>IF(ISNUMBER(I67),IF(OR(J67&lt;&gt;"配置值",M52="含估算",M49="含估算"),"含估算","配置值"),"待重算")</x:f>
        <x:v>含估算</x:v>
      </x:c>
    </x:row>
    <x:row r="68" ht="24" customHeight="1">
      <x:c r="A68" s="236" t="n">
        <x:v>23</x:v>
      </x:c>
      <x:c r="B68" s="236" t="str">
        <x:v>薰衣草香棒</x:v>
      </x:c>
      <x:c r="C68" s="236" t="str">
        <x:v>窑炉</x:v>
      </x:c>
      <x:c r="D68" s="237" t="n">
        <x:f>'01_数值调参'!AI9*60</x:f>
        <x:v>3600</x:v>
      </x:c>
      <x:c r="E68" s="237" t="n">
        <x:f>IF(ABS(D68-INDEX($A$5:$A$33,K68))&lt;=0.000001,INDEX($B$5:$B$33,K68),IF(ABS(D68-INDEX($A$5:$A$33,K68+1))&lt;=0.000001,INDEX($B$5:$B$33,K68+1),MAX(0,INDEX($B$5:$B$33,K68)+(D68-INDEX($A$5:$A$33,K68))*(INDEX($B$5:$B$33,K68+1)-INDEX($B$5:$B$33,K68))/(INDEX($A$5:$A$33,K68+1)-INDEX($A$5:$A$33,K68)))))</x:f>
        <x:v>6</x:v>
      </x:c>
      <x:c r="F68" s="237" t="n">
        <x:f>$G$10</x:f>
        <x:v>2</x:v>
      </x:c>
      <x:c r="G68" s="237" t="n">
        <x:f>IF(AND('01_数值调参'!$D$3="配方有效",L68="当前",ISNUMBER(I49),ISNUMBER(I63)),SUM(-'01_数值调参'!AI29*I49,-'01_数值调参'!AI43*I63),"待重算")</x:f>
        <x:v>30</x:v>
      </x:c>
      <x:c r="H68" s="237" t="n">
        <x:f>E68*F68</x:f>
        <x:v>12</x:v>
      </x:c>
      <x:c r="I68" s="238" t="n">
        <x:f>IF(ISNUMBER(G68),INT(G68+H68),G68)</x:f>
        <x:v>42</x:v>
      </x:c>
      <x:c r="J68" s="236" t="str">
        <x:f>IF(OR(ABS(D68-INDEX($A$5:$A$33,K68))&lt;=0.000001,ABS(D68-INDEX($A$5:$A$33,K68+1))&lt;=0.000001),"配置值",IF(OR(D68&lt;$A$5,D68&gt;$A$33),"外推估算","插值估算"))</x:f>
        <x:v>配置值</x:v>
      </x:c>
      <x:c r="K68" s="236" t="n">
        <x:f>MAX(1,MIN(28,COUNTIF($A$5:$A$33,"&lt;="&amp;(D68+0.000001))))</x:f>
        <x:v>6</x:v>
      </x:c>
      <x:c r="L68" s="236" t="str">
        <x:f>IF(AND(COUNTIF('01_数值调参'!AI18:AI52,"&lt;0")=2,'01_数值调参'!AI29&lt;0,'01_数值调参'!AI43&lt;0),"当前","待重算")</x:f>
        <x:v>当前</x:v>
      </x:c>
      <x:c r="M68" s="236" t="str">
        <x:f>IF(ISNUMBER(I68),IF(OR(J68&lt;&gt;"配置值",M49="含估算",M63="含估算"),"含估算","配置值"),"待重算")</x:f>
        <x:v>含估算</x:v>
      </x:c>
    </x:row>
    <x:row r="69" ht="24" customHeight="1">
      <x:c r="A69" s="236" t="n">
        <x:v>26</x:v>
      </x:c>
      <x:c r="B69" s="236" t="str">
        <x:v>竹制盆景</x:v>
      </x:c>
      <x:c r="C69" s="236" t="str">
        <x:v>窑炉</x:v>
      </x:c>
      <x:c r="D69" s="237" t="n">
        <x:f>'01_数值调参'!AJ9*60</x:f>
        <x:v>5400</x:v>
      </x:c>
      <x:c r="E69" s="237" t="n">
        <x:f>IF(ABS(D69-INDEX($A$5:$A$33,K69))&lt;=0.000001,INDEX($B$5:$B$33,K69),IF(ABS(D69-INDEX($A$5:$A$33,K69+1))&lt;=0.000001,INDEX($B$5:$B$33,K69+1),MAX(0,INDEX($B$5:$B$33,K69)+(D69-INDEX($A$5:$A$33,K69))*(INDEX($B$5:$B$33,K69+1)-INDEX($B$5:$B$33,K69))/(INDEX($A$5:$A$33,K69+1)-INDEX($A$5:$A$33,K69)))))</x:f>
        <x:v>6.5</x:v>
      </x:c>
      <x:c r="F69" s="237" t="n">
        <x:f>$G$10</x:f>
        <x:v>2</x:v>
      </x:c>
      <x:c r="G69" s="237" t="n">
        <x:f>IF(AND('01_数值调参'!$D$3="配方有效",L69="当前",ISNUMBER(I52),ISNUMBER(I42),ISNUMBER(I64)),SUM(-'01_数值调参'!AJ32*I52,-'01_数值调参'!AJ22*I42,-'01_数值调参'!AJ44*I64),"待重算")</x:f>
        <x:v>46</x:v>
      </x:c>
      <x:c r="H69" s="237" t="n">
        <x:f>E69*F69</x:f>
        <x:v>13</x:v>
      </x:c>
      <x:c r="I69" s="238" t="n">
        <x:f>IF(ISNUMBER(G69),INT(G69+H69),G69)</x:f>
        <x:v>59</x:v>
      </x:c>
      <x:c r="J69" s="236" t="str">
        <x:f>IF(OR(ABS(D69-INDEX($A$5:$A$33,K69))&lt;=0.000001,ABS(D69-INDEX($A$5:$A$33,K69+1))&lt;=0.000001),"配置值",IF(OR(D69&lt;$A$5,D69&gt;$A$33),"外推估算","插值估算"))</x:f>
        <x:v>插值估算</x:v>
      </x:c>
      <x:c r="K69" s="236" t="n">
        <x:f>MAX(1,MIN(28,COUNTIF($A$5:$A$33,"&lt;="&amp;(D69+0.000001))))</x:f>
        <x:v>6</x:v>
      </x:c>
      <x:c r="L69" s="236" t="str">
        <x:f>IF(AND(COUNTIF('01_数值调参'!AJ18:AJ52,"&lt;0")=3,'01_数值调参'!AJ32&lt;0,'01_数值调参'!AJ22&lt;0,'01_数值调参'!AJ44&lt;0),"当前","待重算")</x:f>
        <x:v>当前</x:v>
      </x:c>
      <x:c r="M69" s="236" t="str">
        <x:f>IF(ISNUMBER(I69),IF(OR(J69&lt;&gt;"配置值",M52="含估算",M42="含估算",M64="含估算"),"含估算","配置值"),"待重算")</x:f>
        <x:v>含估算</x:v>
      </x:c>
    </x:row>
    <x:row r="70" ht="24" customHeight="1">
      <x:c r="A70" s="236" t="n">
        <x:v>29</x:v>
      </x:c>
      <x:c r="B70" s="236" t="str">
        <x:v>圈圈蚊香</x:v>
      </x:c>
      <x:c r="C70" s="236" t="str">
        <x:v>窑炉</x:v>
      </x:c>
      <x:c r="D70" s="237" t="n">
        <x:f>'01_数值调参'!AK9*60</x:f>
        <x:v>7200</x:v>
      </x:c>
      <x:c r="E70" s="237" t="n">
        <x:f>IF(ABS(D70-INDEX($A$5:$A$33,K70))&lt;=0.000001,INDEX($B$5:$B$33,K70),IF(ABS(D70-INDEX($A$5:$A$33,K70+1))&lt;=0.000001,INDEX($B$5:$B$33,K70+1),MAX(0,INDEX($B$5:$B$33,K70)+(D70-INDEX($A$5:$A$33,K70))*(INDEX($B$5:$B$33,K70+1)-INDEX($B$5:$B$33,K70))/(INDEX($A$5:$A$33,K70+1)-INDEX($A$5:$A$33,K70)))))</x:f>
        <x:v>7</x:v>
      </x:c>
      <x:c r="F70" s="237" t="n">
        <x:f>$G$10</x:f>
        <x:v>2</x:v>
      </x:c>
      <x:c r="G70" s="237" t="n">
        <x:f>IF(AND('01_数值调参'!$D$3="配方有效",L70="当前",ISNUMBER(I41),ISNUMBER(I50),ISNUMBER(I65)),SUM(-'01_数值调参'!AK21*I41,-'01_数值调参'!AK30*I50,-'01_数值调参'!AK45*I65),"待重算")</x:f>
        <x:v>56</x:v>
      </x:c>
      <x:c r="H70" s="237" t="n">
        <x:f>E70*F70</x:f>
        <x:v>14</x:v>
      </x:c>
      <x:c r="I70" s="238" t="n">
        <x:f>IF(ISNUMBER(G70),INT(G70+H70),G70)</x:f>
        <x:v>70</x:v>
      </x:c>
      <x:c r="J70" s="236" t="str">
        <x:f>IF(OR(ABS(D70-INDEX($A$5:$A$33,K70))&lt;=0.000001,ABS(D70-INDEX($A$5:$A$33,K70+1))&lt;=0.000001),"配置值",IF(OR(D70&lt;$A$5,D70&gt;$A$33),"外推估算","插值估算"))</x:f>
        <x:v>配置值</x:v>
      </x:c>
      <x:c r="K70" s="236" t="n">
        <x:f>MAX(1,MIN(28,COUNTIF($A$5:$A$33,"&lt;="&amp;(D70+0.000001))))</x:f>
        <x:v>7</x:v>
      </x:c>
      <x:c r="L70" s="236" t="str">
        <x:f>IF(AND(COUNTIF('01_数值调参'!AK18:AK52,"&lt;0")=3,'01_数值调参'!AK21&lt;0,'01_数值调参'!AK30&lt;0,'01_数值调参'!AK45&lt;0),"当前","待重算")</x:f>
        <x:v>当前</x:v>
      </x:c>
      <x:c r="M70" s="236" t="str">
        <x:f>IF(ISNUMBER(I70),IF(OR(J70&lt;&gt;"配置值",M41="含估算",M50="含估算",M65="含估算"),"含估算","配置值"),"待重算")</x:f>
        <x:v>含估算</x:v>
      </x:c>
    </x:row>
    <x:row r="71" ht="24" customHeight="1">
      <x:c r="A71" s="236" t="n">
        <x:v>34</x:v>
      </x:c>
      <x:c r="B71" s="236" t="str">
        <x:v>薰衣草软垫</x:v>
      </x:c>
      <x:c r="C71" s="236" t="str">
        <x:v>窑炉</x:v>
      </x:c>
      <x:c r="D71" s="237" t="n">
        <x:f>'01_数值调参'!AL9*60</x:f>
        <x:v>9000</x:v>
      </x:c>
      <x:c r="E71" s="237" t="n">
        <x:f>IF(ABS(D71-INDEX($A$5:$A$33,K71))&lt;=0.000001,INDEX($B$5:$B$33,K71),IF(ABS(D71-INDEX($A$5:$A$33,K71+1))&lt;=0.000001,INDEX($B$5:$B$33,K71+1),MAX(0,INDEX($B$5:$B$33,K71)+(D71-INDEX($A$5:$A$33,K71))*(INDEX($B$5:$B$33,K71+1)-INDEX($B$5:$B$33,K71))/(INDEX($A$5:$A$33,K71+1)-INDEX($A$5:$A$33,K71)))))</x:f>
        <x:v>7.5</x:v>
      </x:c>
      <x:c r="F71" s="237" t="n">
        <x:f>$G$10</x:f>
        <x:v>2</x:v>
      </x:c>
      <x:c r="G71" s="237" t="n">
        <x:f>IF(AND('01_数值调参'!$D$3="配方有效",L71="当前",ISNUMBER(I49),ISNUMBER(I57),ISNUMBER(I42)),SUM(-'01_数值调参'!AL29*I49,-'01_数值调参'!AL37*I57,-'01_数值调参'!AL22*I42),"待重算")</x:f>
        <x:v>50</x:v>
      </x:c>
      <x:c r="H71" s="237" t="n">
        <x:f>E71*F71</x:f>
        <x:v>15</x:v>
      </x:c>
      <x:c r="I71" s="238" t="n">
        <x:f>IF(ISNUMBER(G71),INT(G71+H71),G71)</x:f>
        <x:v>65</x:v>
      </x:c>
      <x:c r="J71" s="236" t="str">
        <x:f>IF(OR(ABS(D71-INDEX($A$5:$A$33,K71))&lt;=0.000001,ABS(D71-INDEX($A$5:$A$33,K71+1))&lt;=0.000001),"配置值",IF(OR(D71&lt;$A$5,D71&gt;$A$33),"外推估算","插值估算"))</x:f>
        <x:v>插值估算</x:v>
      </x:c>
      <x:c r="K71" s="236" t="n">
        <x:f>MAX(1,MIN(28,COUNTIF($A$5:$A$33,"&lt;="&amp;(D71+0.000001))))</x:f>
        <x:v>7</x:v>
      </x:c>
      <x:c r="L71" s="236" t="str">
        <x:f>IF(AND(COUNTIF('01_数值调参'!AL18:AL52,"&lt;0")=3,'01_数值调参'!AL29&lt;0,'01_数值调参'!AL37&lt;0,'01_数值调参'!AL22&lt;0),"当前","待重算")</x:f>
        <x:v>当前</x:v>
      </x:c>
      <x:c r="M71" s="236" t="str">
        <x:f>IF(ISNUMBER(I71),IF(OR(J71&lt;&gt;"配置值",M49="含估算",M57="含估算",M42="含估算"),"含估算","配置值"),"待重算")</x:f>
        <x:v>含估算</x:v>
      </x:c>
    </x:row>
    <x:row r="72" ht="24" customHeight="1">
      <x:c r="A72" s="239" t="n">
        <x:v>38</x:v>
      </x:c>
      <x:c r="B72" s="239" t="str">
        <x:v>花瓣小灯</x:v>
      </x:c>
      <x:c r="C72" s="239" t="str">
        <x:v>窑炉</x:v>
      </x:c>
      <x:c r="D72" s="240" t="n">
        <x:f>'01_数值调参'!AM9*60</x:f>
        <x:v>10800</x:v>
      </x:c>
      <x:c r="E72" s="240" t="n">
        <x:f>IF(ABS(D72-INDEX($A$5:$A$33,K72))&lt;=0.000001,INDEX($B$5:$B$33,K72),IF(ABS(D72-INDEX($A$5:$A$33,K72+1))&lt;=0.000001,INDEX($B$5:$B$33,K72+1),MAX(0,INDEX($B$5:$B$33,K72)+(D72-INDEX($A$5:$A$33,K72))*(INDEX($B$5:$B$33,K72+1)-INDEX($B$5:$B$33,K72))/(INDEX($A$5:$A$33,K72+1)-INDEX($A$5:$A$33,K72)))))</x:f>
        <x:v>8</x:v>
      </x:c>
      <x:c r="F72" s="240" t="n">
        <x:f>$G$10</x:f>
        <x:v>2</x:v>
      </x:c>
      <x:c r="G72" s="240" t="n">
        <x:f>IF(AND('01_数值调参'!$D$3="配方有效",L72="当前",ISNUMBER(I60),ISNUMBER(I55),ISNUMBER(I45)),SUM(-'01_数值调参'!AM40*I60,-'01_数值调参'!AM35*I55,-'01_数值调参'!AM25*I45),"待重算")</x:f>
        <x:v>84</x:v>
      </x:c>
      <x:c r="H72" s="240" t="n">
        <x:f>E72*F72</x:f>
        <x:v>16</x:v>
      </x:c>
      <x:c r="I72" s="241" t="n">
        <x:f>IF(ISNUMBER(G72),INT(G72+H72),G72)</x:f>
        <x:v>100</x:v>
      </x:c>
      <x:c r="J72" s="239" t="str">
        <x:f>IF(OR(ABS(D72-INDEX($A$5:$A$33,K72))&lt;=0.000001,ABS(D72-INDEX($A$5:$A$33,K72+1))&lt;=0.000001),"配置值",IF(OR(D72&lt;$A$5,D72&gt;$A$33),"外推估算","插值估算"))</x:f>
        <x:v>配置值</x:v>
      </x:c>
      <x:c r="K72" s="239" t="n">
        <x:f>MAX(1,MIN(28,COUNTIF($A$5:$A$33,"&lt;="&amp;(D72+0.000001))))</x:f>
        <x:v>8</x:v>
      </x:c>
      <x:c r="L72" s="239" t="str">
        <x:f>IF(AND(COUNTIF('01_数值调参'!AM18:AM52,"&lt;0")=3,'01_数值调参'!AM40&lt;0,'01_数值调参'!AM35&lt;0,'01_数值调参'!AM25&lt;0),"当前","待重算")</x:f>
        <x:v>当前</x:v>
      </x:c>
      <x:c r="M72" s="239" t="str">
        <x:f>IF(ISNUMBER(I72),IF(OR(J72&lt;&gt;"配置值",M60="含估算",M55="含估算",M45="含估算"),"含估算","配置值"),"待重算")</x:f>
        <x:v>含估算</x:v>
      </x:c>
    </x:row>
    <x:row r="74">
      <x:c r="A74" t="str">
        <x:v>修改时间、系数或已有原料数量会重算；增加或删除原料后，请回网页导入Excel重算。</x:v>
      </x:c>
    </x:row>
  </x:sheetData>
  <x:conditionalFormatting sqref="J38:J72">
    <x:cfRule type="containsText" dxfId="5" priority="1" operator="containsText" text="估算"/>
  </x:conditionalFormatting>
  <x:conditionalFormatting sqref="M38:M72">
    <x:cfRule type="containsText" dxfId="6" priority="2" operator="containsText" text="估算"/>
  </x:conditionalFormatting>
  <x:dataValidations count="3">
    <x:dataValidation type="decimal" operator="greaterThan" sqref="A5:A33">
      <x:formula1>0</x:formula1>
    </x:dataValidation>
    <x:dataValidation type="decimal" operator="greaterThanOrEqual" sqref="B5:B33">
      <x:formula1>0</x:formula1>
    </x:dataValidation>
    <x:dataValidation type="decimal" operator="greaterThanOrEqual" sqref="G5:G10">
      <x:formula1>0</x:formula1>
    </x:dataValidation>
  </x:dataValidations>
  <x:pageMargins left="0.7" right="0.7" top="0.75" bottom="0.75" header="0.3" footer="0.3"/>
</x:worksheet>
</file>